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800" windowHeight="12540"/>
  </bookViews>
  <sheets>
    <sheet name="仙器继承基础" sheetId="10" r:id="rId1"/>
    <sheet name="仙器继承关系" sheetId="11" r:id="rId2"/>
    <sheet name="仙器继承消耗" sheetId="12" r:id="rId3"/>
    <sheet name="Sheet1" sheetId="13" r:id="rId4"/>
  </sheets>
  <calcPr calcId="144525"/>
</workbook>
</file>

<file path=xl/calcChain.xml><?xml version="1.0" encoding="utf-8"?>
<calcChain xmlns="http://schemas.openxmlformats.org/spreadsheetml/2006/main">
  <c r="M65" i="13" l="1"/>
  <c r="K65" i="13"/>
  <c r="I65" i="13"/>
  <c r="M64" i="13"/>
  <c r="L64" i="13"/>
  <c r="K64" i="13"/>
  <c r="I64" i="13"/>
  <c r="M63" i="13"/>
  <c r="L63" i="13"/>
  <c r="K63" i="13"/>
  <c r="I63" i="13"/>
  <c r="M62" i="13"/>
  <c r="L62" i="13"/>
  <c r="K62" i="13"/>
  <c r="I62" i="13"/>
  <c r="M61" i="13"/>
  <c r="L61" i="13"/>
  <c r="K61" i="13"/>
  <c r="I61" i="13"/>
  <c r="M60" i="13"/>
  <c r="L60" i="13"/>
  <c r="K60" i="13"/>
  <c r="I60" i="13"/>
  <c r="M59" i="13"/>
  <c r="L59" i="13"/>
  <c r="K59" i="13"/>
  <c r="I59" i="13"/>
  <c r="M58" i="13"/>
  <c r="L58" i="13"/>
  <c r="K58" i="13"/>
  <c r="I58" i="13"/>
  <c r="M57" i="13"/>
  <c r="L57" i="13"/>
  <c r="K57" i="13"/>
  <c r="I57" i="13"/>
  <c r="M56" i="13"/>
  <c r="L56" i="13"/>
  <c r="K56" i="13"/>
  <c r="I56" i="13"/>
  <c r="M55" i="13"/>
  <c r="K55" i="13"/>
  <c r="I55" i="13"/>
  <c r="M54" i="13"/>
  <c r="L54" i="13"/>
  <c r="K54" i="13"/>
  <c r="I54" i="13"/>
  <c r="M53" i="13"/>
  <c r="L53" i="13"/>
  <c r="K53" i="13"/>
  <c r="I53" i="13"/>
  <c r="M52" i="13"/>
  <c r="L52" i="13"/>
  <c r="K52" i="13"/>
  <c r="I52" i="13"/>
  <c r="M51" i="13"/>
  <c r="L51" i="13"/>
  <c r="K51" i="13"/>
  <c r="I51" i="13"/>
  <c r="M50" i="13"/>
  <c r="L50" i="13"/>
  <c r="K50" i="13"/>
  <c r="I50" i="13"/>
  <c r="M49" i="13"/>
  <c r="L49" i="13"/>
  <c r="K49" i="13"/>
  <c r="I49" i="13"/>
  <c r="M48" i="13"/>
  <c r="L48" i="13"/>
  <c r="K48" i="13"/>
  <c r="I48" i="13"/>
  <c r="M47" i="13"/>
  <c r="L47" i="13"/>
  <c r="K47" i="13"/>
  <c r="I47" i="13"/>
  <c r="M46" i="13"/>
  <c r="L46" i="13"/>
  <c r="K46" i="13"/>
  <c r="I46" i="13"/>
  <c r="M45" i="13"/>
  <c r="K45" i="13"/>
  <c r="I45" i="13"/>
  <c r="M44" i="13"/>
  <c r="L44" i="13"/>
  <c r="K44" i="13"/>
  <c r="I44" i="13"/>
  <c r="M43" i="13"/>
  <c r="L43" i="13"/>
  <c r="K43" i="13"/>
  <c r="I43" i="13"/>
  <c r="M42" i="13"/>
  <c r="L42" i="13"/>
  <c r="K42" i="13"/>
  <c r="I42" i="13"/>
  <c r="M41" i="13"/>
  <c r="L41" i="13"/>
  <c r="K41" i="13"/>
  <c r="I41" i="13"/>
  <c r="M40" i="13"/>
  <c r="L40" i="13"/>
  <c r="K40" i="13"/>
  <c r="I40" i="13"/>
  <c r="M39" i="13"/>
  <c r="L39" i="13"/>
  <c r="K39" i="13"/>
  <c r="I39" i="13"/>
  <c r="M38" i="13"/>
  <c r="L38" i="13"/>
  <c r="K38" i="13"/>
  <c r="I38" i="13"/>
  <c r="M37" i="13"/>
  <c r="L37" i="13"/>
  <c r="K37" i="13"/>
  <c r="I37" i="13"/>
  <c r="M35" i="13"/>
  <c r="K35" i="13"/>
  <c r="I35" i="13"/>
  <c r="G35" i="13"/>
  <c r="F35" i="13"/>
  <c r="M34" i="13"/>
  <c r="L34" i="13"/>
  <c r="K34" i="13"/>
  <c r="I34" i="13"/>
  <c r="G34" i="13"/>
  <c r="M33" i="13"/>
  <c r="L33" i="13"/>
  <c r="K33" i="13"/>
  <c r="I33" i="13"/>
  <c r="G33" i="13"/>
  <c r="M32" i="13"/>
  <c r="L32" i="13"/>
  <c r="K32" i="13"/>
  <c r="I32" i="13"/>
  <c r="G32" i="13"/>
  <c r="M31" i="13"/>
  <c r="L31" i="13"/>
  <c r="K31" i="13"/>
  <c r="I31" i="13"/>
  <c r="G31" i="13"/>
  <c r="M30" i="13"/>
  <c r="L30" i="13"/>
  <c r="K30" i="13"/>
  <c r="I30" i="13"/>
  <c r="G30" i="13"/>
  <c r="M29" i="13"/>
  <c r="L29" i="13"/>
  <c r="K29" i="13"/>
  <c r="I29" i="13"/>
  <c r="G29" i="13"/>
  <c r="M28" i="13"/>
  <c r="L28" i="13"/>
  <c r="K28" i="13"/>
  <c r="I28" i="13"/>
  <c r="G28" i="13"/>
  <c r="M27" i="13"/>
  <c r="L27" i="13"/>
  <c r="K27" i="13"/>
  <c r="I27" i="13"/>
  <c r="G27" i="13"/>
  <c r="M26" i="13"/>
  <c r="L26" i="13"/>
  <c r="K26" i="13"/>
  <c r="I26" i="13"/>
  <c r="G26" i="13"/>
  <c r="M25" i="13"/>
  <c r="K25" i="13"/>
  <c r="I25" i="13"/>
  <c r="G25" i="13"/>
  <c r="F25" i="13"/>
  <c r="M24" i="13"/>
  <c r="L24" i="13"/>
  <c r="K24" i="13"/>
  <c r="I24" i="13"/>
  <c r="G24" i="13"/>
  <c r="M23" i="13"/>
  <c r="L23" i="13"/>
  <c r="K23" i="13"/>
  <c r="I23" i="13"/>
  <c r="G23" i="13"/>
  <c r="M22" i="13"/>
  <c r="L22" i="13"/>
  <c r="K22" i="13"/>
  <c r="I22" i="13"/>
  <c r="G22" i="13"/>
  <c r="M21" i="13"/>
  <c r="L21" i="13"/>
  <c r="K21" i="13"/>
  <c r="I21" i="13"/>
  <c r="G21" i="13"/>
  <c r="M20" i="13"/>
  <c r="L20" i="13"/>
  <c r="K20" i="13"/>
  <c r="I20" i="13"/>
  <c r="G20" i="13"/>
  <c r="M19" i="13"/>
  <c r="L19" i="13"/>
  <c r="K19" i="13"/>
  <c r="I19" i="13"/>
  <c r="G19" i="13"/>
  <c r="M18" i="13"/>
  <c r="L18" i="13"/>
  <c r="K18" i="13"/>
  <c r="I18" i="13"/>
  <c r="G18" i="13"/>
  <c r="M17" i="13"/>
  <c r="L17" i="13"/>
  <c r="K17" i="13"/>
  <c r="I17" i="13"/>
  <c r="G17" i="13"/>
  <c r="M16" i="13"/>
  <c r="L16" i="13"/>
  <c r="K16" i="13"/>
  <c r="I16" i="13"/>
  <c r="G16" i="13"/>
  <c r="M15" i="13"/>
  <c r="K15" i="13"/>
  <c r="I15" i="13"/>
  <c r="G15" i="13"/>
  <c r="F15" i="13"/>
  <c r="M14" i="13"/>
  <c r="L14" i="13"/>
  <c r="K14" i="13"/>
  <c r="I14" i="13"/>
  <c r="G14" i="13"/>
  <c r="M13" i="13"/>
  <c r="L13" i="13"/>
  <c r="K13" i="13"/>
  <c r="I13" i="13"/>
  <c r="G13" i="13"/>
  <c r="M12" i="13"/>
  <c r="L12" i="13"/>
  <c r="K12" i="13"/>
  <c r="I12" i="13"/>
  <c r="G12" i="13"/>
  <c r="M11" i="13"/>
  <c r="L11" i="13"/>
  <c r="K11" i="13"/>
  <c r="I11" i="13"/>
  <c r="G11" i="13"/>
  <c r="M10" i="13"/>
  <c r="L10" i="13"/>
  <c r="K10" i="13"/>
  <c r="I10" i="13"/>
  <c r="G10" i="13"/>
  <c r="O9" i="13"/>
  <c r="M9" i="13"/>
  <c r="L9" i="13"/>
  <c r="K9" i="13"/>
  <c r="I9" i="13"/>
  <c r="G9" i="13"/>
  <c r="M8" i="13"/>
  <c r="L8" i="13"/>
  <c r="K8" i="13"/>
  <c r="I8" i="13"/>
  <c r="G8" i="13"/>
  <c r="M7" i="13"/>
  <c r="L7" i="13"/>
  <c r="K7" i="13"/>
  <c r="I7" i="13"/>
  <c r="G7" i="13"/>
</calcChain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只开启填写仙器ID的仙器继承，可填入多个仙器
格式：
仙器原型ID,仙器原型ID,仙器原型ID
注：值为-1，则开放所有仙器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第一行数据程序不会读取，仅为功能实现保留
消耗1，三族消耗材料
消耗2，神魔消耗材料</t>
        </r>
      </text>
    </comment>
  </commentList>
</comments>
</file>

<file path=xl/sharedStrings.xml><?xml version="1.0" encoding="utf-8"?>
<sst xmlns="http://schemas.openxmlformats.org/spreadsheetml/2006/main" count="112" uniqueCount="70">
  <si>
    <t>活动ID</t>
  </si>
  <si>
    <t>开服天数</t>
  </si>
  <si>
    <t>活动名称</t>
  </si>
  <si>
    <t>开启时间</t>
  </si>
  <si>
    <t>结束时间</t>
  </si>
  <si>
    <t>活动图标</t>
  </si>
  <si>
    <t>商店ID</t>
  </si>
  <si>
    <t>本期继承</t>
  </si>
  <si>
    <t>2022-07-29 00:00:00</t>
  </si>
  <si>
    <t>2022-08-03 23:59:59</t>
  </si>
  <si>
    <t>47000101,50000101,48000101</t>
  </si>
  <si>
    <t>2022-08-04 00:00:00</t>
  </si>
  <si>
    <t>2022-08-08 23:59:59</t>
  </si>
  <si>
    <t>-1</t>
  </si>
  <si>
    <t>2022-08-09 00:00:00</t>
  </si>
  <si>
    <t>2022-08-13 23:59:59</t>
  </si>
  <si>
    <t>2022-08-14 00:00:00</t>
  </si>
  <si>
    <t>2022-08-18 23:59:59</t>
  </si>
  <si>
    <t>2022-08-19 00:00:00</t>
  </si>
  <si>
    <t>2022-08-23 23:59:59</t>
  </si>
  <si>
    <t>2022-08-24 00:00:00</t>
  </si>
  <si>
    <t>ID</t>
  </si>
  <si>
    <t>种族</t>
  </si>
  <si>
    <t>可继承种族</t>
  </si>
  <si>
    <t>消耗类</t>
  </si>
  <si>
    <t>1,2,3</t>
  </si>
  <si>
    <t>4,5</t>
  </si>
  <si>
    <t>等级</t>
  </si>
  <si>
    <t>消耗</t>
  </si>
  <si>
    <t>3:200055:1</t>
  </si>
  <si>
    <t>3:200055:10</t>
  </si>
  <si>
    <t>3:200055:25</t>
  </si>
  <si>
    <t>3:200055:40</t>
  </si>
  <si>
    <t>3:200055:55</t>
  </si>
  <si>
    <t>3:200055:70</t>
  </si>
  <si>
    <t>3:200055:85</t>
  </si>
  <si>
    <t>3:200055:100</t>
  </si>
  <si>
    <t>3:200055:115</t>
  </si>
  <si>
    <t>3:200055:2700</t>
  </si>
  <si>
    <t>3:200055:145</t>
  </si>
  <si>
    <t>3:200055:160</t>
  </si>
  <si>
    <t>3:200055:175</t>
  </si>
  <si>
    <t>3:200055:190</t>
  </si>
  <si>
    <t>3:200055:205</t>
  </si>
  <si>
    <t>3:200055:220</t>
  </si>
  <si>
    <t>3:200055:235</t>
  </si>
  <si>
    <t>3:200055:250</t>
  </si>
  <si>
    <t>3:200055:265</t>
  </si>
  <si>
    <t>3:200055:5400</t>
  </si>
  <si>
    <t>3:200055:295</t>
  </si>
  <si>
    <t>3:200055:310</t>
  </si>
  <si>
    <t>3:200055:325</t>
  </si>
  <si>
    <t>3:200055:340</t>
  </si>
  <si>
    <t>3:200055:355</t>
  </si>
  <si>
    <t>3:200055:370</t>
  </si>
  <si>
    <t>3:200055:385</t>
  </si>
  <si>
    <t>3:200055:400</t>
  </si>
  <si>
    <t>3:200055:415</t>
  </si>
  <si>
    <t>3:200055:8200</t>
  </si>
  <si>
    <t>3:200055:4000</t>
  </si>
  <si>
    <t>3:200055:8000</t>
  </si>
  <si>
    <t>3:200055:12000</t>
  </si>
  <si>
    <t>10、20、30</t>
  </si>
  <si>
    <t>将本体*0.7+升级材料（麒麟仙玉）转换成继承需要材料</t>
  </si>
  <si>
    <t>本体</t>
  </si>
  <si>
    <t>麒麟仙玉</t>
  </si>
  <si>
    <t>3:200055:</t>
  </si>
  <si>
    <t>补天残片</t>
  </si>
  <si>
    <t>Kế thừa tiên khí</t>
  </si>
  <si>
    <t>2022-08-28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</si>
</sst>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dashDot">
        <color theme="1" tint="0.499984740745262"/>
      </left>
      <right style="dashDot">
        <color theme="1" tint="0.499984740745262"/>
      </right>
      <top style="dashDot">
        <color theme="1" tint="0.499984740745262"/>
      </top>
      <bottom style="dashDot">
        <color theme="1" tint="0.499984740745262"/>
      </bottom>
      <diagonal/>
    </border>
  </borders>
  <cellStyleXfs count="2">
    <xf numFmtId="0" fontId="0" fillId="0" borderId="0"/>
    <xf numFmtId="0" fontId="9" fillId="0" borderId="0"/>
  </cellStyleXfs>
  <cellXfs count="32">
    <xf numFmtId="0" fontId="0" fillId="0" borderId="0" xfId="0"/>
    <xf numFmtId="0" fontId="3" fillId="0" borderId="0" xfId="0" applyFont="1"/>
    <xf numFmtId="0" fontId="4" fillId="0" borderId="0" xfId="1" applyFont="1" applyFill="1"/>
    <xf numFmtId="0" fontId="5" fillId="0" borderId="0" xfId="0" applyFont="1"/>
    <xf numFmtId="0" fontId="5" fillId="2" borderId="0" xfId="0" applyFont="1" applyFill="1"/>
    <xf numFmtId="0" fontId="5" fillId="3" borderId="0" xfId="0" applyFont="1" applyFill="1"/>
    <xf numFmtId="0" fontId="0" fillId="4" borderId="0" xfId="0" applyFill="1"/>
    <xf numFmtId="0" fontId="0" fillId="3" borderId="0" xfId="0" applyFill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5" borderId="1" xfId="0" applyNumberFormat="1" applyFont="1" applyFill="1" applyBorder="1"/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/>
    <xf numFmtId="0" fontId="0" fillId="0" borderId="0" xfId="0" applyFont="1"/>
    <xf numFmtId="0" fontId="0" fillId="3" borderId="0" xfId="0" applyFill="1" applyBorder="1"/>
    <xf numFmtId="0" fontId="0" fillId="0" borderId="0" xfId="0" applyBorder="1"/>
    <xf numFmtId="0" fontId="5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49" fontId="0" fillId="0" borderId="0" xfId="0" applyNumberFormat="1" applyFont="1" applyBorder="1"/>
    <xf numFmtId="0" fontId="0" fillId="0" borderId="0" xfId="0" applyFill="1" applyBorder="1" applyAlignment="1">
      <alignment horizontal="center"/>
    </xf>
    <xf numFmtId="0" fontId="5" fillId="6" borderId="0" xfId="0" applyFont="1" applyFill="1" applyBorder="1" applyAlignment="1">
      <alignment horizontal="center"/>
    </xf>
    <xf numFmtId="49" fontId="0" fillId="3" borderId="0" xfId="0" applyNumberFormat="1" applyFill="1" applyBorder="1"/>
    <xf numFmtId="49" fontId="0" fillId="3" borderId="0" xfId="0" applyNumberFormat="1" applyFill="1" applyAlignment="1"/>
    <xf numFmtId="0" fontId="0" fillId="3" borderId="0" xfId="0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49" fontId="0" fillId="7" borderId="0" xfId="0" applyNumberFormat="1" applyFill="1" applyAlignment="1"/>
    <xf numFmtId="0" fontId="2" fillId="0" borderId="0" xfId="0" applyFont="1" applyBorder="1"/>
    <xf numFmtId="49" fontId="1" fillId="7" borderId="0" xfId="0" applyNumberFormat="1" applyFont="1" applyFill="1" applyAlignment="1"/>
  </cellXfs>
  <cellStyles count="2">
    <cellStyle name="Normal" xfId="0" builtinId="0"/>
    <cellStyle name="常规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7"/>
  <sheetViews>
    <sheetView tabSelected="1" workbookViewId="0">
      <selection activeCell="D12" sqref="D12"/>
    </sheetView>
  </sheetViews>
  <sheetFormatPr defaultColWidth="9" defaultRowHeight="15"/>
  <cols>
    <col min="1" max="2" width="9" style="19"/>
    <col min="3" max="3" width="19" style="19" customWidth="1"/>
    <col min="4" max="4" width="31.5703125" style="19" customWidth="1"/>
    <col min="5" max="5" width="29.7109375" style="19" customWidth="1"/>
    <col min="6" max="6" width="45.42578125" style="19" customWidth="1"/>
    <col min="7" max="7" width="26.5703125" style="19" customWidth="1"/>
    <col min="8" max="8" width="27.85546875" style="19" customWidth="1"/>
    <col min="9" max="16384" width="9" style="19"/>
  </cols>
  <sheetData>
    <row r="1" spans="1:8" ht="16.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1" t="s">
        <v>5</v>
      </c>
      <c r="G1" s="21" t="s">
        <v>6</v>
      </c>
      <c r="H1" s="18" t="s">
        <v>7</v>
      </c>
    </row>
    <row r="2" spans="1:8" ht="16.5">
      <c r="A2" s="19">
        <v>10001</v>
      </c>
      <c r="B2" s="19">
        <v>0</v>
      </c>
      <c r="C2" s="30" t="s">
        <v>68</v>
      </c>
      <c r="D2" s="22" t="s">
        <v>8</v>
      </c>
      <c r="E2" s="22" t="s">
        <v>9</v>
      </c>
      <c r="F2" s="23">
        <v>1105</v>
      </c>
      <c r="G2" s="24">
        <v>150001</v>
      </c>
      <c r="H2" s="25" t="s">
        <v>10</v>
      </c>
    </row>
    <row r="3" spans="1:8" ht="16.5">
      <c r="A3" s="19">
        <v>10002</v>
      </c>
      <c r="B3" s="19">
        <v>0</v>
      </c>
      <c r="C3" s="30" t="s">
        <v>68</v>
      </c>
      <c r="D3" s="22" t="s">
        <v>11</v>
      </c>
      <c r="E3" s="22" t="s">
        <v>12</v>
      </c>
      <c r="F3" s="23">
        <v>1105</v>
      </c>
      <c r="G3" s="24">
        <v>150002</v>
      </c>
      <c r="H3" s="25" t="s">
        <v>13</v>
      </c>
    </row>
    <row r="4" spans="1:8" ht="16.5">
      <c r="A4" s="19">
        <v>10003</v>
      </c>
      <c r="B4" s="19">
        <v>0</v>
      </c>
      <c r="C4" s="30" t="s">
        <v>68</v>
      </c>
      <c r="D4" s="22" t="s">
        <v>14</v>
      </c>
      <c r="E4" s="22" t="s">
        <v>15</v>
      </c>
      <c r="F4" s="23">
        <v>1105</v>
      </c>
      <c r="G4" s="24">
        <v>150002</v>
      </c>
      <c r="H4" s="25" t="s">
        <v>13</v>
      </c>
    </row>
    <row r="5" spans="1:8" ht="16.5">
      <c r="A5" s="19">
        <v>10004</v>
      </c>
      <c r="B5" s="19">
        <v>0</v>
      </c>
      <c r="C5" s="30" t="s">
        <v>68</v>
      </c>
      <c r="D5" s="22" t="s">
        <v>16</v>
      </c>
      <c r="E5" s="22" t="s">
        <v>17</v>
      </c>
      <c r="F5" s="23">
        <v>1105</v>
      </c>
      <c r="G5" s="24">
        <v>150002</v>
      </c>
      <c r="H5" s="25" t="s">
        <v>13</v>
      </c>
    </row>
    <row r="6" spans="1:8" s="18" customFormat="1" ht="16.5">
      <c r="A6" s="18">
        <v>10005</v>
      </c>
      <c r="B6" s="18">
        <v>0</v>
      </c>
      <c r="C6" s="30" t="s">
        <v>68</v>
      </c>
      <c r="D6" s="26" t="s">
        <v>18</v>
      </c>
      <c r="E6" s="26" t="s">
        <v>19</v>
      </c>
      <c r="F6" s="27">
        <v>1105</v>
      </c>
      <c r="G6" s="28">
        <v>150002</v>
      </c>
      <c r="H6" s="25" t="s">
        <v>13</v>
      </c>
    </row>
    <row r="7" spans="1:8" ht="16.5">
      <c r="A7" s="18">
        <v>10006</v>
      </c>
      <c r="B7" s="18">
        <v>0</v>
      </c>
      <c r="C7" s="30" t="s">
        <v>68</v>
      </c>
      <c r="D7" s="29" t="s">
        <v>20</v>
      </c>
      <c r="E7" s="31" t="s">
        <v>69</v>
      </c>
      <c r="F7" s="27">
        <v>1105</v>
      </c>
      <c r="G7" s="28">
        <v>150002</v>
      </c>
      <c r="H7" s="25" t="s">
        <v>13</v>
      </c>
    </row>
  </sheetData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6"/>
  <sheetViews>
    <sheetView workbookViewId="0">
      <selection activeCell="D39" sqref="D39"/>
    </sheetView>
  </sheetViews>
  <sheetFormatPr defaultColWidth="9" defaultRowHeight="15"/>
  <cols>
    <col min="3" max="3" width="13.28515625" customWidth="1"/>
  </cols>
  <sheetData>
    <row r="1" spans="1:4">
      <c r="A1" s="17" t="s">
        <v>21</v>
      </c>
      <c r="B1" s="17" t="s">
        <v>22</v>
      </c>
      <c r="C1" s="17" t="s">
        <v>23</v>
      </c>
      <c r="D1" s="17" t="s">
        <v>24</v>
      </c>
    </row>
    <row r="2" spans="1:4">
      <c r="A2">
        <v>0</v>
      </c>
      <c r="B2">
        <v>1</v>
      </c>
      <c r="C2" s="17" t="s">
        <v>25</v>
      </c>
      <c r="D2">
        <v>1</v>
      </c>
    </row>
    <row r="3" spans="1:4">
      <c r="A3">
        <v>1</v>
      </c>
      <c r="B3">
        <v>2</v>
      </c>
      <c r="C3" t="s">
        <v>25</v>
      </c>
      <c r="D3">
        <v>1</v>
      </c>
    </row>
    <row r="4" spans="1:4">
      <c r="A4">
        <v>2</v>
      </c>
      <c r="B4">
        <v>3</v>
      </c>
      <c r="C4" t="s">
        <v>25</v>
      </c>
      <c r="D4">
        <v>1</v>
      </c>
    </row>
    <row r="5" spans="1:4">
      <c r="A5">
        <v>3</v>
      </c>
      <c r="B5">
        <v>4</v>
      </c>
      <c r="C5" s="17" t="s">
        <v>26</v>
      </c>
      <c r="D5">
        <v>2</v>
      </c>
    </row>
    <row r="6" spans="1:4">
      <c r="A6">
        <v>4</v>
      </c>
      <c r="B6">
        <v>5</v>
      </c>
      <c r="C6" s="17" t="s">
        <v>26</v>
      </c>
      <c r="D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G61"/>
  <sheetViews>
    <sheetView workbookViewId="0">
      <selection activeCell="D3" sqref="D3:D21"/>
    </sheetView>
  </sheetViews>
  <sheetFormatPr defaultColWidth="9" defaultRowHeight="15"/>
  <cols>
    <col min="3" max="3" width="13.28515625" customWidth="1"/>
    <col min="4" max="4" width="20.85546875" customWidth="1"/>
  </cols>
  <sheetData>
    <row r="1" spans="1:7" s="3" customFormat="1" ht="16.5">
      <c r="A1" s="8" t="s">
        <v>21</v>
      </c>
      <c r="B1" s="8" t="s">
        <v>27</v>
      </c>
      <c r="C1" s="8" t="s">
        <v>24</v>
      </c>
      <c r="D1" s="3" t="s">
        <v>28</v>
      </c>
    </row>
    <row r="2" spans="1:7" s="3" customFormat="1" ht="16.5">
      <c r="A2" s="9">
        <v>1</v>
      </c>
      <c r="B2" s="9">
        <v>1</v>
      </c>
      <c r="C2" s="9">
        <v>1</v>
      </c>
      <c r="D2" s="10" t="s">
        <v>29</v>
      </c>
    </row>
    <row r="3" spans="1:7" s="4" customFormat="1" ht="16.5">
      <c r="A3" s="11">
        <v>2</v>
      </c>
      <c r="B3" s="11">
        <v>2</v>
      </c>
      <c r="C3" s="11">
        <v>1</v>
      </c>
      <c r="D3" s="12" t="s">
        <v>30</v>
      </c>
    </row>
    <row r="4" spans="1:7" s="4" customFormat="1" ht="16.5">
      <c r="A4" s="11">
        <v>3</v>
      </c>
      <c r="B4" s="11">
        <v>3</v>
      </c>
      <c r="C4" s="11">
        <v>1</v>
      </c>
      <c r="D4" s="12" t="s">
        <v>31</v>
      </c>
    </row>
    <row r="5" spans="1:7" s="4" customFormat="1" ht="16.5">
      <c r="A5" s="11">
        <v>4</v>
      </c>
      <c r="B5" s="11">
        <v>4</v>
      </c>
      <c r="C5" s="11">
        <v>1</v>
      </c>
      <c r="D5" s="12" t="s">
        <v>32</v>
      </c>
      <c r="F5" s="4">
        <v>20</v>
      </c>
      <c r="G5" s="4">
        <v>1</v>
      </c>
    </row>
    <row r="6" spans="1:7" s="4" customFormat="1" ht="16.5">
      <c r="A6" s="11">
        <v>5</v>
      </c>
      <c r="B6" s="11">
        <v>5</v>
      </c>
      <c r="C6" s="11">
        <v>1</v>
      </c>
      <c r="D6" s="12" t="s">
        <v>33</v>
      </c>
    </row>
    <row r="7" spans="1:7" s="4" customFormat="1" ht="16.5">
      <c r="A7" s="11">
        <v>6</v>
      </c>
      <c r="B7" s="11">
        <v>6</v>
      </c>
      <c r="C7" s="11">
        <v>1</v>
      </c>
      <c r="D7" s="12" t="s">
        <v>34</v>
      </c>
    </row>
    <row r="8" spans="1:7" s="4" customFormat="1" ht="16.5">
      <c r="A8" s="11">
        <v>7</v>
      </c>
      <c r="B8" s="11">
        <v>7</v>
      </c>
      <c r="C8" s="11">
        <v>1</v>
      </c>
      <c r="D8" s="12" t="s">
        <v>35</v>
      </c>
    </row>
    <row r="9" spans="1:7" s="4" customFormat="1" ht="16.5">
      <c r="A9" s="11">
        <v>8</v>
      </c>
      <c r="B9" s="11">
        <v>8</v>
      </c>
      <c r="C9" s="11">
        <v>1</v>
      </c>
      <c r="D9" s="12" t="s">
        <v>36</v>
      </c>
    </row>
    <row r="10" spans="1:7" s="4" customFormat="1" ht="16.5">
      <c r="A10" s="11">
        <v>9</v>
      </c>
      <c r="B10" s="11">
        <v>9</v>
      </c>
      <c r="C10" s="11">
        <v>1</v>
      </c>
      <c r="D10" s="12" t="s">
        <v>37</v>
      </c>
    </row>
    <row r="11" spans="1:7" s="5" customFormat="1" ht="16.5">
      <c r="A11" s="13">
        <v>10</v>
      </c>
      <c r="B11" s="13">
        <v>10</v>
      </c>
      <c r="C11" s="13">
        <v>1</v>
      </c>
      <c r="D11" s="14" t="s">
        <v>38</v>
      </c>
    </row>
    <row r="12" spans="1:7" s="4" customFormat="1" ht="16.5">
      <c r="A12" s="11">
        <v>11</v>
      </c>
      <c r="B12" s="11">
        <v>11</v>
      </c>
      <c r="C12" s="11">
        <v>1</v>
      </c>
      <c r="D12" s="12" t="s">
        <v>39</v>
      </c>
    </row>
    <row r="13" spans="1:7" s="4" customFormat="1" ht="16.5">
      <c r="A13" s="11">
        <v>12</v>
      </c>
      <c r="B13" s="11">
        <v>12</v>
      </c>
      <c r="C13" s="11">
        <v>1</v>
      </c>
      <c r="D13" s="12" t="s">
        <v>40</v>
      </c>
    </row>
    <row r="14" spans="1:7" s="4" customFormat="1" ht="16.5">
      <c r="A14" s="11">
        <v>13</v>
      </c>
      <c r="B14" s="11">
        <v>13</v>
      </c>
      <c r="C14" s="11">
        <v>1</v>
      </c>
      <c r="D14" s="12" t="s">
        <v>41</v>
      </c>
    </row>
    <row r="15" spans="1:7" s="4" customFormat="1" ht="16.5">
      <c r="A15" s="11">
        <v>14</v>
      </c>
      <c r="B15" s="11">
        <v>14</v>
      </c>
      <c r="C15" s="11">
        <v>1</v>
      </c>
      <c r="D15" s="12" t="s">
        <v>42</v>
      </c>
    </row>
    <row r="16" spans="1:7" s="4" customFormat="1" ht="16.5">
      <c r="A16" s="11">
        <v>15</v>
      </c>
      <c r="B16" s="11">
        <v>15</v>
      </c>
      <c r="C16" s="11">
        <v>1</v>
      </c>
      <c r="D16" s="12" t="s">
        <v>43</v>
      </c>
    </row>
    <row r="17" spans="1:4" s="4" customFormat="1" ht="16.5">
      <c r="A17" s="11">
        <v>16</v>
      </c>
      <c r="B17" s="11">
        <v>16</v>
      </c>
      <c r="C17" s="11">
        <v>1</v>
      </c>
      <c r="D17" s="12" t="s">
        <v>44</v>
      </c>
    </row>
    <row r="18" spans="1:4" s="4" customFormat="1" ht="16.5">
      <c r="A18" s="11">
        <v>17</v>
      </c>
      <c r="B18" s="11">
        <v>17</v>
      </c>
      <c r="C18" s="11">
        <v>1</v>
      </c>
      <c r="D18" s="12" t="s">
        <v>45</v>
      </c>
    </row>
    <row r="19" spans="1:4" s="4" customFormat="1" ht="16.5">
      <c r="A19" s="11">
        <v>18</v>
      </c>
      <c r="B19" s="11">
        <v>18</v>
      </c>
      <c r="C19" s="11">
        <v>1</v>
      </c>
      <c r="D19" s="12" t="s">
        <v>46</v>
      </c>
    </row>
    <row r="20" spans="1:4" s="4" customFormat="1" ht="16.5">
      <c r="A20" s="11">
        <v>19</v>
      </c>
      <c r="B20" s="11">
        <v>19</v>
      </c>
      <c r="C20" s="11">
        <v>1</v>
      </c>
      <c r="D20" s="12" t="s">
        <v>47</v>
      </c>
    </row>
    <row r="21" spans="1:4" s="5" customFormat="1" ht="16.5">
      <c r="A21" s="13">
        <v>20</v>
      </c>
      <c r="B21" s="13">
        <v>20</v>
      </c>
      <c r="C21" s="13">
        <v>1</v>
      </c>
      <c r="D21" s="14" t="s">
        <v>48</v>
      </c>
    </row>
    <row r="22" spans="1:4" s="4" customFormat="1" ht="16.5">
      <c r="A22" s="11">
        <v>21</v>
      </c>
      <c r="B22" s="11">
        <v>21</v>
      </c>
      <c r="C22" s="11">
        <v>1</v>
      </c>
      <c r="D22" s="12" t="s">
        <v>49</v>
      </c>
    </row>
    <row r="23" spans="1:4" s="4" customFormat="1" ht="16.5">
      <c r="A23" s="11">
        <v>22</v>
      </c>
      <c r="B23" s="11">
        <v>22</v>
      </c>
      <c r="C23" s="11">
        <v>1</v>
      </c>
      <c r="D23" s="12" t="s">
        <v>50</v>
      </c>
    </row>
    <row r="24" spans="1:4" s="4" customFormat="1" ht="16.5">
      <c r="A24" s="11">
        <v>23</v>
      </c>
      <c r="B24" s="11">
        <v>23</v>
      </c>
      <c r="C24" s="11">
        <v>1</v>
      </c>
      <c r="D24" s="12" t="s">
        <v>51</v>
      </c>
    </row>
    <row r="25" spans="1:4" s="4" customFormat="1" ht="16.5">
      <c r="A25" s="11">
        <v>24</v>
      </c>
      <c r="B25" s="11">
        <v>24</v>
      </c>
      <c r="C25" s="11">
        <v>1</v>
      </c>
      <c r="D25" s="12" t="s">
        <v>52</v>
      </c>
    </row>
    <row r="26" spans="1:4" s="4" customFormat="1" ht="16.5">
      <c r="A26" s="11">
        <v>25</v>
      </c>
      <c r="B26" s="11">
        <v>25</v>
      </c>
      <c r="C26" s="11">
        <v>1</v>
      </c>
      <c r="D26" s="12" t="s">
        <v>53</v>
      </c>
    </row>
    <row r="27" spans="1:4" s="4" customFormat="1" ht="16.5">
      <c r="A27" s="11">
        <v>26</v>
      </c>
      <c r="B27" s="11">
        <v>26</v>
      </c>
      <c r="C27" s="11">
        <v>1</v>
      </c>
      <c r="D27" s="12" t="s">
        <v>54</v>
      </c>
    </row>
    <row r="28" spans="1:4" s="4" customFormat="1" ht="16.5">
      <c r="A28" s="11">
        <v>27</v>
      </c>
      <c r="B28" s="11">
        <v>27</v>
      </c>
      <c r="C28" s="11">
        <v>1</v>
      </c>
      <c r="D28" s="12" t="s">
        <v>55</v>
      </c>
    </row>
    <row r="29" spans="1:4" s="4" customFormat="1" ht="16.5">
      <c r="A29" s="11">
        <v>28</v>
      </c>
      <c r="B29" s="11">
        <v>28</v>
      </c>
      <c r="C29" s="11">
        <v>1</v>
      </c>
      <c r="D29" s="12" t="s">
        <v>56</v>
      </c>
    </row>
    <row r="30" spans="1:4" s="4" customFormat="1" ht="16.5">
      <c r="A30" s="11">
        <v>29</v>
      </c>
      <c r="B30" s="11">
        <v>29</v>
      </c>
      <c r="C30" s="11">
        <v>1</v>
      </c>
      <c r="D30" s="12" t="s">
        <v>57</v>
      </c>
    </row>
    <row r="31" spans="1:4" s="5" customFormat="1" ht="16.5">
      <c r="A31" s="13">
        <v>30</v>
      </c>
      <c r="B31" s="13">
        <v>30</v>
      </c>
      <c r="C31" s="13">
        <v>1</v>
      </c>
      <c r="D31" s="14" t="s">
        <v>58</v>
      </c>
    </row>
    <row r="32" spans="1:4" ht="16.5">
      <c r="A32" s="9">
        <v>31</v>
      </c>
      <c r="B32" s="9">
        <v>1</v>
      </c>
      <c r="C32" s="9">
        <v>2</v>
      </c>
      <c r="D32" s="10" t="s">
        <v>29</v>
      </c>
    </row>
    <row r="33" spans="1:4" s="6" customFormat="1" ht="16.5">
      <c r="A33" s="15">
        <v>32</v>
      </c>
      <c r="B33" s="15">
        <v>2</v>
      </c>
      <c r="C33" s="15">
        <v>2</v>
      </c>
      <c r="D33" s="16" t="s">
        <v>30</v>
      </c>
    </row>
    <row r="34" spans="1:4" s="6" customFormat="1" ht="16.5">
      <c r="A34" s="15">
        <v>33</v>
      </c>
      <c r="B34" s="15">
        <v>3</v>
      </c>
      <c r="C34" s="15">
        <v>2</v>
      </c>
      <c r="D34" s="16" t="s">
        <v>31</v>
      </c>
    </row>
    <row r="35" spans="1:4" s="6" customFormat="1" ht="16.5">
      <c r="A35" s="15">
        <v>34</v>
      </c>
      <c r="B35" s="15">
        <v>4</v>
      </c>
      <c r="C35" s="15">
        <v>2</v>
      </c>
      <c r="D35" s="16" t="s">
        <v>32</v>
      </c>
    </row>
    <row r="36" spans="1:4" s="6" customFormat="1" ht="16.5">
      <c r="A36" s="15">
        <v>35</v>
      </c>
      <c r="B36" s="15">
        <v>5</v>
      </c>
      <c r="C36" s="15">
        <v>2</v>
      </c>
      <c r="D36" s="16" t="s">
        <v>33</v>
      </c>
    </row>
    <row r="37" spans="1:4" s="6" customFormat="1" ht="16.5">
      <c r="A37" s="15">
        <v>36</v>
      </c>
      <c r="B37" s="15">
        <v>6</v>
      </c>
      <c r="C37" s="15">
        <v>2</v>
      </c>
      <c r="D37" s="16" t="s">
        <v>34</v>
      </c>
    </row>
    <row r="38" spans="1:4" s="6" customFormat="1" ht="16.5">
      <c r="A38" s="15">
        <v>37</v>
      </c>
      <c r="B38" s="15">
        <v>7</v>
      </c>
      <c r="C38" s="15">
        <v>2</v>
      </c>
      <c r="D38" s="16" t="s">
        <v>35</v>
      </c>
    </row>
    <row r="39" spans="1:4" s="6" customFormat="1" ht="16.5">
      <c r="A39" s="15">
        <v>38</v>
      </c>
      <c r="B39" s="15">
        <v>8</v>
      </c>
      <c r="C39" s="15">
        <v>2</v>
      </c>
      <c r="D39" s="16" t="s">
        <v>36</v>
      </c>
    </row>
    <row r="40" spans="1:4" s="6" customFormat="1" ht="16.5">
      <c r="A40" s="15">
        <v>39</v>
      </c>
      <c r="B40" s="15">
        <v>9</v>
      </c>
      <c r="C40" s="15">
        <v>2</v>
      </c>
      <c r="D40" s="16" t="s">
        <v>37</v>
      </c>
    </row>
    <row r="41" spans="1:4" s="7" customFormat="1" ht="16.5">
      <c r="A41" s="13">
        <v>40</v>
      </c>
      <c r="B41" s="13">
        <v>10</v>
      </c>
      <c r="C41" s="13">
        <v>2</v>
      </c>
      <c r="D41" s="14" t="s">
        <v>59</v>
      </c>
    </row>
    <row r="42" spans="1:4" s="6" customFormat="1" ht="16.5">
      <c r="A42" s="15">
        <v>41</v>
      </c>
      <c r="B42" s="15">
        <v>11</v>
      </c>
      <c r="C42" s="15">
        <v>2</v>
      </c>
      <c r="D42" s="16" t="s">
        <v>39</v>
      </c>
    </row>
    <row r="43" spans="1:4" s="6" customFormat="1" ht="16.5">
      <c r="A43" s="15">
        <v>42</v>
      </c>
      <c r="B43" s="15">
        <v>12</v>
      </c>
      <c r="C43" s="15">
        <v>2</v>
      </c>
      <c r="D43" s="16" t="s">
        <v>40</v>
      </c>
    </row>
    <row r="44" spans="1:4" s="6" customFormat="1" ht="16.5">
      <c r="A44" s="15">
        <v>43</v>
      </c>
      <c r="B44" s="15">
        <v>13</v>
      </c>
      <c r="C44" s="15">
        <v>2</v>
      </c>
      <c r="D44" s="16" t="s">
        <v>41</v>
      </c>
    </row>
    <row r="45" spans="1:4" s="6" customFormat="1" ht="16.5">
      <c r="A45" s="15">
        <v>44</v>
      </c>
      <c r="B45" s="15">
        <v>14</v>
      </c>
      <c r="C45" s="15">
        <v>2</v>
      </c>
      <c r="D45" s="16" t="s">
        <v>42</v>
      </c>
    </row>
    <row r="46" spans="1:4" s="6" customFormat="1" ht="16.5">
      <c r="A46" s="15">
        <v>45</v>
      </c>
      <c r="B46" s="15">
        <v>15</v>
      </c>
      <c r="C46" s="15">
        <v>2</v>
      </c>
      <c r="D46" s="16" t="s">
        <v>43</v>
      </c>
    </row>
    <row r="47" spans="1:4" s="6" customFormat="1" ht="16.5">
      <c r="A47" s="15">
        <v>46</v>
      </c>
      <c r="B47" s="15">
        <v>16</v>
      </c>
      <c r="C47" s="15">
        <v>2</v>
      </c>
      <c r="D47" s="16" t="s">
        <v>44</v>
      </c>
    </row>
    <row r="48" spans="1:4" s="6" customFormat="1" ht="16.5">
      <c r="A48" s="15">
        <v>47</v>
      </c>
      <c r="B48" s="15">
        <v>17</v>
      </c>
      <c r="C48" s="15">
        <v>2</v>
      </c>
      <c r="D48" s="16" t="s">
        <v>45</v>
      </c>
    </row>
    <row r="49" spans="1:4" s="6" customFormat="1" ht="16.5">
      <c r="A49" s="15">
        <v>48</v>
      </c>
      <c r="B49" s="15">
        <v>18</v>
      </c>
      <c r="C49" s="15">
        <v>2</v>
      </c>
      <c r="D49" s="16" t="s">
        <v>46</v>
      </c>
    </row>
    <row r="50" spans="1:4" s="6" customFormat="1" ht="16.5">
      <c r="A50" s="15">
        <v>49</v>
      </c>
      <c r="B50" s="15">
        <v>19</v>
      </c>
      <c r="C50" s="15">
        <v>2</v>
      </c>
      <c r="D50" s="16" t="s">
        <v>47</v>
      </c>
    </row>
    <row r="51" spans="1:4" s="7" customFormat="1" ht="16.5">
      <c r="A51" s="13">
        <v>50</v>
      </c>
      <c r="B51" s="13">
        <v>20</v>
      </c>
      <c r="C51" s="13">
        <v>2</v>
      </c>
      <c r="D51" s="14" t="s">
        <v>60</v>
      </c>
    </row>
    <row r="52" spans="1:4" s="6" customFormat="1" ht="16.5">
      <c r="A52" s="15">
        <v>51</v>
      </c>
      <c r="B52" s="15">
        <v>21</v>
      </c>
      <c r="C52" s="15">
        <v>2</v>
      </c>
      <c r="D52" s="16" t="s">
        <v>49</v>
      </c>
    </row>
    <row r="53" spans="1:4" s="6" customFormat="1" ht="16.5">
      <c r="A53" s="15">
        <v>52</v>
      </c>
      <c r="B53" s="15">
        <v>22</v>
      </c>
      <c r="C53" s="15">
        <v>2</v>
      </c>
      <c r="D53" s="16" t="s">
        <v>50</v>
      </c>
    </row>
    <row r="54" spans="1:4" s="6" customFormat="1" ht="16.5">
      <c r="A54" s="15">
        <v>53</v>
      </c>
      <c r="B54" s="15">
        <v>23</v>
      </c>
      <c r="C54" s="15">
        <v>2</v>
      </c>
      <c r="D54" s="16" t="s">
        <v>51</v>
      </c>
    </row>
    <row r="55" spans="1:4" s="6" customFormat="1" ht="16.5">
      <c r="A55" s="15">
        <v>54</v>
      </c>
      <c r="B55" s="15">
        <v>24</v>
      </c>
      <c r="C55" s="15">
        <v>2</v>
      </c>
      <c r="D55" s="16" t="s">
        <v>52</v>
      </c>
    </row>
    <row r="56" spans="1:4" s="6" customFormat="1" ht="16.5">
      <c r="A56" s="15">
        <v>55</v>
      </c>
      <c r="B56" s="15">
        <v>25</v>
      </c>
      <c r="C56" s="15">
        <v>2</v>
      </c>
      <c r="D56" s="16" t="s">
        <v>53</v>
      </c>
    </row>
    <row r="57" spans="1:4" s="6" customFormat="1" ht="16.5">
      <c r="A57" s="15">
        <v>56</v>
      </c>
      <c r="B57" s="15">
        <v>26</v>
      </c>
      <c r="C57" s="15">
        <v>2</v>
      </c>
      <c r="D57" s="16" t="s">
        <v>54</v>
      </c>
    </row>
    <row r="58" spans="1:4" s="6" customFormat="1" ht="16.5">
      <c r="A58" s="15">
        <v>57</v>
      </c>
      <c r="B58" s="15">
        <v>27</v>
      </c>
      <c r="C58" s="15">
        <v>2</v>
      </c>
      <c r="D58" s="16" t="s">
        <v>55</v>
      </c>
    </row>
    <row r="59" spans="1:4" s="6" customFormat="1" ht="16.5">
      <c r="A59" s="15">
        <v>58</v>
      </c>
      <c r="B59" s="15">
        <v>28</v>
      </c>
      <c r="C59" s="15">
        <v>2</v>
      </c>
      <c r="D59" s="16" t="s">
        <v>56</v>
      </c>
    </row>
    <row r="60" spans="1:4" s="6" customFormat="1" ht="16.5">
      <c r="A60" s="15">
        <v>59</v>
      </c>
      <c r="B60" s="15">
        <v>29</v>
      </c>
      <c r="C60" s="15">
        <v>2</v>
      </c>
      <c r="D60" s="16" t="s">
        <v>57</v>
      </c>
    </row>
    <row r="61" spans="1:4" s="7" customFormat="1" ht="16.5">
      <c r="A61" s="13">
        <v>60</v>
      </c>
      <c r="B61" s="13">
        <v>30</v>
      </c>
      <c r="C61" s="13">
        <v>2</v>
      </c>
      <c r="D61" s="14" t="s">
        <v>61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C3:O65"/>
  <sheetViews>
    <sheetView topLeftCell="A16" workbookViewId="0">
      <selection activeCell="M37" sqref="M37:M65"/>
    </sheetView>
  </sheetViews>
  <sheetFormatPr defaultColWidth="9" defaultRowHeight="15"/>
  <cols>
    <col min="5" max="5" width="13.5703125" customWidth="1"/>
    <col min="13" max="13" width="14.5703125" customWidth="1"/>
    <col min="15" max="15" width="12.5703125"/>
  </cols>
  <sheetData>
    <row r="3" spans="3:15">
      <c r="C3" t="s">
        <v>62</v>
      </c>
    </row>
    <row r="4" spans="3:15">
      <c r="C4" t="s">
        <v>63</v>
      </c>
    </row>
    <row r="6" spans="3:15">
      <c r="C6" t="s">
        <v>64</v>
      </c>
      <c r="E6" s="1">
        <v>648</v>
      </c>
    </row>
    <row r="7" spans="3:15" ht="16.5">
      <c r="C7" t="s">
        <v>65</v>
      </c>
      <c r="D7">
        <v>2</v>
      </c>
      <c r="E7" s="2">
        <v>200</v>
      </c>
      <c r="G7">
        <f>E7*O$10</f>
        <v>1</v>
      </c>
      <c r="I7">
        <f>F7*0.6+G7</f>
        <v>1</v>
      </c>
      <c r="J7" t="s">
        <v>66</v>
      </c>
      <c r="K7">
        <f>E$37*I7</f>
        <v>10</v>
      </c>
      <c r="L7">
        <f>K7</f>
        <v>10</v>
      </c>
      <c r="M7" t="str">
        <f>J$7&amp;""&amp;L7</f>
        <v>3:200055:10</v>
      </c>
    </row>
    <row r="8" spans="3:15" ht="16.5">
      <c r="D8">
        <v>3</v>
      </c>
      <c r="E8" s="2">
        <v>500</v>
      </c>
      <c r="G8">
        <f t="shared" ref="G8:G35" si="0">E8*O$10</f>
        <v>2.5</v>
      </c>
      <c r="I8">
        <f t="shared" ref="I8:I35" si="1">F8*0.6+G8</f>
        <v>2.5</v>
      </c>
      <c r="K8">
        <f t="shared" ref="K8:K35" si="2">E$37*I8</f>
        <v>25</v>
      </c>
      <c r="L8">
        <f t="shared" ref="L8:L34" si="3">K8</f>
        <v>25</v>
      </c>
      <c r="M8" t="str">
        <f t="shared" ref="M8:M35" si="4">J$7&amp;""&amp;L8</f>
        <v>3:200055:25</v>
      </c>
    </row>
    <row r="9" spans="3:15" ht="16.5">
      <c r="D9">
        <v>4</v>
      </c>
      <c r="E9" s="2">
        <v>800</v>
      </c>
      <c r="G9">
        <f t="shared" si="0"/>
        <v>4</v>
      </c>
      <c r="I9">
        <f t="shared" si="1"/>
        <v>4</v>
      </c>
      <c r="K9">
        <f t="shared" si="2"/>
        <v>40</v>
      </c>
      <c r="L9">
        <f t="shared" si="3"/>
        <v>40</v>
      </c>
      <c r="M9" t="str">
        <f t="shared" si="4"/>
        <v>3:200055:40</v>
      </c>
      <c r="O9">
        <f>648/10000/10*0.5</f>
        <v>3.2399999999999998E-3</v>
      </c>
    </row>
    <row r="10" spans="3:15" ht="16.5">
      <c r="D10">
        <v>5</v>
      </c>
      <c r="E10" s="2">
        <v>1100</v>
      </c>
      <c r="G10">
        <f t="shared" si="0"/>
        <v>5.5</v>
      </c>
      <c r="I10">
        <f t="shared" si="1"/>
        <v>5.5</v>
      </c>
      <c r="K10">
        <f t="shared" si="2"/>
        <v>55</v>
      </c>
      <c r="L10">
        <f t="shared" si="3"/>
        <v>55</v>
      </c>
      <c r="M10" t="str">
        <f t="shared" si="4"/>
        <v>3:200055:55</v>
      </c>
      <c r="O10">
        <v>5.0000000000000001E-3</v>
      </c>
    </row>
    <row r="11" spans="3:15" ht="16.5">
      <c r="D11">
        <v>6</v>
      </c>
      <c r="E11" s="2">
        <v>1400</v>
      </c>
      <c r="G11">
        <f t="shared" si="0"/>
        <v>7</v>
      </c>
      <c r="I11">
        <f t="shared" si="1"/>
        <v>7</v>
      </c>
      <c r="K11">
        <f t="shared" si="2"/>
        <v>70</v>
      </c>
      <c r="L11">
        <f t="shared" si="3"/>
        <v>70</v>
      </c>
      <c r="M11" t="str">
        <f t="shared" si="4"/>
        <v>3:200055:70</v>
      </c>
    </row>
    <row r="12" spans="3:15" ht="16.5">
      <c r="D12">
        <v>7</v>
      </c>
      <c r="E12" s="2">
        <v>1700</v>
      </c>
      <c r="G12">
        <f t="shared" si="0"/>
        <v>8.5</v>
      </c>
      <c r="I12">
        <f t="shared" si="1"/>
        <v>8.5</v>
      </c>
      <c r="K12">
        <f t="shared" si="2"/>
        <v>85</v>
      </c>
      <c r="L12">
        <f t="shared" si="3"/>
        <v>85</v>
      </c>
      <c r="M12" t="str">
        <f t="shared" si="4"/>
        <v>3:200055:85</v>
      </c>
    </row>
    <row r="13" spans="3:15" ht="16.5">
      <c r="D13">
        <v>8</v>
      </c>
      <c r="E13" s="2">
        <v>2000</v>
      </c>
      <c r="G13">
        <f t="shared" si="0"/>
        <v>10</v>
      </c>
      <c r="I13">
        <f t="shared" si="1"/>
        <v>10</v>
      </c>
      <c r="K13">
        <f t="shared" si="2"/>
        <v>100</v>
      </c>
      <c r="L13">
        <f t="shared" si="3"/>
        <v>100</v>
      </c>
      <c r="M13" t="str">
        <f t="shared" si="4"/>
        <v>3:200055:100</v>
      </c>
    </row>
    <row r="14" spans="3:15" ht="16.5">
      <c r="D14">
        <v>9</v>
      </c>
      <c r="E14" s="2">
        <v>2300</v>
      </c>
      <c r="G14">
        <f t="shared" si="0"/>
        <v>11.5</v>
      </c>
      <c r="I14">
        <f t="shared" si="1"/>
        <v>11.5</v>
      </c>
      <c r="K14">
        <f t="shared" si="2"/>
        <v>115</v>
      </c>
      <c r="L14">
        <f t="shared" si="3"/>
        <v>115</v>
      </c>
      <c r="M14" t="str">
        <f t="shared" si="4"/>
        <v>3:200055:115</v>
      </c>
    </row>
    <row r="15" spans="3:15" ht="16.5">
      <c r="D15">
        <v>10</v>
      </c>
      <c r="E15" s="2">
        <v>2600</v>
      </c>
      <c r="F15" s="1">
        <f>E6*1</f>
        <v>648</v>
      </c>
      <c r="G15">
        <f t="shared" si="0"/>
        <v>13</v>
      </c>
      <c r="I15">
        <f t="shared" si="1"/>
        <v>401.8</v>
      </c>
      <c r="K15">
        <f t="shared" si="2"/>
        <v>4018</v>
      </c>
      <c r="L15">
        <v>4000</v>
      </c>
      <c r="M15" t="str">
        <f t="shared" si="4"/>
        <v>3:200055:4000</v>
      </c>
    </row>
    <row r="16" spans="3:15" ht="16.5">
      <c r="D16">
        <v>11</v>
      </c>
      <c r="E16" s="2">
        <v>2900</v>
      </c>
      <c r="G16">
        <f t="shared" si="0"/>
        <v>14.5</v>
      </c>
      <c r="I16">
        <f t="shared" si="1"/>
        <v>14.5</v>
      </c>
      <c r="K16">
        <f t="shared" si="2"/>
        <v>145</v>
      </c>
      <c r="L16">
        <f t="shared" si="3"/>
        <v>145</v>
      </c>
      <c r="M16" t="str">
        <f t="shared" si="4"/>
        <v>3:200055:145</v>
      </c>
    </row>
    <row r="17" spans="4:13" ht="16.5">
      <c r="D17">
        <v>12</v>
      </c>
      <c r="E17" s="2">
        <v>3200</v>
      </c>
      <c r="G17">
        <f t="shared" si="0"/>
        <v>16</v>
      </c>
      <c r="I17">
        <f t="shared" si="1"/>
        <v>16</v>
      </c>
      <c r="K17">
        <f t="shared" si="2"/>
        <v>160</v>
      </c>
      <c r="L17">
        <f t="shared" si="3"/>
        <v>160</v>
      </c>
      <c r="M17" t="str">
        <f t="shared" si="4"/>
        <v>3:200055:160</v>
      </c>
    </row>
    <row r="18" spans="4:13" ht="16.5">
      <c r="D18">
        <v>13</v>
      </c>
      <c r="E18" s="2">
        <v>3500</v>
      </c>
      <c r="G18">
        <f t="shared" si="0"/>
        <v>17.5</v>
      </c>
      <c r="I18">
        <f t="shared" si="1"/>
        <v>17.5</v>
      </c>
      <c r="K18">
        <f t="shared" si="2"/>
        <v>175</v>
      </c>
      <c r="L18">
        <f t="shared" si="3"/>
        <v>175</v>
      </c>
      <c r="M18" t="str">
        <f t="shared" si="4"/>
        <v>3:200055:175</v>
      </c>
    </row>
    <row r="19" spans="4:13" ht="16.5">
      <c r="D19">
        <v>14</v>
      </c>
      <c r="E19" s="2">
        <v>3800</v>
      </c>
      <c r="G19">
        <f t="shared" si="0"/>
        <v>19</v>
      </c>
      <c r="I19">
        <f t="shared" si="1"/>
        <v>19</v>
      </c>
      <c r="K19">
        <f t="shared" si="2"/>
        <v>190</v>
      </c>
      <c r="L19">
        <f t="shared" si="3"/>
        <v>190</v>
      </c>
      <c r="M19" t="str">
        <f t="shared" si="4"/>
        <v>3:200055:190</v>
      </c>
    </row>
    <row r="20" spans="4:13" ht="16.5">
      <c r="D20">
        <v>15</v>
      </c>
      <c r="E20" s="2">
        <v>4100</v>
      </c>
      <c r="G20">
        <f t="shared" si="0"/>
        <v>20.5</v>
      </c>
      <c r="I20">
        <f t="shared" si="1"/>
        <v>20.5</v>
      </c>
      <c r="K20">
        <f t="shared" si="2"/>
        <v>205</v>
      </c>
      <c r="L20">
        <f t="shared" si="3"/>
        <v>205</v>
      </c>
      <c r="M20" t="str">
        <f t="shared" si="4"/>
        <v>3:200055:205</v>
      </c>
    </row>
    <row r="21" spans="4:13" ht="16.5">
      <c r="D21">
        <v>16</v>
      </c>
      <c r="E21" s="2">
        <v>4400</v>
      </c>
      <c r="G21">
        <f t="shared" si="0"/>
        <v>22</v>
      </c>
      <c r="I21">
        <f t="shared" si="1"/>
        <v>22</v>
      </c>
      <c r="K21">
        <f t="shared" si="2"/>
        <v>220</v>
      </c>
      <c r="L21">
        <f t="shared" si="3"/>
        <v>220</v>
      </c>
      <c r="M21" t="str">
        <f t="shared" si="4"/>
        <v>3:200055:220</v>
      </c>
    </row>
    <row r="22" spans="4:13" ht="16.5">
      <c r="D22">
        <v>17</v>
      </c>
      <c r="E22" s="2">
        <v>4700</v>
      </c>
      <c r="G22">
        <f t="shared" si="0"/>
        <v>23.5</v>
      </c>
      <c r="I22">
        <f t="shared" si="1"/>
        <v>23.5</v>
      </c>
      <c r="K22">
        <f t="shared" si="2"/>
        <v>235</v>
      </c>
      <c r="L22">
        <f t="shared" si="3"/>
        <v>235</v>
      </c>
      <c r="M22" t="str">
        <f t="shared" si="4"/>
        <v>3:200055:235</v>
      </c>
    </row>
    <row r="23" spans="4:13" ht="16.5">
      <c r="D23">
        <v>18</v>
      </c>
      <c r="E23" s="2">
        <v>5000</v>
      </c>
      <c r="G23">
        <f t="shared" si="0"/>
        <v>25</v>
      </c>
      <c r="I23">
        <f t="shared" si="1"/>
        <v>25</v>
      </c>
      <c r="K23">
        <f t="shared" si="2"/>
        <v>250</v>
      </c>
      <c r="L23">
        <f t="shared" si="3"/>
        <v>250</v>
      </c>
      <c r="M23" t="str">
        <f t="shared" si="4"/>
        <v>3:200055:250</v>
      </c>
    </row>
    <row r="24" spans="4:13" ht="16.5">
      <c r="D24">
        <v>19</v>
      </c>
      <c r="E24" s="2">
        <v>5300</v>
      </c>
      <c r="G24">
        <f t="shared" si="0"/>
        <v>26.5</v>
      </c>
      <c r="I24">
        <f t="shared" si="1"/>
        <v>26.5</v>
      </c>
      <c r="K24">
        <f t="shared" si="2"/>
        <v>265</v>
      </c>
      <c r="L24">
        <f t="shared" si="3"/>
        <v>265</v>
      </c>
      <c r="M24" t="str">
        <f t="shared" si="4"/>
        <v>3:200055:265</v>
      </c>
    </row>
    <row r="25" spans="4:13" ht="16.5">
      <c r="D25">
        <v>20</v>
      </c>
      <c r="E25" s="2">
        <v>5600</v>
      </c>
      <c r="F25" s="1">
        <f>E6*2</f>
        <v>1296</v>
      </c>
      <c r="G25">
        <f t="shared" si="0"/>
        <v>28</v>
      </c>
      <c r="I25">
        <f t="shared" si="1"/>
        <v>805.6</v>
      </c>
      <c r="K25">
        <f t="shared" si="2"/>
        <v>8056</v>
      </c>
      <c r="L25">
        <v>8000</v>
      </c>
      <c r="M25" t="str">
        <f t="shared" si="4"/>
        <v>3:200055:8000</v>
      </c>
    </row>
    <row r="26" spans="4:13" ht="16.5">
      <c r="D26">
        <v>21</v>
      </c>
      <c r="E26" s="2">
        <v>5900</v>
      </c>
      <c r="G26">
        <f t="shared" si="0"/>
        <v>29.5</v>
      </c>
      <c r="I26">
        <f t="shared" si="1"/>
        <v>29.5</v>
      </c>
      <c r="K26">
        <f t="shared" si="2"/>
        <v>295</v>
      </c>
      <c r="L26">
        <f t="shared" si="3"/>
        <v>295</v>
      </c>
      <c r="M26" t="str">
        <f t="shared" si="4"/>
        <v>3:200055:295</v>
      </c>
    </row>
    <row r="27" spans="4:13" ht="16.5">
      <c r="D27">
        <v>22</v>
      </c>
      <c r="E27" s="2">
        <v>6200</v>
      </c>
      <c r="G27">
        <f t="shared" si="0"/>
        <v>31</v>
      </c>
      <c r="I27">
        <f t="shared" si="1"/>
        <v>31</v>
      </c>
      <c r="K27">
        <f t="shared" si="2"/>
        <v>310</v>
      </c>
      <c r="L27">
        <f t="shared" si="3"/>
        <v>310</v>
      </c>
      <c r="M27" t="str">
        <f t="shared" si="4"/>
        <v>3:200055:310</v>
      </c>
    </row>
    <row r="28" spans="4:13" ht="16.5">
      <c r="D28">
        <v>23</v>
      </c>
      <c r="E28" s="2">
        <v>6500</v>
      </c>
      <c r="G28">
        <f t="shared" si="0"/>
        <v>32.5</v>
      </c>
      <c r="I28">
        <f t="shared" si="1"/>
        <v>32.5</v>
      </c>
      <c r="K28">
        <f t="shared" si="2"/>
        <v>325</v>
      </c>
      <c r="L28">
        <f t="shared" si="3"/>
        <v>325</v>
      </c>
      <c r="M28" t="str">
        <f t="shared" si="4"/>
        <v>3:200055:325</v>
      </c>
    </row>
    <row r="29" spans="4:13" ht="16.5">
      <c r="D29">
        <v>24</v>
      </c>
      <c r="E29" s="2">
        <v>6800</v>
      </c>
      <c r="G29">
        <f t="shared" si="0"/>
        <v>34</v>
      </c>
      <c r="I29">
        <f t="shared" si="1"/>
        <v>34</v>
      </c>
      <c r="K29">
        <f t="shared" si="2"/>
        <v>340</v>
      </c>
      <c r="L29">
        <f t="shared" si="3"/>
        <v>340</v>
      </c>
      <c r="M29" t="str">
        <f t="shared" si="4"/>
        <v>3:200055:340</v>
      </c>
    </row>
    <row r="30" spans="4:13" ht="16.5">
      <c r="D30">
        <v>25</v>
      </c>
      <c r="E30" s="2">
        <v>7100</v>
      </c>
      <c r="G30">
        <f t="shared" si="0"/>
        <v>35.5</v>
      </c>
      <c r="I30">
        <f t="shared" si="1"/>
        <v>35.5</v>
      </c>
      <c r="K30">
        <f t="shared" si="2"/>
        <v>355</v>
      </c>
      <c r="L30">
        <f t="shared" si="3"/>
        <v>355</v>
      </c>
      <c r="M30" t="str">
        <f t="shared" si="4"/>
        <v>3:200055:355</v>
      </c>
    </row>
    <row r="31" spans="4:13" ht="16.5">
      <c r="D31">
        <v>26</v>
      </c>
      <c r="E31" s="2">
        <v>7400</v>
      </c>
      <c r="G31">
        <f t="shared" si="0"/>
        <v>37</v>
      </c>
      <c r="I31">
        <f t="shared" si="1"/>
        <v>37</v>
      </c>
      <c r="K31">
        <f t="shared" si="2"/>
        <v>370</v>
      </c>
      <c r="L31">
        <f t="shared" si="3"/>
        <v>370</v>
      </c>
      <c r="M31" t="str">
        <f t="shared" si="4"/>
        <v>3:200055:370</v>
      </c>
    </row>
    <row r="32" spans="4:13" ht="16.5">
      <c r="D32">
        <v>27</v>
      </c>
      <c r="E32" s="2">
        <v>7700</v>
      </c>
      <c r="G32">
        <f t="shared" si="0"/>
        <v>38.5</v>
      </c>
      <c r="I32">
        <f t="shared" si="1"/>
        <v>38.5</v>
      </c>
      <c r="K32">
        <f t="shared" si="2"/>
        <v>385</v>
      </c>
      <c r="L32">
        <f t="shared" si="3"/>
        <v>385</v>
      </c>
      <c r="M32" t="str">
        <f t="shared" si="4"/>
        <v>3:200055:385</v>
      </c>
    </row>
    <row r="33" spans="3:13" ht="16.5">
      <c r="D33">
        <v>28</v>
      </c>
      <c r="E33" s="2">
        <v>8000</v>
      </c>
      <c r="G33">
        <f t="shared" si="0"/>
        <v>40</v>
      </c>
      <c r="I33">
        <f t="shared" si="1"/>
        <v>40</v>
      </c>
      <c r="K33">
        <f t="shared" si="2"/>
        <v>400</v>
      </c>
      <c r="L33">
        <f t="shared" si="3"/>
        <v>400</v>
      </c>
      <c r="M33" t="str">
        <f t="shared" si="4"/>
        <v>3:200055:400</v>
      </c>
    </row>
    <row r="34" spans="3:13" ht="16.5">
      <c r="D34">
        <v>29</v>
      </c>
      <c r="E34" s="2">
        <v>8300</v>
      </c>
      <c r="G34">
        <f t="shared" si="0"/>
        <v>41.5</v>
      </c>
      <c r="I34">
        <f t="shared" si="1"/>
        <v>41.5</v>
      </c>
      <c r="K34">
        <f t="shared" si="2"/>
        <v>415</v>
      </c>
      <c r="L34">
        <f t="shared" si="3"/>
        <v>415</v>
      </c>
      <c r="M34" t="str">
        <f t="shared" si="4"/>
        <v>3:200055:415</v>
      </c>
    </row>
    <row r="35" spans="3:13" ht="16.5">
      <c r="D35">
        <v>30</v>
      </c>
      <c r="E35" s="2">
        <v>8600</v>
      </c>
      <c r="F35" s="1">
        <f>E6*3</f>
        <v>1944</v>
      </c>
      <c r="G35">
        <f t="shared" si="0"/>
        <v>43</v>
      </c>
      <c r="I35">
        <f t="shared" si="1"/>
        <v>1209.4000000000001</v>
      </c>
      <c r="K35">
        <f t="shared" si="2"/>
        <v>12094</v>
      </c>
      <c r="L35">
        <v>12000</v>
      </c>
      <c r="M35" t="str">
        <f t="shared" si="4"/>
        <v>3:200055:12000</v>
      </c>
    </row>
    <row r="36" spans="3:13" ht="16.5">
      <c r="E36" s="2"/>
    </row>
    <row r="37" spans="3:13">
      <c r="C37" t="s">
        <v>67</v>
      </c>
      <c r="E37">
        <v>10</v>
      </c>
      <c r="I37">
        <f>F7*0.4+G7</f>
        <v>1</v>
      </c>
      <c r="J37" t="s">
        <v>66</v>
      </c>
      <c r="K37">
        <f t="shared" ref="K37:K65" si="5">E$37*I37</f>
        <v>10</v>
      </c>
      <c r="L37">
        <f t="shared" ref="L37:L44" si="6">K37</f>
        <v>10</v>
      </c>
      <c r="M37" t="str">
        <f t="shared" ref="M37:M65" si="7">J$7&amp;""&amp;L37</f>
        <v>3:200055:10</v>
      </c>
    </row>
    <row r="38" spans="3:13">
      <c r="I38">
        <f t="shared" ref="I38:I65" si="8">F8*0.4+G8</f>
        <v>2.5</v>
      </c>
      <c r="K38">
        <f t="shared" si="5"/>
        <v>25</v>
      </c>
      <c r="L38">
        <f t="shared" si="6"/>
        <v>25</v>
      </c>
      <c r="M38" t="str">
        <f t="shared" si="7"/>
        <v>3:200055:25</v>
      </c>
    </row>
    <row r="39" spans="3:13">
      <c r="I39">
        <f t="shared" si="8"/>
        <v>4</v>
      </c>
      <c r="K39">
        <f t="shared" si="5"/>
        <v>40</v>
      </c>
      <c r="L39">
        <f t="shared" si="6"/>
        <v>40</v>
      </c>
      <c r="M39" t="str">
        <f t="shared" si="7"/>
        <v>3:200055:40</v>
      </c>
    </row>
    <row r="40" spans="3:13">
      <c r="I40">
        <f t="shared" si="8"/>
        <v>5.5</v>
      </c>
      <c r="K40">
        <f t="shared" si="5"/>
        <v>55</v>
      </c>
      <c r="L40">
        <f t="shared" si="6"/>
        <v>55</v>
      </c>
      <c r="M40" t="str">
        <f t="shared" si="7"/>
        <v>3:200055:55</v>
      </c>
    </row>
    <row r="41" spans="3:13">
      <c r="I41">
        <f t="shared" si="8"/>
        <v>7</v>
      </c>
      <c r="K41">
        <f t="shared" si="5"/>
        <v>70</v>
      </c>
      <c r="L41">
        <f t="shared" si="6"/>
        <v>70</v>
      </c>
      <c r="M41" t="str">
        <f t="shared" si="7"/>
        <v>3:200055:70</v>
      </c>
    </row>
    <row r="42" spans="3:13">
      <c r="I42">
        <f t="shared" si="8"/>
        <v>8.5</v>
      </c>
      <c r="K42">
        <f t="shared" si="5"/>
        <v>85</v>
      </c>
      <c r="L42">
        <f t="shared" si="6"/>
        <v>85</v>
      </c>
      <c r="M42" t="str">
        <f t="shared" si="7"/>
        <v>3:200055:85</v>
      </c>
    </row>
    <row r="43" spans="3:13">
      <c r="I43">
        <f t="shared" si="8"/>
        <v>10</v>
      </c>
      <c r="K43">
        <f t="shared" si="5"/>
        <v>100</v>
      </c>
      <c r="L43">
        <f t="shared" si="6"/>
        <v>100</v>
      </c>
      <c r="M43" t="str">
        <f t="shared" si="7"/>
        <v>3:200055:100</v>
      </c>
    </row>
    <row r="44" spans="3:13">
      <c r="I44">
        <f t="shared" si="8"/>
        <v>11.5</v>
      </c>
      <c r="K44">
        <f t="shared" si="5"/>
        <v>115</v>
      </c>
      <c r="L44">
        <f t="shared" si="6"/>
        <v>115</v>
      </c>
      <c r="M44" t="str">
        <f t="shared" si="7"/>
        <v>3:200055:115</v>
      </c>
    </row>
    <row r="45" spans="3:13">
      <c r="I45">
        <f t="shared" si="8"/>
        <v>272.2</v>
      </c>
      <c r="K45">
        <f t="shared" si="5"/>
        <v>2722</v>
      </c>
      <c r="L45">
        <v>2700</v>
      </c>
      <c r="M45" t="str">
        <f t="shared" si="7"/>
        <v>3:200055:2700</v>
      </c>
    </row>
    <row r="46" spans="3:13">
      <c r="I46">
        <f t="shared" si="8"/>
        <v>14.5</v>
      </c>
      <c r="K46">
        <f t="shared" si="5"/>
        <v>145</v>
      </c>
      <c r="L46">
        <f t="shared" ref="L46:L54" si="9">K46</f>
        <v>145</v>
      </c>
      <c r="M46" t="str">
        <f t="shared" si="7"/>
        <v>3:200055:145</v>
      </c>
    </row>
    <row r="47" spans="3:13">
      <c r="I47">
        <f t="shared" si="8"/>
        <v>16</v>
      </c>
      <c r="K47">
        <f t="shared" si="5"/>
        <v>160</v>
      </c>
      <c r="L47">
        <f t="shared" si="9"/>
        <v>160</v>
      </c>
      <c r="M47" t="str">
        <f t="shared" si="7"/>
        <v>3:200055:160</v>
      </c>
    </row>
    <row r="48" spans="3:13">
      <c r="I48">
        <f t="shared" si="8"/>
        <v>17.5</v>
      </c>
      <c r="K48">
        <f t="shared" si="5"/>
        <v>175</v>
      </c>
      <c r="L48">
        <f t="shared" si="9"/>
        <v>175</v>
      </c>
      <c r="M48" t="str">
        <f t="shared" si="7"/>
        <v>3:200055:175</v>
      </c>
    </row>
    <row r="49" spans="9:13">
      <c r="I49">
        <f t="shared" si="8"/>
        <v>19</v>
      </c>
      <c r="K49">
        <f t="shared" si="5"/>
        <v>190</v>
      </c>
      <c r="L49">
        <f t="shared" si="9"/>
        <v>190</v>
      </c>
      <c r="M49" t="str">
        <f t="shared" si="7"/>
        <v>3:200055:190</v>
      </c>
    </row>
    <row r="50" spans="9:13">
      <c r="I50">
        <f t="shared" si="8"/>
        <v>20.5</v>
      </c>
      <c r="K50">
        <f t="shared" si="5"/>
        <v>205</v>
      </c>
      <c r="L50">
        <f t="shared" si="9"/>
        <v>205</v>
      </c>
      <c r="M50" t="str">
        <f t="shared" si="7"/>
        <v>3:200055:205</v>
      </c>
    </row>
    <row r="51" spans="9:13">
      <c r="I51">
        <f t="shared" si="8"/>
        <v>22</v>
      </c>
      <c r="K51">
        <f t="shared" si="5"/>
        <v>220</v>
      </c>
      <c r="L51">
        <f t="shared" si="9"/>
        <v>220</v>
      </c>
      <c r="M51" t="str">
        <f t="shared" si="7"/>
        <v>3:200055:220</v>
      </c>
    </row>
    <row r="52" spans="9:13">
      <c r="I52">
        <f t="shared" si="8"/>
        <v>23.5</v>
      </c>
      <c r="K52">
        <f t="shared" si="5"/>
        <v>235</v>
      </c>
      <c r="L52">
        <f t="shared" si="9"/>
        <v>235</v>
      </c>
      <c r="M52" t="str">
        <f t="shared" si="7"/>
        <v>3:200055:235</v>
      </c>
    </row>
    <row r="53" spans="9:13">
      <c r="I53">
        <f t="shared" si="8"/>
        <v>25</v>
      </c>
      <c r="K53">
        <f t="shared" si="5"/>
        <v>250</v>
      </c>
      <c r="L53">
        <f t="shared" si="9"/>
        <v>250</v>
      </c>
      <c r="M53" t="str">
        <f t="shared" si="7"/>
        <v>3:200055:250</v>
      </c>
    </row>
    <row r="54" spans="9:13">
      <c r="I54">
        <f t="shared" si="8"/>
        <v>26.5</v>
      </c>
      <c r="K54">
        <f t="shared" si="5"/>
        <v>265</v>
      </c>
      <c r="L54">
        <f t="shared" si="9"/>
        <v>265</v>
      </c>
      <c r="M54" t="str">
        <f t="shared" si="7"/>
        <v>3:200055:265</v>
      </c>
    </row>
    <row r="55" spans="9:13">
      <c r="I55">
        <f t="shared" si="8"/>
        <v>546.4</v>
      </c>
      <c r="K55">
        <f t="shared" si="5"/>
        <v>5464</v>
      </c>
      <c r="L55">
        <v>5400</v>
      </c>
      <c r="M55" t="str">
        <f t="shared" si="7"/>
        <v>3:200055:5400</v>
      </c>
    </row>
    <row r="56" spans="9:13">
      <c r="I56">
        <f t="shared" si="8"/>
        <v>29.5</v>
      </c>
      <c r="K56">
        <f t="shared" si="5"/>
        <v>295</v>
      </c>
      <c r="L56">
        <f t="shared" ref="L56:L64" si="10">K56</f>
        <v>295</v>
      </c>
      <c r="M56" t="str">
        <f t="shared" si="7"/>
        <v>3:200055:295</v>
      </c>
    </row>
    <row r="57" spans="9:13">
      <c r="I57">
        <f t="shared" si="8"/>
        <v>31</v>
      </c>
      <c r="K57">
        <f t="shared" si="5"/>
        <v>310</v>
      </c>
      <c r="L57">
        <f t="shared" si="10"/>
        <v>310</v>
      </c>
      <c r="M57" t="str">
        <f t="shared" si="7"/>
        <v>3:200055:310</v>
      </c>
    </row>
    <row r="58" spans="9:13">
      <c r="I58">
        <f t="shared" si="8"/>
        <v>32.5</v>
      </c>
      <c r="K58">
        <f t="shared" si="5"/>
        <v>325</v>
      </c>
      <c r="L58">
        <f t="shared" si="10"/>
        <v>325</v>
      </c>
      <c r="M58" t="str">
        <f t="shared" si="7"/>
        <v>3:200055:325</v>
      </c>
    </row>
    <row r="59" spans="9:13">
      <c r="I59">
        <f t="shared" si="8"/>
        <v>34</v>
      </c>
      <c r="K59">
        <f t="shared" si="5"/>
        <v>340</v>
      </c>
      <c r="L59">
        <f t="shared" si="10"/>
        <v>340</v>
      </c>
      <c r="M59" t="str">
        <f t="shared" si="7"/>
        <v>3:200055:340</v>
      </c>
    </row>
    <row r="60" spans="9:13">
      <c r="I60">
        <f t="shared" si="8"/>
        <v>35.5</v>
      </c>
      <c r="K60">
        <f t="shared" si="5"/>
        <v>355</v>
      </c>
      <c r="L60">
        <f t="shared" si="10"/>
        <v>355</v>
      </c>
      <c r="M60" t="str">
        <f t="shared" si="7"/>
        <v>3:200055:355</v>
      </c>
    </row>
    <row r="61" spans="9:13">
      <c r="I61">
        <f t="shared" si="8"/>
        <v>37</v>
      </c>
      <c r="K61">
        <f t="shared" si="5"/>
        <v>370</v>
      </c>
      <c r="L61">
        <f t="shared" si="10"/>
        <v>370</v>
      </c>
      <c r="M61" t="str">
        <f t="shared" si="7"/>
        <v>3:200055:370</v>
      </c>
    </row>
    <row r="62" spans="9:13">
      <c r="I62">
        <f t="shared" si="8"/>
        <v>38.5</v>
      </c>
      <c r="K62">
        <f t="shared" si="5"/>
        <v>385</v>
      </c>
      <c r="L62">
        <f t="shared" si="10"/>
        <v>385</v>
      </c>
      <c r="M62" t="str">
        <f t="shared" si="7"/>
        <v>3:200055:385</v>
      </c>
    </row>
    <row r="63" spans="9:13">
      <c r="I63">
        <f t="shared" si="8"/>
        <v>40</v>
      </c>
      <c r="K63">
        <f t="shared" si="5"/>
        <v>400</v>
      </c>
      <c r="L63">
        <f t="shared" si="10"/>
        <v>400</v>
      </c>
      <c r="M63" t="str">
        <f t="shared" si="7"/>
        <v>3:200055:400</v>
      </c>
    </row>
    <row r="64" spans="9:13">
      <c r="I64">
        <f t="shared" si="8"/>
        <v>41.5</v>
      </c>
      <c r="K64">
        <f t="shared" si="5"/>
        <v>415</v>
      </c>
      <c r="L64">
        <f t="shared" si="10"/>
        <v>415</v>
      </c>
      <c r="M64" t="str">
        <f t="shared" si="7"/>
        <v>3:200055:415</v>
      </c>
    </row>
    <row r="65" spans="9:13">
      <c r="I65">
        <f t="shared" si="8"/>
        <v>820.6</v>
      </c>
      <c r="K65">
        <f t="shared" si="5"/>
        <v>8206</v>
      </c>
      <c r="L65">
        <v>8200</v>
      </c>
      <c r="M65" t="str">
        <f t="shared" si="7"/>
        <v>3:200055:8200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仙器继承基础</vt:lpstr>
      <vt:lpstr>仙器继承关系</vt:lpstr>
      <vt:lpstr>仙器继承消耗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2022-10-04T20:18:34Z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30BA1334050E439390740B47CB0991CA</vt:lpwstr>
  </property>
  <property fmtid="{D5CDD505-2E9C-101B-9397-08002B2CF9AE}" pid="3" name="KSOProductBuildVer">
    <vt:lpwstr>2052-11.1.0.11875</vt:lpwstr>
  </property>
</Properties>
</file>