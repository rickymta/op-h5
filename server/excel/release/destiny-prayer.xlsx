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6625" windowHeight="12690" activeTab="4"/>
  </bookViews>
  <sheets>
    <sheet name="命格祈祷基础" sheetId="1" r:id="rId1"/>
    <sheet name="命格雕像变更" sheetId="8" r:id="rId2"/>
    <sheet name="命格祈祷奖励" sheetId="5" r:id="rId3"/>
    <sheet name="命格祈祷作弊" sheetId="7" r:id="rId4"/>
    <sheet name="Sheet1" sheetId="9" r:id="rId5"/>
  </sheets>
  <externalReferences>
    <externalReference r:id="rId6"/>
  </externalReferences>
  <definedNames>
    <definedName name="_xlnm._FilterDatabase" localSheetId="2" hidden="1">命格祈祷奖励!$A$1:$J$627</definedName>
  </definedNames>
  <calcPr calcId="144525"/>
</workbook>
</file>

<file path=xl/calcChain.xml><?xml version="1.0" encoding="utf-8"?>
<calcChain xmlns="http://schemas.openxmlformats.org/spreadsheetml/2006/main">
  <c r="S271" i="9" l="1"/>
  <c r="R271" i="9"/>
  <c r="P271" i="9"/>
  <c r="O271" i="9"/>
  <c r="N271" i="9"/>
  <c r="M271" i="9"/>
  <c r="S270" i="9"/>
  <c r="R270" i="9"/>
  <c r="P270" i="9"/>
  <c r="O270" i="9"/>
  <c r="N270" i="9"/>
  <c r="M270" i="9"/>
  <c r="S269" i="9"/>
  <c r="R269" i="9"/>
  <c r="P269" i="9"/>
  <c r="O269" i="9"/>
  <c r="N269" i="9"/>
  <c r="M269" i="9"/>
  <c r="S268" i="9"/>
  <c r="R268" i="9"/>
  <c r="P268" i="9"/>
  <c r="O268" i="9"/>
  <c r="N268" i="9"/>
  <c r="M268" i="9"/>
  <c r="S267" i="9"/>
  <c r="R267" i="9"/>
  <c r="P267" i="9"/>
  <c r="O267" i="9"/>
  <c r="N267" i="9"/>
  <c r="M267" i="9"/>
  <c r="S266" i="9"/>
  <c r="R266" i="9"/>
  <c r="P266" i="9"/>
  <c r="O266" i="9"/>
  <c r="N266" i="9"/>
  <c r="M266" i="9"/>
  <c r="S265" i="9"/>
  <c r="R265" i="9"/>
  <c r="P265" i="9"/>
  <c r="O265" i="9"/>
  <c r="N265" i="9"/>
  <c r="M265" i="9"/>
  <c r="S264" i="9"/>
  <c r="R264" i="9"/>
  <c r="P264" i="9"/>
  <c r="O264" i="9"/>
  <c r="N264" i="9"/>
  <c r="M264" i="9"/>
  <c r="S263" i="9"/>
  <c r="R263" i="9"/>
  <c r="P263" i="9"/>
  <c r="O263" i="9"/>
  <c r="N263" i="9"/>
  <c r="M263" i="9"/>
  <c r="S262" i="9"/>
  <c r="R262" i="9"/>
  <c r="P262" i="9"/>
  <c r="O262" i="9"/>
  <c r="N262" i="9"/>
  <c r="M262" i="9"/>
  <c r="S261" i="9"/>
  <c r="R261" i="9"/>
  <c r="P261" i="9"/>
  <c r="O261" i="9"/>
  <c r="N261" i="9"/>
  <c r="M261" i="9"/>
  <c r="S260" i="9"/>
  <c r="R260" i="9"/>
  <c r="P260" i="9"/>
  <c r="O260" i="9"/>
  <c r="N260" i="9"/>
  <c r="M260" i="9"/>
  <c r="S259" i="9"/>
  <c r="R259" i="9"/>
  <c r="P259" i="9"/>
  <c r="O259" i="9"/>
  <c r="N259" i="9"/>
  <c r="M259" i="9"/>
  <c r="S258" i="9"/>
  <c r="R258" i="9"/>
  <c r="P258" i="9"/>
  <c r="O258" i="9"/>
  <c r="N258" i="9"/>
  <c r="M258" i="9"/>
  <c r="S257" i="9"/>
  <c r="R257" i="9"/>
  <c r="P257" i="9"/>
  <c r="O257" i="9"/>
  <c r="N257" i="9"/>
  <c r="M257" i="9"/>
  <c r="S256" i="9"/>
  <c r="R256" i="9"/>
  <c r="P256" i="9"/>
  <c r="O256" i="9"/>
  <c r="N256" i="9"/>
  <c r="M256" i="9"/>
  <c r="S255" i="9"/>
  <c r="R255" i="9"/>
  <c r="P255" i="9"/>
  <c r="O255" i="9"/>
  <c r="N255" i="9"/>
  <c r="M255" i="9"/>
  <c r="S254" i="9"/>
  <c r="R254" i="9"/>
  <c r="P254" i="9"/>
  <c r="O254" i="9"/>
  <c r="N254" i="9"/>
  <c r="M254" i="9"/>
  <c r="S253" i="9"/>
  <c r="R253" i="9"/>
  <c r="P253" i="9"/>
  <c r="O253" i="9"/>
  <c r="N253" i="9"/>
  <c r="M253" i="9"/>
  <c r="S252" i="9"/>
  <c r="R252" i="9"/>
  <c r="P252" i="9"/>
  <c r="O252" i="9"/>
  <c r="N252" i="9"/>
  <c r="M252" i="9"/>
  <c r="S251" i="9"/>
  <c r="R251" i="9"/>
  <c r="P251" i="9"/>
  <c r="O251" i="9"/>
  <c r="N251" i="9"/>
  <c r="M251" i="9"/>
  <c r="S250" i="9"/>
  <c r="R250" i="9"/>
  <c r="P250" i="9"/>
  <c r="O250" i="9"/>
  <c r="N250" i="9"/>
  <c r="M250" i="9"/>
  <c r="S249" i="9"/>
  <c r="R249" i="9"/>
  <c r="P249" i="9"/>
  <c r="O249" i="9"/>
  <c r="N249" i="9"/>
  <c r="M249" i="9"/>
  <c r="S248" i="9"/>
  <c r="R248" i="9"/>
  <c r="P248" i="9"/>
  <c r="O248" i="9"/>
  <c r="N248" i="9"/>
  <c r="M248" i="9"/>
  <c r="S247" i="9"/>
  <c r="R247" i="9"/>
  <c r="P247" i="9"/>
  <c r="O247" i="9"/>
  <c r="N247" i="9"/>
  <c r="M247" i="9"/>
  <c r="S246" i="9"/>
  <c r="R246" i="9"/>
  <c r="P246" i="9"/>
  <c r="O246" i="9"/>
  <c r="N246" i="9"/>
  <c r="M246" i="9"/>
  <c r="S245" i="9"/>
  <c r="R245" i="9"/>
  <c r="P245" i="9"/>
  <c r="O245" i="9"/>
  <c r="N245" i="9"/>
  <c r="M245" i="9"/>
  <c r="S244" i="9"/>
  <c r="R244" i="9"/>
  <c r="P244" i="9"/>
  <c r="O244" i="9"/>
  <c r="N244" i="9"/>
  <c r="M244" i="9"/>
  <c r="S243" i="9"/>
  <c r="R243" i="9"/>
  <c r="P243" i="9"/>
  <c r="O243" i="9"/>
  <c r="N243" i="9"/>
  <c r="M243" i="9"/>
  <c r="S242" i="9"/>
  <c r="R242" i="9"/>
  <c r="P242" i="9"/>
  <c r="O242" i="9"/>
  <c r="N242" i="9"/>
  <c r="M242" i="9"/>
  <c r="S241" i="9"/>
  <c r="R241" i="9"/>
  <c r="P241" i="9"/>
  <c r="O241" i="9"/>
  <c r="N241" i="9"/>
  <c r="M241" i="9"/>
  <c r="S240" i="9"/>
  <c r="R240" i="9"/>
  <c r="P240" i="9"/>
  <c r="O240" i="9"/>
  <c r="N240" i="9"/>
  <c r="M240" i="9"/>
  <c r="S239" i="9"/>
  <c r="R239" i="9"/>
  <c r="P239" i="9"/>
  <c r="O239" i="9"/>
  <c r="N239" i="9"/>
  <c r="M239" i="9"/>
  <c r="S238" i="9"/>
  <c r="R238" i="9"/>
  <c r="P238" i="9"/>
  <c r="O238" i="9"/>
  <c r="N238" i="9"/>
  <c r="M238" i="9"/>
  <c r="S237" i="9"/>
  <c r="R237" i="9"/>
  <c r="P237" i="9"/>
  <c r="O237" i="9"/>
  <c r="N237" i="9"/>
  <c r="M237" i="9"/>
  <c r="S236" i="9"/>
  <c r="R236" i="9"/>
  <c r="P236" i="9"/>
  <c r="O236" i="9"/>
  <c r="N236" i="9"/>
  <c r="M236" i="9"/>
  <c r="S235" i="9"/>
  <c r="R235" i="9"/>
  <c r="P235" i="9"/>
  <c r="O235" i="9"/>
  <c r="N235" i="9"/>
  <c r="M235" i="9"/>
  <c r="S234" i="9"/>
  <c r="R234" i="9"/>
  <c r="P234" i="9"/>
  <c r="O234" i="9"/>
  <c r="N234" i="9"/>
  <c r="M234" i="9"/>
  <c r="S233" i="9"/>
  <c r="R233" i="9"/>
  <c r="P233" i="9"/>
  <c r="O233" i="9"/>
  <c r="N233" i="9"/>
  <c r="M233" i="9"/>
  <c r="S232" i="9"/>
  <c r="R232" i="9"/>
  <c r="P232" i="9"/>
  <c r="O232" i="9"/>
  <c r="N232" i="9"/>
  <c r="M232" i="9"/>
  <c r="S231" i="9"/>
  <c r="R231" i="9"/>
  <c r="P231" i="9"/>
  <c r="O231" i="9"/>
  <c r="N231" i="9"/>
  <c r="M231" i="9"/>
  <c r="S230" i="9"/>
  <c r="R230" i="9"/>
  <c r="P230" i="9"/>
  <c r="O230" i="9"/>
  <c r="N230" i="9"/>
  <c r="M230" i="9"/>
  <c r="S229" i="9"/>
  <c r="R229" i="9"/>
  <c r="P229" i="9"/>
  <c r="O229" i="9"/>
  <c r="N229" i="9"/>
  <c r="M229" i="9"/>
  <c r="S228" i="9"/>
  <c r="R228" i="9"/>
  <c r="P228" i="9"/>
  <c r="O228" i="9"/>
  <c r="N228" i="9"/>
  <c r="M228" i="9"/>
  <c r="S227" i="9"/>
  <c r="R227" i="9"/>
  <c r="P227" i="9"/>
  <c r="O227" i="9"/>
  <c r="N227" i="9"/>
  <c r="M227" i="9"/>
  <c r="S226" i="9"/>
  <c r="R226" i="9"/>
  <c r="P226" i="9"/>
  <c r="O226" i="9"/>
  <c r="N226" i="9"/>
  <c r="M226" i="9"/>
  <c r="S225" i="9"/>
  <c r="R225" i="9"/>
  <c r="P225" i="9"/>
  <c r="O225" i="9"/>
  <c r="N225" i="9"/>
  <c r="M225" i="9"/>
  <c r="S224" i="9"/>
  <c r="R224" i="9"/>
  <c r="P224" i="9"/>
  <c r="O224" i="9"/>
  <c r="N224" i="9"/>
  <c r="M224" i="9"/>
  <c r="S223" i="9"/>
  <c r="R223" i="9"/>
  <c r="P223" i="9"/>
  <c r="O223" i="9"/>
  <c r="N223" i="9"/>
  <c r="M223" i="9"/>
  <c r="S222" i="9"/>
  <c r="R222" i="9"/>
  <c r="P222" i="9"/>
  <c r="O222" i="9"/>
  <c r="N222" i="9"/>
  <c r="M222" i="9"/>
  <c r="S221" i="9"/>
  <c r="R221" i="9"/>
  <c r="P221" i="9"/>
  <c r="O221" i="9"/>
  <c r="N221" i="9"/>
  <c r="M221" i="9"/>
  <c r="S220" i="9"/>
  <c r="R220" i="9"/>
  <c r="P220" i="9"/>
  <c r="O220" i="9"/>
  <c r="N220" i="9"/>
  <c r="M220" i="9"/>
  <c r="S219" i="9"/>
  <c r="R219" i="9"/>
  <c r="P219" i="9"/>
  <c r="O219" i="9"/>
  <c r="N219" i="9"/>
  <c r="M219" i="9"/>
  <c r="S218" i="9"/>
  <c r="R218" i="9"/>
  <c r="P218" i="9"/>
  <c r="O218" i="9"/>
  <c r="N218" i="9"/>
  <c r="M218" i="9"/>
  <c r="S217" i="9"/>
  <c r="R217" i="9"/>
  <c r="P217" i="9"/>
  <c r="O217" i="9"/>
  <c r="N217" i="9"/>
  <c r="M217" i="9"/>
  <c r="S216" i="9"/>
  <c r="R216" i="9"/>
  <c r="P216" i="9"/>
  <c r="O216" i="9"/>
  <c r="N216" i="9"/>
  <c r="M216" i="9"/>
  <c r="S215" i="9"/>
  <c r="R215" i="9"/>
  <c r="P215" i="9"/>
  <c r="O215" i="9"/>
  <c r="N215" i="9"/>
  <c r="M215" i="9"/>
  <c r="S214" i="9"/>
  <c r="R214" i="9"/>
  <c r="P214" i="9"/>
  <c r="O214" i="9"/>
  <c r="N214" i="9"/>
  <c r="M214" i="9"/>
  <c r="S213" i="9"/>
  <c r="R213" i="9"/>
  <c r="P213" i="9"/>
  <c r="O213" i="9"/>
  <c r="N213" i="9"/>
  <c r="M213" i="9"/>
  <c r="S212" i="9"/>
  <c r="R212" i="9"/>
  <c r="P212" i="9"/>
  <c r="O212" i="9"/>
  <c r="N212" i="9"/>
  <c r="M212" i="9"/>
  <c r="S211" i="9"/>
  <c r="R211" i="9"/>
  <c r="P211" i="9"/>
  <c r="O211" i="9"/>
  <c r="N211" i="9"/>
  <c r="M211" i="9"/>
  <c r="S210" i="9"/>
  <c r="R210" i="9"/>
  <c r="P210" i="9"/>
  <c r="O210" i="9"/>
  <c r="N210" i="9"/>
  <c r="M210" i="9"/>
  <c r="S209" i="9"/>
  <c r="R209" i="9"/>
  <c r="P209" i="9"/>
  <c r="O209" i="9"/>
  <c r="N209" i="9"/>
  <c r="M209" i="9"/>
  <c r="S208" i="9"/>
  <c r="R208" i="9"/>
  <c r="P208" i="9"/>
  <c r="O208" i="9"/>
  <c r="N208" i="9"/>
  <c r="M208" i="9"/>
  <c r="S207" i="9"/>
  <c r="R207" i="9"/>
  <c r="P207" i="9"/>
  <c r="O207" i="9"/>
  <c r="N207" i="9"/>
  <c r="M207" i="9"/>
  <c r="S206" i="9"/>
  <c r="R206" i="9"/>
  <c r="P206" i="9"/>
  <c r="O206" i="9"/>
  <c r="N206" i="9"/>
  <c r="M206" i="9"/>
  <c r="S205" i="9"/>
  <c r="R205" i="9"/>
  <c r="P205" i="9"/>
  <c r="O205" i="9"/>
  <c r="N205" i="9"/>
  <c r="M205" i="9"/>
  <c r="S204" i="9"/>
  <c r="R204" i="9"/>
  <c r="P204" i="9"/>
  <c r="O204" i="9"/>
  <c r="N204" i="9"/>
  <c r="M204" i="9"/>
  <c r="S203" i="9"/>
  <c r="R203" i="9"/>
  <c r="P203" i="9"/>
  <c r="O203" i="9"/>
  <c r="N203" i="9"/>
  <c r="M203" i="9"/>
  <c r="S202" i="9"/>
  <c r="R202" i="9"/>
  <c r="P202" i="9"/>
  <c r="O202" i="9"/>
  <c r="N202" i="9"/>
  <c r="M202" i="9"/>
  <c r="S201" i="9"/>
  <c r="R201" i="9"/>
  <c r="P201" i="9"/>
  <c r="O201" i="9"/>
  <c r="N201" i="9"/>
  <c r="M201" i="9"/>
  <c r="S200" i="9"/>
  <c r="R200" i="9"/>
  <c r="P200" i="9"/>
  <c r="O200" i="9"/>
  <c r="N200" i="9"/>
  <c r="M200" i="9"/>
  <c r="S199" i="9"/>
  <c r="R199" i="9"/>
  <c r="P199" i="9"/>
  <c r="O199" i="9"/>
  <c r="N199" i="9"/>
  <c r="M199" i="9"/>
  <c r="S198" i="9"/>
  <c r="R198" i="9"/>
  <c r="P198" i="9"/>
  <c r="O198" i="9"/>
  <c r="N198" i="9"/>
  <c r="M198" i="9"/>
  <c r="S197" i="9"/>
  <c r="R197" i="9"/>
  <c r="P197" i="9"/>
  <c r="O197" i="9"/>
  <c r="N197" i="9"/>
  <c r="M197" i="9"/>
  <c r="S196" i="9"/>
  <c r="R196" i="9"/>
  <c r="P196" i="9"/>
  <c r="O196" i="9"/>
  <c r="N196" i="9"/>
  <c r="M196" i="9"/>
  <c r="S195" i="9"/>
  <c r="R195" i="9"/>
  <c r="P195" i="9"/>
  <c r="O195" i="9"/>
  <c r="N195" i="9"/>
  <c r="M195" i="9"/>
  <c r="S194" i="9"/>
  <c r="R194" i="9"/>
  <c r="P194" i="9"/>
  <c r="O194" i="9"/>
  <c r="N194" i="9"/>
  <c r="M194" i="9"/>
  <c r="S193" i="9"/>
  <c r="R193" i="9"/>
  <c r="P193" i="9"/>
  <c r="O193" i="9"/>
  <c r="N193" i="9"/>
  <c r="M193" i="9"/>
  <c r="S192" i="9"/>
  <c r="R192" i="9"/>
  <c r="P192" i="9"/>
  <c r="O192" i="9"/>
  <c r="N192" i="9"/>
  <c r="M192" i="9"/>
  <c r="S191" i="9"/>
  <c r="R191" i="9"/>
  <c r="P191" i="9"/>
  <c r="O191" i="9"/>
  <c r="N191" i="9"/>
  <c r="M191" i="9"/>
  <c r="S190" i="9"/>
  <c r="R190" i="9"/>
  <c r="P190" i="9"/>
  <c r="O190" i="9"/>
  <c r="N190" i="9"/>
  <c r="M190" i="9"/>
  <c r="S189" i="9"/>
  <c r="R189" i="9"/>
  <c r="P189" i="9"/>
  <c r="O189" i="9"/>
  <c r="N189" i="9"/>
  <c r="M189" i="9"/>
  <c r="S188" i="9"/>
  <c r="R188" i="9"/>
  <c r="P188" i="9"/>
  <c r="O188" i="9"/>
  <c r="N188" i="9"/>
  <c r="M188" i="9"/>
  <c r="S187" i="9"/>
  <c r="R187" i="9"/>
  <c r="P187" i="9"/>
  <c r="O187" i="9"/>
  <c r="N187" i="9"/>
  <c r="M187" i="9"/>
  <c r="S186" i="9"/>
  <c r="R186" i="9"/>
  <c r="P186" i="9"/>
  <c r="O186" i="9"/>
  <c r="N186" i="9"/>
  <c r="M186" i="9"/>
  <c r="S185" i="9"/>
  <c r="R185" i="9"/>
  <c r="P185" i="9"/>
  <c r="O185" i="9"/>
  <c r="N185" i="9"/>
  <c r="M185" i="9"/>
  <c r="S184" i="9"/>
  <c r="R184" i="9"/>
  <c r="P184" i="9"/>
  <c r="O184" i="9"/>
  <c r="N184" i="9"/>
  <c r="M184" i="9"/>
  <c r="S183" i="9"/>
  <c r="R183" i="9"/>
  <c r="P183" i="9"/>
  <c r="O183" i="9"/>
  <c r="N183" i="9"/>
  <c r="M183" i="9"/>
  <c r="S182" i="9"/>
  <c r="R182" i="9"/>
  <c r="P182" i="9"/>
  <c r="O182" i="9"/>
  <c r="N182" i="9"/>
  <c r="M182" i="9"/>
  <c r="S181" i="9"/>
  <c r="R181" i="9"/>
  <c r="P181" i="9"/>
  <c r="O181" i="9"/>
  <c r="N181" i="9"/>
  <c r="M181" i="9"/>
  <c r="S180" i="9"/>
  <c r="R180" i="9"/>
  <c r="P180" i="9"/>
  <c r="O180" i="9"/>
  <c r="N180" i="9"/>
  <c r="M180" i="9"/>
  <c r="S179" i="9"/>
  <c r="R179" i="9"/>
  <c r="P179" i="9"/>
  <c r="O179" i="9"/>
  <c r="N179" i="9"/>
  <c r="M179" i="9"/>
  <c r="S178" i="9"/>
  <c r="R178" i="9"/>
  <c r="P178" i="9"/>
  <c r="O178" i="9"/>
  <c r="N178" i="9"/>
  <c r="M178" i="9"/>
  <c r="S177" i="9"/>
  <c r="R177" i="9"/>
  <c r="P177" i="9"/>
  <c r="O177" i="9"/>
  <c r="N177" i="9"/>
  <c r="M177" i="9"/>
  <c r="S176" i="9"/>
  <c r="R176" i="9"/>
  <c r="P176" i="9"/>
  <c r="O176" i="9"/>
  <c r="N176" i="9"/>
  <c r="M176" i="9"/>
  <c r="S175" i="9"/>
  <c r="R175" i="9"/>
  <c r="P175" i="9"/>
  <c r="O175" i="9"/>
  <c r="N175" i="9"/>
  <c r="M175" i="9"/>
  <c r="S174" i="9"/>
  <c r="R174" i="9"/>
  <c r="P174" i="9"/>
  <c r="O174" i="9"/>
  <c r="N174" i="9"/>
  <c r="M174" i="9"/>
  <c r="S173" i="9"/>
  <c r="R173" i="9"/>
  <c r="P173" i="9"/>
  <c r="O173" i="9"/>
  <c r="N173" i="9"/>
  <c r="M173" i="9"/>
  <c r="S172" i="9"/>
  <c r="R172" i="9"/>
  <c r="P172" i="9"/>
  <c r="O172" i="9"/>
  <c r="N172" i="9"/>
  <c r="M172" i="9"/>
  <c r="S171" i="9"/>
  <c r="R171" i="9"/>
  <c r="P171" i="9"/>
  <c r="O171" i="9"/>
  <c r="N171" i="9"/>
  <c r="M171" i="9"/>
  <c r="S170" i="9"/>
  <c r="R170" i="9"/>
  <c r="P170" i="9"/>
  <c r="O170" i="9"/>
  <c r="N170" i="9"/>
  <c r="M170" i="9"/>
  <c r="S169" i="9"/>
  <c r="R169" i="9"/>
  <c r="P169" i="9"/>
  <c r="O169" i="9"/>
  <c r="N169" i="9"/>
  <c r="M169" i="9"/>
  <c r="S168" i="9"/>
  <c r="R168" i="9"/>
  <c r="P168" i="9"/>
  <c r="O168" i="9"/>
  <c r="N168" i="9"/>
  <c r="M168" i="9"/>
  <c r="S167" i="9"/>
  <c r="R167" i="9"/>
  <c r="P167" i="9"/>
  <c r="O167" i="9"/>
  <c r="N167" i="9"/>
  <c r="M167" i="9"/>
  <c r="S166" i="9"/>
  <c r="R166" i="9"/>
  <c r="P166" i="9"/>
  <c r="O166" i="9"/>
  <c r="N166" i="9"/>
  <c r="M166" i="9"/>
  <c r="S165" i="9"/>
  <c r="R165" i="9"/>
  <c r="P165" i="9"/>
  <c r="O165" i="9"/>
  <c r="N165" i="9"/>
  <c r="M165" i="9"/>
  <c r="S164" i="9"/>
  <c r="R164" i="9"/>
  <c r="P164" i="9"/>
  <c r="O164" i="9"/>
  <c r="N164" i="9"/>
  <c r="M164" i="9"/>
  <c r="S163" i="9"/>
  <c r="R163" i="9"/>
  <c r="P163" i="9"/>
  <c r="O163" i="9"/>
  <c r="N163" i="9"/>
  <c r="M163" i="9"/>
  <c r="S162" i="9"/>
  <c r="R162" i="9"/>
  <c r="P162" i="9"/>
  <c r="O162" i="9"/>
  <c r="N162" i="9"/>
  <c r="M162" i="9"/>
  <c r="S161" i="9"/>
  <c r="R161" i="9"/>
  <c r="P161" i="9"/>
  <c r="O161" i="9"/>
  <c r="N161" i="9"/>
  <c r="M161" i="9"/>
  <c r="S160" i="9"/>
  <c r="R160" i="9"/>
  <c r="P160" i="9"/>
  <c r="O160" i="9"/>
  <c r="N160" i="9"/>
  <c r="M160" i="9"/>
  <c r="S159" i="9"/>
  <c r="R159" i="9"/>
  <c r="P159" i="9"/>
  <c r="O159" i="9"/>
  <c r="N159" i="9"/>
  <c r="M159" i="9"/>
  <c r="S158" i="9"/>
  <c r="R158" i="9"/>
  <c r="P158" i="9"/>
  <c r="O158" i="9"/>
  <c r="N158" i="9"/>
  <c r="M158" i="9"/>
  <c r="S157" i="9"/>
  <c r="R157" i="9"/>
  <c r="P157" i="9"/>
  <c r="O157" i="9"/>
  <c r="N157" i="9"/>
  <c r="M157" i="9"/>
  <c r="S156" i="9"/>
  <c r="R156" i="9"/>
  <c r="P156" i="9"/>
  <c r="O156" i="9"/>
  <c r="N156" i="9"/>
  <c r="M156" i="9"/>
  <c r="S155" i="9"/>
  <c r="R155" i="9"/>
  <c r="P155" i="9"/>
  <c r="O155" i="9"/>
  <c r="N155" i="9"/>
  <c r="M155" i="9"/>
  <c r="S154" i="9"/>
  <c r="R154" i="9"/>
  <c r="P154" i="9"/>
  <c r="O154" i="9"/>
  <c r="N154" i="9"/>
  <c r="M154" i="9"/>
  <c r="S153" i="9"/>
  <c r="R153" i="9"/>
  <c r="P153" i="9"/>
  <c r="O153" i="9"/>
  <c r="N153" i="9"/>
  <c r="M153" i="9"/>
  <c r="S152" i="9"/>
  <c r="R152" i="9"/>
  <c r="P152" i="9"/>
  <c r="O152" i="9"/>
  <c r="N152" i="9"/>
  <c r="M152" i="9"/>
  <c r="S151" i="9"/>
  <c r="R151" i="9"/>
  <c r="P151" i="9"/>
  <c r="O151" i="9"/>
  <c r="N151" i="9"/>
  <c r="M151" i="9"/>
  <c r="S150" i="9"/>
  <c r="R150" i="9"/>
  <c r="P150" i="9"/>
  <c r="O150" i="9"/>
  <c r="N150" i="9"/>
  <c r="M150" i="9"/>
  <c r="S149" i="9"/>
  <c r="R149" i="9"/>
  <c r="P149" i="9"/>
  <c r="O149" i="9"/>
  <c r="N149" i="9"/>
  <c r="M149" i="9"/>
  <c r="S148" i="9"/>
  <c r="R148" i="9"/>
  <c r="P148" i="9"/>
  <c r="O148" i="9"/>
  <c r="N148" i="9"/>
  <c r="M148" i="9"/>
  <c r="S147" i="9"/>
  <c r="R147" i="9"/>
  <c r="P147" i="9"/>
  <c r="O147" i="9"/>
  <c r="N147" i="9"/>
  <c r="M147" i="9"/>
  <c r="S146" i="9"/>
  <c r="R146" i="9"/>
  <c r="P146" i="9"/>
  <c r="O146" i="9"/>
  <c r="N146" i="9"/>
  <c r="M146" i="9"/>
  <c r="S145" i="9"/>
  <c r="R145" i="9"/>
  <c r="P145" i="9"/>
  <c r="O145" i="9"/>
  <c r="N145" i="9"/>
  <c r="M145" i="9"/>
  <c r="S144" i="9"/>
  <c r="R144" i="9"/>
  <c r="P144" i="9"/>
  <c r="O144" i="9"/>
  <c r="N144" i="9"/>
  <c r="M144" i="9"/>
  <c r="S143" i="9"/>
  <c r="R143" i="9"/>
  <c r="P143" i="9"/>
  <c r="O143" i="9"/>
  <c r="N143" i="9"/>
  <c r="M143" i="9"/>
  <c r="S142" i="9"/>
  <c r="R142" i="9"/>
  <c r="P142" i="9"/>
  <c r="O142" i="9"/>
  <c r="N142" i="9"/>
  <c r="M142" i="9"/>
  <c r="S141" i="9"/>
  <c r="R141" i="9"/>
  <c r="P141" i="9"/>
  <c r="O141" i="9"/>
  <c r="N141" i="9"/>
  <c r="M141" i="9"/>
  <c r="S140" i="9"/>
  <c r="R140" i="9"/>
  <c r="P140" i="9"/>
  <c r="O140" i="9"/>
  <c r="N140" i="9"/>
  <c r="M140" i="9"/>
  <c r="S139" i="9"/>
  <c r="R139" i="9"/>
  <c r="P139" i="9"/>
  <c r="O139" i="9"/>
  <c r="N139" i="9"/>
  <c r="M139" i="9"/>
  <c r="S138" i="9"/>
  <c r="R138" i="9"/>
  <c r="P138" i="9"/>
  <c r="O138" i="9"/>
  <c r="N138" i="9"/>
  <c r="M138" i="9"/>
  <c r="S137" i="9"/>
  <c r="R137" i="9"/>
  <c r="P137" i="9"/>
  <c r="O137" i="9"/>
  <c r="N137" i="9"/>
  <c r="M137" i="9"/>
  <c r="S136" i="9"/>
  <c r="R136" i="9"/>
  <c r="P136" i="9"/>
  <c r="O136" i="9"/>
  <c r="N136" i="9"/>
  <c r="M136" i="9"/>
  <c r="S135" i="9"/>
  <c r="R135" i="9"/>
  <c r="P135" i="9"/>
  <c r="O135" i="9"/>
  <c r="N135" i="9"/>
  <c r="M135" i="9"/>
  <c r="S134" i="9"/>
  <c r="R134" i="9"/>
  <c r="P134" i="9"/>
  <c r="O134" i="9"/>
  <c r="N134" i="9"/>
  <c r="M134" i="9"/>
  <c r="S133" i="9"/>
  <c r="R133" i="9"/>
  <c r="P133" i="9"/>
  <c r="O133" i="9"/>
  <c r="N133" i="9"/>
  <c r="M133" i="9"/>
  <c r="S132" i="9"/>
  <c r="R132" i="9"/>
  <c r="P132" i="9"/>
  <c r="O132" i="9"/>
  <c r="N132" i="9"/>
  <c r="M132" i="9"/>
  <c r="S131" i="9"/>
  <c r="R131" i="9"/>
  <c r="P131" i="9"/>
  <c r="O131" i="9"/>
  <c r="N131" i="9"/>
  <c r="M131" i="9"/>
  <c r="S130" i="9"/>
  <c r="R130" i="9"/>
  <c r="P130" i="9"/>
  <c r="O130" i="9"/>
  <c r="N130" i="9"/>
  <c r="M130" i="9"/>
  <c r="S129" i="9"/>
  <c r="R129" i="9"/>
  <c r="P129" i="9"/>
  <c r="O129" i="9"/>
  <c r="N129" i="9"/>
  <c r="M129" i="9"/>
  <c r="S128" i="9"/>
  <c r="R128" i="9"/>
  <c r="P128" i="9"/>
  <c r="O128" i="9"/>
  <c r="N128" i="9"/>
  <c r="M128" i="9"/>
  <c r="S127" i="9"/>
  <c r="R127" i="9"/>
  <c r="P127" i="9"/>
  <c r="O127" i="9"/>
  <c r="N127" i="9"/>
  <c r="M127" i="9"/>
  <c r="S126" i="9"/>
  <c r="R126" i="9"/>
  <c r="P126" i="9"/>
  <c r="O126" i="9"/>
  <c r="N126" i="9"/>
  <c r="M126" i="9"/>
  <c r="S125" i="9"/>
  <c r="R125" i="9"/>
  <c r="P125" i="9"/>
  <c r="O125" i="9"/>
  <c r="N125" i="9"/>
  <c r="M125" i="9"/>
  <c r="S124" i="9"/>
  <c r="R124" i="9"/>
  <c r="P124" i="9"/>
  <c r="O124" i="9"/>
  <c r="N124" i="9"/>
  <c r="M124" i="9"/>
  <c r="S123" i="9"/>
  <c r="R123" i="9"/>
  <c r="P123" i="9"/>
  <c r="O123" i="9"/>
  <c r="N123" i="9"/>
  <c r="M123" i="9"/>
  <c r="S122" i="9"/>
  <c r="R122" i="9"/>
  <c r="P122" i="9"/>
  <c r="O122" i="9"/>
  <c r="N122" i="9"/>
  <c r="M122" i="9"/>
  <c r="S121" i="9"/>
  <c r="R121" i="9"/>
  <c r="P121" i="9"/>
  <c r="O121" i="9"/>
  <c r="N121" i="9"/>
  <c r="M121" i="9"/>
  <c r="S120" i="9"/>
  <c r="R120" i="9"/>
  <c r="P120" i="9"/>
  <c r="O120" i="9"/>
  <c r="N120" i="9"/>
  <c r="M120" i="9"/>
  <c r="S119" i="9"/>
  <c r="R119" i="9"/>
  <c r="P119" i="9"/>
  <c r="O119" i="9"/>
  <c r="N119" i="9"/>
  <c r="M119" i="9"/>
  <c r="S118" i="9"/>
  <c r="R118" i="9"/>
  <c r="P118" i="9"/>
  <c r="O118" i="9"/>
  <c r="N118" i="9"/>
  <c r="M118" i="9"/>
  <c r="S117" i="9"/>
  <c r="R117" i="9"/>
  <c r="P117" i="9"/>
  <c r="O117" i="9"/>
  <c r="N117" i="9"/>
  <c r="M117" i="9"/>
  <c r="S116" i="9"/>
  <c r="R116" i="9"/>
  <c r="P116" i="9"/>
  <c r="O116" i="9"/>
  <c r="N116" i="9"/>
  <c r="M116" i="9"/>
  <c r="S115" i="9"/>
  <c r="R115" i="9"/>
  <c r="P115" i="9"/>
  <c r="O115" i="9"/>
  <c r="N115" i="9"/>
  <c r="M115" i="9"/>
  <c r="S114" i="9"/>
  <c r="R114" i="9"/>
  <c r="P114" i="9"/>
  <c r="O114" i="9"/>
  <c r="N114" i="9"/>
  <c r="M114" i="9"/>
  <c r="S113" i="9"/>
  <c r="R113" i="9"/>
  <c r="P113" i="9"/>
  <c r="O113" i="9"/>
  <c r="N113" i="9"/>
  <c r="M113" i="9"/>
  <c r="S112" i="9"/>
  <c r="R112" i="9"/>
  <c r="P112" i="9"/>
  <c r="O112" i="9"/>
  <c r="N112" i="9"/>
  <c r="M112" i="9"/>
  <c r="S111" i="9"/>
  <c r="R111" i="9"/>
  <c r="P111" i="9"/>
  <c r="O111" i="9"/>
  <c r="N111" i="9"/>
  <c r="M111" i="9"/>
  <c r="S110" i="9"/>
  <c r="R110" i="9"/>
  <c r="P110" i="9"/>
  <c r="O110" i="9"/>
  <c r="N110" i="9"/>
  <c r="M110" i="9"/>
  <c r="S109" i="9"/>
  <c r="R109" i="9"/>
  <c r="P109" i="9"/>
  <c r="O109" i="9"/>
  <c r="N109" i="9"/>
  <c r="M109" i="9"/>
  <c r="S108" i="9"/>
  <c r="R108" i="9"/>
  <c r="P108" i="9"/>
  <c r="O108" i="9"/>
  <c r="N108" i="9"/>
  <c r="M108" i="9"/>
  <c r="S107" i="9"/>
  <c r="R107" i="9"/>
  <c r="P107" i="9"/>
  <c r="O107" i="9"/>
  <c r="N107" i="9"/>
  <c r="M107" i="9"/>
  <c r="S106" i="9"/>
  <c r="R106" i="9"/>
  <c r="P106" i="9"/>
  <c r="O106" i="9"/>
  <c r="N106" i="9"/>
  <c r="M106" i="9"/>
  <c r="S105" i="9"/>
  <c r="R105" i="9"/>
  <c r="P105" i="9"/>
  <c r="O105" i="9"/>
  <c r="N105" i="9"/>
  <c r="M105" i="9"/>
  <c r="S104" i="9"/>
  <c r="R104" i="9"/>
  <c r="P104" i="9"/>
  <c r="O104" i="9"/>
  <c r="N104" i="9"/>
  <c r="M104" i="9"/>
  <c r="S103" i="9"/>
  <c r="R103" i="9"/>
  <c r="P103" i="9"/>
  <c r="O103" i="9"/>
  <c r="N103" i="9"/>
  <c r="M103" i="9"/>
  <c r="S102" i="9"/>
  <c r="R102" i="9"/>
  <c r="P102" i="9"/>
  <c r="O102" i="9"/>
  <c r="N102" i="9"/>
  <c r="M102" i="9"/>
  <c r="S101" i="9"/>
  <c r="R101" i="9"/>
  <c r="P101" i="9"/>
  <c r="O101" i="9"/>
  <c r="N101" i="9"/>
  <c r="M101" i="9"/>
  <c r="S100" i="9"/>
  <c r="R100" i="9"/>
  <c r="P100" i="9"/>
  <c r="O100" i="9"/>
  <c r="N100" i="9"/>
  <c r="M100" i="9"/>
  <c r="S99" i="9"/>
  <c r="R99" i="9"/>
  <c r="P99" i="9"/>
  <c r="O99" i="9"/>
  <c r="N99" i="9"/>
  <c r="M99" i="9"/>
  <c r="S98" i="9"/>
  <c r="R98" i="9"/>
  <c r="P98" i="9"/>
  <c r="O98" i="9"/>
  <c r="N98" i="9"/>
  <c r="M98" i="9"/>
  <c r="S97" i="9"/>
  <c r="R97" i="9"/>
  <c r="P97" i="9"/>
  <c r="O97" i="9"/>
  <c r="N97" i="9"/>
  <c r="M97" i="9"/>
  <c r="S96" i="9"/>
  <c r="R96" i="9"/>
  <c r="P96" i="9"/>
  <c r="O96" i="9"/>
  <c r="N96" i="9"/>
  <c r="M96" i="9"/>
  <c r="S95" i="9"/>
  <c r="R95" i="9"/>
  <c r="P95" i="9"/>
  <c r="O95" i="9"/>
  <c r="N95" i="9"/>
  <c r="M95" i="9"/>
  <c r="S94" i="9"/>
  <c r="R94" i="9"/>
  <c r="P94" i="9"/>
  <c r="O94" i="9"/>
  <c r="N94" i="9"/>
  <c r="M94" i="9"/>
  <c r="S93" i="9"/>
  <c r="R93" i="9"/>
  <c r="P93" i="9"/>
  <c r="O93" i="9"/>
  <c r="N93" i="9"/>
  <c r="M93" i="9"/>
  <c r="S92" i="9"/>
  <c r="R92" i="9"/>
  <c r="P92" i="9"/>
  <c r="O92" i="9"/>
  <c r="N92" i="9"/>
  <c r="M92" i="9"/>
  <c r="S91" i="9"/>
  <c r="R91" i="9"/>
  <c r="P91" i="9"/>
  <c r="O91" i="9"/>
  <c r="N91" i="9"/>
  <c r="M91" i="9"/>
  <c r="S90" i="9"/>
  <c r="R90" i="9"/>
  <c r="P90" i="9"/>
  <c r="O90" i="9"/>
  <c r="N90" i="9"/>
  <c r="M90" i="9"/>
  <c r="S89" i="9"/>
  <c r="R89" i="9"/>
  <c r="P89" i="9"/>
  <c r="O89" i="9"/>
  <c r="N89" i="9"/>
  <c r="M89" i="9"/>
  <c r="S88" i="9"/>
  <c r="R88" i="9"/>
  <c r="P88" i="9"/>
  <c r="O88" i="9"/>
  <c r="N88" i="9"/>
  <c r="M88" i="9"/>
  <c r="S87" i="9"/>
  <c r="R87" i="9"/>
  <c r="P87" i="9"/>
  <c r="O87" i="9"/>
  <c r="N87" i="9"/>
  <c r="M87" i="9"/>
  <c r="S86" i="9"/>
  <c r="R86" i="9"/>
  <c r="P86" i="9"/>
  <c r="O86" i="9"/>
  <c r="N86" i="9"/>
  <c r="M86" i="9"/>
  <c r="S85" i="9"/>
  <c r="R85" i="9"/>
  <c r="P85" i="9"/>
  <c r="O85" i="9"/>
  <c r="N85" i="9"/>
  <c r="M85" i="9"/>
  <c r="S84" i="9"/>
  <c r="R84" i="9"/>
  <c r="P84" i="9"/>
  <c r="O84" i="9"/>
  <c r="N84" i="9"/>
  <c r="M84" i="9"/>
  <c r="S83" i="9"/>
  <c r="R83" i="9"/>
  <c r="P83" i="9"/>
  <c r="O83" i="9"/>
  <c r="N83" i="9"/>
  <c r="M83" i="9"/>
  <c r="S82" i="9"/>
  <c r="R82" i="9"/>
  <c r="P82" i="9"/>
  <c r="O82" i="9"/>
  <c r="N82" i="9"/>
  <c r="M82" i="9"/>
  <c r="S81" i="9"/>
  <c r="R81" i="9"/>
  <c r="P81" i="9"/>
  <c r="O81" i="9"/>
  <c r="N81" i="9"/>
  <c r="M81" i="9"/>
  <c r="S80" i="9"/>
  <c r="R80" i="9"/>
  <c r="P80" i="9"/>
  <c r="O80" i="9"/>
  <c r="N80" i="9"/>
  <c r="M80" i="9"/>
  <c r="S79" i="9"/>
  <c r="R79" i="9"/>
  <c r="P79" i="9"/>
  <c r="O79" i="9"/>
  <c r="N79" i="9"/>
  <c r="M79" i="9"/>
  <c r="S78" i="9"/>
  <c r="R78" i="9"/>
  <c r="P78" i="9"/>
  <c r="O78" i="9"/>
  <c r="N78" i="9"/>
  <c r="M78" i="9"/>
  <c r="S77" i="9"/>
  <c r="R77" i="9"/>
  <c r="P77" i="9"/>
  <c r="O77" i="9"/>
  <c r="N77" i="9"/>
  <c r="M77" i="9"/>
  <c r="S76" i="9"/>
  <c r="R76" i="9"/>
  <c r="P76" i="9"/>
  <c r="O76" i="9"/>
  <c r="N76" i="9"/>
  <c r="M76" i="9"/>
  <c r="S75" i="9"/>
  <c r="R75" i="9"/>
  <c r="P75" i="9"/>
  <c r="O75" i="9"/>
  <c r="N75" i="9"/>
  <c r="M75" i="9"/>
  <c r="S74" i="9"/>
  <c r="R74" i="9"/>
  <c r="P74" i="9"/>
  <c r="O74" i="9"/>
  <c r="N74" i="9"/>
  <c r="M74" i="9"/>
  <c r="S73" i="9"/>
  <c r="R73" i="9"/>
  <c r="P73" i="9"/>
  <c r="O73" i="9"/>
  <c r="N73" i="9"/>
  <c r="M73" i="9"/>
  <c r="S72" i="9"/>
  <c r="R72" i="9"/>
  <c r="P72" i="9"/>
  <c r="O72" i="9"/>
  <c r="N72" i="9"/>
  <c r="M72" i="9"/>
  <c r="S71" i="9"/>
  <c r="R71" i="9"/>
  <c r="P71" i="9"/>
  <c r="O71" i="9"/>
  <c r="N71" i="9"/>
  <c r="M71" i="9"/>
  <c r="S70" i="9"/>
  <c r="R70" i="9"/>
  <c r="P70" i="9"/>
  <c r="O70" i="9"/>
  <c r="N70" i="9"/>
  <c r="M70" i="9"/>
  <c r="S69" i="9"/>
  <c r="R69" i="9"/>
  <c r="P69" i="9"/>
  <c r="O69" i="9"/>
  <c r="N69" i="9"/>
  <c r="M69" i="9"/>
  <c r="S68" i="9"/>
  <c r="R68" i="9"/>
  <c r="P68" i="9"/>
  <c r="O68" i="9"/>
  <c r="N68" i="9"/>
  <c r="M68" i="9"/>
  <c r="S67" i="9"/>
  <c r="R67" i="9"/>
  <c r="P67" i="9"/>
  <c r="O67" i="9"/>
  <c r="N67" i="9"/>
  <c r="M67" i="9"/>
  <c r="S66" i="9"/>
  <c r="R66" i="9"/>
  <c r="P66" i="9"/>
  <c r="O66" i="9"/>
  <c r="N66" i="9"/>
  <c r="M66" i="9"/>
  <c r="S65" i="9"/>
  <c r="R65" i="9"/>
  <c r="P65" i="9"/>
  <c r="O65" i="9"/>
  <c r="N65" i="9"/>
  <c r="M65" i="9"/>
  <c r="S64" i="9"/>
  <c r="R64" i="9"/>
  <c r="P64" i="9"/>
  <c r="O64" i="9"/>
  <c r="N64" i="9"/>
  <c r="M64" i="9"/>
  <c r="S63" i="9"/>
  <c r="R63" i="9"/>
  <c r="P63" i="9"/>
  <c r="O63" i="9"/>
  <c r="N63" i="9"/>
  <c r="M63" i="9"/>
  <c r="S62" i="9"/>
  <c r="R62" i="9"/>
  <c r="P62" i="9"/>
  <c r="O62" i="9"/>
  <c r="N62" i="9"/>
  <c r="M62" i="9"/>
  <c r="S61" i="9"/>
  <c r="R61" i="9"/>
  <c r="P61" i="9"/>
  <c r="O61" i="9"/>
  <c r="N61" i="9"/>
  <c r="M61" i="9"/>
  <c r="S60" i="9"/>
  <c r="R60" i="9"/>
  <c r="P60" i="9"/>
  <c r="O60" i="9"/>
  <c r="N60" i="9"/>
  <c r="M60" i="9"/>
  <c r="S59" i="9"/>
  <c r="R59" i="9"/>
  <c r="P59" i="9"/>
  <c r="O59" i="9"/>
  <c r="N59" i="9"/>
  <c r="M59" i="9"/>
  <c r="S58" i="9"/>
  <c r="R58" i="9"/>
  <c r="P58" i="9"/>
  <c r="O58" i="9"/>
  <c r="N58" i="9"/>
  <c r="M58" i="9"/>
  <c r="S57" i="9"/>
  <c r="R57" i="9"/>
  <c r="P57" i="9"/>
  <c r="O57" i="9"/>
  <c r="N57" i="9"/>
  <c r="M57" i="9"/>
  <c r="S56" i="9"/>
  <c r="R56" i="9"/>
  <c r="P56" i="9"/>
  <c r="O56" i="9"/>
  <c r="N56" i="9"/>
  <c r="M56" i="9"/>
  <c r="S55" i="9"/>
  <c r="R55" i="9"/>
  <c r="P55" i="9"/>
  <c r="O55" i="9"/>
  <c r="N55" i="9"/>
  <c r="M55" i="9"/>
  <c r="S54" i="9"/>
  <c r="R54" i="9"/>
  <c r="P54" i="9"/>
  <c r="O54" i="9"/>
  <c r="N54" i="9"/>
  <c r="M54" i="9"/>
  <c r="S53" i="9"/>
  <c r="R53" i="9"/>
  <c r="P53" i="9"/>
  <c r="O53" i="9"/>
  <c r="N53" i="9"/>
  <c r="M53" i="9"/>
  <c r="S52" i="9"/>
  <c r="R52" i="9"/>
  <c r="P52" i="9"/>
  <c r="O52" i="9"/>
  <c r="N52" i="9"/>
  <c r="M52" i="9"/>
  <c r="S51" i="9"/>
  <c r="R51" i="9"/>
  <c r="P51" i="9"/>
  <c r="O51" i="9"/>
  <c r="N51" i="9"/>
  <c r="M51" i="9"/>
  <c r="S50" i="9"/>
  <c r="R50" i="9"/>
  <c r="P50" i="9"/>
  <c r="O50" i="9"/>
  <c r="N50" i="9"/>
  <c r="M50" i="9"/>
  <c r="S49" i="9"/>
  <c r="R49" i="9"/>
  <c r="P49" i="9"/>
  <c r="O49" i="9"/>
  <c r="N49" i="9"/>
  <c r="M49" i="9"/>
  <c r="S48" i="9"/>
  <c r="R48" i="9"/>
  <c r="P48" i="9"/>
  <c r="O48" i="9"/>
  <c r="N48" i="9"/>
  <c r="M48" i="9"/>
  <c r="S47" i="9"/>
  <c r="R47" i="9"/>
  <c r="P47" i="9"/>
  <c r="O47" i="9"/>
  <c r="N47" i="9"/>
  <c r="M47" i="9"/>
  <c r="S46" i="9"/>
  <c r="R46" i="9"/>
  <c r="P46" i="9"/>
  <c r="O46" i="9"/>
  <c r="N46" i="9"/>
  <c r="M46" i="9"/>
  <c r="S45" i="9"/>
  <c r="R45" i="9"/>
  <c r="P45" i="9"/>
  <c r="O45" i="9"/>
  <c r="N45" i="9"/>
  <c r="M45" i="9"/>
  <c r="S44" i="9"/>
  <c r="R44" i="9"/>
  <c r="P44" i="9"/>
  <c r="O44" i="9"/>
  <c r="N44" i="9"/>
  <c r="M44" i="9"/>
  <c r="S43" i="9"/>
  <c r="R43" i="9"/>
  <c r="P43" i="9"/>
  <c r="O43" i="9"/>
  <c r="N43" i="9"/>
  <c r="M43" i="9"/>
  <c r="S42" i="9"/>
  <c r="R42" i="9"/>
  <c r="P42" i="9"/>
  <c r="O42" i="9"/>
  <c r="N42" i="9"/>
  <c r="M42" i="9"/>
  <c r="S41" i="9"/>
  <c r="R41" i="9"/>
  <c r="P41" i="9"/>
  <c r="O41" i="9"/>
  <c r="N41" i="9"/>
  <c r="M41" i="9"/>
  <c r="S40" i="9"/>
  <c r="R40" i="9"/>
  <c r="P40" i="9"/>
  <c r="O40" i="9"/>
  <c r="N40" i="9"/>
  <c r="M40" i="9"/>
  <c r="S39" i="9"/>
  <c r="R39" i="9"/>
  <c r="P39" i="9"/>
  <c r="O39" i="9"/>
  <c r="N39" i="9"/>
  <c r="M39" i="9"/>
  <c r="S38" i="9"/>
  <c r="R38" i="9"/>
  <c r="P38" i="9"/>
  <c r="O38" i="9"/>
  <c r="N38" i="9"/>
  <c r="M38" i="9"/>
  <c r="S37" i="9"/>
  <c r="R37" i="9"/>
  <c r="P37" i="9"/>
  <c r="O37" i="9"/>
  <c r="N37" i="9"/>
  <c r="M37" i="9"/>
  <c r="S36" i="9"/>
  <c r="R36" i="9"/>
  <c r="P36" i="9"/>
  <c r="O36" i="9"/>
  <c r="N36" i="9"/>
  <c r="M36" i="9"/>
  <c r="S35" i="9"/>
  <c r="R35" i="9"/>
  <c r="P35" i="9"/>
  <c r="O35" i="9"/>
  <c r="N35" i="9"/>
  <c r="M35" i="9"/>
  <c r="S34" i="9"/>
  <c r="R34" i="9"/>
  <c r="P34" i="9"/>
  <c r="O34" i="9"/>
  <c r="N34" i="9"/>
  <c r="M34" i="9"/>
  <c r="S33" i="9"/>
  <c r="R33" i="9"/>
  <c r="P33" i="9"/>
  <c r="O33" i="9"/>
  <c r="N33" i="9"/>
  <c r="M33" i="9"/>
  <c r="S32" i="9"/>
  <c r="R32" i="9"/>
  <c r="P32" i="9"/>
  <c r="O32" i="9"/>
  <c r="N32" i="9"/>
  <c r="M32" i="9"/>
  <c r="S31" i="9"/>
  <c r="R31" i="9"/>
  <c r="P31" i="9"/>
  <c r="O31" i="9"/>
  <c r="N31" i="9"/>
  <c r="M31" i="9"/>
  <c r="S30" i="9"/>
  <c r="R30" i="9"/>
  <c r="P30" i="9"/>
  <c r="O30" i="9"/>
  <c r="N30" i="9"/>
  <c r="M30" i="9"/>
  <c r="S29" i="9"/>
  <c r="R29" i="9"/>
  <c r="P29" i="9"/>
  <c r="O29" i="9"/>
  <c r="N29" i="9"/>
  <c r="M29" i="9"/>
  <c r="S28" i="9"/>
  <c r="R28" i="9"/>
  <c r="P28" i="9"/>
  <c r="O28" i="9"/>
  <c r="N28" i="9"/>
  <c r="M28" i="9"/>
  <c r="S27" i="9"/>
  <c r="R27" i="9"/>
  <c r="P27" i="9"/>
  <c r="O27" i="9"/>
  <c r="N27" i="9"/>
  <c r="M27" i="9"/>
  <c r="S26" i="9"/>
  <c r="R26" i="9"/>
  <c r="P26" i="9"/>
  <c r="O26" i="9"/>
  <c r="N26" i="9"/>
  <c r="M26" i="9"/>
  <c r="S25" i="9"/>
  <c r="R25" i="9"/>
  <c r="P25" i="9"/>
  <c r="O25" i="9"/>
  <c r="N25" i="9"/>
  <c r="M25" i="9"/>
  <c r="S24" i="9"/>
  <c r="R24" i="9"/>
  <c r="P24" i="9"/>
  <c r="O24" i="9"/>
  <c r="N24" i="9"/>
  <c r="M24" i="9"/>
  <c r="S23" i="9"/>
  <c r="R23" i="9"/>
  <c r="P23" i="9"/>
  <c r="O23" i="9"/>
  <c r="N23" i="9"/>
  <c r="M23" i="9"/>
  <c r="S22" i="9"/>
  <c r="R22" i="9"/>
  <c r="P22" i="9"/>
  <c r="O22" i="9"/>
  <c r="N22" i="9"/>
  <c r="M22" i="9"/>
  <c r="S21" i="9"/>
  <c r="R21" i="9"/>
  <c r="P21" i="9"/>
  <c r="O21" i="9"/>
  <c r="N21" i="9"/>
  <c r="M21" i="9"/>
  <c r="S20" i="9"/>
  <c r="R20" i="9"/>
  <c r="P20" i="9"/>
  <c r="O20" i="9"/>
  <c r="N20" i="9"/>
  <c r="M20" i="9"/>
  <c r="S19" i="9"/>
  <c r="R19" i="9"/>
  <c r="P19" i="9"/>
  <c r="O19" i="9"/>
  <c r="N19" i="9"/>
  <c r="M19" i="9"/>
  <c r="S18" i="9"/>
  <c r="R18" i="9"/>
  <c r="P18" i="9"/>
  <c r="O18" i="9"/>
  <c r="N18" i="9"/>
  <c r="M18" i="9"/>
  <c r="S17" i="9"/>
  <c r="R17" i="9"/>
  <c r="P17" i="9"/>
  <c r="O17" i="9"/>
  <c r="N17" i="9"/>
  <c r="M17" i="9"/>
  <c r="S16" i="9"/>
  <c r="R16" i="9"/>
  <c r="P16" i="9"/>
  <c r="O16" i="9"/>
  <c r="N16" i="9"/>
  <c r="M16" i="9"/>
  <c r="S15" i="9"/>
  <c r="R15" i="9"/>
  <c r="P15" i="9"/>
  <c r="O15" i="9"/>
  <c r="N15" i="9"/>
  <c r="M15" i="9"/>
  <c r="S14" i="9"/>
  <c r="R14" i="9"/>
  <c r="P14" i="9"/>
  <c r="O14" i="9"/>
  <c r="N14" i="9"/>
  <c r="M14" i="9"/>
  <c r="S13" i="9"/>
  <c r="R13" i="9"/>
  <c r="P13" i="9"/>
  <c r="O13" i="9"/>
  <c r="N13" i="9"/>
  <c r="M13" i="9"/>
  <c r="S12" i="9"/>
  <c r="R12" i="9"/>
  <c r="P12" i="9"/>
  <c r="O12" i="9"/>
  <c r="N12" i="9"/>
  <c r="M12" i="9"/>
  <c r="S11" i="9"/>
  <c r="R11" i="9"/>
  <c r="P11" i="9"/>
  <c r="O11" i="9"/>
  <c r="N11" i="9"/>
  <c r="M11" i="9"/>
  <c r="S10" i="9"/>
  <c r="R10" i="9"/>
  <c r="P10" i="9"/>
  <c r="O10" i="9"/>
  <c r="N10" i="9"/>
  <c r="M10" i="9"/>
  <c r="S9" i="9"/>
  <c r="R9" i="9"/>
  <c r="P9" i="9"/>
  <c r="O9" i="9"/>
  <c r="N9" i="9"/>
  <c r="M9" i="9"/>
  <c r="S8" i="9"/>
  <c r="R8" i="9"/>
  <c r="P8" i="9"/>
  <c r="O8" i="9"/>
  <c r="N8" i="9"/>
  <c r="M8" i="9"/>
  <c r="S7" i="9"/>
  <c r="R7" i="9"/>
  <c r="P7" i="9"/>
  <c r="O7" i="9"/>
  <c r="N7" i="9"/>
  <c r="M7" i="9"/>
  <c r="S6" i="9"/>
  <c r="R6" i="9"/>
  <c r="P6" i="9"/>
  <c r="O6" i="9"/>
  <c r="N6" i="9"/>
  <c r="M6" i="9"/>
  <c r="S5" i="9"/>
  <c r="R5" i="9"/>
  <c r="P5" i="9"/>
  <c r="O5" i="9"/>
  <c r="N5" i="9"/>
  <c r="M5" i="9"/>
  <c r="S4" i="9"/>
  <c r="R4" i="9"/>
  <c r="P4" i="9"/>
  <c r="O4" i="9"/>
  <c r="N4" i="9"/>
  <c r="M4" i="9"/>
  <c r="C4" i="9"/>
  <c r="S3" i="9"/>
  <c r="R3" i="9"/>
  <c r="P3" i="9"/>
  <c r="O3" i="9"/>
  <c r="N3" i="9"/>
  <c r="M3" i="9"/>
  <c r="C3" i="9"/>
  <c r="S2" i="9"/>
  <c r="R2" i="9"/>
  <c r="P2" i="9"/>
  <c r="O2" i="9"/>
  <c r="N2" i="9"/>
  <c r="M2" i="9"/>
  <c r="C2" i="9"/>
  <c r="S1" i="9"/>
  <c r="R1" i="9"/>
  <c r="P1" i="9"/>
  <c r="O1" i="9"/>
  <c r="N1" i="9"/>
  <c r="M1" i="9"/>
  <c r="C1" i="9"/>
</calcChain>
</file>

<file path=xl/sharedStrings.xml><?xml version="1.0" encoding="utf-8"?>
<sst xmlns="http://schemas.openxmlformats.org/spreadsheetml/2006/main" count="1822" uniqueCount="257">
  <si>
    <t>ID</t>
  </si>
  <si>
    <t>雕像名称</t>
  </si>
  <si>
    <t>神石ID</t>
  </si>
  <si>
    <t>祈祷分组</t>
  </si>
  <si>
    <t>金币消耗</t>
  </si>
  <si>
    <t>初始雕像</t>
  </si>
  <si>
    <t>目标雕像</t>
  </si>
  <si>
    <t>权重</t>
  </si>
  <si>
    <t>分组</t>
  </si>
  <si>
    <t>*权重</t>
  </si>
  <si>
    <t>展示权重</t>
  </si>
  <si>
    <t>奖励</t>
  </si>
  <si>
    <t>*全服记录</t>
  </si>
  <si>
    <t>杂物</t>
  </si>
  <si>
    <t>出售金币</t>
  </si>
  <si>
    <t>*名称</t>
  </si>
  <si>
    <t>*品级</t>
  </si>
  <si>
    <t>排序</t>
  </si>
  <si>
    <t>3:100053:1</t>
  </si>
  <si>
    <t>黄级杂物</t>
  </si>
  <si>
    <t>3:100054:1</t>
  </si>
  <si>
    <t>玄级杂物</t>
  </si>
  <si>
    <t>3:100055:1</t>
  </si>
  <si>
    <t>地级杂物</t>
  </si>
  <si>
    <t>3:100056:1</t>
  </si>
  <si>
    <t>天级杂物</t>
  </si>
  <si>
    <t>6:10001:1</t>
  </si>
  <si>
    <t>子鼠</t>
  </si>
  <si>
    <t>6:10011:1</t>
  </si>
  <si>
    <t>丑牛</t>
  </si>
  <si>
    <t>6:10021:1</t>
  </si>
  <si>
    <t>寅虎</t>
  </si>
  <si>
    <t>6:10031:1</t>
  </si>
  <si>
    <t>卯兔</t>
  </si>
  <si>
    <t>6:30001:5</t>
  </si>
  <si>
    <t>兽魂经验(小)</t>
  </si>
  <si>
    <t>6:30001:10</t>
  </si>
  <si>
    <t>6:30001:15</t>
  </si>
  <si>
    <t>6:30001:20</t>
  </si>
  <si>
    <t>3:100031:10</t>
  </si>
  <si>
    <t>洗练石</t>
  </si>
  <si>
    <t>3:100031:5</t>
  </si>
  <si>
    <t>3:100031:3</t>
  </si>
  <si>
    <t>3:100031:1</t>
  </si>
  <si>
    <t>3:100036:1</t>
  </si>
  <si>
    <t>兽魂碎片</t>
  </si>
  <si>
    <t>6:10002:1</t>
  </si>
  <si>
    <t>6:10012:1</t>
  </si>
  <si>
    <t>6:10022:1</t>
  </si>
  <si>
    <t>6:10032:1</t>
  </si>
  <si>
    <t>6:10042:1</t>
  </si>
  <si>
    <t>辰龙</t>
  </si>
  <si>
    <t>6:10052:1</t>
  </si>
  <si>
    <t>巳蛇</t>
  </si>
  <si>
    <t>6:10072:1</t>
  </si>
  <si>
    <t>未羊</t>
  </si>
  <si>
    <t>6:10092:1</t>
  </si>
  <si>
    <t>酉鸡</t>
  </si>
  <si>
    <t>3:100036:2</t>
  </si>
  <si>
    <t>6:10003:1</t>
  </si>
  <si>
    <t>6:10013:1</t>
  </si>
  <si>
    <t>6:10023:1</t>
  </si>
  <si>
    <t>6:10033:1</t>
  </si>
  <si>
    <t>6:10043:1</t>
  </si>
  <si>
    <t>6:10053:1</t>
  </si>
  <si>
    <t>6:10063:1</t>
  </si>
  <si>
    <t>午马</t>
  </si>
  <si>
    <t>6:10073:1</t>
  </si>
  <si>
    <t>6:10083:1</t>
  </si>
  <si>
    <t>申猴</t>
  </si>
  <si>
    <t>6:10093:1</t>
  </si>
  <si>
    <t>6:10103:1</t>
  </si>
  <si>
    <t>戌狗</t>
  </si>
  <si>
    <t>6:10113:1</t>
  </si>
  <si>
    <t>亥猪</t>
  </si>
  <si>
    <t>6:20001:1</t>
  </si>
  <si>
    <t>青龙</t>
  </si>
  <si>
    <t>6:20011:1</t>
  </si>
  <si>
    <t>白虎</t>
  </si>
  <si>
    <t>6:20021:1</t>
  </si>
  <si>
    <t>朱雀</t>
  </si>
  <si>
    <t>6:20031:1</t>
  </si>
  <si>
    <t>玄武</t>
  </si>
  <si>
    <t>6:20041:1</t>
  </si>
  <si>
    <t>饕餮</t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</si>
  <si>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5</t>
    </r>
    <r>
      <rPr>
        <sz val="11"/>
        <color theme="1"/>
        <rFont val="Calibri"/>
        <charset val="134"/>
        <scheme val="minor"/>
      </rPr>
      <t>1:1</t>
    </r>
  </si>
  <si>
    <t>麒麟</t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</si>
  <si>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1:1</t>
    </r>
  </si>
  <si>
    <t>夔牛</t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</si>
  <si>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7</t>
    </r>
    <r>
      <rPr>
        <sz val="11"/>
        <color theme="1"/>
        <rFont val="Calibri"/>
        <charset val="134"/>
        <scheme val="minor"/>
      </rPr>
      <t>1:1</t>
    </r>
  </si>
  <si>
    <t>凤凰</t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</si>
  <si>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8</t>
    </r>
    <r>
      <rPr>
        <sz val="11"/>
        <color theme="1"/>
        <rFont val="Calibri"/>
        <charset val="134"/>
        <scheme val="minor"/>
      </rPr>
      <t>1:1</t>
    </r>
  </si>
  <si>
    <t>勾陈</t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</si>
  <si>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9</t>
    </r>
    <r>
      <rPr>
        <sz val="11"/>
        <color theme="1"/>
        <rFont val="Calibri"/>
        <charset val="134"/>
        <scheme val="minor"/>
      </rPr>
      <t>1:1</t>
    </r>
  </si>
  <si>
    <t>梼杌</t>
  </si>
  <si>
    <t>6:30002:1</t>
  </si>
  <si>
    <t>兽魂经验(大)</t>
  </si>
  <si>
    <t>3:100036:3</t>
  </si>
  <si>
    <t>6:10004:1</t>
  </si>
  <si>
    <t>6:10014:1</t>
  </si>
  <si>
    <t>6:10024:1</t>
  </si>
  <si>
    <t>6:10034:1</t>
  </si>
  <si>
    <t>6:10044:1</t>
  </si>
  <si>
    <t>6:10054:1</t>
  </si>
  <si>
    <t>6:10064:1</t>
  </si>
  <si>
    <t>6:10074:1</t>
  </si>
  <si>
    <t>6:10084:1</t>
  </si>
  <si>
    <t>6:10094:1</t>
  </si>
  <si>
    <t>6:10104:1</t>
  </si>
  <si>
    <t>6:10114:1</t>
  </si>
  <si>
    <t>6:20002:1</t>
  </si>
  <si>
    <t>6:20012:1</t>
  </si>
  <si>
    <t>6:20022:1</t>
  </si>
  <si>
    <t>6:20032:1</t>
  </si>
  <si>
    <t>6:20042:1</t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</si>
  <si>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5</t>
    </r>
    <r>
      <rPr>
        <sz val="11"/>
        <color theme="1"/>
        <rFont val="Calibri"/>
        <charset val="134"/>
        <scheme val="minor"/>
      </rPr>
      <t>2:1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</si>
  <si>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2:1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</si>
  <si>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7</t>
    </r>
    <r>
      <rPr>
        <sz val="11"/>
        <color theme="1"/>
        <rFont val="Calibri"/>
        <charset val="134"/>
        <scheme val="minor"/>
      </rPr>
      <t>2:1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</si>
  <si>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8</t>
    </r>
    <r>
      <rPr>
        <sz val="11"/>
        <color theme="1"/>
        <rFont val="Calibri"/>
        <charset val="134"/>
        <scheme val="minor"/>
      </rPr>
      <t>2:1</t>
    </r>
  </si>
  <si>
    <r>
      <rPr>
        <sz val="11"/>
        <color theme="1"/>
        <rFont val="Calibri"/>
        <charset val="134"/>
        <scheme val="minor"/>
      </rPr>
      <t>6:200</t>
    </r>
    <r>
      <rPr>
        <sz val="11"/>
        <color theme="1"/>
        <rFont val="Calibri"/>
        <charset val="134"/>
        <scheme val="minor"/>
      </rPr>
      <t>9</t>
    </r>
    <r>
      <rPr>
        <sz val="11"/>
        <color theme="1"/>
        <rFont val="Calibri"/>
        <charset val="134"/>
        <scheme val="minor"/>
      </rPr>
      <t>2:1</t>
    </r>
  </si>
  <si>
    <t>3:100036:4</t>
  </si>
  <si>
    <t>雕像ID</t>
  </si>
  <si>
    <t>次数</t>
  </si>
  <si>
    <t>100053:1</t>
  </si>
  <si>
    <t>100054:1</t>
  </si>
  <si>
    <t>10001:1</t>
  </si>
  <si>
    <t>10011:1</t>
  </si>
  <si>
    <t>10021:1</t>
  </si>
  <si>
    <t>10031:1</t>
  </si>
  <si>
    <t>10041:1</t>
  </si>
  <si>
    <t>6:10041:1</t>
  </si>
  <si>
    <t>10051:1</t>
  </si>
  <si>
    <t>6:10051:1</t>
  </si>
  <si>
    <t>10061:1</t>
  </si>
  <si>
    <t>6:10061:1</t>
  </si>
  <si>
    <t>10071:1</t>
  </si>
  <si>
    <t>6:10071:1</t>
  </si>
  <si>
    <t>10081:1</t>
  </si>
  <si>
    <t>6:10081:1</t>
  </si>
  <si>
    <t>10091:1</t>
  </si>
  <si>
    <t>6:10091:1</t>
  </si>
  <si>
    <t>10101:1</t>
  </si>
  <si>
    <t>6:10101:1</t>
  </si>
  <si>
    <t>10111:1</t>
  </si>
  <si>
    <t>6:10111:1</t>
  </si>
  <si>
    <t>10002:1</t>
  </si>
  <si>
    <t>10012:1</t>
  </si>
  <si>
    <t>10022:1</t>
  </si>
  <si>
    <t>10032:1</t>
  </si>
  <si>
    <t>10042:1</t>
  </si>
  <si>
    <t>10052:1</t>
  </si>
  <si>
    <t>10062:1</t>
  </si>
  <si>
    <t>6:10062:1</t>
  </si>
  <si>
    <t>10072:1</t>
  </si>
  <si>
    <t>10082:1</t>
  </si>
  <si>
    <t>6:10082:1</t>
  </si>
  <si>
    <t>10092:1</t>
  </si>
  <si>
    <t>10102:1</t>
  </si>
  <si>
    <t>6:10102:1</t>
  </si>
  <si>
    <t>10112:1</t>
  </si>
  <si>
    <t>6:10112:1</t>
  </si>
  <si>
    <t>30001:15</t>
  </si>
  <si>
    <t>30001:14</t>
  </si>
  <si>
    <t>6:30001:14</t>
  </si>
  <si>
    <t>30001:13</t>
  </si>
  <si>
    <t>6:30001:13</t>
  </si>
  <si>
    <t>30001:12</t>
  </si>
  <si>
    <t>6:30001:12</t>
  </si>
  <si>
    <t>30001:11</t>
  </si>
  <si>
    <t>6:30001:11</t>
  </si>
  <si>
    <t>30001:10</t>
  </si>
  <si>
    <t>30002:1</t>
  </si>
  <si>
    <t>100031:10</t>
  </si>
  <si>
    <t>100031:8</t>
  </si>
  <si>
    <t>3:100031:8</t>
  </si>
  <si>
    <t>100031:5</t>
  </si>
  <si>
    <t>100031:4</t>
  </si>
  <si>
    <t>3:100031:4</t>
  </si>
  <si>
    <t>100055:1</t>
  </si>
  <si>
    <t>30001:20</t>
  </si>
  <si>
    <t>30001:19</t>
  </si>
  <si>
    <t>6:30001:19</t>
  </si>
  <si>
    <t>30001:18</t>
  </si>
  <si>
    <t>6:30001:18</t>
  </si>
  <si>
    <t>30001:17</t>
  </si>
  <si>
    <t>6:30001:17</t>
  </si>
  <si>
    <t>30001:16</t>
  </si>
  <si>
    <t>6:30001:16</t>
  </si>
  <si>
    <t>100031:15</t>
  </si>
  <si>
    <t>3:100031:15</t>
  </si>
  <si>
    <t>100031:12</t>
  </si>
  <si>
    <t>3:100031:12</t>
  </si>
  <si>
    <t>100056:1</t>
  </si>
  <si>
    <t>10003:1</t>
  </si>
  <si>
    <t>10013:1</t>
  </si>
  <si>
    <t>10023:1</t>
  </si>
  <si>
    <t>10033:1</t>
  </si>
  <si>
    <t>10043:1</t>
  </si>
  <si>
    <t>10053:1</t>
  </si>
  <si>
    <t>10063:1</t>
  </si>
  <si>
    <t>10073:1</t>
  </si>
  <si>
    <t>10083:1</t>
  </si>
  <si>
    <t>10093:1</t>
  </si>
  <si>
    <t>10103:1</t>
  </si>
  <si>
    <t>10113:1</t>
  </si>
  <si>
    <t>30001:25</t>
  </si>
  <si>
    <t>6:30001:25</t>
  </si>
  <si>
    <t>30001:22</t>
  </si>
  <si>
    <t>6:30001:22</t>
  </si>
  <si>
    <t>100056:2</t>
  </si>
  <si>
    <t>3:100056:2</t>
  </si>
  <si>
    <t>100056:3</t>
  </si>
  <si>
    <t>3:100056:3</t>
  </si>
  <si>
    <t>10004:1</t>
  </si>
  <si>
    <t>10014:1</t>
  </si>
  <si>
    <t>10024:1</t>
  </si>
  <si>
    <t>10034:1</t>
  </si>
  <si>
    <t>10044:1</t>
  </si>
  <si>
    <t>10054:1</t>
  </si>
  <si>
    <t>10064:1</t>
  </si>
  <si>
    <t>10074:1</t>
  </si>
  <si>
    <t>10084:1</t>
  </si>
  <si>
    <t>10094:1</t>
  </si>
  <si>
    <t>10104:1</t>
  </si>
  <si>
    <t>10114:1</t>
  </si>
  <si>
    <t>20001:1</t>
  </si>
  <si>
    <t>20011:1</t>
  </si>
  <si>
    <t>20021:1</t>
  </si>
  <si>
    <t>20031:1</t>
  </si>
  <si>
    <t>20041:1</t>
  </si>
  <si>
    <t>20002:1</t>
  </si>
  <si>
    <t>20012:1</t>
  </si>
  <si>
    <t>20022:1</t>
  </si>
  <si>
    <t>20032:1</t>
  </si>
  <si>
    <t>20042:1</t>
  </si>
  <si>
    <t>30001:30</t>
  </si>
  <si>
    <t>6:30001:30</t>
  </si>
  <si>
    <t>30001:28</t>
  </si>
  <si>
    <t>6:30001:28</t>
  </si>
  <si>
    <t>30001:23</t>
  </si>
  <si>
    <t>6:30001:23</t>
  </si>
  <si>
    <t>100031:25</t>
  </si>
  <si>
    <t>3:100031:25</t>
  </si>
  <si>
    <t>100031:20</t>
  </si>
  <si>
    <t>3:100031:20</t>
  </si>
  <si>
    <t>100053:5</t>
  </si>
  <si>
    <t>3:100053:5</t>
  </si>
  <si>
    <t>100054:5</t>
  </si>
  <si>
    <t>3:100054:5</t>
  </si>
  <si>
    <t>100055:5</t>
  </si>
  <si>
    <t>3:100055:5</t>
  </si>
  <si>
    <t>100056:5</t>
  </si>
  <si>
    <t>3:100056:5</t>
  </si>
  <si>
    <t>Hoàng thú hồn</t>
  </si>
  <si>
    <t>Huyền thú hồn</t>
  </si>
  <si>
    <t>Địa thú hồn</t>
  </si>
  <si>
    <t>Thiên thú hồn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</si>
</sst>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4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.5"/>
      <color theme="1"/>
      <name val="微软雅黑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  <xf numFmtId="0" fontId="0" fillId="3" borderId="0" xfId="0" applyFont="1" applyFill="1"/>
    <xf numFmtId="0" fontId="0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9;&#266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命格基础"/>
      <sheetName val="Sheet1"/>
      <sheetName val="命格品质"/>
      <sheetName val="命格洗练属性库"/>
      <sheetName val="命格原型"/>
      <sheetName val="命格栏位"/>
      <sheetName val="命格升级经验"/>
      <sheetName val="命格升级属性"/>
      <sheetName val="命格升级技能"/>
      <sheetName val="命格商店"/>
      <sheetName val="命格套装"/>
    </sheetNames>
    <sheetDataSet>
      <sheetData sheetId="0">
        <row r="1">
          <cell r="A1" t="str">
            <v>ID</v>
          </cell>
          <cell r="B1" t="str">
            <v>名称</v>
          </cell>
          <cell r="C1" t="str">
            <v>品质</v>
          </cell>
        </row>
        <row r="2">
          <cell r="A2">
            <v>10001</v>
          </cell>
          <cell r="B2" t="str">
            <v>子鼠</v>
          </cell>
          <cell r="C2">
            <v>1</v>
          </cell>
        </row>
        <row r="3">
          <cell r="A3">
            <v>10002</v>
          </cell>
          <cell r="B3" t="str">
            <v>子鼠</v>
          </cell>
          <cell r="C3">
            <v>2</v>
          </cell>
        </row>
        <row r="4">
          <cell r="A4">
            <v>10003</v>
          </cell>
          <cell r="B4" t="str">
            <v>子鼠</v>
          </cell>
          <cell r="C4">
            <v>3</v>
          </cell>
        </row>
        <row r="5">
          <cell r="A5">
            <v>10004</v>
          </cell>
          <cell r="B5" t="str">
            <v>子鼠</v>
          </cell>
          <cell r="C5">
            <v>4</v>
          </cell>
        </row>
        <row r="6">
          <cell r="A6">
            <v>10011</v>
          </cell>
          <cell r="B6" t="str">
            <v>丑牛</v>
          </cell>
          <cell r="C6">
            <v>1</v>
          </cell>
        </row>
        <row r="7">
          <cell r="A7">
            <v>10012</v>
          </cell>
          <cell r="B7" t="str">
            <v>丑牛</v>
          </cell>
          <cell r="C7">
            <v>2</v>
          </cell>
        </row>
        <row r="8">
          <cell r="A8">
            <v>10013</v>
          </cell>
          <cell r="B8" t="str">
            <v>丑牛</v>
          </cell>
          <cell r="C8">
            <v>3</v>
          </cell>
        </row>
        <row r="9">
          <cell r="A9">
            <v>10014</v>
          </cell>
          <cell r="B9" t="str">
            <v>丑牛</v>
          </cell>
          <cell r="C9">
            <v>4</v>
          </cell>
        </row>
        <row r="10">
          <cell r="A10">
            <v>10021</v>
          </cell>
          <cell r="B10" t="str">
            <v>寅虎</v>
          </cell>
          <cell r="C10">
            <v>1</v>
          </cell>
        </row>
        <row r="11">
          <cell r="A11">
            <v>10022</v>
          </cell>
          <cell r="B11" t="str">
            <v>寅虎</v>
          </cell>
          <cell r="C11">
            <v>2</v>
          </cell>
        </row>
        <row r="12">
          <cell r="A12">
            <v>10023</v>
          </cell>
          <cell r="B12" t="str">
            <v>寅虎</v>
          </cell>
          <cell r="C12">
            <v>3</v>
          </cell>
        </row>
        <row r="13">
          <cell r="A13">
            <v>10024</v>
          </cell>
          <cell r="B13" t="str">
            <v>寅虎</v>
          </cell>
          <cell r="C13">
            <v>4</v>
          </cell>
        </row>
        <row r="14">
          <cell r="A14">
            <v>10031</v>
          </cell>
          <cell r="B14" t="str">
            <v>卯兔</v>
          </cell>
          <cell r="C14">
            <v>1</v>
          </cell>
        </row>
        <row r="15">
          <cell r="A15">
            <v>10032</v>
          </cell>
          <cell r="B15" t="str">
            <v>卯兔</v>
          </cell>
          <cell r="C15">
            <v>2</v>
          </cell>
        </row>
        <row r="16">
          <cell r="A16">
            <v>10033</v>
          </cell>
          <cell r="B16" t="str">
            <v>卯兔</v>
          </cell>
          <cell r="C16">
            <v>3</v>
          </cell>
        </row>
        <row r="17">
          <cell r="A17">
            <v>10034</v>
          </cell>
          <cell r="B17" t="str">
            <v>卯兔</v>
          </cell>
          <cell r="C17">
            <v>4</v>
          </cell>
        </row>
        <row r="18">
          <cell r="A18">
            <v>10041</v>
          </cell>
          <cell r="B18" t="str">
            <v>辰龙</v>
          </cell>
          <cell r="C18">
            <v>1</v>
          </cell>
        </row>
        <row r="19">
          <cell r="A19">
            <v>10042</v>
          </cell>
          <cell r="B19" t="str">
            <v>辰龙</v>
          </cell>
          <cell r="C19">
            <v>2</v>
          </cell>
        </row>
        <row r="20">
          <cell r="A20">
            <v>10043</v>
          </cell>
          <cell r="B20" t="str">
            <v>辰龙</v>
          </cell>
          <cell r="C20">
            <v>3</v>
          </cell>
        </row>
        <row r="21">
          <cell r="A21">
            <v>10044</v>
          </cell>
          <cell r="B21" t="str">
            <v>辰龙</v>
          </cell>
          <cell r="C21">
            <v>4</v>
          </cell>
        </row>
        <row r="22">
          <cell r="A22">
            <v>10051</v>
          </cell>
          <cell r="B22" t="str">
            <v>巳蛇</v>
          </cell>
          <cell r="C22">
            <v>1</v>
          </cell>
        </row>
        <row r="23">
          <cell r="A23">
            <v>10052</v>
          </cell>
          <cell r="B23" t="str">
            <v>巳蛇</v>
          </cell>
          <cell r="C23">
            <v>2</v>
          </cell>
        </row>
        <row r="24">
          <cell r="A24">
            <v>10053</v>
          </cell>
          <cell r="B24" t="str">
            <v>巳蛇</v>
          </cell>
          <cell r="C24">
            <v>3</v>
          </cell>
        </row>
        <row r="25">
          <cell r="A25">
            <v>10054</v>
          </cell>
          <cell r="B25" t="str">
            <v>巳蛇</v>
          </cell>
          <cell r="C25">
            <v>4</v>
          </cell>
        </row>
        <row r="26">
          <cell r="A26">
            <v>10061</v>
          </cell>
          <cell r="B26" t="str">
            <v>午马</v>
          </cell>
          <cell r="C26">
            <v>1</v>
          </cell>
        </row>
        <row r="27">
          <cell r="A27">
            <v>10062</v>
          </cell>
          <cell r="B27" t="str">
            <v>午马</v>
          </cell>
          <cell r="C27">
            <v>2</v>
          </cell>
        </row>
        <row r="28">
          <cell r="A28">
            <v>10063</v>
          </cell>
          <cell r="B28" t="str">
            <v>午马</v>
          </cell>
          <cell r="C28">
            <v>3</v>
          </cell>
        </row>
        <row r="29">
          <cell r="A29">
            <v>10064</v>
          </cell>
          <cell r="B29" t="str">
            <v>午马</v>
          </cell>
          <cell r="C29">
            <v>4</v>
          </cell>
        </row>
        <row r="30">
          <cell r="A30">
            <v>10071</v>
          </cell>
          <cell r="B30" t="str">
            <v>未羊</v>
          </cell>
          <cell r="C30">
            <v>1</v>
          </cell>
        </row>
        <row r="31">
          <cell r="A31">
            <v>10072</v>
          </cell>
          <cell r="B31" t="str">
            <v>未羊</v>
          </cell>
          <cell r="C31">
            <v>2</v>
          </cell>
        </row>
        <row r="32">
          <cell r="A32">
            <v>10073</v>
          </cell>
          <cell r="B32" t="str">
            <v>未羊</v>
          </cell>
          <cell r="C32">
            <v>3</v>
          </cell>
        </row>
        <row r="33">
          <cell r="A33">
            <v>10074</v>
          </cell>
          <cell r="B33" t="str">
            <v>未羊</v>
          </cell>
          <cell r="C33">
            <v>4</v>
          </cell>
        </row>
        <row r="34">
          <cell r="A34">
            <v>10081</v>
          </cell>
          <cell r="B34" t="str">
            <v>申猴</v>
          </cell>
          <cell r="C34">
            <v>1</v>
          </cell>
        </row>
        <row r="35">
          <cell r="A35">
            <v>10082</v>
          </cell>
          <cell r="B35" t="str">
            <v>申猴</v>
          </cell>
          <cell r="C35">
            <v>2</v>
          </cell>
        </row>
        <row r="36">
          <cell r="A36">
            <v>10083</v>
          </cell>
          <cell r="B36" t="str">
            <v>申猴</v>
          </cell>
          <cell r="C36">
            <v>3</v>
          </cell>
        </row>
        <row r="37">
          <cell r="A37">
            <v>10084</v>
          </cell>
          <cell r="B37" t="str">
            <v>申猴</v>
          </cell>
          <cell r="C37">
            <v>4</v>
          </cell>
        </row>
        <row r="38">
          <cell r="A38">
            <v>10091</v>
          </cell>
          <cell r="B38" t="str">
            <v>酉鸡</v>
          </cell>
          <cell r="C38">
            <v>1</v>
          </cell>
        </row>
        <row r="39">
          <cell r="A39">
            <v>10092</v>
          </cell>
          <cell r="B39" t="str">
            <v>酉鸡</v>
          </cell>
          <cell r="C39">
            <v>2</v>
          </cell>
        </row>
        <row r="40">
          <cell r="A40">
            <v>10093</v>
          </cell>
          <cell r="B40" t="str">
            <v>酉鸡</v>
          </cell>
          <cell r="C40">
            <v>3</v>
          </cell>
        </row>
        <row r="41">
          <cell r="A41">
            <v>10094</v>
          </cell>
          <cell r="B41" t="str">
            <v>酉鸡</v>
          </cell>
          <cell r="C41">
            <v>4</v>
          </cell>
        </row>
        <row r="42">
          <cell r="A42">
            <v>10101</v>
          </cell>
          <cell r="B42" t="str">
            <v>戌狗</v>
          </cell>
          <cell r="C42">
            <v>1</v>
          </cell>
        </row>
        <row r="43">
          <cell r="A43">
            <v>10102</v>
          </cell>
          <cell r="B43" t="str">
            <v>戌狗</v>
          </cell>
          <cell r="C43">
            <v>2</v>
          </cell>
        </row>
        <row r="44">
          <cell r="A44">
            <v>10103</v>
          </cell>
          <cell r="B44" t="str">
            <v>戌狗</v>
          </cell>
          <cell r="C44">
            <v>3</v>
          </cell>
        </row>
        <row r="45">
          <cell r="A45">
            <v>10104</v>
          </cell>
          <cell r="B45" t="str">
            <v>戌狗</v>
          </cell>
          <cell r="C45">
            <v>4</v>
          </cell>
        </row>
        <row r="46">
          <cell r="A46">
            <v>10111</v>
          </cell>
          <cell r="B46" t="str">
            <v>亥猪</v>
          </cell>
          <cell r="C46">
            <v>1</v>
          </cell>
        </row>
        <row r="47">
          <cell r="A47">
            <v>10112</v>
          </cell>
          <cell r="B47" t="str">
            <v>亥猪</v>
          </cell>
          <cell r="C47">
            <v>2</v>
          </cell>
        </row>
        <row r="48">
          <cell r="A48">
            <v>10113</v>
          </cell>
          <cell r="B48" t="str">
            <v>亥猪</v>
          </cell>
          <cell r="C48">
            <v>3</v>
          </cell>
        </row>
        <row r="49">
          <cell r="A49">
            <v>10114</v>
          </cell>
          <cell r="B49" t="str">
            <v>亥猪</v>
          </cell>
          <cell r="C49">
            <v>4</v>
          </cell>
        </row>
        <row r="50">
          <cell r="A50">
            <v>20001</v>
          </cell>
          <cell r="B50" t="str">
            <v>青龙</v>
          </cell>
          <cell r="C50">
            <v>3</v>
          </cell>
        </row>
        <row r="51">
          <cell r="A51">
            <v>20002</v>
          </cell>
          <cell r="B51" t="str">
            <v>青龙</v>
          </cell>
          <cell r="C51">
            <v>4</v>
          </cell>
        </row>
        <row r="52">
          <cell r="A52">
            <v>20011</v>
          </cell>
          <cell r="B52" t="str">
            <v>白虎</v>
          </cell>
          <cell r="C52">
            <v>3</v>
          </cell>
        </row>
        <row r="53">
          <cell r="A53">
            <v>20012</v>
          </cell>
          <cell r="B53" t="str">
            <v>白虎</v>
          </cell>
          <cell r="C53">
            <v>4</v>
          </cell>
        </row>
        <row r="54">
          <cell r="A54">
            <v>20021</v>
          </cell>
          <cell r="B54" t="str">
            <v>朱雀</v>
          </cell>
          <cell r="C54">
            <v>3</v>
          </cell>
        </row>
        <row r="55">
          <cell r="A55">
            <v>20022</v>
          </cell>
          <cell r="B55" t="str">
            <v>朱雀</v>
          </cell>
          <cell r="C55">
            <v>4</v>
          </cell>
        </row>
        <row r="56">
          <cell r="A56">
            <v>20031</v>
          </cell>
          <cell r="B56" t="str">
            <v>玄武</v>
          </cell>
          <cell r="C56">
            <v>3</v>
          </cell>
        </row>
        <row r="57">
          <cell r="A57">
            <v>20032</v>
          </cell>
          <cell r="B57" t="str">
            <v>玄武</v>
          </cell>
          <cell r="C57">
            <v>4</v>
          </cell>
        </row>
        <row r="58">
          <cell r="A58">
            <v>20041</v>
          </cell>
          <cell r="B58" t="str">
            <v>饕餮</v>
          </cell>
          <cell r="C58">
            <v>3</v>
          </cell>
        </row>
        <row r="59">
          <cell r="A59">
            <v>20042</v>
          </cell>
          <cell r="B59" t="str">
            <v>饕餮</v>
          </cell>
          <cell r="C59">
            <v>4</v>
          </cell>
        </row>
        <row r="60">
          <cell r="A60">
            <v>20051</v>
          </cell>
          <cell r="B60" t="str">
            <v>麒麟</v>
          </cell>
          <cell r="C60">
            <v>3</v>
          </cell>
        </row>
        <row r="61">
          <cell r="A61">
            <v>20052</v>
          </cell>
          <cell r="B61" t="str">
            <v>麒麟</v>
          </cell>
          <cell r="C61">
            <v>4</v>
          </cell>
        </row>
        <row r="62">
          <cell r="A62">
            <v>20061</v>
          </cell>
          <cell r="B62" t="str">
            <v>夔牛</v>
          </cell>
          <cell r="C62">
            <v>3</v>
          </cell>
        </row>
        <row r="63">
          <cell r="A63">
            <v>20062</v>
          </cell>
          <cell r="B63" t="str">
            <v>夔牛</v>
          </cell>
          <cell r="C63">
            <v>4</v>
          </cell>
        </row>
        <row r="64">
          <cell r="A64">
            <v>20071</v>
          </cell>
          <cell r="B64" t="str">
            <v>凤凰</v>
          </cell>
          <cell r="C64">
            <v>3</v>
          </cell>
        </row>
        <row r="65">
          <cell r="A65">
            <v>20072</v>
          </cell>
          <cell r="B65" t="str">
            <v>凤凰</v>
          </cell>
          <cell r="C65">
            <v>4</v>
          </cell>
        </row>
        <row r="66">
          <cell r="A66">
            <v>20081</v>
          </cell>
          <cell r="B66" t="str">
            <v>勾陈</v>
          </cell>
          <cell r="C66">
            <v>3</v>
          </cell>
        </row>
        <row r="67">
          <cell r="A67">
            <v>20082</v>
          </cell>
          <cell r="B67" t="str">
            <v>勾陈</v>
          </cell>
          <cell r="C67">
            <v>4</v>
          </cell>
        </row>
        <row r="68">
          <cell r="A68">
            <v>20091</v>
          </cell>
          <cell r="B68" t="str">
            <v>梼杌</v>
          </cell>
          <cell r="C68">
            <v>3</v>
          </cell>
        </row>
        <row r="69">
          <cell r="A69">
            <v>20092</v>
          </cell>
          <cell r="B69" t="str">
            <v>梼杌</v>
          </cell>
          <cell r="C69">
            <v>4</v>
          </cell>
        </row>
        <row r="70">
          <cell r="A70">
            <v>30001</v>
          </cell>
          <cell r="B70" t="str">
            <v>兽魂经验(小)</v>
          </cell>
          <cell r="C70">
            <v>2</v>
          </cell>
        </row>
        <row r="71">
          <cell r="A71">
            <v>30002</v>
          </cell>
          <cell r="B71" t="str">
            <v>兽魂经验(大)</v>
          </cell>
          <cell r="C71">
            <v>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2" sqref="B2:B5"/>
    </sheetView>
  </sheetViews>
  <sheetFormatPr defaultColWidth="9" defaultRowHeight="15"/>
  <cols>
    <col min="2" max="2" width="10.42578125" customWidth="1"/>
    <col min="3" max="3" width="11.85546875" customWidth="1"/>
    <col min="4" max="4" width="14.5703125" customWidth="1"/>
    <col min="5" max="5" width="11.85546875" customWidth="1"/>
  </cols>
  <sheetData>
    <row r="1" spans="1:5" ht="16.5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</row>
    <row r="2" spans="1:5" ht="17.25">
      <c r="A2" s="4">
        <v>1</v>
      </c>
      <c r="B2" s="11" t="s">
        <v>253</v>
      </c>
      <c r="C2" s="4">
        <v>100059</v>
      </c>
      <c r="D2" s="8">
        <v>1001</v>
      </c>
      <c r="E2" s="2">
        <v>100000</v>
      </c>
    </row>
    <row r="3" spans="1:5" ht="17.25">
      <c r="A3" s="4">
        <v>2</v>
      </c>
      <c r="B3" s="11" t="s">
        <v>254</v>
      </c>
      <c r="C3" s="4">
        <v>100059</v>
      </c>
      <c r="D3" s="8">
        <v>2001</v>
      </c>
      <c r="E3" s="2">
        <v>100000</v>
      </c>
    </row>
    <row r="4" spans="1:5" ht="17.25">
      <c r="A4" s="4">
        <v>3</v>
      </c>
      <c r="B4" s="11" t="s">
        <v>255</v>
      </c>
      <c r="C4" s="4">
        <v>100059</v>
      </c>
      <c r="D4" s="8">
        <v>3001</v>
      </c>
      <c r="E4" s="2">
        <v>100000</v>
      </c>
    </row>
    <row r="5" spans="1:5" ht="17.25">
      <c r="A5" s="4">
        <v>4</v>
      </c>
      <c r="B5" s="11" t="s">
        <v>256</v>
      </c>
      <c r="C5" s="4">
        <v>100059</v>
      </c>
      <c r="D5" s="8">
        <v>4001</v>
      </c>
      <c r="E5" s="2">
        <v>100000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H20" sqref="G15:H20"/>
    </sheetView>
  </sheetViews>
  <sheetFormatPr defaultColWidth="9" defaultRowHeight="15"/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>
        <v>1</v>
      </c>
      <c r="B2">
        <v>1</v>
      </c>
      <c r="C2">
        <v>1</v>
      </c>
      <c r="D2">
        <v>5000</v>
      </c>
    </row>
    <row r="3" spans="1:4">
      <c r="A3">
        <v>2</v>
      </c>
      <c r="B3">
        <v>1</v>
      </c>
      <c r="C3">
        <v>2</v>
      </c>
      <c r="D3">
        <v>5000</v>
      </c>
    </row>
    <row r="4" spans="1:4">
      <c r="A4">
        <v>3</v>
      </c>
      <c r="B4">
        <v>1</v>
      </c>
      <c r="C4">
        <v>3</v>
      </c>
      <c r="D4">
        <v>0</v>
      </c>
    </row>
    <row r="5" spans="1:4">
      <c r="A5">
        <v>4</v>
      </c>
      <c r="B5">
        <v>1</v>
      </c>
      <c r="C5">
        <v>4</v>
      </c>
      <c r="D5">
        <v>0</v>
      </c>
    </row>
    <row r="6" spans="1:4">
      <c r="A6">
        <v>5</v>
      </c>
      <c r="B6">
        <v>2</v>
      </c>
      <c r="C6">
        <v>1</v>
      </c>
      <c r="D6">
        <v>7000</v>
      </c>
    </row>
    <row r="7" spans="1:4">
      <c r="A7">
        <v>6</v>
      </c>
      <c r="B7">
        <v>2</v>
      </c>
      <c r="C7">
        <v>2</v>
      </c>
      <c r="D7">
        <v>0</v>
      </c>
    </row>
    <row r="8" spans="1:4">
      <c r="A8">
        <v>7</v>
      </c>
      <c r="B8">
        <v>2</v>
      </c>
      <c r="C8">
        <v>3</v>
      </c>
      <c r="D8">
        <v>3000</v>
      </c>
    </row>
    <row r="9" spans="1:4">
      <c r="A9">
        <v>8</v>
      </c>
      <c r="B9">
        <v>2</v>
      </c>
      <c r="C9">
        <v>4</v>
      </c>
      <c r="D9">
        <v>0</v>
      </c>
    </row>
    <row r="10" spans="1:4">
      <c r="A10">
        <v>9</v>
      </c>
      <c r="B10">
        <v>3</v>
      </c>
      <c r="C10">
        <v>1</v>
      </c>
      <c r="D10">
        <v>8000</v>
      </c>
    </row>
    <row r="11" spans="1:4">
      <c r="A11">
        <v>10</v>
      </c>
      <c r="B11">
        <v>3</v>
      </c>
      <c r="C11">
        <v>2</v>
      </c>
      <c r="D11">
        <v>0</v>
      </c>
    </row>
    <row r="12" spans="1:4">
      <c r="A12">
        <v>11</v>
      </c>
      <c r="B12">
        <v>3</v>
      </c>
      <c r="C12">
        <v>3</v>
      </c>
      <c r="D12">
        <v>0</v>
      </c>
    </row>
    <row r="13" spans="1:4">
      <c r="A13">
        <v>12</v>
      </c>
      <c r="B13">
        <v>3</v>
      </c>
      <c r="C13">
        <v>4</v>
      </c>
      <c r="D13">
        <v>2000</v>
      </c>
    </row>
    <row r="14" spans="1:4">
      <c r="A14">
        <v>13</v>
      </c>
      <c r="B14">
        <v>4</v>
      </c>
      <c r="C14">
        <v>1</v>
      </c>
      <c r="D14">
        <v>10000</v>
      </c>
    </row>
    <row r="15" spans="1:4">
      <c r="A15">
        <v>14</v>
      </c>
      <c r="B15">
        <v>4</v>
      </c>
      <c r="C15">
        <v>2</v>
      </c>
      <c r="D15">
        <v>0</v>
      </c>
    </row>
    <row r="16" spans="1:4">
      <c r="A16">
        <v>15</v>
      </c>
      <c r="B16">
        <v>4</v>
      </c>
      <c r="C16">
        <v>3</v>
      </c>
      <c r="D16">
        <v>0</v>
      </c>
    </row>
    <row r="17" spans="1:4">
      <c r="A17">
        <v>16</v>
      </c>
      <c r="B17">
        <v>4</v>
      </c>
      <c r="C17">
        <v>4</v>
      </c>
      <c r="D1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27"/>
  <sheetViews>
    <sheetView workbookViewId="0">
      <pane ySplit="1" topLeftCell="A548" activePane="bottomLeft" state="frozen"/>
      <selection pane="bottomLeft" activeCell="F1" sqref="F1"/>
    </sheetView>
  </sheetViews>
  <sheetFormatPr defaultColWidth="9" defaultRowHeight="15"/>
  <cols>
    <col min="1" max="1" width="9.42578125" style="8" customWidth="1"/>
    <col min="2" max="3" width="9" style="8"/>
    <col min="4" max="4" width="9.28515625" style="8" customWidth="1"/>
    <col min="5" max="5" width="13.140625" style="8" customWidth="1"/>
    <col min="6" max="8" width="9" style="8"/>
    <col min="9" max="9" width="12.28515625" style="8" customWidth="1"/>
    <col min="10" max="12" width="9" style="8"/>
    <col min="13" max="13" width="12.5703125" style="8"/>
    <col min="14" max="16384" width="9" style="8"/>
  </cols>
  <sheetData>
    <row r="1" spans="1:11">
      <c r="A1" s="8" t="s">
        <v>0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</row>
    <row r="2" spans="1:11">
      <c r="A2" s="8">
        <v>1</v>
      </c>
      <c r="B2" s="8">
        <v>1</v>
      </c>
      <c r="C2" s="8">
        <v>1250</v>
      </c>
      <c r="D2" s="8">
        <v>1250</v>
      </c>
      <c r="E2" s="8" t="s">
        <v>18</v>
      </c>
      <c r="G2" s="8">
        <v>1</v>
      </c>
      <c r="H2" s="8">
        <v>20000</v>
      </c>
      <c r="I2" s="8" t="s">
        <v>19</v>
      </c>
      <c r="J2" s="8">
        <v>0</v>
      </c>
      <c r="K2" s="8">
        <v>1</v>
      </c>
    </row>
    <row r="3" spans="1:11">
      <c r="A3" s="8">
        <v>2</v>
      </c>
      <c r="B3" s="8">
        <v>1</v>
      </c>
      <c r="C3" s="8">
        <v>1250</v>
      </c>
      <c r="D3" s="8">
        <v>1250</v>
      </c>
      <c r="E3" s="8" t="s">
        <v>20</v>
      </c>
      <c r="G3" s="8">
        <v>1</v>
      </c>
      <c r="H3" s="8">
        <v>40000</v>
      </c>
      <c r="I3" s="8" t="s">
        <v>21</v>
      </c>
      <c r="J3" s="8">
        <v>0</v>
      </c>
      <c r="K3" s="8">
        <v>2</v>
      </c>
    </row>
    <row r="4" spans="1:11">
      <c r="A4" s="8">
        <v>3</v>
      </c>
      <c r="B4" s="8">
        <v>1</v>
      </c>
      <c r="C4" s="8">
        <v>1250</v>
      </c>
      <c r="D4" s="8">
        <v>1250</v>
      </c>
      <c r="E4" s="8" t="s">
        <v>22</v>
      </c>
      <c r="G4" s="8">
        <v>1</v>
      </c>
      <c r="H4" s="8">
        <v>60000</v>
      </c>
      <c r="I4" s="8" t="s">
        <v>23</v>
      </c>
      <c r="J4" s="8">
        <v>0</v>
      </c>
      <c r="K4" s="8">
        <v>3</v>
      </c>
    </row>
    <row r="5" spans="1:11">
      <c r="A5" s="8">
        <v>4</v>
      </c>
      <c r="B5" s="8">
        <v>1</v>
      </c>
      <c r="C5" s="8">
        <v>1250</v>
      </c>
      <c r="D5" s="8">
        <v>1250</v>
      </c>
      <c r="E5" s="8" t="s">
        <v>24</v>
      </c>
      <c r="G5" s="8">
        <v>1</v>
      </c>
      <c r="H5" s="8">
        <v>80000</v>
      </c>
      <c r="I5" s="8" t="s">
        <v>25</v>
      </c>
      <c r="J5" s="8">
        <v>0</v>
      </c>
      <c r="K5" s="8">
        <v>4</v>
      </c>
    </row>
    <row r="6" spans="1:11">
      <c r="A6" s="8">
        <v>5</v>
      </c>
      <c r="B6" s="8">
        <v>1</v>
      </c>
      <c r="C6" s="8">
        <v>100</v>
      </c>
      <c r="D6" s="8">
        <v>100</v>
      </c>
      <c r="E6" s="8" t="s">
        <v>26</v>
      </c>
      <c r="I6" s="8" t="s">
        <v>27</v>
      </c>
      <c r="J6" s="8">
        <v>1</v>
      </c>
      <c r="K6" s="8">
        <v>14</v>
      </c>
    </row>
    <row r="7" spans="1:11">
      <c r="A7" s="8">
        <v>6</v>
      </c>
      <c r="B7" s="8">
        <v>1</v>
      </c>
      <c r="C7" s="8">
        <v>100</v>
      </c>
      <c r="D7" s="8">
        <v>100</v>
      </c>
      <c r="E7" s="8" t="s">
        <v>28</v>
      </c>
      <c r="I7" s="8" t="s">
        <v>29</v>
      </c>
      <c r="J7" s="8">
        <v>1</v>
      </c>
      <c r="K7" s="8">
        <v>15</v>
      </c>
    </row>
    <row r="8" spans="1:11">
      <c r="A8" s="8">
        <v>7</v>
      </c>
      <c r="B8" s="8">
        <v>1</v>
      </c>
      <c r="C8" s="8">
        <v>100</v>
      </c>
      <c r="D8" s="8">
        <v>100</v>
      </c>
      <c r="E8" s="8" t="s">
        <v>30</v>
      </c>
      <c r="I8" s="8" t="s">
        <v>31</v>
      </c>
      <c r="J8" s="8">
        <v>1</v>
      </c>
      <c r="K8" s="8">
        <v>16</v>
      </c>
    </row>
    <row r="9" spans="1:11">
      <c r="A9" s="8">
        <v>8</v>
      </c>
      <c r="B9" s="8">
        <v>1</v>
      </c>
      <c r="C9" s="8">
        <v>100</v>
      </c>
      <c r="D9" s="8">
        <v>100</v>
      </c>
      <c r="E9" s="8" t="s">
        <v>32</v>
      </c>
      <c r="I9" s="8" t="s">
        <v>33</v>
      </c>
      <c r="J9" s="8">
        <v>1</v>
      </c>
      <c r="K9" s="8">
        <v>17</v>
      </c>
    </row>
    <row r="10" spans="1:11">
      <c r="A10" s="8">
        <v>9</v>
      </c>
      <c r="B10" s="8">
        <v>1</v>
      </c>
      <c r="C10" s="8">
        <v>1500</v>
      </c>
      <c r="D10" s="8">
        <v>1500</v>
      </c>
      <c r="E10" s="8" t="s">
        <v>34</v>
      </c>
      <c r="I10" s="8" t="s">
        <v>35</v>
      </c>
      <c r="J10" s="8">
        <v>2</v>
      </c>
      <c r="K10" s="8">
        <v>5</v>
      </c>
    </row>
    <row r="11" spans="1:11">
      <c r="A11" s="8">
        <v>10</v>
      </c>
      <c r="B11" s="8">
        <v>1</v>
      </c>
      <c r="C11" s="8">
        <v>1000</v>
      </c>
      <c r="D11" s="8">
        <v>1000</v>
      </c>
      <c r="E11" s="8" t="s">
        <v>36</v>
      </c>
      <c r="I11" s="8" t="s">
        <v>35</v>
      </c>
      <c r="J11" s="8">
        <v>2</v>
      </c>
      <c r="K11" s="8">
        <v>6</v>
      </c>
    </row>
    <row r="12" spans="1:11">
      <c r="A12" s="8">
        <v>11</v>
      </c>
      <c r="B12" s="8">
        <v>1</v>
      </c>
      <c r="C12" s="8">
        <v>500</v>
      </c>
      <c r="D12" s="8">
        <v>500</v>
      </c>
      <c r="E12" s="8" t="s">
        <v>37</v>
      </c>
      <c r="I12" s="8" t="s">
        <v>35</v>
      </c>
      <c r="J12" s="8">
        <v>2</v>
      </c>
      <c r="K12" s="8">
        <v>7</v>
      </c>
    </row>
    <row r="13" spans="1:11">
      <c r="A13" s="8">
        <v>12</v>
      </c>
      <c r="B13" s="8">
        <v>1</v>
      </c>
      <c r="C13" s="8">
        <v>500</v>
      </c>
      <c r="D13" s="8">
        <v>500</v>
      </c>
      <c r="E13" s="8" t="s">
        <v>38</v>
      </c>
      <c r="I13" s="8" t="s">
        <v>35</v>
      </c>
      <c r="J13" s="8">
        <v>2</v>
      </c>
      <c r="K13" s="8">
        <v>8</v>
      </c>
    </row>
    <row r="14" spans="1:11">
      <c r="A14" s="8">
        <v>13</v>
      </c>
      <c r="B14" s="8">
        <v>1</v>
      </c>
      <c r="C14" s="8">
        <v>100</v>
      </c>
      <c r="D14" s="8">
        <v>100</v>
      </c>
      <c r="E14" s="8" t="s">
        <v>39</v>
      </c>
      <c r="I14" s="8" t="s">
        <v>40</v>
      </c>
      <c r="J14" s="8">
        <v>0</v>
      </c>
      <c r="K14" s="8">
        <v>12</v>
      </c>
    </row>
    <row r="15" spans="1:11">
      <c r="A15" s="8">
        <v>14</v>
      </c>
      <c r="B15" s="8">
        <v>1</v>
      </c>
      <c r="C15" s="8">
        <v>200</v>
      </c>
      <c r="D15" s="8">
        <v>200</v>
      </c>
      <c r="E15" s="8" t="s">
        <v>41</v>
      </c>
      <c r="I15" s="8" t="s">
        <v>40</v>
      </c>
      <c r="J15" s="8">
        <v>0</v>
      </c>
      <c r="K15" s="8">
        <v>11</v>
      </c>
    </row>
    <row r="16" spans="1:11">
      <c r="A16" s="8">
        <v>15</v>
      </c>
      <c r="B16" s="8">
        <v>1</v>
      </c>
      <c r="C16" s="8">
        <v>300</v>
      </c>
      <c r="D16" s="8">
        <v>300</v>
      </c>
      <c r="E16" s="8" t="s">
        <v>42</v>
      </c>
      <c r="I16" s="8" t="s">
        <v>40</v>
      </c>
      <c r="J16" s="8">
        <v>0</v>
      </c>
      <c r="K16" s="8">
        <v>10</v>
      </c>
    </row>
    <row r="17" spans="1:11">
      <c r="A17" s="8">
        <v>16</v>
      </c>
      <c r="B17" s="8">
        <v>1</v>
      </c>
      <c r="C17" s="8">
        <v>400</v>
      </c>
      <c r="D17" s="8">
        <v>400</v>
      </c>
      <c r="E17" s="8" t="s">
        <v>43</v>
      </c>
      <c r="I17" s="8" t="s">
        <v>40</v>
      </c>
      <c r="J17" s="8">
        <v>0</v>
      </c>
      <c r="K17" s="8">
        <v>9</v>
      </c>
    </row>
    <row r="18" spans="1:11" s="7" customFormat="1">
      <c r="A18" s="8">
        <v>17</v>
      </c>
      <c r="B18" s="9">
        <v>1</v>
      </c>
      <c r="C18" s="9">
        <v>100</v>
      </c>
      <c r="D18" s="9">
        <v>100</v>
      </c>
      <c r="E18" s="9" t="s">
        <v>44</v>
      </c>
      <c r="F18" s="9"/>
      <c r="G18" s="9"/>
      <c r="H18" s="9"/>
      <c r="I18" s="9" t="s">
        <v>45</v>
      </c>
      <c r="J18" s="9">
        <v>2</v>
      </c>
      <c r="K18" s="9">
        <v>13</v>
      </c>
    </row>
    <row r="19" spans="1:11">
      <c r="A19" s="8">
        <v>18</v>
      </c>
      <c r="B19" s="8">
        <v>2</v>
      </c>
      <c r="C19" s="8">
        <v>1000</v>
      </c>
      <c r="D19" s="8">
        <v>1000</v>
      </c>
      <c r="E19" s="8" t="s">
        <v>18</v>
      </c>
      <c r="G19" s="8">
        <v>1</v>
      </c>
      <c r="H19" s="8">
        <v>20000</v>
      </c>
      <c r="I19" s="8" t="s">
        <v>19</v>
      </c>
      <c r="J19" s="8">
        <v>0</v>
      </c>
      <c r="K19" s="8">
        <v>1</v>
      </c>
    </row>
    <row r="20" spans="1:11">
      <c r="A20" s="8">
        <v>19</v>
      </c>
      <c r="B20" s="8">
        <v>2</v>
      </c>
      <c r="C20" s="8">
        <v>1000</v>
      </c>
      <c r="D20" s="8">
        <v>1000</v>
      </c>
      <c r="E20" s="8" t="s">
        <v>20</v>
      </c>
      <c r="G20" s="8">
        <v>1</v>
      </c>
      <c r="H20" s="8">
        <v>40000</v>
      </c>
      <c r="I20" s="8" t="s">
        <v>21</v>
      </c>
      <c r="J20" s="8">
        <v>0</v>
      </c>
      <c r="K20" s="8">
        <v>2</v>
      </c>
    </row>
    <row r="21" spans="1:11">
      <c r="A21" s="8">
        <v>20</v>
      </c>
      <c r="B21" s="8">
        <v>2</v>
      </c>
      <c r="C21" s="8">
        <v>1000</v>
      </c>
      <c r="D21" s="8">
        <v>1000</v>
      </c>
      <c r="E21" s="8" t="s">
        <v>22</v>
      </c>
      <c r="G21" s="8">
        <v>1</v>
      </c>
      <c r="H21" s="8">
        <v>60000</v>
      </c>
      <c r="I21" s="8" t="s">
        <v>23</v>
      </c>
      <c r="J21" s="8">
        <v>0</v>
      </c>
      <c r="K21" s="8">
        <v>3</v>
      </c>
    </row>
    <row r="22" spans="1:11">
      <c r="A22" s="8">
        <v>21</v>
      </c>
      <c r="B22" s="8">
        <v>2</v>
      </c>
      <c r="C22" s="8">
        <v>1000</v>
      </c>
      <c r="D22" s="8">
        <v>1000</v>
      </c>
      <c r="E22" s="8" t="s">
        <v>24</v>
      </c>
      <c r="G22" s="8">
        <v>1</v>
      </c>
      <c r="H22" s="8">
        <v>80000</v>
      </c>
      <c r="I22" s="8" t="s">
        <v>25</v>
      </c>
      <c r="J22" s="8">
        <v>0</v>
      </c>
      <c r="K22" s="8">
        <v>4</v>
      </c>
    </row>
    <row r="23" spans="1:11">
      <c r="A23" s="8">
        <v>22</v>
      </c>
      <c r="B23" s="8">
        <v>2</v>
      </c>
      <c r="C23" s="8">
        <v>150</v>
      </c>
      <c r="D23" s="8">
        <v>150</v>
      </c>
      <c r="E23" s="8" t="s">
        <v>26</v>
      </c>
      <c r="I23" s="8" t="s">
        <v>27</v>
      </c>
      <c r="J23" s="8">
        <v>1</v>
      </c>
      <c r="K23" s="8">
        <v>14</v>
      </c>
    </row>
    <row r="24" spans="1:11">
      <c r="A24" s="8">
        <v>23</v>
      </c>
      <c r="B24" s="8">
        <v>2</v>
      </c>
      <c r="C24" s="8">
        <v>150</v>
      </c>
      <c r="D24" s="8">
        <v>150</v>
      </c>
      <c r="E24" s="8" t="s">
        <v>28</v>
      </c>
      <c r="I24" s="8" t="s">
        <v>29</v>
      </c>
      <c r="J24" s="8">
        <v>1</v>
      </c>
      <c r="K24" s="8">
        <v>15</v>
      </c>
    </row>
    <row r="25" spans="1:11">
      <c r="A25" s="8">
        <v>24</v>
      </c>
      <c r="B25" s="8">
        <v>2</v>
      </c>
      <c r="C25" s="8">
        <v>150</v>
      </c>
      <c r="D25" s="8">
        <v>150</v>
      </c>
      <c r="E25" s="8" t="s">
        <v>30</v>
      </c>
      <c r="I25" s="8" t="s">
        <v>31</v>
      </c>
      <c r="J25" s="8">
        <v>1</v>
      </c>
      <c r="K25" s="8">
        <v>16</v>
      </c>
    </row>
    <row r="26" spans="1:11">
      <c r="A26" s="8">
        <v>25</v>
      </c>
      <c r="B26" s="8">
        <v>2</v>
      </c>
      <c r="C26" s="8">
        <v>150</v>
      </c>
      <c r="D26" s="8">
        <v>150</v>
      </c>
      <c r="E26" s="8" t="s">
        <v>32</v>
      </c>
      <c r="I26" s="8" t="s">
        <v>33</v>
      </c>
      <c r="J26" s="8">
        <v>1</v>
      </c>
      <c r="K26" s="8">
        <v>17</v>
      </c>
    </row>
    <row r="27" spans="1:11">
      <c r="A27" s="8">
        <v>26</v>
      </c>
      <c r="B27" s="8">
        <v>2</v>
      </c>
      <c r="C27" s="8">
        <v>100</v>
      </c>
      <c r="D27" s="8">
        <v>50</v>
      </c>
      <c r="E27" s="8" t="s">
        <v>46</v>
      </c>
      <c r="F27" s="8">
        <v>1</v>
      </c>
      <c r="I27" s="8" t="s">
        <v>27</v>
      </c>
      <c r="J27" s="8">
        <v>2</v>
      </c>
      <c r="K27" s="8">
        <v>18</v>
      </c>
    </row>
    <row r="28" spans="1:11">
      <c r="A28" s="8">
        <v>27</v>
      </c>
      <c r="B28" s="8">
        <v>2</v>
      </c>
      <c r="C28" s="8">
        <v>100</v>
      </c>
      <c r="D28" s="8">
        <v>50</v>
      </c>
      <c r="E28" s="8" t="s">
        <v>47</v>
      </c>
      <c r="F28" s="8">
        <v>1</v>
      </c>
      <c r="I28" s="8" t="s">
        <v>29</v>
      </c>
      <c r="J28" s="8">
        <v>2</v>
      </c>
      <c r="K28" s="8">
        <v>19</v>
      </c>
    </row>
    <row r="29" spans="1:11">
      <c r="A29" s="8">
        <v>28</v>
      </c>
      <c r="B29" s="8">
        <v>2</v>
      </c>
      <c r="C29" s="8">
        <v>100</v>
      </c>
      <c r="D29" s="8">
        <v>50</v>
      </c>
      <c r="E29" s="8" t="s">
        <v>48</v>
      </c>
      <c r="F29" s="8">
        <v>1</v>
      </c>
      <c r="I29" s="8" t="s">
        <v>31</v>
      </c>
      <c r="J29" s="8">
        <v>2</v>
      </c>
      <c r="K29" s="8">
        <v>20</v>
      </c>
    </row>
    <row r="30" spans="1:11">
      <c r="A30" s="8">
        <v>29</v>
      </c>
      <c r="B30" s="8">
        <v>2</v>
      </c>
      <c r="C30" s="8">
        <v>20</v>
      </c>
      <c r="D30" s="8">
        <v>50</v>
      </c>
      <c r="E30" s="8" t="s">
        <v>49</v>
      </c>
      <c r="F30" s="8">
        <v>1</v>
      </c>
      <c r="I30" s="8" t="s">
        <v>33</v>
      </c>
      <c r="J30" s="8">
        <v>2</v>
      </c>
      <c r="K30" s="8">
        <v>21</v>
      </c>
    </row>
    <row r="31" spans="1:11">
      <c r="A31" s="8">
        <v>30</v>
      </c>
      <c r="B31" s="8">
        <v>2</v>
      </c>
      <c r="C31" s="8">
        <v>20</v>
      </c>
      <c r="D31" s="8">
        <v>50</v>
      </c>
      <c r="E31" s="8" t="s">
        <v>50</v>
      </c>
      <c r="F31" s="8">
        <v>1</v>
      </c>
      <c r="I31" s="8" t="s">
        <v>51</v>
      </c>
      <c r="J31" s="8">
        <v>2</v>
      </c>
      <c r="K31" s="8">
        <v>22</v>
      </c>
    </row>
    <row r="32" spans="1:11">
      <c r="A32" s="8">
        <v>31</v>
      </c>
      <c r="B32" s="8">
        <v>2</v>
      </c>
      <c r="C32" s="8">
        <v>20</v>
      </c>
      <c r="D32" s="8">
        <v>50</v>
      </c>
      <c r="E32" s="8" t="s">
        <v>52</v>
      </c>
      <c r="F32" s="8">
        <v>1</v>
      </c>
      <c r="I32" s="8" t="s">
        <v>53</v>
      </c>
      <c r="J32" s="8">
        <v>2</v>
      </c>
      <c r="K32" s="8">
        <v>23</v>
      </c>
    </row>
    <row r="33" spans="1:11">
      <c r="A33" s="8">
        <v>32</v>
      </c>
      <c r="B33" s="8">
        <v>2</v>
      </c>
      <c r="C33" s="8">
        <v>20</v>
      </c>
      <c r="D33" s="8">
        <v>50</v>
      </c>
      <c r="E33" s="8" t="s">
        <v>54</v>
      </c>
      <c r="F33" s="8">
        <v>1</v>
      </c>
      <c r="I33" s="8" t="s">
        <v>55</v>
      </c>
      <c r="J33" s="8">
        <v>2</v>
      </c>
      <c r="K33" s="8">
        <v>24</v>
      </c>
    </row>
    <row r="34" spans="1:11">
      <c r="A34" s="8">
        <v>33</v>
      </c>
      <c r="B34" s="8">
        <v>2</v>
      </c>
      <c r="C34" s="8">
        <v>20</v>
      </c>
      <c r="D34" s="8">
        <v>50</v>
      </c>
      <c r="E34" s="8" t="s">
        <v>56</v>
      </c>
      <c r="F34" s="8">
        <v>1</v>
      </c>
      <c r="I34" s="8" t="s">
        <v>57</v>
      </c>
      <c r="J34" s="8">
        <v>2</v>
      </c>
      <c r="K34" s="8">
        <v>25</v>
      </c>
    </row>
    <row r="35" spans="1:11">
      <c r="A35" s="8">
        <v>34</v>
      </c>
      <c r="B35" s="8">
        <v>2</v>
      </c>
      <c r="C35" s="8">
        <v>1400</v>
      </c>
      <c r="D35" s="8">
        <v>1400</v>
      </c>
      <c r="E35" s="8" t="s">
        <v>34</v>
      </c>
      <c r="I35" s="8" t="s">
        <v>35</v>
      </c>
      <c r="J35" s="8">
        <v>2</v>
      </c>
      <c r="K35" s="8">
        <v>5</v>
      </c>
    </row>
    <row r="36" spans="1:11">
      <c r="A36" s="8">
        <v>35</v>
      </c>
      <c r="B36" s="8">
        <v>2</v>
      </c>
      <c r="C36" s="8">
        <v>1000</v>
      </c>
      <c r="D36" s="8">
        <v>1000</v>
      </c>
      <c r="E36" s="8" t="s">
        <v>36</v>
      </c>
      <c r="I36" s="8" t="s">
        <v>35</v>
      </c>
      <c r="J36" s="8">
        <v>2</v>
      </c>
      <c r="K36" s="8">
        <v>6</v>
      </c>
    </row>
    <row r="37" spans="1:11">
      <c r="A37" s="8">
        <v>36</v>
      </c>
      <c r="B37" s="8">
        <v>2</v>
      </c>
      <c r="C37" s="8">
        <v>450</v>
      </c>
      <c r="D37" s="8">
        <v>450</v>
      </c>
      <c r="E37" s="8" t="s">
        <v>37</v>
      </c>
      <c r="I37" s="8" t="s">
        <v>35</v>
      </c>
      <c r="J37" s="8">
        <v>2</v>
      </c>
      <c r="K37" s="8">
        <v>7</v>
      </c>
    </row>
    <row r="38" spans="1:11">
      <c r="A38" s="8">
        <v>37</v>
      </c>
      <c r="B38" s="8">
        <v>2</v>
      </c>
      <c r="C38" s="8">
        <v>450</v>
      </c>
      <c r="D38" s="8">
        <v>450</v>
      </c>
      <c r="E38" s="8" t="s">
        <v>38</v>
      </c>
      <c r="I38" s="8" t="s">
        <v>35</v>
      </c>
      <c r="J38" s="8">
        <v>2</v>
      </c>
      <c r="K38" s="8">
        <v>8</v>
      </c>
    </row>
    <row r="39" spans="1:11">
      <c r="A39" s="8">
        <v>38</v>
      </c>
      <c r="B39" s="8">
        <v>2</v>
      </c>
      <c r="C39" s="8">
        <v>150</v>
      </c>
      <c r="D39" s="8">
        <v>150</v>
      </c>
      <c r="E39" s="8" t="s">
        <v>39</v>
      </c>
      <c r="I39" s="8" t="s">
        <v>40</v>
      </c>
      <c r="J39" s="8">
        <v>0</v>
      </c>
      <c r="K39" s="8">
        <v>12</v>
      </c>
    </row>
    <row r="40" spans="1:11">
      <c r="A40" s="8">
        <v>39</v>
      </c>
      <c r="B40" s="8">
        <v>2</v>
      </c>
      <c r="C40" s="8">
        <v>300</v>
      </c>
      <c r="D40" s="8">
        <v>300</v>
      </c>
      <c r="E40" s="8" t="s">
        <v>41</v>
      </c>
      <c r="I40" s="8" t="s">
        <v>40</v>
      </c>
      <c r="J40" s="8">
        <v>0</v>
      </c>
      <c r="K40" s="8">
        <v>11</v>
      </c>
    </row>
    <row r="41" spans="1:11">
      <c r="A41" s="8">
        <v>40</v>
      </c>
      <c r="B41" s="8">
        <v>2</v>
      </c>
      <c r="C41" s="8">
        <v>450</v>
      </c>
      <c r="D41" s="8">
        <v>450</v>
      </c>
      <c r="E41" s="8" t="s">
        <v>42</v>
      </c>
      <c r="I41" s="8" t="s">
        <v>40</v>
      </c>
      <c r="J41" s="8">
        <v>0</v>
      </c>
      <c r="K41" s="8">
        <v>10</v>
      </c>
    </row>
    <row r="42" spans="1:11">
      <c r="A42" s="8">
        <v>41</v>
      </c>
      <c r="B42" s="8">
        <v>2</v>
      </c>
      <c r="C42" s="8">
        <v>600</v>
      </c>
      <c r="D42" s="8">
        <v>600</v>
      </c>
      <c r="E42" s="8" t="s">
        <v>43</v>
      </c>
      <c r="I42" s="8" t="s">
        <v>40</v>
      </c>
      <c r="J42" s="8">
        <v>0</v>
      </c>
      <c r="K42" s="8">
        <v>9</v>
      </c>
    </row>
    <row r="43" spans="1:11" s="7" customFormat="1">
      <c r="A43" s="8">
        <v>42</v>
      </c>
      <c r="B43" s="9">
        <v>2</v>
      </c>
      <c r="C43" s="9">
        <v>200</v>
      </c>
      <c r="D43" s="9">
        <v>200</v>
      </c>
      <c r="E43" s="9" t="s">
        <v>58</v>
      </c>
      <c r="F43" s="9"/>
      <c r="G43" s="9"/>
      <c r="H43" s="9"/>
      <c r="I43" s="9" t="s">
        <v>45</v>
      </c>
      <c r="J43" s="9">
        <v>2</v>
      </c>
      <c r="K43" s="9">
        <v>13</v>
      </c>
    </row>
    <row r="44" spans="1:11">
      <c r="A44" s="8">
        <v>43</v>
      </c>
      <c r="B44" s="8">
        <v>3</v>
      </c>
      <c r="C44" s="8">
        <v>10000</v>
      </c>
      <c r="D44" s="8">
        <v>10000</v>
      </c>
      <c r="E44" s="8" t="s">
        <v>20</v>
      </c>
      <c r="G44" s="8">
        <v>1</v>
      </c>
      <c r="H44" s="8">
        <v>40000</v>
      </c>
      <c r="I44" s="8" t="s">
        <v>21</v>
      </c>
      <c r="J44" s="8">
        <v>0</v>
      </c>
      <c r="K44" s="8">
        <v>1</v>
      </c>
    </row>
    <row r="45" spans="1:11">
      <c r="A45" s="8">
        <v>44</v>
      </c>
      <c r="B45" s="8">
        <v>3</v>
      </c>
      <c r="C45" s="8">
        <v>10000</v>
      </c>
      <c r="D45" s="8">
        <v>10000</v>
      </c>
      <c r="E45" s="8" t="s">
        <v>22</v>
      </c>
      <c r="G45" s="8">
        <v>1</v>
      </c>
      <c r="H45" s="8">
        <v>60000</v>
      </c>
      <c r="I45" s="8" t="s">
        <v>23</v>
      </c>
      <c r="J45" s="8">
        <v>0</v>
      </c>
      <c r="K45" s="8">
        <v>2</v>
      </c>
    </row>
    <row r="46" spans="1:11">
      <c r="A46" s="8">
        <v>45</v>
      </c>
      <c r="B46" s="8">
        <v>3</v>
      </c>
      <c r="C46" s="8">
        <v>10000</v>
      </c>
      <c r="D46" s="8">
        <v>10000</v>
      </c>
      <c r="E46" s="8" t="s">
        <v>24</v>
      </c>
      <c r="G46" s="8">
        <v>1</v>
      </c>
      <c r="H46" s="8">
        <v>80000</v>
      </c>
      <c r="I46" s="8" t="s">
        <v>25</v>
      </c>
      <c r="J46" s="8">
        <v>0</v>
      </c>
      <c r="K46" s="8">
        <v>3</v>
      </c>
    </row>
    <row r="47" spans="1:11">
      <c r="A47" s="8">
        <v>46</v>
      </c>
      <c r="B47" s="8">
        <v>3</v>
      </c>
      <c r="C47" s="8">
        <v>2000</v>
      </c>
      <c r="D47" s="8">
        <v>2000</v>
      </c>
      <c r="E47" s="8" t="s">
        <v>26</v>
      </c>
      <c r="I47" s="8" t="s">
        <v>27</v>
      </c>
      <c r="J47" s="8">
        <v>1</v>
      </c>
      <c r="K47" s="8">
        <v>14</v>
      </c>
    </row>
    <row r="48" spans="1:11">
      <c r="A48" s="8">
        <v>47</v>
      </c>
      <c r="B48" s="8">
        <v>3</v>
      </c>
      <c r="C48" s="8">
        <v>2000</v>
      </c>
      <c r="D48" s="8">
        <v>2000</v>
      </c>
      <c r="E48" s="8" t="s">
        <v>28</v>
      </c>
      <c r="I48" s="8" t="s">
        <v>29</v>
      </c>
      <c r="J48" s="8">
        <v>1</v>
      </c>
      <c r="K48" s="8">
        <v>15</v>
      </c>
    </row>
    <row r="49" spans="1:11">
      <c r="A49" s="8">
        <v>48</v>
      </c>
      <c r="B49" s="8">
        <v>3</v>
      </c>
      <c r="C49" s="8">
        <v>2000</v>
      </c>
      <c r="D49" s="8">
        <v>2000</v>
      </c>
      <c r="E49" s="8" t="s">
        <v>30</v>
      </c>
      <c r="I49" s="8" t="s">
        <v>31</v>
      </c>
      <c r="J49" s="8">
        <v>1</v>
      </c>
      <c r="K49" s="8">
        <v>16</v>
      </c>
    </row>
    <row r="50" spans="1:11">
      <c r="A50" s="8">
        <v>49</v>
      </c>
      <c r="B50" s="8">
        <v>3</v>
      </c>
      <c r="C50" s="8">
        <v>2000</v>
      </c>
      <c r="D50" s="8">
        <v>2000</v>
      </c>
      <c r="E50" s="8" t="s">
        <v>32</v>
      </c>
      <c r="I50" s="8" t="s">
        <v>33</v>
      </c>
      <c r="J50" s="8">
        <v>1</v>
      </c>
      <c r="K50" s="8">
        <v>17</v>
      </c>
    </row>
    <row r="51" spans="1:11">
      <c r="A51" s="8">
        <v>50</v>
      </c>
      <c r="B51" s="8">
        <v>3</v>
      </c>
      <c r="C51" s="8">
        <v>1500</v>
      </c>
      <c r="D51" s="8">
        <v>750</v>
      </c>
      <c r="E51" s="8" t="s">
        <v>46</v>
      </c>
      <c r="F51" s="8">
        <v>1</v>
      </c>
      <c r="I51" s="8" t="s">
        <v>27</v>
      </c>
      <c r="J51" s="8">
        <v>2</v>
      </c>
      <c r="K51" s="8">
        <v>18</v>
      </c>
    </row>
    <row r="52" spans="1:11">
      <c r="A52" s="8">
        <v>51</v>
      </c>
      <c r="B52" s="8">
        <v>3</v>
      </c>
      <c r="C52" s="8">
        <v>1500</v>
      </c>
      <c r="D52" s="8">
        <v>750</v>
      </c>
      <c r="E52" s="8" t="s">
        <v>47</v>
      </c>
      <c r="F52" s="8">
        <v>1</v>
      </c>
      <c r="I52" s="8" t="s">
        <v>29</v>
      </c>
      <c r="J52" s="8">
        <v>2</v>
      </c>
      <c r="K52" s="8">
        <v>19</v>
      </c>
    </row>
    <row r="53" spans="1:11">
      <c r="A53" s="8">
        <v>52</v>
      </c>
      <c r="B53" s="8">
        <v>3</v>
      </c>
      <c r="C53" s="8">
        <v>1500</v>
      </c>
      <c r="D53" s="8">
        <v>750</v>
      </c>
      <c r="E53" s="8" t="s">
        <v>48</v>
      </c>
      <c r="F53" s="8">
        <v>1</v>
      </c>
      <c r="I53" s="8" t="s">
        <v>31</v>
      </c>
      <c r="J53" s="8">
        <v>2</v>
      </c>
      <c r="K53" s="8">
        <v>20</v>
      </c>
    </row>
    <row r="54" spans="1:11">
      <c r="A54" s="8">
        <v>53</v>
      </c>
      <c r="B54" s="8">
        <v>3</v>
      </c>
      <c r="C54" s="8">
        <v>300</v>
      </c>
      <c r="D54" s="8">
        <v>750</v>
      </c>
      <c r="E54" s="8" t="s">
        <v>49</v>
      </c>
      <c r="F54" s="8">
        <v>1</v>
      </c>
      <c r="I54" s="8" t="s">
        <v>33</v>
      </c>
      <c r="J54" s="8">
        <v>2</v>
      </c>
      <c r="K54" s="8">
        <v>21</v>
      </c>
    </row>
    <row r="55" spans="1:11">
      <c r="A55" s="8">
        <v>54</v>
      </c>
      <c r="B55" s="8">
        <v>3</v>
      </c>
      <c r="C55" s="8">
        <v>300</v>
      </c>
      <c r="D55" s="8">
        <v>750</v>
      </c>
      <c r="E55" s="8" t="s">
        <v>50</v>
      </c>
      <c r="F55" s="8">
        <v>1</v>
      </c>
      <c r="I55" s="8" t="s">
        <v>51</v>
      </c>
      <c r="J55" s="8">
        <v>2</v>
      </c>
      <c r="K55" s="8">
        <v>22</v>
      </c>
    </row>
    <row r="56" spans="1:11">
      <c r="A56" s="8">
        <v>55</v>
      </c>
      <c r="B56" s="8">
        <v>3</v>
      </c>
      <c r="C56" s="8">
        <v>300</v>
      </c>
      <c r="D56" s="8">
        <v>750</v>
      </c>
      <c r="E56" s="8" t="s">
        <v>52</v>
      </c>
      <c r="F56" s="8">
        <v>1</v>
      </c>
      <c r="I56" s="8" t="s">
        <v>53</v>
      </c>
      <c r="J56" s="8">
        <v>2</v>
      </c>
      <c r="K56" s="8">
        <v>23</v>
      </c>
    </row>
    <row r="57" spans="1:11">
      <c r="A57" s="8">
        <v>56</v>
      </c>
      <c r="B57" s="8">
        <v>3</v>
      </c>
      <c r="C57" s="8">
        <v>300</v>
      </c>
      <c r="D57" s="8">
        <v>750</v>
      </c>
      <c r="E57" s="8" t="s">
        <v>54</v>
      </c>
      <c r="F57" s="8">
        <v>1</v>
      </c>
      <c r="I57" s="8" t="s">
        <v>55</v>
      </c>
      <c r="J57" s="8">
        <v>2</v>
      </c>
      <c r="K57" s="8">
        <v>24</v>
      </c>
    </row>
    <row r="58" spans="1:11">
      <c r="A58" s="8">
        <v>57</v>
      </c>
      <c r="B58" s="8">
        <v>3</v>
      </c>
      <c r="C58" s="8">
        <v>300</v>
      </c>
      <c r="D58" s="8">
        <v>750</v>
      </c>
      <c r="E58" s="8" t="s">
        <v>56</v>
      </c>
      <c r="F58" s="8">
        <v>1</v>
      </c>
      <c r="I58" s="8" t="s">
        <v>57</v>
      </c>
      <c r="J58" s="8">
        <v>2</v>
      </c>
      <c r="K58" s="8">
        <v>25</v>
      </c>
    </row>
    <row r="59" spans="1:11">
      <c r="A59" s="8">
        <v>58</v>
      </c>
      <c r="B59" s="8">
        <v>3</v>
      </c>
      <c r="C59" s="8">
        <v>500</v>
      </c>
      <c r="D59" s="8">
        <v>160</v>
      </c>
      <c r="E59" s="8" t="s">
        <v>59</v>
      </c>
      <c r="F59" s="8">
        <v>1</v>
      </c>
      <c r="I59" s="8" t="s">
        <v>27</v>
      </c>
      <c r="J59" s="8">
        <v>3</v>
      </c>
      <c r="K59" s="8">
        <v>26</v>
      </c>
    </row>
    <row r="60" spans="1:11">
      <c r="A60" s="8">
        <v>59</v>
      </c>
      <c r="B60" s="8">
        <v>3</v>
      </c>
      <c r="C60" s="8">
        <v>500</v>
      </c>
      <c r="D60" s="8">
        <v>160</v>
      </c>
      <c r="E60" s="8" t="s">
        <v>60</v>
      </c>
      <c r="F60" s="8">
        <v>1</v>
      </c>
      <c r="I60" s="8" t="s">
        <v>29</v>
      </c>
      <c r="J60" s="8">
        <v>3</v>
      </c>
      <c r="K60" s="8">
        <v>27</v>
      </c>
    </row>
    <row r="61" spans="1:11">
      <c r="A61" s="8">
        <v>60</v>
      </c>
      <c r="B61" s="8">
        <v>3</v>
      </c>
      <c r="C61" s="8">
        <v>500</v>
      </c>
      <c r="D61" s="8">
        <v>160</v>
      </c>
      <c r="E61" s="8" t="s">
        <v>61</v>
      </c>
      <c r="F61" s="8">
        <v>1</v>
      </c>
      <c r="I61" s="8" t="s">
        <v>31</v>
      </c>
      <c r="J61" s="8">
        <v>3</v>
      </c>
      <c r="K61" s="8">
        <v>28</v>
      </c>
    </row>
    <row r="62" spans="1:11">
      <c r="A62" s="8">
        <v>61</v>
      </c>
      <c r="B62" s="8">
        <v>3</v>
      </c>
      <c r="C62" s="8">
        <v>50</v>
      </c>
      <c r="D62" s="8">
        <v>160</v>
      </c>
      <c r="E62" s="8" t="s">
        <v>62</v>
      </c>
      <c r="F62" s="8">
        <v>1</v>
      </c>
      <c r="I62" s="8" t="s">
        <v>33</v>
      </c>
      <c r="J62" s="8">
        <v>3</v>
      </c>
      <c r="K62" s="8">
        <v>29</v>
      </c>
    </row>
    <row r="63" spans="1:11">
      <c r="A63" s="8">
        <v>62</v>
      </c>
      <c r="B63" s="8">
        <v>3</v>
      </c>
      <c r="C63" s="8">
        <v>50</v>
      </c>
      <c r="D63" s="8">
        <v>160</v>
      </c>
      <c r="E63" s="8" t="s">
        <v>63</v>
      </c>
      <c r="F63" s="8">
        <v>1</v>
      </c>
      <c r="I63" s="8" t="s">
        <v>51</v>
      </c>
      <c r="J63" s="8">
        <v>3</v>
      </c>
      <c r="K63" s="8">
        <v>30</v>
      </c>
    </row>
    <row r="64" spans="1:11">
      <c r="A64" s="8">
        <v>63</v>
      </c>
      <c r="B64" s="8">
        <v>3</v>
      </c>
      <c r="C64" s="8">
        <v>20</v>
      </c>
      <c r="D64" s="8">
        <v>160</v>
      </c>
      <c r="E64" s="8" t="s">
        <v>64</v>
      </c>
      <c r="F64" s="8">
        <v>1</v>
      </c>
      <c r="I64" s="8" t="s">
        <v>53</v>
      </c>
      <c r="J64" s="8">
        <v>3</v>
      </c>
      <c r="K64" s="8">
        <v>31</v>
      </c>
    </row>
    <row r="65" spans="1:11">
      <c r="A65" s="8">
        <v>64</v>
      </c>
      <c r="B65" s="8">
        <v>3</v>
      </c>
      <c r="C65" s="8">
        <v>50</v>
      </c>
      <c r="D65" s="8">
        <v>160</v>
      </c>
      <c r="E65" s="8" t="s">
        <v>65</v>
      </c>
      <c r="F65" s="8">
        <v>1</v>
      </c>
      <c r="I65" s="8" t="s">
        <v>66</v>
      </c>
      <c r="J65" s="8">
        <v>3</v>
      </c>
      <c r="K65" s="8">
        <v>32</v>
      </c>
    </row>
    <row r="66" spans="1:11">
      <c r="A66" s="8">
        <v>65</v>
      </c>
      <c r="B66" s="8">
        <v>3</v>
      </c>
      <c r="C66" s="8">
        <v>50</v>
      </c>
      <c r="D66" s="8">
        <v>160</v>
      </c>
      <c r="E66" s="8" t="s">
        <v>67</v>
      </c>
      <c r="F66" s="8">
        <v>1</v>
      </c>
      <c r="I66" s="8" t="s">
        <v>55</v>
      </c>
      <c r="J66" s="8">
        <v>3</v>
      </c>
      <c r="K66" s="8">
        <v>33</v>
      </c>
    </row>
    <row r="67" spans="1:11">
      <c r="A67" s="8">
        <v>66</v>
      </c>
      <c r="B67" s="8">
        <v>3</v>
      </c>
      <c r="C67" s="8">
        <v>50</v>
      </c>
      <c r="D67" s="8">
        <v>160</v>
      </c>
      <c r="E67" s="8" t="s">
        <v>68</v>
      </c>
      <c r="F67" s="8">
        <v>1</v>
      </c>
      <c r="I67" s="8" t="s">
        <v>69</v>
      </c>
      <c r="J67" s="8">
        <v>3</v>
      </c>
      <c r="K67" s="8">
        <v>34</v>
      </c>
    </row>
    <row r="68" spans="1:11">
      <c r="A68" s="8">
        <v>67</v>
      </c>
      <c r="B68" s="8">
        <v>3</v>
      </c>
      <c r="C68" s="8">
        <v>50</v>
      </c>
      <c r="D68" s="8">
        <v>160</v>
      </c>
      <c r="E68" s="8" t="s">
        <v>70</v>
      </c>
      <c r="F68" s="8">
        <v>1</v>
      </c>
      <c r="I68" s="8" t="s">
        <v>57</v>
      </c>
      <c r="J68" s="8">
        <v>3</v>
      </c>
      <c r="K68" s="8">
        <v>35</v>
      </c>
    </row>
    <row r="69" spans="1:11">
      <c r="A69" s="8">
        <v>68</v>
      </c>
      <c r="B69" s="8">
        <v>3</v>
      </c>
      <c r="C69" s="8">
        <v>50</v>
      </c>
      <c r="D69" s="8">
        <v>160</v>
      </c>
      <c r="E69" s="8" t="s">
        <v>71</v>
      </c>
      <c r="F69" s="8">
        <v>1</v>
      </c>
      <c r="I69" s="8" t="s">
        <v>72</v>
      </c>
      <c r="J69" s="8">
        <v>3</v>
      </c>
      <c r="K69" s="8">
        <v>36</v>
      </c>
    </row>
    <row r="70" spans="1:11">
      <c r="A70" s="8">
        <v>69</v>
      </c>
      <c r="B70" s="8">
        <v>3</v>
      </c>
      <c r="C70" s="8">
        <v>50</v>
      </c>
      <c r="D70" s="8">
        <v>160</v>
      </c>
      <c r="E70" s="8" t="s">
        <v>73</v>
      </c>
      <c r="F70" s="8">
        <v>1</v>
      </c>
      <c r="I70" s="8" t="s">
        <v>74</v>
      </c>
      <c r="J70" s="8">
        <v>3</v>
      </c>
      <c r="K70" s="8">
        <v>37</v>
      </c>
    </row>
    <row r="71" spans="1:11">
      <c r="A71" s="8">
        <v>70</v>
      </c>
      <c r="B71" s="8">
        <v>3</v>
      </c>
      <c r="C71" s="8">
        <v>1</v>
      </c>
      <c r="D71" s="8">
        <v>5</v>
      </c>
      <c r="E71" s="8" t="s">
        <v>75</v>
      </c>
      <c r="F71" s="8">
        <v>1</v>
      </c>
      <c r="I71" s="8" t="s">
        <v>76</v>
      </c>
      <c r="J71" s="8">
        <v>3</v>
      </c>
      <c r="K71" s="8">
        <v>38</v>
      </c>
    </row>
    <row r="72" spans="1:11">
      <c r="A72" s="8">
        <v>71</v>
      </c>
      <c r="B72" s="8">
        <v>3</v>
      </c>
      <c r="C72" s="8">
        <v>5</v>
      </c>
      <c r="D72" s="8">
        <v>5</v>
      </c>
      <c r="E72" s="8" t="s">
        <v>77</v>
      </c>
      <c r="F72" s="8">
        <v>1</v>
      </c>
      <c r="I72" s="8" t="s">
        <v>78</v>
      </c>
      <c r="J72" s="8">
        <v>3</v>
      </c>
      <c r="K72" s="8">
        <v>39</v>
      </c>
    </row>
    <row r="73" spans="1:11">
      <c r="A73" s="8">
        <v>72</v>
      </c>
      <c r="B73" s="8">
        <v>3</v>
      </c>
      <c r="C73" s="8">
        <v>1</v>
      </c>
      <c r="D73" s="8">
        <v>5</v>
      </c>
      <c r="E73" s="8" t="s">
        <v>79</v>
      </c>
      <c r="F73" s="8">
        <v>1</v>
      </c>
      <c r="I73" s="8" t="s">
        <v>80</v>
      </c>
      <c r="J73" s="8">
        <v>3</v>
      </c>
      <c r="K73" s="8">
        <v>40</v>
      </c>
    </row>
    <row r="74" spans="1:11">
      <c r="A74" s="8">
        <v>73</v>
      </c>
      <c r="B74" s="8">
        <v>3</v>
      </c>
      <c r="C74" s="8">
        <v>5</v>
      </c>
      <c r="D74" s="8">
        <v>5</v>
      </c>
      <c r="E74" s="8" t="s">
        <v>81</v>
      </c>
      <c r="F74" s="8">
        <v>1</v>
      </c>
      <c r="I74" s="8" t="s">
        <v>82</v>
      </c>
      <c r="J74" s="8">
        <v>3</v>
      </c>
      <c r="K74" s="8">
        <v>41</v>
      </c>
    </row>
    <row r="75" spans="1:11">
      <c r="A75" s="8">
        <v>74</v>
      </c>
      <c r="B75" s="8">
        <v>3</v>
      </c>
      <c r="C75" s="8">
        <v>5</v>
      </c>
      <c r="D75" s="8">
        <v>5</v>
      </c>
      <c r="E75" s="8" t="s">
        <v>83</v>
      </c>
      <c r="F75" s="8">
        <v>1</v>
      </c>
      <c r="I75" s="8" t="s">
        <v>84</v>
      </c>
      <c r="J75" s="8">
        <v>3</v>
      </c>
      <c r="K75" s="8">
        <v>42</v>
      </c>
    </row>
    <row r="76" spans="1:11">
      <c r="A76" s="8">
        <v>75</v>
      </c>
      <c r="B76" s="8">
        <v>3</v>
      </c>
      <c r="C76" s="8">
        <v>5</v>
      </c>
      <c r="D76" s="8">
        <v>5</v>
      </c>
      <c r="E76" s="8" t="s">
        <v>85</v>
      </c>
      <c r="F76" s="8">
        <v>1</v>
      </c>
      <c r="I76" s="6" t="s">
        <v>86</v>
      </c>
      <c r="J76" s="8">
        <v>3</v>
      </c>
      <c r="K76" s="8">
        <v>43</v>
      </c>
    </row>
    <row r="77" spans="1:11">
      <c r="A77" s="8">
        <v>76</v>
      </c>
      <c r="B77" s="8">
        <v>3</v>
      </c>
      <c r="C77" s="8">
        <v>5</v>
      </c>
      <c r="D77" s="8">
        <v>5</v>
      </c>
      <c r="E77" s="8" t="s">
        <v>87</v>
      </c>
      <c r="F77" s="8">
        <v>1</v>
      </c>
      <c r="I77" s="6" t="s">
        <v>88</v>
      </c>
      <c r="J77" s="8">
        <v>3</v>
      </c>
      <c r="K77" s="8">
        <v>44</v>
      </c>
    </row>
    <row r="78" spans="1:11">
      <c r="A78" s="8">
        <v>77</v>
      </c>
      <c r="B78" s="8">
        <v>3</v>
      </c>
      <c r="C78" s="8">
        <v>5</v>
      </c>
      <c r="D78" s="8">
        <v>5</v>
      </c>
      <c r="E78" s="8" t="s">
        <v>89</v>
      </c>
      <c r="F78" s="8">
        <v>1</v>
      </c>
      <c r="I78" s="6" t="s">
        <v>90</v>
      </c>
      <c r="J78" s="8">
        <v>3</v>
      </c>
      <c r="K78" s="8">
        <v>45</v>
      </c>
    </row>
    <row r="79" spans="1:11">
      <c r="A79" s="8">
        <v>78</v>
      </c>
      <c r="B79" s="8">
        <v>3</v>
      </c>
      <c r="C79" s="8">
        <v>5</v>
      </c>
      <c r="D79" s="8">
        <v>5</v>
      </c>
      <c r="E79" s="8" t="s">
        <v>91</v>
      </c>
      <c r="F79" s="8">
        <v>1</v>
      </c>
      <c r="I79" s="6" t="s">
        <v>92</v>
      </c>
      <c r="J79" s="8">
        <v>3</v>
      </c>
      <c r="K79" s="8">
        <v>46</v>
      </c>
    </row>
    <row r="80" spans="1:11">
      <c r="A80" s="8">
        <v>79</v>
      </c>
      <c r="B80" s="8">
        <v>3</v>
      </c>
      <c r="C80" s="8">
        <v>5</v>
      </c>
      <c r="D80" s="8">
        <v>5</v>
      </c>
      <c r="E80" s="8" t="s">
        <v>93</v>
      </c>
      <c r="F80" s="8">
        <v>1</v>
      </c>
      <c r="I80" s="6" t="s">
        <v>94</v>
      </c>
      <c r="J80" s="8">
        <v>3</v>
      </c>
      <c r="K80" s="8">
        <v>47</v>
      </c>
    </row>
    <row r="81" spans="1:11">
      <c r="A81" s="8">
        <v>80</v>
      </c>
      <c r="B81" s="8">
        <v>3</v>
      </c>
      <c r="C81" s="8">
        <v>1103</v>
      </c>
      <c r="D81" s="8">
        <v>1103</v>
      </c>
      <c r="E81" s="8" t="s">
        <v>34</v>
      </c>
      <c r="I81" s="8" t="s">
        <v>35</v>
      </c>
      <c r="J81" s="8">
        <v>2</v>
      </c>
      <c r="K81" s="8">
        <v>4</v>
      </c>
    </row>
    <row r="82" spans="1:11">
      <c r="A82" s="8">
        <v>81</v>
      </c>
      <c r="B82" s="8">
        <v>3</v>
      </c>
      <c r="C82" s="8">
        <v>1000</v>
      </c>
      <c r="D82" s="8">
        <v>1000</v>
      </c>
      <c r="E82" s="8" t="s">
        <v>36</v>
      </c>
      <c r="I82" s="8" t="s">
        <v>35</v>
      </c>
      <c r="J82" s="8">
        <v>2</v>
      </c>
      <c r="K82" s="8">
        <v>5</v>
      </c>
    </row>
    <row r="83" spans="1:11">
      <c r="A83" s="8">
        <v>82</v>
      </c>
      <c r="B83" s="8">
        <v>3</v>
      </c>
      <c r="C83" s="8">
        <v>400</v>
      </c>
      <c r="D83" s="8">
        <v>400</v>
      </c>
      <c r="E83" s="8" t="s">
        <v>37</v>
      </c>
      <c r="I83" s="8" t="s">
        <v>35</v>
      </c>
      <c r="J83" s="8">
        <v>2</v>
      </c>
      <c r="K83" s="8">
        <v>6</v>
      </c>
    </row>
    <row r="84" spans="1:11">
      <c r="A84" s="8">
        <v>83</v>
      </c>
      <c r="B84" s="8">
        <v>3</v>
      </c>
      <c r="C84" s="8">
        <v>400</v>
      </c>
      <c r="D84" s="8">
        <v>400</v>
      </c>
      <c r="E84" s="8" t="s">
        <v>38</v>
      </c>
      <c r="I84" s="8" t="s">
        <v>35</v>
      </c>
      <c r="J84" s="8">
        <v>2</v>
      </c>
      <c r="K84" s="8">
        <v>7</v>
      </c>
    </row>
    <row r="85" spans="1:11">
      <c r="A85" s="8">
        <v>84</v>
      </c>
      <c r="B85" s="8">
        <v>3</v>
      </c>
      <c r="C85" s="8">
        <v>100</v>
      </c>
      <c r="D85" s="8">
        <v>100</v>
      </c>
      <c r="E85" s="8" t="s">
        <v>95</v>
      </c>
      <c r="F85" s="8">
        <v>1</v>
      </c>
      <c r="I85" s="8" t="s">
        <v>96</v>
      </c>
      <c r="J85" s="8">
        <v>4</v>
      </c>
      <c r="K85" s="8">
        <v>8</v>
      </c>
    </row>
    <row r="86" spans="1:11">
      <c r="A86" s="8">
        <v>85</v>
      </c>
      <c r="B86" s="8">
        <v>3</v>
      </c>
      <c r="C86" s="8">
        <v>200</v>
      </c>
      <c r="D86" s="8">
        <v>200</v>
      </c>
      <c r="E86" s="8" t="s">
        <v>39</v>
      </c>
      <c r="I86" s="8" t="s">
        <v>40</v>
      </c>
      <c r="J86" s="8">
        <v>0</v>
      </c>
      <c r="K86" s="8">
        <v>12</v>
      </c>
    </row>
    <row r="87" spans="1:11">
      <c r="A87" s="8">
        <v>86</v>
      </c>
      <c r="B87" s="8">
        <v>3</v>
      </c>
      <c r="C87" s="8">
        <v>400</v>
      </c>
      <c r="D87" s="8">
        <v>400</v>
      </c>
      <c r="E87" s="8" t="s">
        <v>41</v>
      </c>
      <c r="I87" s="8" t="s">
        <v>40</v>
      </c>
      <c r="J87" s="8">
        <v>0</v>
      </c>
      <c r="K87" s="8">
        <v>11</v>
      </c>
    </row>
    <row r="88" spans="1:11">
      <c r="A88" s="8">
        <v>87</v>
      </c>
      <c r="B88" s="8">
        <v>3</v>
      </c>
      <c r="C88" s="8">
        <v>600</v>
      </c>
      <c r="D88" s="8">
        <v>600</v>
      </c>
      <c r="E88" s="8" t="s">
        <v>42</v>
      </c>
      <c r="I88" s="8" t="s">
        <v>40</v>
      </c>
      <c r="J88" s="8">
        <v>0</v>
      </c>
      <c r="K88" s="8">
        <v>10</v>
      </c>
    </row>
    <row r="89" spans="1:11">
      <c r="A89" s="8">
        <v>88</v>
      </c>
      <c r="B89" s="8">
        <v>3</v>
      </c>
      <c r="C89" s="8">
        <v>800</v>
      </c>
      <c r="D89" s="8">
        <v>800</v>
      </c>
      <c r="E89" s="8" t="s">
        <v>43</v>
      </c>
      <c r="I89" s="8" t="s">
        <v>40</v>
      </c>
      <c r="J89" s="8">
        <v>0</v>
      </c>
      <c r="K89" s="8">
        <v>9</v>
      </c>
    </row>
    <row r="90" spans="1:11" s="7" customFormat="1">
      <c r="A90" s="8">
        <v>89</v>
      </c>
      <c r="B90" s="9">
        <v>3</v>
      </c>
      <c r="C90" s="9">
        <v>400</v>
      </c>
      <c r="D90" s="9">
        <v>400</v>
      </c>
      <c r="E90" s="9" t="s">
        <v>97</v>
      </c>
      <c r="F90" s="9"/>
      <c r="G90" s="9"/>
      <c r="H90" s="9"/>
      <c r="I90" s="9" t="s">
        <v>45</v>
      </c>
      <c r="J90" s="9">
        <v>2</v>
      </c>
      <c r="K90" s="9">
        <v>13</v>
      </c>
    </row>
    <row r="91" spans="1:11">
      <c r="A91" s="8">
        <v>90</v>
      </c>
      <c r="B91" s="8">
        <v>4</v>
      </c>
      <c r="C91" s="8">
        <v>10000</v>
      </c>
      <c r="D91" s="8">
        <v>5000</v>
      </c>
      <c r="E91" s="8" t="s">
        <v>22</v>
      </c>
      <c r="G91" s="8">
        <v>1</v>
      </c>
      <c r="H91" s="8">
        <v>60000</v>
      </c>
      <c r="I91" s="8" t="s">
        <v>23</v>
      </c>
      <c r="J91" s="8">
        <v>0</v>
      </c>
      <c r="K91" s="8">
        <v>1</v>
      </c>
    </row>
    <row r="92" spans="1:11">
      <c r="A92" s="8">
        <v>91</v>
      </c>
      <c r="B92" s="8">
        <v>4</v>
      </c>
      <c r="C92" s="8">
        <v>10000</v>
      </c>
      <c r="D92" s="8">
        <v>5000</v>
      </c>
      <c r="E92" s="8" t="s">
        <v>24</v>
      </c>
      <c r="G92" s="8">
        <v>1</v>
      </c>
      <c r="H92" s="8">
        <v>80000</v>
      </c>
      <c r="I92" s="8" t="s">
        <v>25</v>
      </c>
      <c r="J92" s="8">
        <v>0</v>
      </c>
      <c r="K92" s="8">
        <v>2</v>
      </c>
    </row>
    <row r="93" spans="1:11">
      <c r="A93" s="8">
        <v>92</v>
      </c>
      <c r="B93" s="8">
        <v>4</v>
      </c>
      <c r="C93" s="8">
        <v>750</v>
      </c>
      <c r="D93" s="8">
        <v>750</v>
      </c>
      <c r="E93" s="8" t="s">
        <v>26</v>
      </c>
      <c r="I93" s="8" t="s">
        <v>27</v>
      </c>
      <c r="J93" s="8">
        <v>1</v>
      </c>
      <c r="K93" s="8">
        <v>13</v>
      </c>
    </row>
    <row r="94" spans="1:11">
      <c r="A94" s="8">
        <v>93</v>
      </c>
      <c r="B94" s="8">
        <v>4</v>
      </c>
      <c r="C94" s="8">
        <v>750</v>
      </c>
      <c r="D94" s="8">
        <v>750</v>
      </c>
      <c r="E94" s="8" t="s">
        <v>28</v>
      </c>
      <c r="I94" s="8" t="s">
        <v>29</v>
      </c>
      <c r="J94" s="8">
        <v>1</v>
      </c>
      <c r="K94" s="8">
        <v>14</v>
      </c>
    </row>
    <row r="95" spans="1:11">
      <c r="A95" s="8">
        <v>94</v>
      </c>
      <c r="B95" s="8">
        <v>4</v>
      </c>
      <c r="C95" s="8">
        <v>750</v>
      </c>
      <c r="D95" s="8">
        <v>750</v>
      </c>
      <c r="E95" s="8" t="s">
        <v>30</v>
      </c>
      <c r="I95" s="8" t="s">
        <v>31</v>
      </c>
      <c r="J95" s="8">
        <v>1</v>
      </c>
      <c r="K95" s="8">
        <v>15</v>
      </c>
    </row>
    <row r="96" spans="1:11">
      <c r="A96" s="8">
        <v>95</v>
      </c>
      <c r="B96" s="8">
        <v>4</v>
      </c>
      <c r="C96" s="8">
        <v>750</v>
      </c>
      <c r="D96" s="8">
        <v>750</v>
      </c>
      <c r="E96" s="8" t="s">
        <v>32</v>
      </c>
      <c r="I96" s="8" t="s">
        <v>33</v>
      </c>
      <c r="J96" s="8">
        <v>1</v>
      </c>
      <c r="K96" s="8">
        <v>16</v>
      </c>
    </row>
    <row r="97" spans="1:11">
      <c r="A97" s="8">
        <v>96</v>
      </c>
      <c r="B97" s="8">
        <v>4</v>
      </c>
      <c r="C97" s="8">
        <v>1500</v>
      </c>
      <c r="D97" s="8">
        <v>870</v>
      </c>
      <c r="E97" s="8" t="s">
        <v>46</v>
      </c>
      <c r="F97" s="8">
        <v>1</v>
      </c>
      <c r="I97" s="8" t="s">
        <v>27</v>
      </c>
      <c r="J97" s="8">
        <v>2</v>
      </c>
      <c r="K97" s="8">
        <v>17</v>
      </c>
    </row>
    <row r="98" spans="1:11">
      <c r="A98" s="8">
        <v>97</v>
      </c>
      <c r="B98" s="8">
        <v>4</v>
      </c>
      <c r="C98" s="8">
        <v>1500</v>
      </c>
      <c r="D98" s="8">
        <v>880</v>
      </c>
      <c r="E98" s="8" t="s">
        <v>47</v>
      </c>
      <c r="F98" s="8">
        <v>1</v>
      </c>
      <c r="I98" s="8" t="s">
        <v>29</v>
      </c>
      <c r="J98" s="8">
        <v>2</v>
      </c>
      <c r="K98" s="8">
        <v>18</v>
      </c>
    </row>
    <row r="99" spans="1:11">
      <c r="A99" s="8">
        <v>98</v>
      </c>
      <c r="B99" s="8">
        <v>4</v>
      </c>
      <c r="C99" s="8">
        <v>1500</v>
      </c>
      <c r="D99" s="8">
        <v>870</v>
      </c>
      <c r="E99" s="8" t="s">
        <v>48</v>
      </c>
      <c r="F99" s="8">
        <v>1</v>
      </c>
      <c r="I99" s="8" t="s">
        <v>31</v>
      </c>
      <c r="J99" s="8">
        <v>2</v>
      </c>
      <c r="K99" s="8">
        <v>19</v>
      </c>
    </row>
    <row r="100" spans="1:11">
      <c r="A100" s="8">
        <v>99</v>
      </c>
      <c r="B100" s="8">
        <v>4</v>
      </c>
      <c r="C100" s="8">
        <v>500</v>
      </c>
      <c r="D100" s="8">
        <v>880</v>
      </c>
      <c r="E100" s="8" t="s">
        <v>49</v>
      </c>
      <c r="F100" s="8">
        <v>1</v>
      </c>
      <c r="I100" s="8" t="s">
        <v>33</v>
      </c>
      <c r="J100" s="8">
        <v>2</v>
      </c>
      <c r="K100" s="8">
        <v>20</v>
      </c>
    </row>
    <row r="101" spans="1:11">
      <c r="A101" s="8">
        <v>100</v>
      </c>
      <c r="B101" s="8">
        <v>4</v>
      </c>
      <c r="C101" s="8">
        <v>500</v>
      </c>
      <c r="D101" s="8">
        <v>870</v>
      </c>
      <c r="E101" s="8" t="s">
        <v>50</v>
      </c>
      <c r="F101" s="8">
        <v>1</v>
      </c>
      <c r="I101" s="8" t="s">
        <v>51</v>
      </c>
      <c r="J101" s="8">
        <v>2</v>
      </c>
      <c r="K101" s="8">
        <v>21</v>
      </c>
    </row>
    <row r="102" spans="1:11">
      <c r="A102" s="8">
        <v>101</v>
      </c>
      <c r="B102" s="8">
        <v>4</v>
      </c>
      <c r="C102" s="8">
        <v>500</v>
      </c>
      <c r="D102" s="8">
        <v>880</v>
      </c>
      <c r="E102" s="8" t="s">
        <v>52</v>
      </c>
      <c r="F102" s="8">
        <v>1</v>
      </c>
      <c r="I102" s="8" t="s">
        <v>53</v>
      </c>
      <c r="J102" s="8">
        <v>2</v>
      </c>
      <c r="K102" s="8">
        <v>22</v>
      </c>
    </row>
    <row r="103" spans="1:11">
      <c r="A103" s="8">
        <v>102</v>
      </c>
      <c r="B103" s="8">
        <v>4</v>
      </c>
      <c r="C103" s="8">
        <v>500</v>
      </c>
      <c r="D103" s="8">
        <v>870</v>
      </c>
      <c r="E103" s="8" t="s">
        <v>54</v>
      </c>
      <c r="F103" s="8">
        <v>1</v>
      </c>
      <c r="I103" s="8" t="s">
        <v>55</v>
      </c>
      <c r="J103" s="8">
        <v>2</v>
      </c>
      <c r="K103" s="8">
        <v>23</v>
      </c>
    </row>
    <row r="104" spans="1:11">
      <c r="A104" s="8">
        <v>103</v>
      </c>
      <c r="B104" s="8">
        <v>4</v>
      </c>
      <c r="C104" s="8">
        <v>500</v>
      </c>
      <c r="D104" s="8">
        <v>880</v>
      </c>
      <c r="E104" s="8" t="s">
        <v>56</v>
      </c>
      <c r="F104" s="8">
        <v>1</v>
      </c>
      <c r="I104" s="8" t="s">
        <v>57</v>
      </c>
      <c r="J104" s="8">
        <v>2</v>
      </c>
      <c r="K104" s="8">
        <v>24</v>
      </c>
    </row>
    <row r="105" spans="1:11">
      <c r="A105" s="8">
        <v>104</v>
      </c>
      <c r="B105" s="8">
        <v>4</v>
      </c>
      <c r="C105" s="8">
        <v>680</v>
      </c>
      <c r="D105" s="8">
        <v>240</v>
      </c>
      <c r="E105" s="8" t="s">
        <v>59</v>
      </c>
      <c r="F105" s="8">
        <v>1</v>
      </c>
      <c r="I105" s="8" t="s">
        <v>27</v>
      </c>
      <c r="J105" s="8">
        <v>3</v>
      </c>
      <c r="K105" s="8">
        <v>25</v>
      </c>
    </row>
    <row r="106" spans="1:11">
      <c r="A106" s="8">
        <v>105</v>
      </c>
      <c r="B106" s="8">
        <v>4</v>
      </c>
      <c r="C106" s="8">
        <v>680</v>
      </c>
      <c r="D106" s="8">
        <v>240</v>
      </c>
      <c r="E106" s="8" t="s">
        <v>60</v>
      </c>
      <c r="F106" s="8">
        <v>1</v>
      </c>
      <c r="I106" s="8" t="s">
        <v>29</v>
      </c>
      <c r="J106" s="8">
        <v>3</v>
      </c>
      <c r="K106" s="8">
        <v>26</v>
      </c>
    </row>
    <row r="107" spans="1:11">
      <c r="A107" s="8">
        <v>106</v>
      </c>
      <c r="B107" s="8">
        <v>4</v>
      </c>
      <c r="C107" s="8">
        <v>690</v>
      </c>
      <c r="D107" s="8">
        <v>240</v>
      </c>
      <c r="E107" s="8" t="s">
        <v>61</v>
      </c>
      <c r="F107" s="8">
        <v>1</v>
      </c>
      <c r="I107" s="8" t="s">
        <v>31</v>
      </c>
      <c r="J107" s="8">
        <v>3</v>
      </c>
      <c r="K107" s="8">
        <v>27</v>
      </c>
    </row>
    <row r="108" spans="1:11">
      <c r="A108" s="8">
        <v>107</v>
      </c>
      <c r="B108" s="8">
        <v>4</v>
      </c>
      <c r="C108" s="8">
        <v>100</v>
      </c>
      <c r="D108" s="8">
        <v>240</v>
      </c>
      <c r="E108" s="8" t="s">
        <v>62</v>
      </c>
      <c r="F108" s="8">
        <v>1</v>
      </c>
      <c r="I108" s="8" t="s">
        <v>33</v>
      </c>
      <c r="J108" s="8">
        <v>3</v>
      </c>
      <c r="K108" s="8">
        <v>28</v>
      </c>
    </row>
    <row r="109" spans="1:11">
      <c r="A109" s="8">
        <v>108</v>
      </c>
      <c r="B109" s="8">
        <v>4</v>
      </c>
      <c r="C109" s="8">
        <v>100</v>
      </c>
      <c r="D109" s="8">
        <v>240</v>
      </c>
      <c r="E109" s="8" t="s">
        <v>63</v>
      </c>
      <c r="F109" s="8">
        <v>1</v>
      </c>
      <c r="I109" s="8" t="s">
        <v>51</v>
      </c>
      <c r="J109" s="8">
        <v>3</v>
      </c>
      <c r="K109" s="8">
        <v>29</v>
      </c>
    </row>
    <row r="110" spans="1:11">
      <c r="A110" s="8">
        <v>109</v>
      </c>
      <c r="B110" s="8">
        <v>4</v>
      </c>
      <c r="C110" s="8">
        <v>100</v>
      </c>
      <c r="D110" s="8">
        <v>240</v>
      </c>
      <c r="E110" s="8" t="s">
        <v>64</v>
      </c>
      <c r="F110" s="8">
        <v>1</v>
      </c>
      <c r="I110" s="8" t="s">
        <v>53</v>
      </c>
      <c r="J110" s="8">
        <v>3</v>
      </c>
      <c r="K110" s="8">
        <v>30</v>
      </c>
    </row>
    <row r="111" spans="1:11">
      <c r="A111" s="8">
        <v>110</v>
      </c>
      <c r="B111" s="8">
        <v>4</v>
      </c>
      <c r="C111" s="8">
        <v>100</v>
      </c>
      <c r="D111" s="8">
        <v>240</v>
      </c>
      <c r="E111" s="8" t="s">
        <v>65</v>
      </c>
      <c r="F111" s="8">
        <v>1</v>
      </c>
      <c r="I111" s="8" t="s">
        <v>66</v>
      </c>
      <c r="J111" s="8">
        <v>3</v>
      </c>
      <c r="K111" s="8">
        <v>31</v>
      </c>
    </row>
    <row r="112" spans="1:11">
      <c r="A112" s="8">
        <v>111</v>
      </c>
      <c r="B112" s="8">
        <v>4</v>
      </c>
      <c r="C112" s="8">
        <v>100</v>
      </c>
      <c r="D112" s="8">
        <v>240</v>
      </c>
      <c r="E112" s="8" t="s">
        <v>67</v>
      </c>
      <c r="F112" s="8">
        <v>1</v>
      </c>
      <c r="I112" s="8" t="s">
        <v>55</v>
      </c>
      <c r="J112" s="8">
        <v>3</v>
      </c>
      <c r="K112" s="8">
        <v>32</v>
      </c>
    </row>
    <row r="113" spans="1:11">
      <c r="A113" s="8">
        <v>112</v>
      </c>
      <c r="B113" s="8">
        <v>4</v>
      </c>
      <c r="C113" s="8">
        <v>100</v>
      </c>
      <c r="D113" s="8">
        <v>240</v>
      </c>
      <c r="E113" s="8" t="s">
        <v>68</v>
      </c>
      <c r="F113" s="8">
        <v>1</v>
      </c>
      <c r="I113" s="8" t="s">
        <v>69</v>
      </c>
      <c r="J113" s="8">
        <v>3</v>
      </c>
      <c r="K113" s="8">
        <v>33</v>
      </c>
    </row>
    <row r="114" spans="1:11">
      <c r="A114" s="8">
        <v>113</v>
      </c>
      <c r="B114" s="8">
        <v>4</v>
      </c>
      <c r="C114" s="8">
        <v>100</v>
      </c>
      <c r="D114" s="8">
        <v>240</v>
      </c>
      <c r="E114" s="8" t="s">
        <v>70</v>
      </c>
      <c r="F114" s="8">
        <v>1</v>
      </c>
      <c r="I114" s="8" t="s">
        <v>57</v>
      </c>
      <c r="J114" s="8">
        <v>3</v>
      </c>
      <c r="K114" s="8">
        <v>34</v>
      </c>
    </row>
    <row r="115" spans="1:11">
      <c r="A115" s="8">
        <v>114</v>
      </c>
      <c r="B115" s="8">
        <v>4</v>
      </c>
      <c r="C115" s="8">
        <v>100</v>
      </c>
      <c r="D115" s="8">
        <v>240</v>
      </c>
      <c r="E115" s="8" t="s">
        <v>71</v>
      </c>
      <c r="F115" s="8">
        <v>1</v>
      </c>
      <c r="I115" s="8" t="s">
        <v>72</v>
      </c>
      <c r="J115" s="8">
        <v>3</v>
      </c>
      <c r="K115" s="8">
        <v>35</v>
      </c>
    </row>
    <row r="116" spans="1:11">
      <c r="A116" s="8">
        <v>115</v>
      </c>
      <c r="B116" s="8">
        <v>4</v>
      </c>
      <c r="C116" s="8">
        <v>100</v>
      </c>
      <c r="D116" s="8">
        <v>210</v>
      </c>
      <c r="E116" s="8" t="s">
        <v>73</v>
      </c>
      <c r="F116" s="8">
        <v>1</v>
      </c>
      <c r="I116" s="8" t="s">
        <v>74</v>
      </c>
      <c r="J116" s="8">
        <v>3</v>
      </c>
      <c r="K116" s="8">
        <v>36</v>
      </c>
    </row>
    <row r="117" spans="1:11">
      <c r="A117" s="8">
        <v>116</v>
      </c>
      <c r="B117" s="8">
        <v>4</v>
      </c>
      <c r="C117" s="8">
        <v>1</v>
      </c>
      <c r="D117" s="8">
        <v>30</v>
      </c>
      <c r="E117" s="8" t="s">
        <v>75</v>
      </c>
      <c r="F117" s="8">
        <v>1</v>
      </c>
      <c r="I117" s="8" t="s">
        <v>76</v>
      </c>
      <c r="J117" s="8">
        <v>3</v>
      </c>
      <c r="K117" s="8">
        <v>37</v>
      </c>
    </row>
    <row r="118" spans="1:11">
      <c r="A118" s="8">
        <v>117</v>
      </c>
      <c r="B118" s="8">
        <v>4</v>
      </c>
      <c r="C118" s="8">
        <v>5</v>
      </c>
      <c r="D118" s="8">
        <v>30</v>
      </c>
      <c r="E118" s="8" t="s">
        <v>77</v>
      </c>
      <c r="F118" s="8">
        <v>1</v>
      </c>
      <c r="I118" s="8" t="s">
        <v>78</v>
      </c>
      <c r="J118" s="8">
        <v>3</v>
      </c>
      <c r="K118" s="8">
        <v>38</v>
      </c>
    </row>
    <row r="119" spans="1:11">
      <c r="A119" s="8">
        <v>118</v>
      </c>
      <c r="B119" s="8">
        <v>4</v>
      </c>
      <c r="C119" s="8">
        <v>1</v>
      </c>
      <c r="D119" s="8">
        <v>30</v>
      </c>
      <c r="E119" s="8" t="s">
        <v>79</v>
      </c>
      <c r="F119" s="8">
        <v>1</v>
      </c>
      <c r="I119" s="8" t="s">
        <v>80</v>
      </c>
      <c r="J119" s="8">
        <v>3</v>
      </c>
      <c r="K119" s="8">
        <v>39</v>
      </c>
    </row>
    <row r="120" spans="1:11">
      <c r="A120" s="8">
        <v>119</v>
      </c>
      <c r="B120" s="8">
        <v>4</v>
      </c>
      <c r="C120" s="8">
        <v>5</v>
      </c>
      <c r="D120" s="8">
        <v>30</v>
      </c>
      <c r="E120" s="8" t="s">
        <v>81</v>
      </c>
      <c r="F120" s="8">
        <v>1</v>
      </c>
      <c r="I120" s="8" t="s">
        <v>82</v>
      </c>
      <c r="J120" s="8">
        <v>3</v>
      </c>
      <c r="K120" s="8">
        <v>40</v>
      </c>
    </row>
    <row r="121" spans="1:11">
      <c r="A121" s="8">
        <v>120</v>
      </c>
      <c r="B121" s="8">
        <v>4</v>
      </c>
      <c r="C121" s="8">
        <v>5</v>
      </c>
      <c r="D121" s="8">
        <v>30</v>
      </c>
      <c r="E121" s="8" t="s">
        <v>83</v>
      </c>
      <c r="F121" s="8">
        <v>1</v>
      </c>
      <c r="I121" s="8" t="s">
        <v>84</v>
      </c>
      <c r="J121" s="8">
        <v>3</v>
      </c>
      <c r="K121" s="8">
        <v>41</v>
      </c>
    </row>
    <row r="122" spans="1:11">
      <c r="A122" s="8">
        <v>121</v>
      </c>
      <c r="B122" s="8">
        <v>4</v>
      </c>
      <c r="C122" s="8">
        <v>5</v>
      </c>
      <c r="D122" s="8">
        <v>30</v>
      </c>
      <c r="E122" s="8" t="s">
        <v>85</v>
      </c>
      <c r="F122" s="8">
        <v>1</v>
      </c>
      <c r="I122" s="6" t="s">
        <v>86</v>
      </c>
      <c r="J122" s="8">
        <v>3</v>
      </c>
      <c r="K122" s="8">
        <v>42</v>
      </c>
    </row>
    <row r="123" spans="1:11">
      <c r="A123" s="8">
        <v>122</v>
      </c>
      <c r="B123" s="8">
        <v>4</v>
      </c>
      <c r="C123" s="8">
        <v>5</v>
      </c>
      <c r="D123" s="8">
        <v>30</v>
      </c>
      <c r="E123" s="8" t="s">
        <v>87</v>
      </c>
      <c r="F123" s="8">
        <v>1</v>
      </c>
      <c r="I123" s="6" t="s">
        <v>88</v>
      </c>
      <c r="J123" s="8">
        <v>3</v>
      </c>
      <c r="K123" s="8">
        <v>43</v>
      </c>
    </row>
    <row r="124" spans="1:11">
      <c r="A124" s="8">
        <v>123</v>
      </c>
      <c r="B124" s="8">
        <v>4</v>
      </c>
      <c r="C124" s="8">
        <v>5</v>
      </c>
      <c r="D124" s="8">
        <v>30</v>
      </c>
      <c r="E124" s="8" t="s">
        <v>89</v>
      </c>
      <c r="F124" s="8">
        <v>1</v>
      </c>
      <c r="I124" s="6" t="s">
        <v>90</v>
      </c>
      <c r="J124" s="8">
        <v>3</v>
      </c>
      <c r="K124" s="8">
        <v>44</v>
      </c>
    </row>
    <row r="125" spans="1:11">
      <c r="A125" s="8">
        <v>124</v>
      </c>
      <c r="B125" s="8">
        <v>4</v>
      </c>
      <c r="C125" s="8">
        <v>5</v>
      </c>
      <c r="D125" s="8">
        <v>30</v>
      </c>
      <c r="E125" s="8" t="s">
        <v>91</v>
      </c>
      <c r="F125" s="8">
        <v>1</v>
      </c>
      <c r="I125" s="6" t="s">
        <v>92</v>
      </c>
      <c r="J125" s="8">
        <v>3</v>
      </c>
      <c r="K125" s="8">
        <v>45</v>
      </c>
    </row>
    <row r="126" spans="1:11">
      <c r="A126" s="8">
        <v>125</v>
      </c>
      <c r="B126" s="8">
        <v>4</v>
      </c>
      <c r="C126" s="8">
        <v>5</v>
      </c>
      <c r="D126" s="8">
        <v>30</v>
      </c>
      <c r="E126" s="8" t="s">
        <v>93</v>
      </c>
      <c r="F126" s="8">
        <v>1</v>
      </c>
      <c r="I126" s="6" t="s">
        <v>94</v>
      </c>
      <c r="J126" s="8">
        <v>3</v>
      </c>
      <c r="K126" s="8">
        <v>46</v>
      </c>
    </row>
    <row r="127" spans="1:11">
      <c r="A127" s="8">
        <v>126</v>
      </c>
      <c r="B127" s="8">
        <v>4</v>
      </c>
      <c r="C127" s="8">
        <v>300</v>
      </c>
      <c r="D127" s="8">
        <v>200</v>
      </c>
      <c r="E127" s="8" t="s">
        <v>98</v>
      </c>
      <c r="F127" s="8">
        <v>1</v>
      </c>
      <c r="I127" s="8" t="s">
        <v>27</v>
      </c>
      <c r="J127" s="8">
        <v>4</v>
      </c>
      <c r="K127" s="8">
        <v>47</v>
      </c>
    </row>
    <row r="128" spans="1:11">
      <c r="A128" s="8">
        <v>127</v>
      </c>
      <c r="B128" s="8">
        <v>4</v>
      </c>
      <c r="C128" s="8">
        <v>300</v>
      </c>
      <c r="D128" s="8">
        <v>200</v>
      </c>
      <c r="E128" s="8" t="s">
        <v>99</v>
      </c>
      <c r="F128" s="8">
        <v>1</v>
      </c>
      <c r="I128" s="8" t="s">
        <v>29</v>
      </c>
      <c r="J128" s="8">
        <v>4</v>
      </c>
      <c r="K128" s="8">
        <v>48</v>
      </c>
    </row>
    <row r="129" spans="1:11">
      <c r="A129" s="8">
        <v>128</v>
      </c>
      <c r="B129" s="8">
        <v>4</v>
      </c>
      <c r="C129" s="8">
        <v>100</v>
      </c>
      <c r="D129" s="8">
        <v>200</v>
      </c>
      <c r="E129" s="8" t="s">
        <v>100</v>
      </c>
      <c r="F129" s="8">
        <v>1</v>
      </c>
      <c r="I129" s="8" t="s">
        <v>31</v>
      </c>
      <c r="J129" s="8">
        <v>4</v>
      </c>
      <c r="K129" s="8">
        <v>49</v>
      </c>
    </row>
    <row r="130" spans="1:11">
      <c r="A130" s="8">
        <v>129</v>
      </c>
      <c r="B130" s="8">
        <v>4</v>
      </c>
      <c r="C130" s="8">
        <v>100</v>
      </c>
      <c r="D130" s="8">
        <v>200</v>
      </c>
      <c r="E130" s="8" t="s">
        <v>101</v>
      </c>
      <c r="F130" s="8">
        <v>1</v>
      </c>
      <c r="I130" s="8" t="s">
        <v>33</v>
      </c>
      <c r="J130" s="8">
        <v>4</v>
      </c>
      <c r="K130" s="8">
        <v>50</v>
      </c>
    </row>
    <row r="131" spans="1:11">
      <c r="A131" s="8">
        <v>130</v>
      </c>
      <c r="B131" s="8">
        <v>4</v>
      </c>
      <c r="C131" s="8">
        <v>20</v>
      </c>
      <c r="D131" s="8">
        <v>80</v>
      </c>
      <c r="E131" s="8" t="s">
        <v>102</v>
      </c>
      <c r="F131" s="8">
        <v>1</v>
      </c>
      <c r="I131" s="8" t="s">
        <v>51</v>
      </c>
      <c r="J131" s="8">
        <v>4</v>
      </c>
      <c r="K131" s="8">
        <v>51</v>
      </c>
    </row>
    <row r="132" spans="1:11">
      <c r="A132" s="8">
        <v>131</v>
      </c>
      <c r="B132" s="8">
        <v>4</v>
      </c>
      <c r="C132" s="8">
        <v>10</v>
      </c>
      <c r="D132" s="8">
        <v>80</v>
      </c>
      <c r="E132" s="8" t="s">
        <v>103</v>
      </c>
      <c r="F132" s="8">
        <v>1</v>
      </c>
      <c r="I132" s="8" t="s">
        <v>53</v>
      </c>
      <c r="J132" s="8">
        <v>4</v>
      </c>
      <c r="K132" s="8">
        <v>52</v>
      </c>
    </row>
    <row r="133" spans="1:11">
      <c r="A133" s="8">
        <v>132</v>
      </c>
      <c r="B133" s="8">
        <v>4</v>
      </c>
      <c r="C133" s="8">
        <v>20</v>
      </c>
      <c r="D133" s="8">
        <v>80</v>
      </c>
      <c r="E133" s="8" t="s">
        <v>104</v>
      </c>
      <c r="F133" s="8">
        <v>1</v>
      </c>
      <c r="I133" s="8" t="s">
        <v>66</v>
      </c>
      <c r="J133" s="8">
        <v>4</v>
      </c>
      <c r="K133" s="8">
        <v>53</v>
      </c>
    </row>
    <row r="134" spans="1:11">
      <c r="A134" s="8">
        <v>133</v>
      </c>
      <c r="B134" s="8">
        <v>4</v>
      </c>
      <c r="C134" s="8">
        <v>20</v>
      </c>
      <c r="D134" s="8">
        <v>80</v>
      </c>
      <c r="E134" s="8" t="s">
        <v>105</v>
      </c>
      <c r="F134" s="8">
        <v>1</v>
      </c>
      <c r="I134" s="8" t="s">
        <v>55</v>
      </c>
      <c r="J134" s="8">
        <v>4</v>
      </c>
      <c r="K134" s="8">
        <v>54</v>
      </c>
    </row>
    <row r="135" spans="1:11">
      <c r="A135" s="8">
        <v>134</v>
      </c>
      <c r="B135" s="8">
        <v>4</v>
      </c>
      <c r="C135" s="8">
        <v>20</v>
      </c>
      <c r="D135" s="8">
        <v>80</v>
      </c>
      <c r="E135" s="8" t="s">
        <v>106</v>
      </c>
      <c r="F135" s="8">
        <v>1</v>
      </c>
      <c r="I135" s="8" t="s">
        <v>69</v>
      </c>
      <c r="J135" s="8">
        <v>4</v>
      </c>
      <c r="K135" s="8">
        <v>55</v>
      </c>
    </row>
    <row r="136" spans="1:11">
      <c r="A136" s="8">
        <v>135</v>
      </c>
      <c r="B136" s="8">
        <v>4</v>
      </c>
      <c r="C136" s="8">
        <v>20</v>
      </c>
      <c r="D136" s="8">
        <v>80</v>
      </c>
      <c r="E136" s="8" t="s">
        <v>107</v>
      </c>
      <c r="F136" s="8">
        <v>1</v>
      </c>
      <c r="I136" s="8" t="s">
        <v>57</v>
      </c>
      <c r="J136" s="8">
        <v>4</v>
      </c>
      <c r="K136" s="8">
        <v>56</v>
      </c>
    </row>
    <row r="137" spans="1:11">
      <c r="A137" s="8">
        <v>136</v>
      </c>
      <c r="B137" s="8">
        <v>4</v>
      </c>
      <c r="C137" s="8">
        <v>20</v>
      </c>
      <c r="D137" s="8">
        <v>80</v>
      </c>
      <c r="E137" s="8" t="s">
        <v>108</v>
      </c>
      <c r="F137" s="8">
        <v>1</v>
      </c>
      <c r="I137" s="8" t="s">
        <v>72</v>
      </c>
      <c r="J137" s="8">
        <v>4</v>
      </c>
      <c r="K137" s="8">
        <v>57</v>
      </c>
    </row>
    <row r="138" spans="1:11">
      <c r="A138" s="8">
        <v>137</v>
      </c>
      <c r="B138" s="8">
        <v>4</v>
      </c>
      <c r="C138" s="8">
        <v>20</v>
      </c>
      <c r="D138" s="8">
        <v>80</v>
      </c>
      <c r="E138" s="8" t="s">
        <v>109</v>
      </c>
      <c r="F138" s="8">
        <v>1</v>
      </c>
      <c r="I138" s="8" t="s">
        <v>74</v>
      </c>
      <c r="J138" s="8">
        <v>4</v>
      </c>
      <c r="K138" s="8">
        <v>58</v>
      </c>
    </row>
    <row r="139" spans="1:11">
      <c r="A139" s="8">
        <v>138</v>
      </c>
      <c r="B139" s="8">
        <v>4</v>
      </c>
      <c r="C139" s="8">
        <v>1</v>
      </c>
      <c r="D139" s="8">
        <v>20</v>
      </c>
      <c r="E139" s="8" t="s">
        <v>110</v>
      </c>
      <c r="F139" s="8">
        <v>1</v>
      </c>
      <c r="I139" s="8" t="s">
        <v>76</v>
      </c>
      <c r="J139" s="8">
        <v>4</v>
      </c>
      <c r="K139" s="8">
        <v>59</v>
      </c>
    </row>
    <row r="140" spans="1:11">
      <c r="A140" s="8">
        <v>139</v>
      </c>
      <c r="B140" s="8">
        <v>4</v>
      </c>
      <c r="C140" s="8">
        <v>5</v>
      </c>
      <c r="D140" s="8">
        <v>20</v>
      </c>
      <c r="E140" s="8" t="s">
        <v>111</v>
      </c>
      <c r="F140" s="8">
        <v>1</v>
      </c>
      <c r="I140" s="8" t="s">
        <v>78</v>
      </c>
      <c r="J140" s="8">
        <v>4</v>
      </c>
      <c r="K140" s="8">
        <v>60</v>
      </c>
    </row>
    <row r="141" spans="1:11">
      <c r="A141" s="8">
        <v>140</v>
      </c>
      <c r="B141" s="8">
        <v>4</v>
      </c>
      <c r="C141" s="8">
        <v>1</v>
      </c>
      <c r="D141" s="8">
        <v>20</v>
      </c>
      <c r="E141" s="8" t="s">
        <v>112</v>
      </c>
      <c r="F141" s="8">
        <v>1</v>
      </c>
      <c r="I141" s="8" t="s">
        <v>80</v>
      </c>
      <c r="J141" s="8">
        <v>4</v>
      </c>
      <c r="K141" s="8">
        <v>61</v>
      </c>
    </row>
    <row r="142" spans="1:11">
      <c r="A142" s="8">
        <v>141</v>
      </c>
      <c r="B142" s="8">
        <v>4</v>
      </c>
      <c r="C142" s="8">
        <v>5</v>
      </c>
      <c r="D142" s="8">
        <v>20</v>
      </c>
      <c r="E142" s="8" t="s">
        <v>113</v>
      </c>
      <c r="F142" s="8">
        <v>1</v>
      </c>
      <c r="I142" s="8" t="s">
        <v>82</v>
      </c>
      <c r="J142" s="8">
        <v>4</v>
      </c>
      <c r="K142" s="8">
        <v>62</v>
      </c>
    </row>
    <row r="143" spans="1:11">
      <c r="A143" s="8">
        <v>142</v>
      </c>
      <c r="B143" s="8">
        <v>4</v>
      </c>
      <c r="C143" s="8">
        <v>5</v>
      </c>
      <c r="D143" s="8">
        <v>20</v>
      </c>
      <c r="E143" s="8" t="s">
        <v>114</v>
      </c>
      <c r="F143" s="8">
        <v>1</v>
      </c>
      <c r="I143" s="8" t="s">
        <v>84</v>
      </c>
      <c r="J143" s="8">
        <v>4</v>
      </c>
      <c r="K143" s="8">
        <v>63</v>
      </c>
    </row>
    <row r="144" spans="1:11">
      <c r="A144" s="8">
        <v>143</v>
      </c>
      <c r="B144" s="8">
        <v>4</v>
      </c>
      <c r="C144" s="8">
        <v>5</v>
      </c>
      <c r="D144" s="8">
        <v>20</v>
      </c>
      <c r="E144" s="8" t="s">
        <v>115</v>
      </c>
      <c r="F144" s="8">
        <v>1</v>
      </c>
      <c r="I144" s="6" t="s">
        <v>86</v>
      </c>
      <c r="J144" s="8">
        <v>4</v>
      </c>
      <c r="K144" s="8">
        <v>64</v>
      </c>
    </row>
    <row r="145" spans="1:11">
      <c r="A145" s="8">
        <v>144</v>
      </c>
      <c r="B145" s="8">
        <v>4</v>
      </c>
      <c r="C145" s="8">
        <v>5</v>
      </c>
      <c r="D145" s="8">
        <v>20</v>
      </c>
      <c r="E145" s="8" t="s">
        <v>116</v>
      </c>
      <c r="F145" s="8">
        <v>1</v>
      </c>
      <c r="I145" s="6" t="s">
        <v>88</v>
      </c>
      <c r="J145" s="8">
        <v>4</v>
      </c>
      <c r="K145" s="8">
        <v>65</v>
      </c>
    </row>
    <row r="146" spans="1:11">
      <c r="A146" s="8">
        <v>145</v>
      </c>
      <c r="B146" s="8">
        <v>4</v>
      </c>
      <c r="C146" s="8">
        <v>5</v>
      </c>
      <c r="D146" s="8">
        <v>20</v>
      </c>
      <c r="E146" s="8" t="s">
        <v>117</v>
      </c>
      <c r="F146" s="8">
        <v>1</v>
      </c>
      <c r="I146" s="6" t="s">
        <v>90</v>
      </c>
      <c r="J146" s="8">
        <v>4</v>
      </c>
      <c r="K146" s="8">
        <v>66</v>
      </c>
    </row>
    <row r="147" spans="1:11">
      <c r="A147" s="8">
        <v>146</v>
      </c>
      <c r="B147" s="8">
        <v>4</v>
      </c>
      <c r="C147" s="8">
        <v>5</v>
      </c>
      <c r="D147" s="8">
        <v>20</v>
      </c>
      <c r="E147" s="8" t="s">
        <v>118</v>
      </c>
      <c r="F147" s="8">
        <v>1</v>
      </c>
      <c r="I147" s="6" t="s">
        <v>92</v>
      </c>
      <c r="J147" s="8">
        <v>4</v>
      </c>
      <c r="K147" s="8">
        <v>67</v>
      </c>
    </row>
    <row r="148" spans="1:11">
      <c r="A148" s="8">
        <v>147</v>
      </c>
      <c r="B148" s="8">
        <v>4</v>
      </c>
      <c r="C148" s="8">
        <v>5</v>
      </c>
      <c r="D148" s="8">
        <v>20</v>
      </c>
      <c r="E148" s="8" t="s">
        <v>119</v>
      </c>
      <c r="F148" s="8">
        <v>1</v>
      </c>
      <c r="I148" s="6" t="s">
        <v>94</v>
      </c>
      <c r="J148" s="8">
        <v>4</v>
      </c>
      <c r="K148" s="8">
        <v>68</v>
      </c>
    </row>
    <row r="149" spans="1:11">
      <c r="A149" s="8">
        <v>148</v>
      </c>
      <c r="B149" s="8">
        <v>4</v>
      </c>
      <c r="C149" s="8">
        <v>12000</v>
      </c>
      <c r="D149" s="8">
        <v>11990</v>
      </c>
      <c r="E149" s="8" t="s">
        <v>34</v>
      </c>
      <c r="I149" s="8" t="s">
        <v>35</v>
      </c>
      <c r="J149" s="8">
        <v>2</v>
      </c>
      <c r="K149" s="8">
        <v>3</v>
      </c>
    </row>
    <row r="150" spans="1:11">
      <c r="A150" s="8">
        <v>149</v>
      </c>
      <c r="B150" s="8">
        <v>4</v>
      </c>
      <c r="C150" s="8">
        <v>11000</v>
      </c>
      <c r="D150" s="8">
        <v>11000</v>
      </c>
      <c r="E150" s="8" t="s">
        <v>36</v>
      </c>
      <c r="I150" s="8" t="s">
        <v>35</v>
      </c>
      <c r="J150" s="8">
        <v>2</v>
      </c>
      <c r="K150" s="8">
        <v>4</v>
      </c>
    </row>
    <row r="151" spans="1:11">
      <c r="A151" s="8">
        <v>150</v>
      </c>
      <c r="B151" s="8">
        <v>4</v>
      </c>
      <c r="C151" s="8">
        <v>4000</v>
      </c>
      <c r="D151" s="8">
        <v>4000</v>
      </c>
      <c r="E151" s="8" t="s">
        <v>37</v>
      </c>
      <c r="I151" s="8" t="s">
        <v>35</v>
      </c>
      <c r="J151" s="8">
        <v>2</v>
      </c>
      <c r="K151" s="8">
        <v>5</v>
      </c>
    </row>
    <row r="152" spans="1:11">
      <c r="A152" s="8">
        <v>151</v>
      </c>
      <c r="B152" s="8">
        <v>4</v>
      </c>
      <c r="C152" s="8">
        <v>4000</v>
      </c>
      <c r="D152" s="8">
        <v>4000</v>
      </c>
      <c r="E152" s="8" t="s">
        <v>38</v>
      </c>
      <c r="I152" s="8" t="s">
        <v>35</v>
      </c>
      <c r="J152" s="8">
        <v>2</v>
      </c>
      <c r="K152" s="8">
        <v>6</v>
      </c>
    </row>
    <row r="153" spans="1:11">
      <c r="A153" s="8">
        <v>152</v>
      </c>
      <c r="B153" s="8">
        <v>4</v>
      </c>
      <c r="C153" s="8">
        <v>2000</v>
      </c>
      <c r="D153" s="8">
        <v>4470</v>
      </c>
      <c r="E153" s="8" t="s">
        <v>95</v>
      </c>
      <c r="F153" s="8">
        <v>1</v>
      </c>
      <c r="I153" s="8" t="s">
        <v>96</v>
      </c>
      <c r="J153" s="8">
        <v>4</v>
      </c>
      <c r="K153" s="8">
        <v>7</v>
      </c>
    </row>
    <row r="154" spans="1:11">
      <c r="A154" s="8">
        <v>153</v>
      </c>
      <c r="B154" s="8">
        <v>4</v>
      </c>
      <c r="C154" s="8">
        <v>2500</v>
      </c>
      <c r="D154" s="8">
        <v>2500</v>
      </c>
      <c r="E154" s="8" t="s">
        <v>39</v>
      </c>
      <c r="I154" s="8" t="s">
        <v>40</v>
      </c>
      <c r="J154" s="8">
        <v>0</v>
      </c>
      <c r="K154" s="8">
        <v>11</v>
      </c>
    </row>
    <row r="155" spans="1:11">
      <c r="A155" s="8">
        <v>154</v>
      </c>
      <c r="B155" s="8">
        <v>4</v>
      </c>
      <c r="C155" s="8">
        <v>5000</v>
      </c>
      <c r="D155" s="8">
        <v>5000</v>
      </c>
      <c r="E155" s="8" t="s">
        <v>41</v>
      </c>
      <c r="I155" s="8" t="s">
        <v>40</v>
      </c>
      <c r="J155" s="8">
        <v>0</v>
      </c>
      <c r="K155" s="8">
        <v>10</v>
      </c>
    </row>
    <row r="156" spans="1:11">
      <c r="A156" s="8">
        <v>155</v>
      </c>
      <c r="B156" s="8">
        <v>4</v>
      </c>
      <c r="C156" s="8">
        <v>7500</v>
      </c>
      <c r="D156" s="8">
        <v>7500</v>
      </c>
      <c r="E156" s="8" t="s">
        <v>42</v>
      </c>
      <c r="I156" s="8" t="s">
        <v>40</v>
      </c>
      <c r="J156" s="8">
        <v>0</v>
      </c>
      <c r="K156" s="8">
        <v>9</v>
      </c>
    </row>
    <row r="157" spans="1:11">
      <c r="A157" s="8">
        <v>156</v>
      </c>
      <c r="B157" s="8">
        <v>4</v>
      </c>
      <c r="C157" s="8">
        <v>10000</v>
      </c>
      <c r="D157" s="8">
        <v>10000</v>
      </c>
      <c r="E157" s="8" t="s">
        <v>43</v>
      </c>
      <c r="I157" s="8" t="s">
        <v>40</v>
      </c>
      <c r="J157" s="8">
        <v>0</v>
      </c>
      <c r="K157" s="8">
        <v>8</v>
      </c>
    </row>
    <row r="158" spans="1:11" s="7" customFormat="1">
      <c r="A158" s="8">
        <v>157</v>
      </c>
      <c r="B158" s="9">
        <v>4</v>
      </c>
      <c r="C158" s="9">
        <v>8000</v>
      </c>
      <c r="D158" s="9">
        <v>150000</v>
      </c>
      <c r="E158" s="9" t="s">
        <v>120</v>
      </c>
      <c r="F158" s="9">
        <v>1</v>
      </c>
      <c r="G158" s="9"/>
      <c r="H158" s="9"/>
      <c r="I158" s="9" t="s">
        <v>45</v>
      </c>
      <c r="J158" s="9">
        <v>2</v>
      </c>
      <c r="K158" s="9">
        <v>12</v>
      </c>
    </row>
    <row r="159" spans="1:11">
      <c r="A159" s="8">
        <v>158</v>
      </c>
      <c r="B159" s="8">
        <v>5</v>
      </c>
      <c r="C159" s="8">
        <v>250</v>
      </c>
      <c r="D159" s="8">
        <v>250</v>
      </c>
      <c r="E159" s="8" t="s">
        <v>18</v>
      </c>
      <c r="G159" s="8">
        <v>1</v>
      </c>
      <c r="H159" s="8">
        <v>20000</v>
      </c>
      <c r="I159" s="8" t="s">
        <v>19</v>
      </c>
      <c r="J159" s="8">
        <v>0</v>
      </c>
    </row>
    <row r="160" spans="1:11">
      <c r="A160" s="8">
        <v>159</v>
      </c>
      <c r="B160" s="8">
        <v>6</v>
      </c>
      <c r="C160" s="8">
        <v>250</v>
      </c>
      <c r="D160" s="8">
        <v>250</v>
      </c>
      <c r="E160" s="8" t="s">
        <v>20</v>
      </c>
      <c r="G160" s="8">
        <v>1</v>
      </c>
      <c r="H160" s="8">
        <v>40000</v>
      </c>
      <c r="I160" s="8" t="s">
        <v>21</v>
      </c>
      <c r="J160" s="8">
        <v>0</v>
      </c>
    </row>
    <row r="161" spans="1:11">
      <c r="A161" s="8">
        <v>160</v>
      </c>
      <c r="B161" s="8">
        <v>7</v>
      </c>
      <c r="C161" s="8">
        <v>250</v>
      </c>
      <c r="D161" s="8">
        <v>250</v>
      </c>
      <c r="E161" s="8" t="s">
        <v>22</v>
      </c>
      <c r="G161" s="8">
        <v>1</v>
      </c>
      <c r="H161" s="8">
        <v>60000</v>
      </c>
      <c r="I161" s="8" t="s">
        <v>23</v>
      </c>
      <c r="J161" s="8">
        <v>0</v>
      </c>
    </row>
    <row r="162" spans="1:11">
      <c r="A162" s="8">
        <v>161</v>
      </c>
      <c r="B162" s="8">
        <v>8</v>
      </c>
      <c r="C162" s="8">
        <v>250</v>
      </c>
      <c r="D162" s="8">
        <v>250</v>
      </c>
      <c r="E162" s="8" t="s">
        <v>24</v>
      </c>
      <c r="G162" s="8">
        <v>1</v>
      </c>
      <c r="H162" s="8">
        <v>80000</v>
      </c>
      <c r="I162" s="8" t="s">
        <v>25</v>
      </c>
      <c r="J162" s="8">
        <v>0</v>
      </c>
    </row>
    <row r="163" spans="1:11">
      <c r="A163" s="8">
        <v>162</v>
      </c>
      <c r="B163" s="10">
        <v>101</v>
      </c>
      <c r="C163" s="10">
        <v>1250</v>
      </c>
      <c r="D163" s="10">
        <v>1250</v>
      </c>
      <c r="E163" s="10" t="s">
        <v>18</v>
      </c>
      <c r="F163" s="10"/>
      <c r="G163" s="10">
        <v>1</v>
      </c>
      <c r="H163" s="10">
        <v>20000</v>
      </c>
      <c r="I163" s="10" t="s">
        <v>19</v>
      </c>
      <c r="J163" s="10">
        <v>0</v>
      </c>
      <c r="K163" s="8">
        <v>1</v>
      </c>
    </row>
    <row r="164" spans="1:11">
      <c r="A164" s="8">
        <v>163</v>
      </c>
      <c r="B164" s="8">
        <v>101</v>
      </c>
      <c r="C164" s="8">
        <v>1250</v>
      </c>
      <c r="D164" s="8">
        <v>1250</v>
      </c>
      <c r="E164" s="8" t="s">
        <v>20</v>
      </c>
      <c r="G164" s="8">
        <v>1</v>
      </c>
      <c r="H164" s="8">
        <v>40000</v>
      </c>
      <c r="I164" s="8" t="s">
        <v>21</v>
      </c>
      <c r="J164" s="8">
        <v>0</v>
      </c>
      <c r="K164" s="8">
        <v>2</v>
      </c>
    </row>
    <row r="165" spans="1:11">
      <c r="A165" s="8">
        <v>164</v>
      </c>
      <c r="B165" s="8">
        <v>101</v>
      </c>
      <c r="C165" s="8">
        <v>1250</v>
      </c>
      <c r="D165" s="8">
        <v>1250</v>
      </c>
      <c r="E165" s="8" t="s">
        <v>22</v>
      </c>
      <c r="G165" s="8">
        <v>1</v>
      </c>
      <c r="H165" s="8">
        <v>60000</v>
      </c>
      <c r="I165" s="8" t="s">
        <v>23</v>
      </c>
      <c r="J165" s="8">
        <v>0</v>
      </c>
      <c r="K165" s="8">
        <v>3</v>
      </c>
    </row>
    <row r="166" spans="1:11">
      <c r="A166" s="8">
        <v>165</v>
      </c>
      <c r="B166" s="8">
        <v>101</v>
      </c>
      <c r="C166" s="8">
        <v>1250</v>
      </c>
      <c r="D166" s="8">
        <v>1250</v>
      </c>
      <c r="E166" s="8" t="s">
        <v>24</v>
      </c>
      <c r="G166" s="8">
        <v>1</v>
      </c>
      <c r="H166" s="8">
        <v>80000</v>
      </c>
      <c r="I166" s="8" t="s">
        <v>25</v>
      </c>
      <c r="J166" s="8">
        <v>0</v>
      </c>
      <c r="K166" s="8">
        <v>4</v>
      </c>
    </row>
    <row r="167" spans="1:11">
      <c r="A167" s="8">
        <v>166</v>
      </c>
      <c r="B167" s="8">
        <v>101</v>
      </c>
      <c r="C167" s="8">
        <v>100</v>
      </c>
      <c r="D167" s="8">
        <v>100</v>
      </c>
      <c r="E167" s="8" t="s">
        <v>26</v>
      </c>
      <c r="I167" s="8" t="s">
        <v>27</v>
      </c>
      <c r="J167" s="8">
        <v>1</v>
      </c>
      <c r="K167" s="8">
        <v>14</v>
      </c>
    </row>
    <row r="168" spans="1:11">
      <c r="A168" s="8">
        <v>167</v>
      </c>
      <c r="B168" s="8">
        <v>101</v>
      </c>
      <c r="C168" s="8">
        <v>100</v>
      </c>
      <c r="D168" s="8">
        <v>100</v>
      </c>
      <c r="E168" s="8" t="s">
        <v>28</v>
      </c>
      <c r="I168" s="8" t="s">
        <v>29</v>
      </c>
      <c r="J168" s="8">
        <v>1</v>
      </c>
      <c r="K168" s="8">
        <v>15</v>
      </c>
    </row>
    <row r="169" spans="1:11">
      <c r="A169" s="8">
        <v>168</v>
      </c>
      <c r="B169" s="8">
        <v>101</v>
      </c>
      <c r="C169" s="8">
        <v>100</v>
      </c>
      <c r="D169" s="8">
        <v>100</v>
      </c>
      <c r="E169" s="8" t="s">
        <v>30</v>
      </c>
      <c r="I169" s="8" t="s">
        <v>31</v>
      </c>
      <c r="J169" s="8">
        <v>1</v>
      </c>
      <c r="K169" s="8">
        <v>16</v>
      </c>
    </row>
    <row r="170" spans="1:11">
      <c r="A170" s="8">
        <v>169</v>
      </c>
      <c r="B170" s="8">
        <v>101</v>
      </c>
      <c r="C170" s="8">
        <v>100</v>
      </c>
      <c r="D170" s="8">
        <v>100</v>
      </c>
      <c r="E170" s="8" t="s">
        <v>32</v>
      </c>
      <c r="I170" s="8" t="s">
        <v>33</v>
      </c>
      <c r="J170" s="8">
        <v>1</v>
      </c>
      <c r="K170" s="8">
        <v>17</v>
      </c>
    </row>
    <row r="171" spans="1:11">
      <c r="A171" s="8">
        <v>170</v>
      </c>
      <c r="B171" s="8">
        <v>101</v>
      </c>
      <c r="C171" s="8">
        <v>1500</v>
      </c>
      <c r="D171" s="8">
        <v>1500</v>
      </c>
      <c r="E171" s="8" t="s">
        <v>34</v>
      </c>
      <c r="I171" s="8" t="s">
        <v>35</v>
      </c>
      <c r="J171" s="8">
        <v>2</v>
      </c>
      <c r="K171" s="8">
        <v>5</v>
      </c>
    </row>
    <row r="172" spans="1:11">
      <c r="A172" s="8">
        <v>171</v>
      </c>
      <c r="B172" s="8">
        <v>101</v>
      </c>
      <c r="C172" s="8">
        <v>1000</v>
      </c>
      <c r="D172" s="8">
        <v>1000</v>
      </c>
      <c r="E172" s="8" t="s">
        <v>36</v>
      </c>
      <c r="I172" s="8" t="s">
        <v>35</v>
      </c>
      <c r="J172" s="8">
        <v>2</v>
      </c>
      <c r="K172" s="8">
        <v>6</v>
      </c>
    </row>
    <row r="173" spans="1:11">
      <c r="A173" s="8">
        <v>172</v>
      </c>
      <c r="B173" s="8">
        <v>101</v>
      </c>
      <c r="C173" s="8">
        <v>500</v>
      </c>
      <c r="D173" s="8">
        <v>500</v>
      </c>
      <c r="E173" s="8" t="s">
        <v>37</v>
      </c>
      <c r="I173" s="8" t="s">
        <v>35</v>
      </c>
      <c r="J173" s="8">
        <v>2</v>
      </c>
      <c r="K173" s="8">
        <v>7</v>
      </c>
    </row>
    <row r="174" spans="1:11">
      <c r="A174" s="8">
        <v>173</v>
      </c>
      <c r="B174" s="8">
        <v>101</v>
      </c>
      <c r="C174" s="8">
        <v>500</v>
      </c>
      <c r="D174" s="8">
        <v>500</v>
      </c>
      <c r="E174" s="8" t="s">
        <v>38</v>
      </c>
      <c r="I174" s="8" t="s">
        <v>35</v>
      </c>
      <c r="J174" s="8">
        <v>2</v>
      </c>
      <c r="K174" s="8">
        <v>8</v>
      </c>
    </row>
    <row r="175" spans="1:11">
      <c r="A175" s="8">
        <v>174</v>
      </c>
      <c r="B175" s="8">
        <v>101</v>
      </c>
      <c r="C175" s="8">
        <v>100</v>
      </c>
      <c r="D175" s="8">
        <v>100</v>
      </c>
      <c r="E175" s="8" t="s">
        <v>39</v>
      </c>
      <c r="I175" s="8" t="s">
        <v>40</v>
      </c>
      <c r="J175" s="8">
        <v>0</v>
      </c>
      <c r="K175" s="8">
        <v>12</v>
      </c>
    </row>
    <row r="176" spans="1:11">
      <c r="A176" s="8">
        <v>175</v>
      </c>
      <c r="B176" s="8">
        <v>101</v>
      </c>
      <c r="C176" s="8">
        <v>200</v>
      </c>
      <c r="D176" s="8">
        <v>200</v>
      </c>
      <c r="E176" s="8" t="s">
        <v>41</v>
      </c>
      <c r="I176" s="8" t="s">
        <v>40</v>
      </c>
      <c r="J176" s="8">
        <v>0</v>
      </c>
      <c r="K176" s="8">
        <v>11</v>
      </c>
    </row>
    <row r="177" spans="1:11">
      <c r="A177" s="8">
        <v>176</v>
      </c>
      <c r="B177" s="8">
        <v>101</v>
      </c>
      <c r="C177" s="8">
        <v>300</v>
      </c>
      <c r="D177" s="8">
        <v>300</v>
      </c>
      <c r="E177" s="8" t="s">
        <v>42</v>
      </c>
      <c r="I177" s="8" t="s">
        <v>40</v>
      </c>
      <c r="J177" s="8">
        <v>0</v>
      </c>
      <c r="K177" s="8">
        <v>10</v>
      </c>
    </row>
    <row r="178" spans="1:11">
      <c r="A178" s="8">
        <v>177</v>
      </c>
      <c r="B178" s="8">
        <v>101</v>
      </c>
      <c r="C178" s="8">
        <v>400</v>
      </c>
      <c r="D178" s="8">
        <v>400</v>
      </c>
      <c r="E178" s="8" t="s">
        <v>43</v>
      </c>
      <c r="I178" s="8" t="s">
        <v>40</v>
      </c>
      <c r="J178" s="8">
        <v>0</v>
      </c>
      <c r="K178" s="8">
        <v>9</v>
      </c>
    </row>
    <row r="179" spans="1:11">
      <c r="A179" s="8">
        <v>178</v>
      </c>
      <c r="B179" s="8">
        <v>101</v>
      </c>
      <c r="C179" s="9">
        <v>100</v>
      </c>
      <c r="D179" s="9">
        <v>100</v>
      </c>
      <c r="E179" s="9" t="s">
        <v>44</v>
      </c>
      <c r="F179" s="9"/>
      <c r="G179" s="9"/>
      <c r="H179" s="9"/>
      <c r="I179" s="9" t="s">
        <v>45</v>
      </c>
      <c r="J179" s="9">
        <v>2</v>
      </c>
      <c r="K179" s="8">
        <v>13</v>
      </c>
    </row>
    <row r="180" spans="1:11">
      <c r="A180" s="8">
        <v>179</v>
      </c>
      <c r="B180" s="8">
        <v>102</v>
      </c>
      <c r="C180" s="8">
        <v>1000</v>
      </c>
      <c r="D180" s="8">
        <v>1000</v>
      </c>
      <c r="E180" s="8" t="s">
        <v>18</v>
      </c>
      <c r="G180" s="8">
        <v>1</v>
      </c>
      <c r="H180" s="8">
        <v>20000</v>
      </c>
      <c r="I180" s="8" t="s">
        <v>19</v>
      </c>
      <c r="J180" s="8">
        <v>0</v>
      </c>
      <c r="K180" s="8">
        <v>1</v>
      </c>
    </row>
    <row r="181" spans="1:11">
      <c r="A181" s="8">
        <v>180</v>
      </c>
      <c r="B181" s="8">
        <v>102</v>
      </c>
      <c r="C181" s="8">
        <v>1000</v>
      </c>
      <c r="D181" s="8">
        <v>1000</v>
      </c>
      <c r="E181" s="8" t="s">
        <v>20</v>
      </c>
      <c r="G181" s="8">
        <v>1</v>
      </c>
      <c r="H181" s="8">
        <v>40000</v>
      </c>
      <c r="I181" s="8" t="s">
        <v>21</v>
      </c>
      <c r="J181" s="8">
        <v>0</v>
      </c>
      <c r="K181" s="8">
        <v>2</v>
      </c>
    </row>
    <row r="182" spans="1:11">
      <c r="A182" s="8">
        <v>181</v>
      </c>
      <c r="B182" s="8">
        <v>102</v>
      </c>
      <c r="C182" s="8">
        <v>1000</v>
      </c>
      <c r="D182" s="8">
        <v>1000</v>
      </c>
      <c r="E182" s="8" t="s">
        <v>22</v>
      </c>
      <c r="G182" s="8">
        <v>1</v>
      </c>
      <c r="H182" s="8">
        <v>60000</v>
      </c>
      <c r="I182" s="8" t="s">
        <v>23</v>
      </c>
      <c r="J182" s="8">
        <v>0</v>
      </c>
      <c r="K182" s="8">
        <v>3</v>
      </c>
    </row>
    <row r="183" spans="1:11">
      <c r="A183" s="8">
        <v>182</v>
      </c>
      <c r="B183" s="8">
        <v>102</v>
      </c>
      <c r="C183" s="8">
        <v>1000</v>
      </c>
      <c r="D183" s="8">
        <v>1000</v>
      </c>
      <c r="E183" s="8" t="s">
        <v>24</v>
      </c>
      <c r="G183" s="8">
        <v>1</v>
      </c>
      <c r="H183" s="8">
        <v>80000</v>
      </c>
      <c r="I183" s="8" t="s">
        <v>25</v>
      </c>
      <c r="J183" s="8">
        <v>0</v>
      </c>
      <c r="K183" s="8">
        <v>4</v>
      </c>
    </row>
    <row r="184" spans="1:11">
      <c r="A184" s="8">
        <v>183</v>
      </c>
      <c r="B184" s="8">
        <v>102</v>
      </c>
      <c r="C184" s="8">
        <v>150</v>
      </c>
      <c r="D184" s="8">
        <v>150</v>
      </c>
      <c r="E184" s="8" t="s">
        <v>26</v>
      </c>
      <c r="I184" s="8" t="s">
        <v>27</v>
      </c>
      <c r="J184" s="8">
        <v>1</v>
      </c>
      <c r="K184" s="8">
        <v>14</v>
      </c>
    </row>
    <row r="185" spans="1:11">
      <c r="A185" s="8">
        <v>184</v>
      </c>
      <c r="B185" s="8">
        <v>102</v>
      </c>
      <c r="C185" s="8">
        <v>150</v>
      </c>
      <c r="D185" s="8">
        <v>150</v>
      </c>
      <c r="E185" s="8" t="s">
        <v>28</v>
      </c>
      <c r="I185" s="8" t="s">
        <v>29</v>
      </c>
      <c r="J185" s="8">
        <v>1</v>
      </c>
      <c r="K185" s="8">
        <v>15</v>
      </c>
    </row>
    <row r="186" spans="1:11">
      <c r="A186" s="8">
        <v>185</v>
      </c>
      <c r="B186" s="8">
        <v>102</v>
      </c>
      <c r="C186" s="8">
        <v>150</v>
      </c>
      <c r="D186" s="8">
        <v>150</v>
      </c>
      <c r="E186" s="8" t="s">
        <v>30</v>
      </c>
      <c r="I186" s="8" t="s">
        <v>31</v>
      </c>
      <c r="J186" s="8">
        <v>1</v>
      </c>
      <c r="K186" s="8">
        <v>16</v>
      </c>
    </row>
    <row r="187" spans="1:11">
      <c r="A187" s="8">
        <v>186</v>
      </c>
      <c r="B187" s="8">
        <v>102</v>
      </c>
      <c r="C187" s="8">
        <v>150</v>
      </c>
      <c r="D187" s="8">
        <v>150</v>
      </c>
      <c r="E187" s="8" t="s">
        <v>32</v>
      </c>
      <c r="I187" s="8" t="s">
        <v>33</v>
      </c>
      <c r="J187" s="8">
        <v>1</v>
      </c>
      <c r="K187" s="8">
        <v>17</v>
      </c>
    </row>
    <row r="188" spans="1:11">
      <c r="A188" s="8">
        <v>187</v>
      </c>
      <c r="B188" s="8">
        <v>102</v>
      </c>
      <c r="C188" s="8">
        <v>100</v>
      </c>
      <c r="D188" s="8">
        <v>50</v>
      </c>
      <c r="E188" s="8" t="s">
        <v>46</v>
      </c>
      <c r="F188" s="8">
        <v>1</v>
      </c>
      <c r="I188" s="8" t="s">
        <v>27</v>
      </c>
      <c r="J188" s="8">
        <v>2</v>
      </c>
      <c r="K188" s="8">
        <v>18</v>
      </c>
    </row>
    <row r="189" spans="1:11">
      <c r="A189" s="8">
        <v>188</v>
      </c>
      <c r="B189" s="8">
        <v>102</v>
      </c>
      <c r="C189" s="8">
        <v>100</v>
      </c>
      <c r="D189" s="8">
        <v>50</v>
      </c>
      <c r="E189" s="8" t="s">
        <v>47</v>
      </c>
      <c r="F189" s="8">
        <v>1</v>
      </c>
      <c r="I189" s="8" t="s">
        <v>29</v>
      </c>
      <c r="J189" s="8">
        <v>2</v>
      </c>
      <c r="K189" s="8">
        <v>19</v>
      </c>
    </row>
    <row r="190" spans="1:11">
      <c r="A190" s="8">
        <v>189</v>
      </c>
      <c r="B190" s="8">
        <v>102</v>
      </c>
      <c r="C190" s="8">
        <v>100</v>
      </c>
      <c r="D190" s="8">
        <v>50</v>
      </c>
      <c r="E190" s="8" t="s">
        <v>48</v>
      </c>
      <c r="F190" s="8">
        <v>1</v>
      </c>
      <c r="I190" s="8" t="s">
        <v>31</v>
      </c>
      <c r="J190" s="8">
        <v>2</v>
      </c>
      <c r="K190" s="8">
        <v>20</v>
      </c>
    </row>
    <row r="191" spans="1:11">
      <c r="A191" s="8">
        <v>190</v>
      </c>
      <c r="B191" s="8">
        <v>102</v>
      </c>
      <c r="C191" s="8">
        <v>20</v>
      </c>
      <c r="D191" s="8">
        <v>50</v>
      </c>
      <c r="E191" s="8" t="s">
        <v>49</v>
      </c>
      <c r="F191" s="8">
        <v>1</v>
      </c>
      <c r="I191" s="8" t="s">
        <v>33</v>
      </c>
      <c r="J191" s="8">
        <v>2</v>
      </c>
      <c r="K191" s="8">
        <v>21</v>
      </c>
    </row>
    <row r="192" spans="1:11">
      <c r="A192" s="8">
        <v>191</v>
      </c>
      <c r="B192" s="8">
        <v>102</v>
      </c>
      <c r="C192" s="8">
        <v>20</v>
      </c>
      <c r="D192" s="8">
        <v>50</v>
      </c>
      <c r="E192" s="8" t="s">
        <v>50</v>
      </c>
      <c r="F192" s="8">
        <v>1</v>
      </c>
      <c r="I192" s="8" t="s">
        <v>51</v>
      </c>
      <c r="J192" s="8">
        <v>2</v>
      </c>
      <c r="K192" s="8">
        <v>22</v>
      </c>
    </row>
    <row r="193" spans="1:11">
      <c r="A193" s="8">
        <v>192</v>
      </c>
      <c r="B193" s="8">
        <v>102</v>
      </c>
      <c r="C193" s="8">
        <v>20</v>
      </c>
      <c r="D193" s="8">
        <v>50</v>
      </c>
      <c r="E193" s="8" t="s">
        <v>52</v>
      </c>
      <c r="F193" s="8">
        <v>1</v>
      </c>
      <c r="I193" s="8" t="s">
        <v>53</v>
      </c>
      <c r="J193" s="8">
        <v>2</v>
      </c>
      <c r="K193" s="8">
        <v>23</v>
      </c>
    </row>
    <row r="194" spans="1:11">
      <c r="A194" s="8">
        <v>193</v>
      </c>
      <c r="B194" s="8">
        <v>102</v>
      </c>
      <c r="C194" s="8">
        <v>20</v>
      </c>
      <c r="D194" s="8">
        <v>50</v>
      </c>
      <c r="E194" s="8" t="s">
        <v>54</v>
      </c>
      <c r="F194" s="8">
        <v>1</v>
      </c>
      <c r="I194" s="8" t="s">
        <v>55</v>
      </c>
      <c r="J194" s="8">
        <v>2</v>
      </c>
      <c r="K194" s="8">
        <v>24</v>
      </c>
    </row>
    <row r="195" spans="1:11">
      <c r="A195" s="8">
        <v>194</v>
      </c>
      <c r="B195" s="8">
        <v>102</v>
      </c>
      <c r="C195" s="8">
        <v>20</v>
      </c>
      <c r="D195" s="8">
        <v>50</v>
      </c>
      <c r="E195" s="8" t="s">
        <v>56</v>
      </c>
      <c r="F195" s="8">
        <v>1</v>
      </c>
      <c r="I195" s="8" t="s">
        <v>57</v>
      </c>
      <c r="J195" s="8">
        <v>2</v>
      </c>
      <c r="K195" s="8">
        <v>25</v>
      </c>
    </row>
    <row r="196" spans="1:11">
      <c r="A196" s="8">
        <v>195</v>
      </c>
      <c r="B196" s="8">
        <v>102</v>
      </c>
      <c r="C196" s="8">
        <v>1400</v>
      </c>
      <c r="D196" s="8">
        <v>1400</v>
      </c>
      <c r="E196" s="8" t="s">
        <v>34</v>
      </c>
      <c r="I196" s="8" t="s">
        <v>35</v>
      </c>
      <c r="J196" s="8">
        <v>2</v>
      </c>
      <c r="K196" s="8">
        <v>5</v>
      </c>
    </row>
    <row r="197" spans="1:11">
      <c r="A197" s="8">
        <v>196</v>
      </c>
      <c r="B197" s="8">
        <v>102</v>
      </c>
      <c r="C197" s="8">
        <v>1000</v>
      </c>
      <c r="D197" s="8">
        <v>1000</v>
      </c>
      <c r="E197" s="8" t="s">
        <v>36</v>
      </c>
      <c r="I197" s="8" t="s">
        <v>35</v>
      </c>
      <c r="J197" s="8">
        <v>2</v>
      </c>
      <c r="K197" s="8">
        <v>6</v>
      </c>
    </row>
    <row r="198" spans="1:11">
      <c r="A198" s="8">
        <v>197</v>
      </c>
      <c r="B198" s="8">
        <v>102</v>
      </c>
      <c r="C198" s="8">
        <v>450</v>
      </c>
      <c r="D198" s="8">
        <v>450</v>
      </c>
      <c r="E198" s="8" t="s">
        <v>37</v>
      </c>
      <c r="I198" s="8" t="s">
        <v>35</v>
      </c>
      <c r="J198" s="8">
        <v>2</v>
      </c>
      <c r="K198" s="8">
        <v>7</v>
      </c>
    </row>
    <row r="199" spans="1:11">
      <c r="A199" s="8">
        <v>198</v>
      </c>
      <c r="B199" s="8">
        <v>102</v>
      </c>
      <c r="C199" s="8">
        <v>450</v>
      </c>
      <c r="D199" s="8">
        <v>450</v>
      </c>
      <c r="E199" s="8" t="s">
        <v>38</v>
      </c>
      <c r="I199" s="8" t="s">
        <v>35</v>
      </c>
      <c r="J199" s="8">
        <v>2</v>
      </c>
      <c r="K199" s="8">
        <v>8</v>
      </c>
    </row>
    <row r="200" spans="1:11">
      <c r="A200" s="8">
        <v>199</v>
      </c>
      <c r="B200" s="8">
        <v>102</v>
      </c>
      <c r="C200" s="8">
        <v>150</v>
      </c>
      <c r="D200" s="8">
        <v>150</v>
      </c>
      <c r="E200" s="8" t="s">
        <v>39</v>
      </c>
      <c r="I200" s="8" t="s">
        <v>40</v>
      </c>
      <c r="J200" s="8">
        <v>0</v>
      </c>
      <c r="K200" s="8">
        <v>12</v>
      </c>
    </row>
    <row r="201" spans="1:11">
      <c r="A201" s="8">
        <v>200</v>
      </c>
      <c r="B201" s="8">
        <v>102</v>
      </c>
      <c r="C201" s="8">
        <v>300</v>
      </c>
      <c r="D201" s="8">
        <v>300</v>
      </c>
      <c r="E201" s="8" t="s">
        <v>41</v>
      </c>
      <c r="I201" s="8" t="s">
        <v>40</v>
      </c>
      <c r="J201" s="8">
        <v>0</v>
      </c>
      <c r="K201" s="8">
        <v>11</v>
      </c>
    </row>
    <row r="202" spans="1:11">
      <c r="A202" s="8">
        <v>201</v>
      </c>
      <c r="B202" s="8">
        <v>102</v>
      </c>
      <c r="C202" s="8">
        <v>450</v>
      </c>
      <c r="D202" s="8">
        <v>450</v>
      </c>
      <c r="E202" s="8" t="s">
        <v>42</v>
      </c>
      <c r="I202" s="8" t="s">
        <v>40</v>
      </c>
      <c r="J202" s="8">
        <v>0</v>
      </c>
      <c r="K202" s="8">
        <v>10</v>
      </c>
    </row>
    <row r="203" spans="1:11">
      <c r="A203" s="8">
        <v>202</v>
      </c>
      <c r="B203" s="8">
        <v>102</v>
      </c>
      <c r="C203" s="8">
        <v>600</v>
      </c>
      <c r="D203" s="8">
        <v>600</v>
      </c>
      <c r="E203" s="8" t="s">
        <v>43</v>
      </c>
      <c r="I203" s="8" t="s">
        <v>40</v>
      </c>
      <c r="J203" s="8">
        <v>0</v>
      </c>
      <c r="K203" s="8">
        <v>9</v>
      </c>
    </row>
    <row r="204" spans="1:11">
      <c r="A204" s="8">
        <v>203</v>
      </c>
      <c r="B204" s="8">
        <v>102</v>
      </c>
      <c r="C204" s="9">
        <v>200</v>
      </c>
      <c r="D204" s="9">
        <v>200</v>
      </c>
      <c r="E204" s="9" t="s">
        <v>58</v>
      </c>
      <c r="F204" s="9"/>
      <c r="G204" s="9"/>
      <c r="H204" s="9"/>
      <c r="I204" s="9" t="s">
        <v>45</v>
      </c>
      <c r="J204" s="9">
        <v>2</v>
      </c>
      <c r="K204" s="8">
        <v>13</v>
      </c>
    </row>
    <row r="205" spans="1:11">
      <c r="A205" s="8">
        <v>204</v>
      </c>
      <c r="B205" s="8">
        <v>103</v>
      </c>
      <c r="C205" s="8">
        <v>10000</v>
      </c>
      <c r="D205" s="8">
        <v>1000</v>
      </c>
      <c r="E205" s="8" t="s">
        <v>20</v>
      </c>
      <c r="G205" s="8">
        <v>1</v>
      </c>
      <c r="H205" s="8">
        <v>40000</v>
      </c>
      <c r="I205" s="8" t="s">
        <v>21</v>
      </c>
      <c r="J205" s="8">
        <v>0</v>
      </c>
      <c r="K205" s="8">
        <v>1</v>
      </c>
    </row>
    <row r="206" spans="1:11">
      <c r="A206" s="8">
        <v>205</v>
      </c>
      <c r="B206" s="8">
        <v>103</v>
      </c>
      <c r="C206" s="8">
        <v>10000</v>
      </c>
      <c r="D206" s="8">
        <v>1000</v>
      </c>
      <c r="E206" s="8" t="s">
        <v>22</v>
      </c>
      <c r="G206" s="8">
        <v>1</v>
      </c>
      <c r="H206" s="8">
        <v>60000</v>
      </c>
      <c r="I206" s="8" t="s">
        <v>23</v>
      </c>
      <c r="J206" s="8">
        <v>0</v>
      </c>
      <c r="K206" s="8">
        <v>2</v>
      </c>
    </row>
    <row r="207" spans="1:11">
      <c r="A207" s="8">
        <v>206</v>
      </c>
      <c r="B207" s="8">
        <v>103</v>
      </c>
      <c r="C207" s="8">
        <v>10000</v>
      </c>
      <c r="D207" s="8">
        <v>1000</v>
      </c>
      <c r="E207" s="8" t="s">
        <v>24</v>
      </c>
      <c r="G207" s="8">
        <v>1</v>
      </c>
      <c r="H207" s="8">
        <v>80000</v>
      </c>
      <c r="I207" s="8" t="s">
        <v>25</v>
      </c>
      <c r="J207" s="8">
        <v>0</v>
      </c>
      <c r="K207" s="8">
        <v>3</v>
      </c>
    </row>
    <row r="208" spans="1:11">
      <c r="A208" s="8">
        <v>207</v>
      </c>
      <c r="B208" s="8">
        <v>103</v>
      </c>
      <c r="C208" s="8">
        <v>2000</v>
      </c>
      <c r="D208" s="8">
        <v>200</v>
      </c>
      <c r="E208" s="8" t="s">
        <v>26</v>
      </c>
      <c r="I208" s="8" t="s">
        <v>27</v>
      </c>
      <c r="J208" s="8">
        <v>1</v>
      </c>
      <c r="K208" s="8">
        <v>14</v>
      </c>
    </row>
    <row r="209" spans="1:11">
      <c r="A209" s="8">
        <v>208</v>
      </c>
      <c r="B209" s="8">
        <v>103</v>
      </c>
      <c r="C209" s="8">
        <v>2000</v>
      </c>
      <c r="D209" s="8">
        <v>200</v>
      </c>
      <c r="E209" s="8" t="s">
        <v>28</v>
      </c>
      <c r="I209" s="8" t="s">
        <v>29</v>
      </c>
      <c r="J209" s="8">
        <v>1</v>
      </c>
      <c r="K209" s="8">
        <v>15</v>
      </c>
    </row>
    <row r="210" spans="1:11">
      <c r="A210" s="8">
        <v>209</v>
      </c>
      <c r="B210" s="8">
        <v>103</v>
      </c>
      <c r="C210" s="8">
        <v>2000</v>
      </c>
      <c r="D210" s="8">
        <v>200</v>
      </c>
      <c r="E210" s="8" t="s">
        <v>30</v>
      </c>
      <c r="I210" s="8" t="s">
        <v>31</v>
      </c>
      <c r="J210" s="8">
        <v>1</v>
      </c>
      <c r="K210" s="8">
        <v>16</v>
      </c>
    </row>
    <row r="211" spans="1:11">
      <c r="A211" s="8">
        <v>210</v>
      </c>
      <c r="B211" s="8">
        <v>103</v>
      </c>
      <c r="C211" s="8">
        <v>2000</v>
      </c>
      <c r="D211" s="8">
        <v>200</v>
      </c>
      <c r="E211" s="8" t="s">
        <v>32</v>
      </c>
      <c r="I211" s="8" t="s">
        <v>33</v>
      </c>
      <c r="J211" s="8">
        <v>1</v>
      </c>
      <c r="K211" s="8">
        <v>17</v>
      </c>
    </row>
    <row r="212" spans="1:11">
      <c r="A212" s="8">
        <v>211</v>
      </c>
      <c r="B212" s="8">
        <v>103</v>
      </c>
      <c r="C212" s="8">
        <v>1500</v>
      </c>
      <c r="D212" s="8">
        <v>75</v>
      </c>
      <c r="E212" s="8" t="s">
        <v>46</v>
      </c>
      <c r="F212" s="8">
        <v>1</v>
      </c>
      <c r="I212" s="8" t="s">
        <v>27</v>
      </c>
      <c r="J212" s="8">
        <v>2</v>
      </c>
      <c r="K212" s="8">
        <v>18</v>
      </c>
    </row>
    <row r="213" spans="1:11">
      <c r="A213" s="8">
        <v>212</v>
      </c>
      <c r="B213" s="8">
        <v>103</v>
      </c>
      <c r="C213" s="8">
        <v>1500</v>
      </c>
      <c r="D213" s="8">
        <v>75</v>
      </c>
      <c r="E213" s="8" t="s">
        <v>47</v>
      </c>
      <c r="F213" s="8">
        <v>1</v>
      </c>
      <c r="I213" s="8" t="s">
        <v>29</v>
      </c>
      <c r="J213" s="8">
        <v>2</v>
      </c>
      <c r="K213" s="8">
        <v>19</v>
      </c>
    </row>
    <row r="214" spans="1:11">
      <c r="A214" s="8">
        <v>213</v>
      </c>
      <c r="B214" s="8">
        <v>103</v>
      </c>
      <c r="C214" s="8">
        <v>1500</v>
      </c>
      <c r="D214" s="8">
        <v>75</v>
      </c>
      <c r="E214" s="8" t="s">
        <v>48</v>
      </c>
      <c r="F214" s="8">
        <v>1</v>
      </c>
      <c r="I214" s="8" t="s">
        <v>31</v>
      </c>
      <c r="J214" s="8">
        <v>2</v>
      </c>
      <c r="K214" s="8">
        <v>20</v>
      </c>
    </row>
    <row r="215" spans="1:11">
      <c r="A215" s="8">
        <v>214</v>
      </c>
      <c r="B215" s="8">
        <v>103</v>
      </c>
      <c r="C215" s="8">
        <v>300</v>
      </c>
      <c r="D215" s="8">
        <v>75</v>
      </c>
      <c r="E215" s="8" t="s">
        <v>49</v>
      </c>
      <c r="F215" s="8">
        <v>1</v>
      </c>
      <c r="I215" s="8" t="s">
        <v>33</v>
      </c>
      <c r="J215" s="8">
        <v>2</v>
      </c>
      <c r="K215" s="8">
        <v>21</v>
      </c>
    </row>
    <row r="216" spans="1:11">
      <c r="A216" s="8">
        <v>215</v>
      </c>
      <c r="B216" s="8">
        <v>103</v>
      </c>
      <c r="C216" s="8">
        <v>300</v>
      </c>
      <c r="D216" s="8">
        <v>75</v>
      </c>
      <c r="E216" s="8" t="s">
        <v>50</v>
      </c>
      <c r="F216" s="8">
        <v>1</v>
      </c>
      <c r="I216" s="8" t="s">
        <v>51</v>
      </c>
      <c r="J216" s="8">
        <v>2</v>
      </c>
      <c r="K216" s="8">
        <v>22</v>
      </c>
    </row>
    <row r="217" spans="1:11">
      <c r="A217" s="8">
        <v>216</v>
      </c>
      <c r="B217" s="8">
        <v>103</v>
      </c>
      <c r="C217" s="8">
        <v>300</v>
      </c>
      <c r="D217" s="8">
        <v>75</v>
      </c>
      <c r="E217" s="8" t="s">
        <v>52</v>
      </c>
      <c r="F217" s="8">
        <v>1</v>
      </c>
      <c r="I217" s="8" t="s">
        <v>53</v>
      </c>
      <c r="J217" s="8">
        <v>2</v>
      </c>
      <c r="K217" s="8">
        <v>23</v>
      </c>
    </row>
    <row r="218" spans="1:11">
      <c r="A218" s="8">
        <v>217</v>
      </c>
      <c r="B218" s="8">
        <v>103</v>
      </c>
      <c r="C218" s="8">
        <v>300</v>
      </c>
      <c r="D218" s="8">
        <v>75</v>
      </c>
      <c r="E218" s="8" t="s">
        <v>54</v>
      </c>
      <c r="F218" s="8">
        <v>1</v>
      </c>
      <c r="I218" s="8" t="s">
        <v>55</v>
      </c>
      <c r="J218" s="8">
        <v>2</v>
      </c>
      <c r="K218" s="8">
        <v>24</v>
      </c>
    </row>
    <row r="219" spans="1:11">
      <c r="A219" s="8">
        <v>218</v>
      </c>
      <c r="B219" s="8">
        <v>103</v>
      </c>
      <c r="C219" s="8">
        <v>300</v>
      </c>
      <c r="D219" s="8">
        <v>75</v>
      </c>
      <c r="E219" s="8" t="s">
        <v>56</v>
      </c>
      <c r="F219" s="8">
        <v>1</v>
      </c>
      <c r="I219" s="8" t="s">
        <v>57</v>
      </c>
      <c r="J219" s="8">
        <v>2</v>
      </c>
      <c r="K219" s="8">
        <v>25</v>
      </c>
    </row>
    <row r="220" spans="1:11">
      <c r="A220" s="8">
        <v>219</v>
      </c>
      <c r="B220" s="8">
        <v>103</v>
      </c>
      <c r="C220" s="8">
        <v>500</v>
      </c>
      <c r="D220" s="8">
        <v>16</v>
      </c>
      <c r="E220" s="8" t="s">
        <v>59</v>
      </c>
      <c r="F220" s="8">
        <v>1</v>
      </c>
      <c r="I220" s="8" t="s">
        <v>27</v>
      </c>
      <c r="J220" s="8">
        <v>3</v>
      </c>
      <c r="K220" s="8">
        <v>26</v>
      </c>
    </row>
    <row r="221" spans="1:11">
      <c r="A221" s="8">
        <v>220</v>
      </c>
      <c r="B221" s="8">
        <v>103</v>
      </c>
      <c r="C221" s="8">
        <v>500</v>
      </c>
      <c r="D221" s="8">
        <v>16</v>
      </c>
      <c r="E221" s="8" t="s">
        <v>60</v>
      </c>
      <c r="F221" s="8">
        <v>1</v>
      </c>
      <c r="I221" s="8" t="s">
        <v>29</v>
      </c>
      <c r="J221" s="8">
        <v>3</v>
      </c>
      <c r="K221" s="8">
        <v>27</v>
      </c>
    </row>
    <row r="222" spans="1:11">
      <c r="A222" s="8">
        <v>221</v>
      </c>
      <c r="B222" s="8">
        <v>103</v>
      </c>
      <c r="C222" s="8">
        <v>500</v>
      </c>
      <c r="D222" s="8">
        <v>16</v>
      </c>
      <c r="E222" s="8" t="s">
        <v>61</v>
      </c>
      <c r="F222" s="8">
        <v>1</v>
      </c>
      <c r="I222" s="8" t="s">
        <v>31</v>
      </c>
      <c r="J222" s="8">
        <v>3</v>
      </c>
      <c r="K222" s="8">
        <v>28</v>
      </c>
    </row>
    <row r="223" spans="1:11">
      <c r="A223" s="8">
        <v>222</v>
      </c>
      <c r="B223" s="8">
        <v>103</v>
      </c>
      <c r="C223" s="8">
        <v>50</v>
      </c>
      <c r="D223" s="8">
        <v>16</v>
      </c>
      <c r="E223" s="8" t="s">
        <v>62</v>
      </c>
      <c r="F223" s="8">
        <v>1</v>
      </c>
      <c r="I223" s="8" t="s">
        <v>33</v>
      </c>
      <c r="J223" s="8">
        <v>3</v>
      </c>
      <c r="K223" s="8">
        <v>29</v>
      </c>
    </row>
    <row r="224" spans="1:11">
      <c r="A224" s="8">
        <v>223</v>
      </c>
      <c r="B224" s="8">
        <v>103</v>
      </c>
      <c r="C224" s="8">
        <v>50</v>
      </c>
      <c r="D224" s="8">
        <v>16</v>
      </c>
      <c r="E224" s="8" t="s">
        <v>63</v>
      </c>
      <c r="F224" s="8">
        <v>1</v>
      </c>
      <c r="I224" s="8" t="s">
        <v>51</v>
      </c>
      <c r="J224" s="8">
        <v>3</v>
      </c>
      <c r="K224" s="8">
        <v>30</v>
      </c>
    </row>
    <row r="225" spans="1:11">
      <c r="A225" s="8">
        <v>224</v>
      </c>
      <c r="B225" s="8">
        <v>103</v>
      </c>
      <c r="C225" s="8">
        <v>20</v>
      </c>
      <c r="D225" s="8">
        <v>16</v>
      </c>
      <c r="E225" s="8" t="s">
        <v>64</v>
      </c>
      <c r="F225" s="8">
        <v>1</v>
      </c>
      <c r="I225" s="8" t="s">
        <v>53</v>
      </c>
      <c r="J225" s="8">
        <v>3</v>
      </c>
      <c r="K225" s="8">
        <v>31</v>
      </c>
    </row>
    <row r="226" spans="1:11">
      <c r="A226" s="8">
        <v>225</v>
      </c>
      <c r="B226" s="8">
        <v>103</v>
      </c>
      <c r="C226" s="8">
        <v>50</v>
      </c>
      <c r="D226" s="8">
        <v>16</v>
      </c>
      <c r="E226" s="8" t="s">
        <v>65</v>
      </c>
      <c r="F226" s="8">
        <v>1</v>
      </c>
      <c r="I226" s="8" t="s">
        <v>66</v>
      </c>
      <c r="J226" s="8">
        <v>3</v>
      </c>
      <c r="K226" s="8">
        <v>32</v>
      </c>
    </row>
    <row r="227" spans="1:11">
      <c r="A227" s="8">
        <v>226</v>
      </c>
      <c r="B227" s="8">
        <v>103</v>
      </c>
      <c r="C227" s="8">
        <v>50</v>
      </c>
      <c r="D227" s="8">
        <v>16</v>
      </c>
      <c r="E227" s="8" t="s">
        <v>67</v>
      </c>
      <c r="F227" s="8">
        <v>1</v>
      </c>
      <c r="I227" s="8" t="s">
        <v>55</v>
      </c>
      <c r="J227" s="8">
        <v>3</v>
      </c>
      <c r="K227" s="8">
        <v>33</v>
      </c>
    </row>
    <row r="228" spans="1:11">
      <c r="A228" s="8">
        <v>227</v>
      </c>
      <c r="B228" s="8">
        <v>103</v>
      </c>
      <c r="C228" s="8">
        <v>50</v>
      </c>
      <c r="D228" s="8">
        <v>16</v>
      </c>
      <c r="E228" s="8" t="s">
        <v>68</v>
      </c>
      <c r="F228" s="8">
        <v>1</v>
      </c>
      <c r="I228" s="8" t="s">
        <v>69</v>
      </c>
      <c r="J228" s="8">
        <v>3</v>
      </c>
      <c r="K228" s="8">
        <v>34</v>
      </c>
    </row>
    <row r="229" spans="1:11">
      <c r="A229" s="8">
        <v>228</v>
      </c>
      <c r="B229" s="8">
        <v>103</v>
      </c>
      <c r="C229" s="8">
        <v>50</v>
      </c>
      <c r="D229" s="8">
        <v>16</v>
      </c>
      <c r="E229" s="8" t="s">
        <v>70</v>
      </c>
      <c r="F229" s="8">
        <v>1</v>
      </c>
      <c r="I229" s="8" t="s">
        <v>57</v>
      </c>
      <c r="J229" s="8">
        <v>3</v>
      </c>
      <c r="K229" s="8">
        <v>35</v>
      </c>
    </row>
    <row r="230" spans="1:11">
      <c r="A230" s="8">
        <v>229</v>
      </c>
      <c r="B230" s="8">
        <v>103</v>
      </c>
      <c r="C230" s="8">
        <v>50</v>
      </c>
      <c r="D230" s="8">
        <v>16</v>
      </c>
      <c r="E230" s="8" t="s">
        <v>71</v>
      </c>
      <c r="F230" s="8">
        <v>1</v>
      </c>
      <c r="I230" s="8" t="s">
        <v>72</v>
      </c>
      <c r="J230" s="8">
        <v>3</v>
      </c>
      <c r="K230" s="8">
        <v>36</v>
      </c>
    </row>
    <row r="231" spans="1:11">
      <c r="A231" s="8">
        <v>230</v>
      </c>
      <c r="B231" s="8">
        <v>103</v>
      </c>
      <c r="C231" s="8">
        <v>50</v>
      </c>
      <c r="D231" s="8">
        <v>16</v>
      </c>
      <c r="E231" s="8" t="s">
        <v>73</v>
      </c>
      <c r="F231" s="8">
        <v>1</v>
      </c>
      <c r="I231" s="8" t="s">
        <v>74</v>
      </c>
      <c r="J231" s="8">
        <v>3</v>
      </c>
      <c r="K231" s="8">
        <v>37</v>
      </c>
    </row>
    <row r="232" spans="1:11">
      <c r="A232" s="8">
        <v>231</v>
      </c>
      <c r="B232" s="8">
        <v>103</v>
      </c>
      <c r="C232" s="8">
        <v>1</v>
      </c>
      <c r="D232" s="8">
        <v>1</v>
      </c>
      <c r="E232" s="8" t="s">
        <v>75</v>
      </c>
      <c r="F232" s="8">
        <v>1</v>
      </c>
      <c r="I232" s="8" t="s">
        <v>76</v>
      </c>
      <c r="J232" s="8">
        <v>3</v>
      </c>
      <c r="K232" s="8">
        <v>38</v>
      </c>
    </row>
    <row r="233" spans="1:11">
      <c r="A233" s="8">
        <v>232</v>
      </c>
      <c r="B233" s="8">
        <v>103</v>
      </c>
      <c r="C233" s="8">
        <v>5</v>
      </c>
      <c r="D233" s="8">
        <v>1</v>
      </c>
      <c r="E233" s="8" t="s">
        <v>77</v>
      </c>
      <c r="F233" s="8">
        <v>1</v>
      </c>
      <c r="I233" s="8" t="s">
        <v>78</v>
      </c>
      <c r="J233" s="8">
        <v>3</v>
      </c>
      <c r="K233" s="8">
        <v>39</v>
      </c>
    </row>
    <row r="234" spans="1:11">
      <c r="A234" s="8">
        <v>233</v>
      </c>
      <c r="B234" s="8">
        <v>103</v>
      </c>
      <c r="C234" s="8">
        <v>1</v>
      </c>
      <c r="D234" s="8">
        <v>1</v>
      </c>
      <c r="E234" s="8" t="s">
        <v>79</v>
      </c>
      <c r="F234" s="8">
        <v>1</v>
      </c>
      <c r="I234" s="8" t="s">
        <v>80</v>
      </c>
      <c r="J234" s="8">
        <v>3</v>
      </c>
      <c r="K234" s="8">
        <v>40</v>
      </c>
    </row>
    <row r="235" spans="1:11">
      <c r="A235" s="8">
        <v>234</v>
      </c>
      <c r="B235" s="8">
        <v>103</v>
      </c>
      <c r="C235" s="8">
        <v>5</v>
      </c>
      <c r="D235" s="8">
        <v>1</v>
      </c>
      <c r="E235" s="8" t="s">
        <v>81</v>
      </c>
      <c r="F235" s="8">
        <v>1</v>
      </c>
      <c r="I235" s="8" t="s">
        <v>82</v>
      </c>
      <c r="J235" s="8">
        <v>3</v>
      </c>
      <c r="K235" s="8">
        <v>41</v>
      </c>
    </row>
    <row r="236" spans="1:11">
      <c r="A236" s="8">
        <v>235</v>
      </c>
      <c r="B236" s="8">
        <v>103</v>
      </c>
      <c r="C236" s="8">
        <v>5</v>
      </c>
      <c r="D236" s="8">
        <v>1</v>
      </c>
      <c r="E236" s="8" t="s">
        <v>83</v>
      </c>
      <c r="F236" s="8">
        <v>1</v>
      </c>
      <c r="I236" s="8" t="s">
        <v>84</v>
      </c>
      <c r="J236" s="8">
        <v>3</v>
      </c>
      <c r="K236" s="8">
        <v>42</v>
      </c>
    </row>
    <row r="237" spans="1:11">
      <c r="A237" s="8">
        <v>236</v>
      </c>
      <c r="B237" s="8">
        <v>103</v>
      </c>
      <c r="C237" s="8">
        <v>5</v>
      </c>
      <c r="D237" s="8">
        <v>5</v>
      </c>
      <c r="E237" s="8" t="s">
        <v>85</v>
      </c>
      <c r="F237" s="8">
        <v>1</v>
      </c>
      <c r="I237" s="6" t="s">
        <v>86</v>
      </c>
      <c r="J237" s="8">
        <v>3</v>
      </c>
      <c r="K237" s="8">
        <v>43</v>
      </c>
    </row>
    <row r="238" spans="1:11">
      <c r="A238" s="8">
        <v>237</v>
      </c>
      <c r="B238" s="8">
        <v>103</v>
      </c>
      <c r="C238" s="8">
        <v>5</v>
      </c>
      <c r="D238" s="8">
        <v>5</v>
      </c>
      <c r="E238" s="8" t="s">
        <v>87</v>
      </c>
      <c r="F238" s="8">
        <v>1</v>
      </c>
      <c r="I238" s="6" t="s">
        <v>88</v>
      </c>
      <c r="J238" s="8">
        <v>3</v>
      </c>
      <c r="K238" s="8">
        <v>44</v>
      </c>
    </row>
    <row r="239" spans="1:11">
      <c r="A239" s="8">
        <v>238</v>
      </c>
      <c r="B239" s="8">
        <v>103</v>
      </c>
      <c r="C239" s="8">
        <v>5</v>
      </c>
      <c r="D239" s="8">
        <v>5</v>
      </c>
      <c r="E239" s="8" t="s">
        <v>89</v>
      </c>
      <c r="F239" s="8">
        <v>1</v>
      </c>
      <c r="I239" s="6" t="s">
        <v>90</v>
      </c>
      <c r="J239" s="8">
        <v>3</v>
      </c>
      <c r="K239" s="8">
        <v>45</v>
      </c>
    </row>
    <row r="240" spans="1:11">
      <c r="A240" s="8">
        <v>239</v>
      </c>
      <c r="B240" s="8">
        <v>103</v>
      </c>
      <c r="C240" s="8">
        <v>5</v>
      </c>
      <c r="D240" s="8">
        <v>5</v>
      </c>
      <c r="E240" s="8" t="s">
        <v>91</v>
      </c>
      <c r="F240" s="8">
        <v>1</v>
      </c>
      <c r="I240" s="6" t="s">
        <v>92</v>
      </c>
      <c r="J240" s="8">
        <v>3</v>
      </c>
      <c r="K240" s="8">
        <v>46</v>
      </c>
    </row>
    <row r="241" spans="1:11">
      <c r="A241" s="8">
        <v>240</v>
      </c>
      <c r="B241" s="8">
        <v>103</v>
      </c>
      <c r="C241" s="8">
        <v>5</v>
      </c>
      <c r="D241" s="8">
        <v>5</v>
      </c>
      <c r="E241" s="8" t="s">
        <v>93</v>
      </c>
      <c r="F241" s="8">
        <v>1</v>
      </c>
      <c r="I241" s="6" t="s">
        <v>94</v>
      </c>
      <c r="J241" s="8">
        <v>3</v>
      </c>
      <c r="K241" s="8">
        <v>47</v>
      </c>
    </row>
    <row r="242" spans="1:11">
      <c r="A242" s="8">
        <v>241</v>
      </c>
      <c r="B242" s="8">
        <v>103</v>
      </c>
      <c r="C242" s="8">
        <v>11030</v>
      </c>
      <c r="D242" s="8">
        <v>1103</v>
      </c>
      <c r="E242" s="8" t="s">
        <v>34</v>
      </c>
      <c r="I242" s="8" t="s">
        <v>35</v>
      </c>
      <c r="J242" s="8">
        <v>2</v>
      </c>
      <c r="K242" s="8">
        <v>4</v>
      </c>
    </row>
    <row r="243" spans="1:11">
      <c r="A243" s="8">
        <v>242</v>
      </c>
      <c r="B243" s="8">
        <v>103</v>
      </c>
      <c r="C243" s="8">
        <v>10000</v>
      </c>
      <c r="D243" s="8">
        <v>1000</v>
      </c>
      <c r="E243" s="8" t="s">
        <v>36</v>
      </c>
      <c r="I243" s="8" t="s">
        <v>35</v>
      </c>
      <c r="J243" s="8">
        <v>2</v>
      </c>
      <c r="K243" s="8">
        <v>5</v>
      </c>
    </row>
    <row r="244" spans="1:11">
      <c r="A244" s="8">
        <v>243</v>
      </c>
      <c r="B244" s="8">
        <v>103</v>
      </c>
      <c r="C244" s="8">
        <v>4000</v>
      </c>
      <c r="D244" s="8">
        <v>400</v>
      </c>
      <c r="E244" s="8" t="s">
        <v>37</v>
      </c>
      <c r="I244" s="8" t="s">
        <v>35</v>
      </c>
      <c r="J244" s="8">
        <v>2</v>
      </c>
      <c r="K244" s="8">
        <v>6</v>
      </c>
    </row>
    <row r="245" spans="1:11">
      <c r="A245" s="8">
        <v>244</v>
      </c>
      <c r="B245" s="8">
        <v>103</v>
      </c>
      <c r="C245" s="8">
        <v>4000</v>
      </c>
      <c r="D245" s="8">
        <v>400</v>
      </c>
      <c r="E245" s="8" t="s">
        <v>38</v>
      </c>
      <c r="I245" s="8" t="s">
        <v>35</v>
      </c>
      <c r="J245" s="8">
        <v>2</v>
      </c>
      <c r="K245" s="8">
        <v>7</v>
      </c>
    </row>
    <row r="246" spans="1:11">
      <c r="A246" s="8">
        <v>245</v>
      </c>
      <c r="B246" s="8">
        <v>103</v>
      </c>
      <c r="C246" s="8">
        <v>1000</v>
      </c>
      <c r="D246" s="8">
        <v>100</v>
      </c>
      <c r="E246" s="8" t="s">
        <v>95</v>
      </c>
      <c r="F246" s="8">
        <v>1</v>
      </c>
      <c r="I246" s="8" t="s">
        <v>96</v>
      </c>
      <c r="J246" s="8">
        <v>4</v>
      </c>
      <c r="K246" s="8">
        <v>8</v>
      </c>
    </row>
    <row r="247" spans="1:11">
      <c r="A247" s="8">
        <v>246</v>
      </c>
      <c r="B247" s="8">
        <v>103</v>
      </c>
      <c r="C247" s="8">
        <v>2000</v>
      </c>
      <c r="D247" s="8">
        <v>200</v>
      </c>
      <c r="E247" s="8" t="s">
        <v>39</v>
      </c>
      <c r="I247" s="8" t="s">
        <v>40</v>
      </c>
      <c r="J247" s="8">
        <v>0</v>
      </c>
      <c r="K247" s="8">
        <v>12</v>
      </c>
    </row>
    <row r="248" spans="1:11">
      <c r="A248" s="8">
        <v>247</v>
      </c>
      <c r="B248" s="8">
        <v>103</v>
      </c>
      <c r="C248" s="8">
        <v>4000</v>
      </c>
      <c r="D248" s="8">
        <v>400</v>
      </c>
      <c r="E248" s="8" t="s">
        <v>41</v>
      </c>
      <c r="I248" s="8" t="s">
        <v>40</v>
      </c>
      <c r="J248" s="8">
        <v>0</v>
      </c>
      <c r="K248" s="8">
        <v>11</v>
      </c>
    </row>
    <row r="249" spans="1:11">
      <c r="A249" s="8">
        <v>248</v>
      </c>
      <c r="B249" s="8">
        <v>103</v>
      </c>
      <c r="C249" s="8">
        <v>6000</v>
      </c>
      <c r="D249" s="8">
        <v>600</v>
      </c>
      <c r="E249" s="8" t="s">
        <v>42</v>
      </c>
      <c r="I249" s="8" t="s">
        <v>40</v>
      </c>
      <c r="J249" s="8">
        <v>0</v>
      </c>
      <c r="K249" s="8">
        <v>10</v>
      </c>
    </row>
    <row r="250" spans="1:11">
      <c r="A250" s="8">
        <v>249</v>
      </c>
      <c r="B250" s="8">
        <v>103</v>
      </c>
      <c r="C250" s="8">
        <v>8000</v>
      </c>
      <c r="D250" s="8">
        <v>800</v>
      </c>
      <c r="E250" s="8" t="s">
        <v>43</v>
      </c>
      <c r="I250" s="8" t="s">
        <v>40</v>
      </c>
      <c r="J250" s="8">
        <v>0</v>
      </c>
      <c r="K250" s="8">
        <v>9</v>
      </c>
    </row>
    <row r="251" spans="1:11">
      <c r="A251" s="8">
        <v>250</v>
      </c>
      <c r="B251" s="8">
        <v>103</v>
      </c>
      <c r="C251" s="9">
        <v>4000</v>
      </c>
      <c r="D251" s="9">
        <v>400</v>
      </c>
      <c r="E251" s="9" t="s">
        <v>97</v>
      </c>
      <c r="F251" s="9"/>
      <c r="G251" s="9"/>
      <c r="H251" s="9"/>
      <c r="I251" s="9" t="s">
        <v>45</v>
      </c>
      <c r="J251" s="9">
        <v>2</v>
      </c>
      <c r="K251" s="8">
        <v>13</v>
      </c>
    </row>
    <row r="252" spans="1:11">
      <c r="A252" s="8">
        <v>251</v>
      </c>
      <c r="B252" s="8">
        <v>104</v>
      </c>
      <c r="C252" s="8">
        <v>1000</v>
      </c>
      <c r="D252" s="8">
        <v>500</v>
      </c>
      <c r="E252" s="8" t="s">
        <v>22</v>
      </c>
      <c r="G252" s="8">
        <v>1</v>
      </c>
      <c r="H252" s="8">
        <v>60000</v>
      </c>
      <c r="I252" s="8" t="s">
        <v>23</v>
      </c>
      <c r="J252" s="8">
        <v>0</v>
      </c>
      <c r="K252" s="8">
        <v>1</v>
      </c>
    </row>
    <row r="253" spans="1:11">
      <c r="A253" s="8">
        <v>252</v>
      </c>
      <c r="B253" s="8">
        <v>104</v>
      </c>
      <c r="C253" s="8">
        <v>1000</v>
      </c>
      <c r="D253" s="8">
        <v>500</v>
      </c>
      <c r="E253" s="8" t="s">
        <v>24</v>
      </c>
      <c r="G253" s="8">
        <v>1</v>
      </c>
      <c r="H253" s="8">
        <v>80000</v>
      </c>
      <c r="I253" s="8" t="s">
        <v>25</v>
      </c>
      <c r="J253" s="8">
        <v>0</v>
      </c>
      <c r="K253" s="8">
        <v>2</v>
      </c>
    </row>
    <row r="254" spans="1:11">
      <c r="A254" s="8">
        <v>253</v>
      </c>
      <c r="B254" s="8">
        <v>104</v>
      </c>
      <c r="C254" s="8">
        <v>75</v>
      </c>
      <c r="D254" s="8">
        <v>75</v>
      </c>
      <c r="E254" s="8" t="s">
        <v>26</v>
      </c>
      <c r="I254" s="8" t="s">
        <v>27</v>
      </c>
      <c r="J254" s="8">
        <v>1</v>
      </c>
      <c r="K254" s="8">
        <v>13</v>
      </c>
    </row>
    <row r="255" spans="1:11">
      <c r="A255" s="8">
        <v>254</v>
      </c>
      <c r="B255" s="8">
        <v>104</v>
      </c>
      <c r="C255" s="8">
        <v>75</v>
      </c>
      <c r="D255" s="8">
        <v>75</v>
      </c>
      <c r="E255" s="8" t="s">
        <v>28</v>
      </c>
      <c r="I255" s="8" t="s">
        <v>29</v>
      </c>
      <c r="J255" s="8">
        <v>1</v>
      </c>
      <c r="K255" s="8">
        <v>14</v>
      </c>
    </row>
    <row r="256" spans="1:11">
      <c r="A256" s="8">
        <v>255</v>
      </c>
      <c r="B256" s="8">
        <v>104</v>
      </c>
      <c r="C256" s="8">
        <v>75</v>
      </c>
      <c r="D256" s="8">
        <v>75</v>
      </c>
      <c r="E256" s="8" t="s">
        <v>30</v>
      </c>
      <c r="I256" s="8" t="s">
        <v>31</v>
      </c>
      <c r="J256" s="8">
        <v>1</v>
      </c>
      <c r="K256" s="8">
        <v>15</v>
      </c>
    </row>
    <row r="257" spans="1:11">
      <c r="A257" s="8">
        <v>256</v>
      </c>
      <c r="B257" s="8">
        <v>104</v>
      </c>
      <c r="C257" s="8">
        <v>75</v>
      </c>
      <c r="D257" s="8">
        <v>75</v>
      </c>
      <c r="E257" s="8" t="s">
        <v>32</v>
      </c>
      <c r="I257" s="8" t="s">
        <v>33</v>
      </c>
      <c r="J257" s="8">
        <v>1</v>
      </c>
      <c r="K257" s="8">
        <v>16</v>
      </c>
    </row>
    <row r="258" spans="1:11">
      <c r="A258" s="8">
        <v>257</v>
      </c>
      <c r="B258" s="8">
        <v>104</v>
      </c>
      <c r="C258" s="8">
        <v>150</v>
      </c>
      <c r="D258" s="8">
        <v>87</v>
      </c>
      <c r="E258" s="8" t="s">
        <v>46</v>
      </c>
      <c r="F258" s="8">
        <v>1</v>
      </c>
      <c r="I258" s="8" t="s">
        <v>27</v>
      </c>
      <c r="J258" s="8">
        <v>2</v>
      </c>
      <c r="K258" s="8">
        <v>17</v>
      </c>
    </row>
    <row r="259" spans="1:11">
      <c r="A259" s="8">
        <v>258</v>
      </c>
      <c r="B259" s="8">
        <v>104</v>
      </c>
      <c r="C259" s="8">
        <v>150</v>
      </c>
      <c r="D259" s="8">
        <v>88</v>
      </c>
      <c r="E259" s="8" t="s">
        <v>47</v>
      </c>
      <c r="F259" s="8">
        <v>1</v>
      </c>
      <c r="I259" s="8" t="s">
        <v>29</v>
      </c>
      <c r="J259" s="8">
        <v>2</v>
      </c>
      <c r="K259" s="8">
        <v>18</v>
      </c>
    </row>
    <row r="260" spans="1:11">
      <c r="A260" s="8">
        <v>259</v>
      </c>
      <c r="B260" s="8">
        <v>104</v>
      </c>
      <c r="C260" s="8">
        <v>150</v>
      </c>
      <c r="D260" s="8">
        <v>87</v>
      </c>
      <c r="E260" s="8" t="s">
        <v>48</v>
      </c>
      <c r="F260" s="8">
        <v>1</v>
      </c>
      <c r="I260" s="8" t="s">
        <v>31</v>
      </c>
      <c r="J260" s="8">
        <v>2</v>
      </c>
      <c r="K260" s="8">
        <v>19</v>
      </c>
    </row>
    <row r="261" spans="1:11">
      <c r="A261" s="8">
        <v>260</v>
      </c>
      <c r="B261" s="8">
        <v>104</v>
      </c>
      <c r="C261" s="8">
        <v>50</v>
      </c>
      <c r="D261" s="8">
        <v>88</v>
      </c>
      <c r="E261" s="8" t="s">
        <v>49</v>
      </c>
      <c r="F261" s="8">
        <v>1</v>
      </c>
      <c r="I261" s="8" t="s">
        <v>33</v>
      </c>
      <c r="J261" s="8">
        <v>2</v>
      </c>
      <c r="K261" s="8">
        <v>20</v>
      </c>
    </row>
    <row r="262" spans="1:11">
      <c r="A262" s="8">
        <v>261</v>
      </c>
      <c r="B262" s="8">
        <v>104</v>
      </c>
      <c r="C262" s="8">
        <v>50</v>
      </c>
      <c r="D262" s="8">
        <v>87</v>
      </c>
      <c r="E262" s="8" t="s">
        <v>50</v>
      </c>
      <c r="F262" s="8">
        <v>1</v>
      </c>
      <c r="I262" s="8" t="s">
        <v>51</v>
      </c>
      <c r="J262" s="8">
        <v>2</v>
      </c>
      <c r="K262" s="8">
        <v>21</v>
      </c>
    </row>
    <row r="263" spans="1:11">
      <c r="A263" s="8">
        <v>262</v>
      </c>
      <c r="B263" s="8">
        <v>104</v>
      </c>
      <c r="C263" s="8">
        <v>50</v>
      </c>
      <c r="D263" s="8">
        <v>88</v>
      </c>
      <c r="E263" s="8" t="s">
        <v>52</v>
      </c>
      <c r="F263" s="8">
        <v>1</v>
      </c>
      <c r="I263" s="8" t="s">
        <v>53</v>
      </c>
      <c r="J263" s="8">
        <v>2</v>
      </c>
      <c r="K263" s="8">
        <v>22</v>
      </c>
    </row>
    <row r="264" spans="1:11">
      <c r="A264" s="8">
        <v>263</v>
      </c>
      <c r="B264" s="8">
        <v>104</v>
      </c>
      <c r="C264" s="8">
        <v>50</v>
      </c>
      <c r="D264" s="8">
        <v>87</v>
      </c>
      <c r="E264" s="8" t="s">
        <v>54</v>
      </c>
      <c r="F264" s="8">
        <v>1</v>
      </c>
      <c r="I264" s="8" t="s">
        <v>55</v>
      </c>
      <c r="J264" s="8">
        <v>2</v>
      </c>
      <c r="K264" s="8">
        <v>23</v>
      </c>
    </row>
    <row r="265" spans="1:11">
      <c r="A265" s="8">
        <v>264</v>
      </c>
      <c r="B265" s="8">
        <v>104</v>
      </c>
      <c r="C265" s="8">
        <v>50</v>
      </c>
      <c r="D265" s="8">
        <v>88</v>
      </c>
      <c r="E265" s="8" t="s">
        <v>56</v>
      </c>
      <c r="F265" s="8">
        <v>1</v>
      </c>
      <c r="I265" s="8" t="s">
        <v>57</v>
      </c>
      <c r="J265" s="8">
        <v>2</v>
      </c>
      <c r="K265" s="8">
        <v>24</v>
      </c>
    </row>
    <row r="266" spans="1:11">
      <c r="A266" s="8">
        <v>265</v>
      </c>
      <c r="B266" s="8">
        <v>104</v>
      </c>
      <c r="C266" s="8">
        <v>68</v>
      </c>
      <c r="D266" s="8">
        <v>24</v>
      </c>
      <c r="E266" s="8" t="s">
        <v>59</v>
      </c>
      <c r="F266" s="8">
        <v>1</v>
      </c>
      <c r="I266" s="8" t="s">
        <v>27</v>
      </c>
      <c r="J266" s="8">
        <v>3</v>
      </c>
      <c r="K266" s="8">
        <v>25</v>
      </c>
    </row>
    <row r="267" spans="1:11">
      <c r="A267" s="8">
        <v>266</v>
      </c>
      <c r="B267" s="8">
        <v>104</v>
      </c>
      <c r="C267" s="8">
        <v>68</v>
      </c>
      <c r="D267" s="8">
        <v>24</v>
      </c>
      <c r="E267" s="8" t="s">
        <v>60</v>
      </c>
      <c r="F267" s="8">
        <v>1</v>
      </c>
      <c r="I267" s="8" t="s">
        <v>29</v>
      </c>
      <c r="J267" s="8">
        <v>3</v>
      </c>
      <c r="K267" s="8">
        <v>26</v>
      </c>
    </row>
    <row r="268" spans="1:11">
      <c r="A268" s="8">
        <v>267</v>
      </c>
      <c r="B268" s="8">
        <v>104</v>
      </c>
      <c r="C268" s="8">
        <v>69</v>
      </c>
      <c r="D268" s="8">
        <v>24</v>
      </c>
      <c r="E268" s="8" t="s">
        <v>61</v>
      </c>
      <c r="F268" s="8">
        <v>1</v>
      </c>
      <c r="I268" s="8" t="s">
        <v>31</v>
      </c>
      <c r="J268" s="8">
        <v>3</v>
      </c>
      <c r="K268" s="8">
        <v>27</v>
      </c>
    </row>
    <row r="269" spans="1:11">
      <c r="A269" s="8">
        <v>268</v>
      </c>
      <c r="B269" s="8">
        <v>104</v>
      </c>
      <c r="C269" s="8">
        <v>10</v>
      </c>
      <c r="D269" s="8">
        <v>24</v>
      </c>
      <c r="E269" s="8" t="s">
        <v>62</v>
      </c>
      <c r="F269" s="8">
        <v>1</v>
      </c>
      <c r="I269" s="8" t="s">
        <v>33</v>
      </c>
      <c r="J269" s="8">
        <v>3</v>
      </c>
      <c r="K269" s="8">
        <v>28</v>
      </c>
    </row>
    <row r="270" spans="1:11">
      <c r="A270" s="8">
        <v>269</v>
      </c>
      <c r="B270" s="8">
        <v>104</v>
      </c>
      <c r="C270" s="8">
        <v>10</v>
      </c>
      <c r="D270" s="8">
        <v>24</v>
      </c>
      <c r="E270" s="8" t="s">
        <v>63</v>
      </c>
      <c r="F270" s="8">
        <v>1</v>
      </c>
      <c r="I270" s="8" t="s">
        <v>51</v>
      </c>
      <c r="J270" s="8">
        <v>3</v>
      </c>
      <c r="K270" s="8">
        <v>29</v>
      </c>
    </row>
    <row r="271" spans="1:11">
      <c r="A271" s="8">
        <v>270</v>
      </c>
      <c r="B271" s="8">
        <v>104</v>
      </c>
      <c r="C271" s="8">
        <v>10</v>
      </c>
      <c r="D271" s="8">
        <v>24</v>
      </c>
      <c r="E271" s="8" t="s">
        <v>64</v>
      </c>
      <c r="F271" s="8">
        <v>1</v>
      </c>
      <c r="I271" s="8" t="s">
        <v>53</v>
      </c>
      <c r="J271" s="8">
        <v>3</v>
      </c>
      <c r="K271" s="8">
        <v>30</v>
      </c>
    </row>
    <row r="272" spans="1:11">
      <c r="A272" s="8">
        <v>271</v>
      </c>
      <c r="B272" s="8">
        <v>104</v>
      </c>
      <c r="C272" s="8">
        <v>10</v>
      </c>
      <c r="D272" s="8">
        <v>24</v>
      </c>
      <c r="E272" s="8" t="s">
        <v>65</v>
      </c>
      <c r="F272" s="8">
        <v>1</v>
      </c>
      <c r="I272" s="8" t="s">
        <v>66</v>
      </c>
      <c r="J272" s="8">
        <v>3</v>
      </c>
      <c r="K272" s="8">
        <v>31</v>
      </c>
    </row>
    <row r="273" spans="1:11">
      <c r="A273" s="8">
        <v>272</v>
      </c>
      <c r="B273" s="8">
        <v>104</v>
      </c>
      <c r="C273" s="8">
        <v>10</v>
      </c>
      <c r="D273" s="8">
        <v>24</v>
      </c>
      <c r="E273" s="8" t="s">
        <v>67</v>
      </c>
      <c r="F273" s="8">
        <v>1</v>
      </c>
      <c r="I273" s="8" t="s">
        <v>55</v>
      </c>
      <c r="J273" s="8">
        <v>3</v>
      </c>
      <c r="K273" s="8">
        <v>32</v>
      </c>
    </row>
    <row r="274" spans="1:11">
      <c r="A274" s="8">
        <v>273</v>
      </c>
      <c r="B274" s="8">
        <v>104</v>
      </c>
      <c r="C274" s="8">
        <v>10</v>
      </c>
      <c r="D274" s="8">
        <v>24</v>
      </c>
      <c r="E274" s="8" t="s">
        <v>68</v>
      </c>
      <c r="F274" s="8">
        <v>1</v>
      </c>
      <c r="I274" s="8" t="s">
        <v>69</v>
      </c>
      <c r="J274" s="8">
        <v>3</v>
      </c>
      <c r="K274" s="8">
        <v>33</v>
      </c>
    </row>
    <row r="275" spans="1:11">
      <c r="A275" s="8">
        <v>274</v>
      </c>
      <c r="B275" s="8">
        <v>104</v>
      </c>
      <c r="C275" s="8">
        <v>10</v>
      </c>
      <c r="D275" s="8">
        <v>24</v>
      </c>
      <c r="E275" s="8" t="s">
        <v>70</v>
      </c>
      <c r="F275" s="8">
        <v>1</v>
      </c>
      <c r="I275" s="8" t="s">
        <v>57</v>
      </c>
      <c r="J275" s="8">
        <v>3</v>
      </c>
      <c r="K275" s="8">
        <v>34</v>
      </c>
    </row>
    <row r="276" spans="1:11">
      <c r="A276" s="8">
        <v>275</v>
      </c>
      <c r="B276" s="8">
        <v>104</v>
      </c>
      <c r="C276" s="8">
        <v>10</v>
      </c>
      <c r="D276" s="8">
        <v>24</v>
      </c>
      <c r="E276" s="8" t="s">
        <v>71</v>
      </c>
      <c r="F276" s="8">
        <v>1</v>
      </c>
      <c r="I276" s="8" t="s">
        <v>72</v>
      </c>
      <c r="J276" s="8">
        <v>3</v>
      </c>
      <c r="K276" s="8">
        <v>35</v>
      </c>
    </row>
    <row r="277" spans="1:11">
      <c r="A277" s="8">
        <v>276</v>
      </c>
      <c r="B277" s="8">
        <v>104</v>
      </c>
      <c r="C277" s="8">
        <v>10</v>
      </c>
      <c r="D277" s="8">
        <v>21</v>
      </c>
      <c r="E277" s="8" t="s">
        <v>73</v>
      </c>
      <c r="F277" s="8">
        <v>1</v>
      </c>
      <c r="I277" s="8" t="s">
        <v>74</v>
      </c>
      <c r="J277" s="8">
        <v>3</v>
      </c>
      <c r="K277" s="8">
        <v>36</v>
      </c>
    </row>
    <row r="278" spans="1:11">
      <c r="A278" s="8">
        <v>277</v>
      </c>
      <c r="B278" s="8">
        <v>104</v>
      </c>
      <c r="C278" s="8">
        <v>1</v>
      </c>
      <c r="D278" s="8">
        <v>3</v>
      </c>
      <c r="E278" s="8" t="s">
        <v>75</v>
      </c>
      <c r="F278" s="8">
        <v>1</v>
      </c>
      <c r="I278" s="8" t="s">
        <v>76</v>
      </c>
      <c r="J278" s="8">
        <v>3</v>
      </c>
      <c r="K278" s="8">
        <v>37</v>
      </c>
    </row>
    <row r="279" spans="1:11">
      <c r="A279" s="8">
        <v>278</v>
      </c>
      <c r="B279" s="8">
        <v>104</v>
      </c>
      <c r="C279" s="8">
        <v>1</v>
      </c>
      <c r="D279" s="8">
        <v>3</v>
      </c>
      <c r="E279" s="8" t="s">
        <v>77</v>
      </c>
      <c r="F279" s="8">
        <v>1</v>
      </c>
      <c r="I279" s="8" t="s">
        <v>78</v>
      </c>
      <c r="J279" s="8">
        <v>3</v>
      </c>
      <c r="K279" s="8">
        <v>38</v>
      </c>
    </row>
    <row r="280" spans="1:11">
      <c r="A280" s="8">
        <v>279</v>
      </c>
      <c r="B280" s="8">
        <v>104</v>
      </c>
      <c r="C280" s="8">
        <v>1</v>
      </c>
      <c r="D280" s="8">
        <v>3</v>
      </c>
      <c r="E280" s="8" t="s">
        <v>79</v>
      </c>
      <c r="F280" s="8">
        <v>1</v>
      </c>
      <c r="I280" s="8" t="s">
        <v>80</v>
      </c>
      <c r="J280" s="8">
        <v>3</v>
      </c>
      <c r="K280" s="8">
        <v>39</v>
      </c>
    </row>
    <row r="281" spans="1:11">
      <c r="A281" s="8">
        <v>280</v>
      </c>
      <c r="B281" s="8">
        <v>104</v>
      </c>
      <c r="C281" s="8">
        <v>1</v>
      </c>
      <c r="D281" s="8">
        <v>3</v>
      </c>
      <c r="E281" s="8" t="s">
        <v>81</v>
      </c>
      <c r="F281" s="8">
        <v>1</v>
      </c>
      <c r="I281" s="8" t="s">
        <v>82</v>
      </c>
      <c r="J281" s="8">
        <v>3</v>
      </c>
      <c r="K281" s="8">
        <v>40</v>
      </c>
    </row>
    <row r="282" spans="1:11">
      <c r="A282" s="8">
        <v>281</v>
      </c>
      <c r="B282" s="8">
        <v>104</v>
      </c>
      <c r="C282" s="8">
        <v>1</v>
      </c>
      <c r="D282" s="8">
        <v>3</v>
      </c>
      <c r="E282" s="8" t="s">
        <v>83</v>
      </c>
      <c r="F282" s="8">
        <v>1</v>
      </c>
      <c r="I282" s="8" t="s">
        <v>84</v>
      </c>
      <c r="J282" s="8">
        <v>3</v>
      </c>
      <c r="K282" s="8">
        <v>41</v>
      </c>
    </row>
    <row r="283" spans="1:11">
      <c r="A283" s="8">
        <v>282</v>
      </c>
      <c r="B283" s="8">
        <v>104</v>
      </c>
      <c r="C283" s="8">
        <v>60</v>
      </c>
      <c r="D283" s="8">
        <v>40</v>
      </c>
      <c r="E283" s="8" t="s">
        <v>98</v>
      </c>
      <c r="F283" s="8">
        <v>1</v>
      </c>
      <c r="I283" s="8" t="s">
        <v>27</v>
      </c>
      <c r="J283" s="8">
        <v>4</v>
      </c>
      <c r="K283" s="8">
        <v>42</v>
      </c>
    </row>
    <row r="284" spans="1:11">
      <c r="A284" s="8">
        <v>283</v>
      </c>
      <c r="B284" s="8">
        <v>104</v>
      </c>
      <c r="C284" s="8">
        <v>60</v>
      </c>
      <c r="D284" s="8">
        <v>40</v>
      </c>
      <c r="E284" s="8" t="s">
        <v>99</v>
      </c>
      <c r="F284" s="8">
        <v>1</v>
      </c>
      <c r="I284" s="8" t="s">
        <v>29</v>
      </c>
      <c r="J284" s="8">
        <v>4</v>
      </c>
      <c r="K284" s="8">
        <v>43</v>
      </c>
    </row>
    <row r="285" spans="1:11">
      <c r="A285" s="8">
        <v>284</v>
      </c>
      <c r="B285" s="8">
        <v>104</v>
      </c>
      <c r="C285" s="8">
        <v>20</v>
      </c>
      <c r="D285" s="8">
        <v>40</v>
      </c>
      <c r="E285" s="8" t="s">
        <v>100</v>
      </c>
      <c r="F285" s="8">
        <v>1</v>
      </c>
      <c r="I285" s="8" t="s">
        <v>31</v>
      </c>
      <c r="J285" s="8">
        <v>4</v>
      </c>
      <c r="K285" s="8">
        <v>44</v>
      </c>
    </row>
    <row r="286" spans="1:11">
      <c r="A286" s="8">
        <v>285</v>
      </c>
      <c r="B286" s="8">
        <v>104</v>
      </c>
      <c r="C286" s="8">
        <v>20</v>
      </c>
      <c r="D286" s="8">
        <v>40</v>
      </c>
      <c r="E286" s="8" t="s">
        <v>101</v>
      </c>
      <c r="F286" s="8">
        <v>1</v>
      </c>
      <c r="I286" s="8" t="s">
        <v>33</v>
      </c>
      <c r="J286" s="8">
        <v>4</v>
      </c>
      <c r="K286" s="8">
        <v>45</v>
      </c>
    </row>
    <row r="287" spans="1:11">
      <c r="A287" s="8">
        <v>286</v>
      </c>
      <c r="B287" s="8">
        <v>104</v>
      </c>
      <c r="C287" s="8">
        <v>4</v>
      </c>
      <c r="D287" s="8">
        <v>16</v>
      </c>
      <c r="E287" s="8" t="s">
        <v>102</v>
      </c>
      <c r="F287" s="8">
        <v>1</v>
      </c>
      <c r="I287" s="8" t="s">
        <v>51</v>
      </c>
      <c r="J287" s="8">
        <v>4</v>
      </c>
      <c r="K287" s="8">
        <v>46</v>
      </c>
    </row>
    <row r="288" spans="1:11">
      <c r="A288" s="8">
        <v>287</v>
      </c>
      <c r="B288" s="8">
        <v>104</v>
      </c>
      <c r="C288" s="8">
        <v>2</v>
      </c>
      <c r="D288" s="8">
        <v>16</v>
      </c>
      <c r="E288" s="8" t="s">
        <v>103</v>
      </c>
      <c r="F288" s="8">
        <v>1</v>
      </c>
      <c r="I288" s="8" t="s">
        <v>53</v>
      </c>
      <c r="J288" s="8">
        <v>4</v>
      </c>
      <c r="K288" s="8">
        <v>47</v>
      </c>
    </row>
    <row r="289" spans="1:11">
      <c r="A289" s="8">
        <v>288</v>
      </c>
      <c r="B289" s="8">
        <v>104</v>
      </c>
      <c r="C289" s="8">
        <v>4</v>
      </c>
      <c r="D289" s="8">
        <v>16</v>
      </c>
      <c r="E289" s="8" t="s">
        <v>104</v>
      </c>
      <c r="F289" s="8">
        <v>1</v>
      </c>
      <c r="I289" s="8" t="s">
        <v>66</v>
      </c>
      <c r="J289" s="8">
        <v>4</v>
      </c>
      <c r="K289" s="8">
        <v>48</v>
      </c>
    </row>
    <row r="290" spans="1:11">
      <c r="A290" s="8">
        <v>289</v>
      </c>
      <c r="B290" s="8">
        <v>104</v>
      </c>
      <c r="C290" s="8">
        <v>4</v>
      </c>
      <c r="D290" s="8">
        <v>16</v>
      </c>
      <c r="E290" s="8" t="s">
        <v>105</v>
      </c>
      <c r="F290" s="8">
        <v>1</v>
      </c>
      <c r="I290" s="8" t="s">
        <v>55</v>
      </c>
      <c r="J290" s="8">
        <v>4</v>
      </c>
      <c r="K290" s="8">
        <v>49</v>
      </c>
    </row>
    <row r="291" spans="1:11">
      <c r="A291" s="8">
        <v>290</v>
      </c>
      <c r="B291" s="8">
        <v>104</v>
      </c>
      <c r="C291" s="8">
        <v>4</v>
      </c>
      <c r="D291" s="8">
        <v>16</v>
      </c>
      <c r="E291" s="8" t="s">
        <v>106</v>
      </c>
      <c r="F291" s="8">
        <v>1</v>
      </c>
      <c r="I291" s="8" t="s">
        <v>69</v>
      </c>
      <c r="J291" s="8">
        <v>4</v>
      </c>
      <c r="K291" s="8">
        <v>50</v>
      </c>
    </row>
    <row r="292" spans="1:11">
      <c r="A292" s="8">
        <v>291</v>
      </c>
      <c r="B292" s="8">
        <v>104</v>
      </c>
      <c r="C292" s="8">
        <v>4</v>
      </c>
      <c r="D292" s="8">
        <v>16</v>
      </c>
      <c r="E292" s="8" t="s">
        <v>107</v>
      </c>
      <c r="F292" s="8">
        <v>1</v>
      </c>
      <c r="I292" s="8" t="s">
        <v>57</v>
      </c>
      <c r="J292" s="8">
        <v>4</v>
      </c>
      <c r="K292" s="8">
        <v>51</v>
      </c>
    </row>
    <row r="293" spans="1:11">
      <c r="A293" s="8">
        <v>292</v>
      </c>
      <c r="B293" s="8">
        <v>104</v>
      </c>
      <c r="C293" s="8">
        <v>4</v>
      </c>
      <c r="D293" s="8">
        <v>16</v>
      </c>
      <c r="E293" s="8" t="s">
        <v>108</v>
      </c>
      <c r="F293" s="8">
        <v>1</v>
      </c>
      <c r="I293" s="8" t="s">
        <v>72</v>
      </c>
      <c r="J293" s="8">
        <v>4</v>
      </c>
      <c r="K293" s="8">
        <v>52</v>
      </c>
    </row>
    <row r="294" spans="1:11">
      <c r="A294" s="8">
        <v>293</v>
      </c>
      <c r="B294" s="8">
        <v>104</v>
      </c>
      <c r="C294" s="8">
        <v>4</v>
      </c>
      <c r="D294" s="8">
        <v>16</v>
      </c>
      <c r="E294" s="8" t="s">
        <v>109</v>
      </c>
      <c r="F294" s="8">
        <v>1</v>
      </c>
      <c r="I294" s="8" t="s">
        <v>74</v>
      </c>
      <c r="J294" s="8">
        <v>4</v>
      </c>
      <c r="K294" s="8">
        <v>53</v>
      </c>
    </row>
    <row r="295" spans="1:11">
      <c r="A295" s="8">
        <v>294</v>
      </c>
      <c r="B295" s="8">
        <v>104</v>
      </c>
      <c r="C295" s="8">
        <v>1</v>
      </c>
      <c r="D295" s="8">
        <v>4</v>
      </c>
      <c r="E295" s="8" t="s">
        <v>110</v>
      </c>
      <c r="F295" s="8">
        <v>1</v>
      </c>
      <c r="I295" s="8" t="s">
        <v>76</v>
      </c>
      <c r="J295" s="8">
        <v>4</v>
      </c>
      <c r="K295" s="8">
        <v>54</v>
      </c>
    </row>
    <row r="296" spans="1:11">
      <c r="A296" s="8">
        <v>295</v>
      </c>
      <c r="B296" s="8">
        <v>104</v>
      </c>
      <c r="C296" s="8">
        <v>1</v>
      </c>
      <c r="D296" s="8">
        <v>4</v>
      </c>
      <c r="E296" s="8" t="s">
        <v>111</v>
      </c>
      <c r="F296" s="8">
        <v>1</v>
      </c>
      <c r="I296" s="8" t="s">
        <v>78</v>
      </c>
      <c r="J296" s="8">
        <v>4</v>
      </c>
      <c r="K296" s="8">
        <v>55</v>
      </c>
    </row>
    <row r="297" spans="1:11">
      <c r="A297" s="8">
        <v>296</v>
      </c>
      <c r="B297" s="8">
        <v>104</v>
      </c>
      <c r="C297" s="8">
        <v>1</v>
      </c>
      <c r="D297" s="8">
        <v>4</v>
      </c>
      <c r="E297" s="8" t="s">
        <v>112</v>
      </c>
      <c r="F297" s="8">
        <v>1</v>
      </c>
      <c r="I297" s="8" t="s">
        <v>80</v>
      </c>
      <c r="J297" s="8">
        <v>4</v>
      </c>
      <c r="K297" s="8">
        <v>56</v>
      </c>
    </row>
    <row r="298" spans="1:11">
      <c r="A298" s="8">
        <v>297</v>
      </c>
      <c r="B298" s="8">
        <v>104</v>
      </c>
      <c r="C298" s="8">
        <v>1</v>
      </c>
      <c r="D298" s="8">
        <v>4</v>
      </c>
      <c r="E298" s="8" t="s">
        <v>113</v>
      </c>
      <c r="F298" s="8">
        <v>1</v>
      </c>
      <c r="I298" s="8" t="s">
        <v>82</v>
      </c>
      <c r="J298" s="8">
        <v>4</v>
      </c>
      <c r="K298" s="8">
        <v>57</v>
      </c>
    </row>
    <row r="299" spans="1:11">
      <c r="A299" s="8">
        <v>298</v>
      </c>
      <c r="B299" s="8">
        <v>104</v>
      </c>
      <c r="C299" s="8">
        <v>1</v>
      </c>
      <c r="D299" s="8">
        <v>4</v>
      </c>
      <c r="E299" s="8" t="s">
        <v>114</v>
      </c>
      <c r="F299" s="8">
        <v>1</v>
      </c>
      <c r="I299" s="8" t="s">
        <v>84</v>
      </c>
      <c r="J299" s="8">
        <v>4</v>
      </c>
      <c r="K299" s="8">
        <v>58</v>
      </c>
    </row>
    <row r="300" spans="1:11">
      <c r="A300" s="8">
        <v>299</v>
      </c>
      <c r="B300" s="8">
        <v>104</v>
      </c>
      <c r="C300" s="8">
        <v>1</v>
      </c>
      <c r="D300" s="8">
        <v>4</v>
      </c>
      <c r="E300" s="8" t="s">
        <v>115</v>
      </c>
      <c r="F300" s="8">
        <v>1</v>
      </c>
      <c r="I300" s="6" t="s">
        <v>86</v>
      </c>
      <c r="J300" s="8">
        <v>4</v>
      </c>
      <c r="K300" s="8">
        <v>59</v>
      </c>
    </row>
    <row r="301" spans="1:11">
      <c r="A301" s="8">
        <v>300</v>
      </c>
      <c r="B301" s="8">
        <v>104</v>
      </c>
      <c r="C301" s="8">
        <v>1</v>
      </c>
      <c r="D301" s="8">
        <v>4</v>
      </c>
      <c r="E301" s="8" t="s">
        <v>116</v>
      </c>
      <c r="F301" s="8">
        <v>1</v>
      </c>
      <c r="I301" s="6" t="s">
        <v>88</v>
      </c>
      <c r="J301" s="8">
        <v>4</v>
      </c>
      <c r="K301" s="8">
        <v>60</v>
      </c>
    </row>
    <row r="302" spans="1:11">
      <c r="A302" s="8">
        <v>301</v>
      </c>
      <c r="B302" s="8">
        <v>104</v>
      </c>
      <c r="C302" s="8">
        <v>1</v>
      </c>
      <c r="D302" s="8">
        <v>4</v>
      </c>
      <c r="E302" s="8" t="s">
        <v>117</v>
      </c>
      <c r="F302" s="8">
        <v>1</v>
      </c>
      <c r="I302" s="6" t="s">
        <v>90</v>
      </c>
      <c r="J302" s="8">
        <v>4</v>
      </c>
      <c r="K302" s="8">
        <v>61</v>
      </c>
    </row>
    <row r="303" spans="1:11">
      <c r="A303" s="8">
        <v>302</v>
      </c>
      <c r="B303" s="8">
        <v>104</v>
      </c>
      <c r="C303" s="8">
        <v>1</v>
      </c>
      <c r="D303" s="8">
        <v>4</v>
      </c>
      <c r="E303" s="8" t="s">
        <v>118</v>
      </c>
      <c r="F303" s="8">
        <v>1</v>
      </c>
      <c r="I303" s="6" t="s">
        <v>92</v>
      </c>
      <c r="J303" s="8">
        <v>4</v>
      </c>
      <c r="K303" s="8">
        <v>62</v>
      </c>
    </row>
    <row r="304" spans="1:11">
      <c r="A304" s="8">
        <v>303</v>
      </c>
      <c r="B304" s="8">
        <v>104</v>
      </c>
      <c r="C304" s="8">
        <v>1</v>
      </c>
      <c r="D304" s="8">
        <v>4</v>
      </c>
      <c r="E304" s="8" t="s">
        <v>119</v>
      </c>
      <c r="F304" s="8">
        <v>1</v>
      </c>
      <c r="I304" s="6" t="s">
        <v>94</v>
      </c>
      <c r="J304" s="8">
        <v>4</v>
      </c>
      <c r="K304" s="8">
        <v>63</v>
      </c>
    </row>
    <row r="305" spans="1:11">
      <c r="A305" s="8">
        <v>304</v>
      </c>
      <c r="B305" s="8">
        <v>104</v>
      </c>
      <c r="C305" s="8">
        <v>1200</v>
      </c>
      <c r="D305" s="8">
        <v>1199</v>
      </c>
      <c r="E305" s="8" t="s">
        <v>34</v>
      </c>
      <c r="I305" s="8" t="s">
        <v>35</v>
      </c>
      <c r="J305" s="8">
        <v>2</v>
      </c>
      <c r="K305" s="8">
        <v>3</v>
      </c>
    </row>
    <row r="306" spans="1:11">
      <c r="A306" s="8">
        <v>305</v>
      </c>
      <c r="B306" s="8">
        <v>104</v>
      </c>
      <c r="C306" s="8">
        <v>1100</v>
      </c>
      <c r="D306" s="8">
        <v>1100</v>
      </c>
      <c r="E306" s="8" t="s">
        <v>36</v>
      </c>
      <c r="I306" s="8" t="s">
        <v>35</v>
      </c>
      <c r="J306" s="8">
        <v>2</v>
      </c>
      <c r="K306" s="8">
        <v>4</v>
      </c>
    </row>
    <row r="307" spans="1:11">
      <c r="A307" s="8">
        <v>306</v>
      </c>
      <c r="B307" s="8">
        <v>104</v>
      </c>
      <c r="C307" s="8">
        <v>400</v>
      </c>
      <c r="D307" s="8">
        <v>400</v>
      </c>
      <c r="E307" s="8" t="s">
        <v>37</v>
      </c>
      <c r="I307" s="8" t="s">
        <v>35</v>
      </c>
      <c r="J307" s="8">
        <v>2</v>
      </c>
      <c r="K307" s="8">
        <v>5</v>
      </c>
    </row>
    <row r="308" spans="1:11">
      <c r="A308" s="8">
        <v>307</v>
      </c>
      <c r="B308" s="8">
        <v>104</v>
      </c>
      <c r="C308" s="8">
        <v>400</v>
      </c>
      <c r="D308" s="8">
        <v>400</v>
      </c>
      <c r="E308" s="8" t="s">
        <v>38</v>
      </c>
      <c r="I308" s="8" t="s">
        <v>35</v>
      </c>
      <c r="J308" s="8">
        <v>2</v>
      </c>
      <c r="K308" s="8">
        <v>6</v>
      </c>
    </row>
    <row r="309" spans="1:11">
      <c r="A309" s="8">
        <v>308</v>
      </c>
      <c r="B309" s="8">
        <v>104</v>
      </c>
      <c r="C309" s="8">
        <v>200</v>
      </c>
      <c r="D309" s="8">
        <v>447</v>
      </c>
      <c r="E309" s="8" t="s">
        <v>95</v>
      </c>
      <c r="F309" s="8">
        <v>1</v>
      </c>
      <c r="I309" s="8" t="s">
        <v>96</v>
      </c>
      <c r="J309" s="8">
        <v>4</v>
      </c>
      <c r="K309" s="8">
        <v>7</v>
      </c>
    </row>
    <row r="310" spans="1:11">
      <c r="A310" s="8">
        <v>309</v>
      </c>
      <c r="B310" s="8">
        <v>104</v>
      </c>
      <c r="C310" s="8">
        <v>200</v>
      </c>
      <c r="D310" s="8">
        <v>250</v>
      </c>
      <c r="E310" s="8" t="s">
        <v>39</v>
      </c>
      <c r="I310" s="8" t="s">
        <v>40</v>
      </c>
      <c r="J310" s="8">
        <v>0</v>
      </c>
      <c r="K310" s="8">
        <v>11</v>
      </c>
    </row>
    <row r="311" spans="1:11">
      <c r="A311" s="8">
        <v>310</v>
      </c>
      <c r="B311" s="8">
        <v>104</v>
      </c>
      <c r="C311" s="8">
        <v>500</v>
      </c>
      <c r="D311" s="8">
        <v>500</v>
      </c>
      <c r="E311" s="8" t="s">
        <v>41</v>
      </c>
      <c r="I311" s="8" t="s">
        <v>40</v>
      </c>
      <c r="J311" s="8">
        <v>0</v>
      </c>
      <c r="K311" s="8">
        <v>10</v>
      </c>
    </row>
    <row r="312" spans="1:11">
      <c r="A312" s="8">
        <v>311</v>
      </c>
      <c r="B312" s="8">
        <v>104</v>
      </c>
      <c r="C312" s="8">
        <v>700</v>
      </c>
      <c r="D312" s="8">
        <v>750</v>
      </c>
      <c r="E312" s="8" t="s">
        <v>42</v>
      </c>
      <c r="I312" s="8" t="s">
        <v>40</v>
      </c>
      <c r="J312" s="8">
        <v>0</v>
      </c>
      <c r="K312" s="8">
        <v>9</v>
      </c>
    </row>
    <row r="313" spans="1:11">
      <c r="A313" s="8">
        <v>312</v>
      </c>
      <c r="B313" s="8">
        <v>104</v>
      </c>
      <c r="C313" s="8">
        <v>1000</v>
      </c>
      <c r="D313" s="8">
        <v>1000</v>
      </c>
      <c r="E313" s="8" t="s">
        <v>43</v>
      </c>
      <c r="I313" s="8" t="s">
        <v>40</v>
      </c>
      <c r="J313" s="8">
        <v>0</v>
      </c>
      <c r="K313" s="8">
        <v>8</v>
      </c>
    </row>
    <row r="314" spans="1:11">
      <c r="A314" s="8">
        <v>313</v>
      </c>
      <c r="B314" s="8">
        <v>104</v>
      </c>
      <c r="C314" s="9">
        <v>800</v>
      </c>
      <c r="D314" s="9">
        <v>1500</v>
      </c>
      <c r="E314" s="9" t="s">
        <v>120</v>
      </c>
      <c r="F314" s="9">
        <v>1</v>
      </c>
      <c r="G314" s="9"/>
      <c r="H314" s="9"/>
      <c r="I314" s="9" t="s">
        <v>45</v>
      </c>
      <c r="J314" s="9">
        <v>2</v>
      </c>
      <c r="K314" s="8">
        <v>12</v>
      </c>
    </row>
    <row r="315" spans="1:11">
      <c r="A315" s="8">
        <v>10001</v>
      </c>
      <c r="B315" s="8">
        <v>1001</v>
      </c>
      <c r="C315" s="8">
        <v>1250</v>
      </c>
      <c r="D315" s="8">
        <v>1250</v>
      </c>
      <c r="E315" s="8" t="s">
        <v>18</v>
      </c>
      <c r="G315" s="8">
        <v>1</v>
      </c>
      <c r="H315" s="8">
        <v>20000</v>
      </c>
      <c r="I315" s="8" t="s">
        <v>19</v>
      </c>
      <c r="J315" s="8">
        <v>0</v>
      </c>
      <c r="K315" s="8">
        <v>1</v>
      </c>
    </row>
    <row r="316" spans="1:11">
      <c r="A316" s="8">
        <v>10002</v>
      </c>
      <c r="B316" s="8">
        <v>1001</v>
      </c>
      <c r="C316" s="8">
        <v>1250</v>
      </c>
      <c r="D316" s="8">
        <v>1250</v>
      </c>
      <c r="E316" s="8" t="s">
        <v>20</v>
      </c>
      <c r="G316" s="8">
        <v>1</v>
      </c>
      <c r="H316" s="8">
        <v>40000</v>
      </c>
      <c r="I316" s="8" t="s">
        <v>21</v>
      </c>
      <c r="J316" s="8">
        <v>0</v>
      </c>
      <c r="K316" s="8">
        <v>2</v>
      </c>
    </row>
    <row r="317" spans="1:11">
      <c r="A317" s="8">
        <v>10003</v>
      </c>
      <c r="B317" s="8">
        <v>1001</v>
      </c>
      <c r="C317" s="8">
        <v>1250</v>
      </c>
      <c r="D317" s="8">
        <v>1250</v>
      </c>
      <c r="E317" s="8" t="s">
        <v>22</v>
      </c>
      <c r="G317" s="8">
        <v>1</v>
      </c>
      <c r="H317" s="8">
        <v>60000</v>
      </c>
      <c r="I317" s="8" t="s">
        <v>23</v>
      </c>
      <c r="J317" s="8">
        <v>0</v>
      </c>
      <c r="K317" s="8">
        <v>3</v>
      </c>
    </row>
    <row r="318" spans="1:11">
      <c r="A318" s="8">
        <v>10004</v>
      </c>
      <c r="B318" s="8">
        <v>1001</v>
      </c>
      <c r="C318" s="8">
        <v>1250</v>
      </c>
      <c r="D318" s="8">
        <v>1250</v>
      </c>
      <c r="E318" s="8" t="s">
        <v>24</v>
      </c>
      <c r="G318" s="8">
        <v>1</v>
      </c>
      <c r="H318" s="8">
        <v>80000</v>
      </c>
      <c r="I318" s="8" t="s">
        <v>25</v>
      </c>
      <c r="J318" s="8">
        <v>0</v>
      </c>
      <c r="K318" s="8">
        <v>4</v>
      </c>
    </row>
    <row r="319" spans="1:11">
      <c r="A319" s="8">
        <v>10005</v>
      </c>
      <c r="B319" s="8">
        <v>1001</v>
      </c>
      <c r="C319" s="8">
        <v>100</v>
      </c>
      <c r="D319" s="8">
        <v>100</v>
      </c>
      <c r="E319" s="8" t="s">
        <v>26</v>
      </c>
      <c r="I319" s="8" t="s">
        <v>27</v>
      </c>
      <c r="J319" s="8">
        <v>1</v>
      </c>
      <c r="K319" s="8">
        <v>14</v>
      </c>
    </row>
    <row r="320" spans="1:11">
      <c r="A320" s="8">
        <v>10006</v>
      </c>
      <c r="B320" s="8">
        <v>1001</v>
      </c>
      <c r="C320" s="8">
        <v>100</v>
      </c>
      <c r="D320" s="8">
        <v>100</v>
      </c>
      <c r="E320" s="8" t="s">
        <v>28</v>
      </c>
      <c r="I320" s="8" t="s">
        <v>29</v>
      </c>
      <c r="J320" s="8">
        <v>1</v>
      </c>
      <c r="K320" s="8">
        <v>15</v>
      </c>
    </row>
    <row r="321" spans="1:11">
      <c r="A321" s="8">
        <v>10007</v>
      </c>
      <c r="B321" s="8">
        <v>1001</v>
      </c>
      <c r="C321" s="8">
        <v>100</v>
      </c>
      <c r="D321" s="8">
        <v>100</v>
      </c>
      <c r="E321" s="8" t="s">
        <v>30</v>
      </c>
      <c r="I321" s="8" t="s">
        <v>31</v>
      </c>
      <c r="J321" s="8">
        <v>1</v>
      </c>
      <c r="K321" s="8">
        <v>16</v>
      </c>
    </row>
    <row r="322" spans="1:11">
      <c r="A322" s="8">
        <v>10008</v>
      </c>
      <c r="B322" s="8">
        <v>1001</v>
      </c>
      <c r="C322" s="8">
        <v>100</v>
      </c>
      <c r="D322" s="8">
        <v>100</v>
      </c>
      <c r="E322" s="8" t="s">
        <v>32</v>
      </c>
      <c r="I322" s="8" t="s">
        <v>33</v>
      </c>
      <c r="J322" s="8">
        <v>1</v>
      </c>
      <c r="K322" s="8">
        <v>17</v>
      </c>
    </row>
    <row r="323" spans="1:11">
      <c r="A323" s="8">
        <v>10009</v>
      </c>
      <c r="B323" s="8">
        <v>1001</v>
      </c>
      <c r="C323" s="8">
        <v>1500</v>
      </c>
      <c r="D323" s="8">
        <v>1500</v>
      </c>
      <c r="E323" s="8" t="s">
        <v>34</v>
      </c>
      <c r="I323" s="8" t="s">
        <v>35</v>
      </c>
      <c r="J323" s="8">
        <v>2</v>
      </c>
      <c r="K323" s="8">
        <v>5</v>
      </c>
    </row>
    <row r="324" spans="1:11">
      <c r="A324" s="8">
        <v>10010</v>
      </c>
      <c r="B324" s="8">
        <v>1001</v>
      </c>
      <c r="C324" s="8">
        <v>1000</v>
      </c>
      <c r="D324" s="8">
        <v>1000</v>
      </c>
      <c r="E324" s="8" t="s">
        <v>36</v>
      </c>
      <c r="I324" s="8" t="s">
        <v>35</v>
      </c>
      <c r="J324" s="8">
        <v>2</v>
      </c>
      <c r="K324" s="8">
        <v>6</v>
      </c>
    </row>
    <row r="325" spans="1:11">
      <c r="A325" s="8">
        <v>10011</v>
      </c>
      <c r="B325" s="8">
        <v>1001</v>
      </c>
      <c r="C325" s="8">
        <v>500</v>
      </c>
      <c r="D325" s="8">
        <v>500</v>
      </c>
      <c r="E325" s="8" t="s">
        <v>37</v>
      </c>
      <c r="I325" s="8" t="s">
        <v>35</v>
      </c>
      <c r="J325" s="8">
        <v>2</v>
      </c>
      <c r="K325" s="8">
        <v>7</v>
      </c>
    </row>
    <row r="326" spans="1:11">
      <c r="A326" s="8">
        <v>10012</v>
      </c>
      <c r="B326" s="8">
        <v>1001</v>
      </c>
      <c r="C326" s="8">
        <v>500</v>
      </c>
      <c r="D326" s="8">
        <v>500</v>
      </c>
      <c r="E326" s="8" t="s">
        <v>38</v>
      </c>
      <c r="I326" s="8" t="s">
        <v>35</v>
      </c>
      <c r="J326" s="8">
        <v>2</v>
      </c>
      <c r="K326" s="8">
        <v>8</v>
      </c>
    </row>
    <row r="327" spans="1:11">
      <c r="A327" s="8">
        <v>10013</v>
      </c>
      <c r="B327" s="8">
        <v>1001</v>
      </c>
      <c r="C327" s="8">
        <v>100</v>
      </c>
      <c r="D327" s="8">
        <v>100</v>
      </c>
      <c r="E327" s="8" t="s">
        <v>39</v>
      </c>
      <c r="I327" s="8" t="s">
        <v>40</v>
      </c>
      <c r="J327" s="8">
        <v>0</v>
      </c>
      <c r="K327" s="8">
        <v>12</v>
      </c>
    </row>
    <row r="328" spans="1:11">
      <c r="A328" s="8">
        <v>10014</v>
      </c>
      <c r="B328" s="8">
        <v>1001</v>
      </c>
      <c r="C328" s="8">
        <v>200</v>
      </c>
      <c r="D328" s="8">
        <v>200</v>
      </c>
      <c r="E328" s="8" t="s">
        <v>41</v>
      </c>
      <c r="I328" s="8" t="s">
        <v>40</v>
      </c>
      <c r="J328" s="8">
        <v>0</v>
      </c>
      <c r="K328" s="8">
        <v>11</v>
      </c>
    </row>
    <row r="329" spans="1:11">
      <c r="A329" s="8">
        <v>10015</v>
      </c>
      <c r="B329" s="8">
        <v>1001</v>
      </c>
      <c r="C329" s="8">
        <v>300</v>
      </c>
      <c r="D329" s="8">
        <v>300</v>
      </c>
      <c r="E329" s="8" t="s">
        <v>42</v>
      </c>
      <c r="I329" s="8" t="s">
        <v>40</v>
      </c>
      <c r="J329" s="8">
        <v>0</v>
      </c>
      <c r="K329" s="8">
        <v>10</v>
      </c>
    </row>
    <row r="330" spans="1:11">
      <c r="A330" s="8">
        <v>10016</v>
      </c>
      <c r="B330" s="8">
        <v>1001</v>
      </c>
      <c r="C330" s="8">
        <v>400</v>
      </c>
      <c r="D330" s="8">
        <v>400</v>
      </c>
      <c r="E330" s="8" t="s">
        <v>43</v>
      </c>
      <c r="I330" s="8" t="s">
        <v>40</v>
      </c>
      <c r="J330" s="8">
        <v>0</v>
      </c>
      <c r="K330" s="8">
        <v>9</v>
      </c>
    </row>
    <row r="331" spans="1:11">
      <c r="A331" s="8">
        <v>10017</v>
      </c>
      <c r="B331" s="8">
        <v>1001</v>
      </c>
      <c r="C331" s="9">
        <v>100</v>
      </c>
      <c r="D331" s="9">
        <v>100</v>
      </c>
      <c r="E331" s="9" t="s">
        <v>44</v>
      </c>
      <c r="F331" s="9"/>
      <c r="G331" s="9"/>
      <c r="H331" s="9"/>
      <c r="I331" s="9" t="s">
        <v>45</v>
      </c>
      <c r="J331" s="9">
        <v>2</v>
      </c>
      <c r="K331" s="9">
        <v>13</v>
      </c>
    </row>
    <row r="332" spans="1:11">
      <c r="A332" s="8">
        <v>20001</v>
      </c>
      <c r="B332" s="8">
        <v>2001</v>
      </c>
      <c r="C332" s="8">
        <v>1000</v>
      </c>
      <c r="D332" s="8">
        <v>1000</v>
      </c>
      <c r="E332" s="8" t="s">
        <v>18</v>
      </c>
      <c r="G332" s="8">
        <v>1</v>
      </c>
      <c r="H332" s="8">
        <v>20000</v>
      </c>
      <c r="I332" s="8" t="s">
        <v>19</v>
      </c>
      <c r="J332" s="8">
        <v>0</v>
      </c>
      <c r="K332" s="8">
        <v>1</v>
      </c>
    </row>
    <row r="333" spans="1:11">
      <c r="A333" s="8">
        <v>20002</v>
      </c>
      <c r="B333" s="8">
        <v>2001</v>
      </c>
      <c r="C333" s="8">
        <v>1000</v>
      </c>
      <c r="D333" s="8">
        <v>1000</v>
      </c>
      <c r="E333" s="8" t="s">
        <v>20</v>
      </c>
      <c r="G333" s="8">
        <v>1</v>
      </c>
      <c r="H333" s="8">
        <v>40000</v>
      </c>
      <c r="I333" s="8" t="s">
        <v>21</v>
      </c>
      <c r="J333" s="8">
        <v>0</v>
      </c>
      <c r="K333" s="8">
        <v>2</v>
      </c>
    </row>
    <row r="334" spans="1:11">
      <c r="A334" s="8">
        <v>20003</v>
      </c>
      <c r="B334" s="8">
        <v>2001</v>
      </c>
      <c r="C334" s="8">
        <v>1000</v>
      </c>
      <c r="D334" s="8">
        <v>1000</v>
      </c>
      <c r="E334" s="8" t="s">
        <v>22</v>
      </c>
      <c r="G334" s="8">
        <v>1</v>
      </c>
      <c r="H334" s="8">
        <v>60000</v>
      </c>
      <c r="I334" s="8" t="s">
        <v>23</v>
      </c>
      <c r="J334" s="8">
        <v>0</v>
      </c>
      <c r="K334" s="8">
        <v>3</v>
      </c>
    </row>
    <row r="335" spans="1:11">
      <c r="A335" s="8">
        <v>20004</v>
      </c>
      <c r="B335" s="8">
        <v>2001</v>
      </c>
      <c r="C335" s="8">
        <v>1000</v>
      </c>
      <c r="D335" s="8">
        <v>1000</v>
      </c>
      <c r="E335" s="8" t="s">
        <v>24</v>
      </c>
      <c r="G335" s="8">
        <v>1</v>
      </c>
      <c r="H335" s="8">
        <v>80000</v>
      </c>
      <c r="I335" s="8" t="s">
        <v>25</v>
      </c>
      <c r="J335" s="8">
        <v>0</v>
      </c>
      <c r="K335" s="8">
        <v>4</v>
      </c>
    </row>
    <row r="336" spans="1:11">
      <c r="A336" s="8">
        <v>20005</v>
      </c>
      <c r="B336" s="8">
        <v>2001</v>
      </c>
      <c r="C336" s="8">
        <v>150</v>
      </c>
      <c r="D336" s="8">
        <v>150</v>
      </c>
      <c r="E336" s="8" t="s">
        <v>26</v>
      </c>
      <c r="I336" s="8" t="s">
        <v>27</v>
      </c>
      <c r="J336" s="8">
        <v>1</v>
      </c>
      <c r="K336" s="8">
        <v>14</v>
      </c>
    </row>
    <row r="337" spans="1:11">
      <c r="A337" s="8">
        <v>20006</v>
      </c>
      <c r="B337" s="8">
        <v>2001</v>
      </c>
      <c r="C337" s="8">
        <v>150</v>
      </c>
      <c r="D337" s="8">
        <v>150</v>
      </c>
      <c r="E337" s="8" t="s">
        <v>28</v>
      </c>
      <c r="I337" s="8" t="s">
        <v>29</v>
      </c>
      <c r="J337" s="8">
        <v>1</v>
      </c>
      <c r="K337" s="8">
        <v>15</v>
      </c>
    </row>
    <row r="338" spans="1:11">
      <c r="A338" s="8">
        <v>20007</v>
      </c>
      <c r="B338" s="8">
        <v>2001</v>
      </c>
      <c r="C338" s="8">
        <v>150</v>
      </c>
      <c r="D338" s="8">
        <v>150</v>
      </c>
      <c r="E338" s="8" t="s">
        <v>30</v>
      </c>
      <c r="I338" s="8" t="s">
        <v>31</v>
      </c>
      <c r="J338" s="8">
        <v>1</v>
      </c>
      <c r="K338" s="8">
        <v>16</v>
      </c>
    </row>
    <row r="339" spans="1:11">
      <c r="A339" s="8">
        <v>20008</v>
      </c>
      <c r="B339" s="8">
        <v>2001</v>
      </c>
      <c r="C339" s="8">
        <v>150</v>
      </c>
      <c r="D339" s="8">
        <v>150</v>
      </c>
      <c r="E339" s="8" t="s">
        <v>32</v>
      </c>
      <c r="I339" s="8" t="s">
        <v>33</v>
      </c>
      <c r="J339" s="8">
        <v>1</v>
      </c>
      <c r="K339" s="8">
        <v>17</v>
      </c>
    </row>
    <row r="340" spans="1:11">
      <c r="A340" s="8">
        <v>20009</v>
      </c>
      <c r="B340" s="8">
        <v>2001</v>
      </c>
      <c r="C340" s="8">
        <v>100</v>
      </c>
      <c r="D340" s="8">
        <v>50</v>
      </c>
      <c r="E340" s="8" t="s">
        <v>46</v>
      </c>
      <c r="F340" s="8">
        <v>1</v>
      </c>
      <c r="I340" s="8" t="s">
        <v>27</v>
      </c>
      <c r="J340" s="8">
        <v>2</v>
      </c>
      <c r="K340" s="8">
        <v>18</v>
      </c>
    </row>
    <row r="341" spans="1:11">
      <c r="A341" s="8">
        <v>20010</v>
      </c>
      <c r="B341" s="8">
        <v>2001</v>
      </c>
      <c r="C341" s="8">
        <v>100</v>
      </c>
      <c r="D341" s="8">
        <v>50</v>
      </c>
      <c r="E341" s="8" t="s">
        <v>47</v>
      </c>
      <c r="F341" s="8">
        <v>1</v>
      </c>
      <c r="I341" s="8" t="s">
        <v>29</v>
      </c>
      <c r="J341" s="8">
        <v>2</v>
      </c>
      <c r="K341" s="8">
        <v>19</v>
      </c>
    </row>
    <row r="342" spans="1:11">
      <c r="A342" s="8">
        <v>20011</v>
      </c>
      <c r="B342" s="8">
        <v>2001</v>
      </c>
      <c r="C342" s="8">
        <v>100</v>
      </c>
      <c r="D342" s="8">
        <v>50</v>
      </c>
      <c r="E342" s="8" t="s">
        <v>48</v>
      </c>
      <c r="F342" s="8">
        <v>1</v>
      </c>
      <c r="I342" s="8" t="s">
        <v>31</v>
      </c>
      <c r="J342" s="8">
        <v>2</v>
      </c>
      <c r="K342" s="8">
        <v>20</v>
      </c>
    </row>
    <row r="343" spans="1:11">
      <c r="A343" s="8">
        <v>20012</v>
      </c>
      <c r="B343" s="8">
        <v>2001</v>
      </c>
      <c r="C343" s="8">
        <v>20</v>
      </c>
      <c r="D343" s="8">
        <v>50</v>
      </c>
      <c r="E343" s="8" t="s">
        <v>49</v>
      </c>
      <c r="F343" s="8">
        <v>1</v>
      </c>
      <c r="I343" s="8" t="s">
        <v>33</v>
      </c>
      <c r="J343" s="8">
        <v>2</v>
      </c>
      <c r="K343" s="8">
        <v>21</v>
      </c>
    </row>
    <row r="344" spans="1:11">
      <c r="A344" s="8">
        <v>20013</v>
      </c>
      <c r="B344" s="8">
        <v>2001</v>
      </c>
      <c r="C344" s="8">
        <v>20</v>
      </c>
      <c r="D344" s="8">
        <v>50</v>
      </c>
      <c r="E344" s="8" t="s">
        <v>50</v>
      </c>
      <c r="F344" s="8">
        <v>1</v>
      </c>
      <c r="I344" s="8" t="s">
        <v>51</v>
      </c>
      <c r="J344" s="8">
        <v>2</v>
      </c>
      <c r="K344" s="8">
        <v>22</v>
      </c>
    </row>
    <row r="345" spans="1:11">
      <c r="A345" s="8">
        <v>20014</v>
      </c>
      <c r="B345" s="8">
        <v>2001</v>
      </c>
      <c r="C345" s="8">
        <v>20</v>
      </c>
      <c r="D345" s="8">
        <v>50</v>
      </c>
      <c r="E345" s="8" t="s">
        <v>52</v>
      </c>
      <c r="F345" s="8">
        <v>1</v>
      </c>
      <c r="I345" s="8" t="s">
        <v>53</v>
      </c>
      <c r="J345" s="8">
        <v>2</v>
      </c>
      <c r="K345" s="8">
        <v>23</v>
      </c>
    </row>
    <row r="346" spans="1:11">
      <c r="A346" s="8">
        <v>20015</v>
      </c>
      <c r="B346" s="8">
        <v>2001</v>
      </c>
      <c r="C346" s="8">
        <v>20</v>
      </c>
      <c r="D346" s="8">
        <v>50</v>
      </c>
      <c r="E346" s="8" t="s">
        <v>54</v>
      </c>
      <c r="F346" s="8">
        <v>1</v>
      </c>
      <c r="I346" s="8" t="s">
        <v>55</v>
      </c>
      <c r="J346" s="8">
        <v>2</v>
      </c>
      <c r="K346" s="8">
        <v>24</v>
      </c>
    </row>
    <row r="347" spans="1:11">
      <c r="A347" s="8">
        <v>20016</v>
      </c>
      <c r="B347" s="8">
        <v>2001</v>
      </c>
      <c r="C347" s="8">
        <v>20</v>
      </c>
      <c r="D347" s="8">
        <v>50</v>
      </c>
      <c r="E347" s="8" t="s">
        <v>56</v>
      </c>
      <c r="F347" s="8">
        <v>1</v>
      </c>
      <c r="I347" s="8" t="s">
        <v>57</v>
      </c>
      <c r="J347" s="8">
        <v>2</v>
      </c>
      <c r="K347" s="8">
        <v>25</v>
      </c>
    </row>
    <row r="348" spans="1:11">
      <c r="A348" s="8">
        <v>20017</v>
      </c>
      <c r="B348" s="8">
        <v>2001</v>
      </c>
      <c r="C348" s="8">
        <v>1400</v>
      </c>
      <c r="D348" s="8">
        <v>1400</v>
      </c>
      <c r="E348" s="8" t="s">
        <v>34</v>
      </c>
      <c r="I348" s="8" t="s">
        <v>35</v>
      </c>
      <c r="J348" s="8">
        <v>2</v>
      </c>
      <c r="K348" s="8">
        <v>5</v>
      </c>
    </row>
    <row r="349" spans="1:11">
      <c r="A349" s="8">
        <v>20018</v>
      </c>
      <c r="B349" s="8">
        <v>2001</v>
      </c>
      <c r="C349" s="8">
        <v>1000</v>
      </c>
      <c r="D349" s="8">
        <v>1000</v>
      </c>
      <c r="E349" s="8" t="s">
        <v>36</v>
      </c>
      <c r="I349" s="8" t="s">
        <v>35</v>
      </c>
      <c r="J349" s="8">
        <v>2</v>
      </c>
      <c r="K349" s="8">
        <v>6</v>
      </c>
    </row>
    <row r="350" spans="1:11">
      <c r="A350" s="8">
        <v>20019</v>
      </c>
      <c r="B350" s="8">
        <v>2001</v>
      </c>
      <c r="C350" s="8">
        <v>450</v>
      </c>
      <c r="D350" s="8">
        <v>450</v>
      </c>
      <c r="E350" s="8" t="s">
        <v>37</v>
      </c>
      <c r="I350" s="8" t="s">
        <v>35</v>
      </c>
      <c r="J350" s="8">
        <v>2</v>
      </c>
      <c r="K350" s="8">
        <v>7</v>
      </c>
    </row>
    <row r="351" spans="1:11">
      <c r="A351" s="8">
        <v>20020</v>
      </c>
      <c r="B351" s="8">
        <v>2001</v>
      </c>
      <c r="C351" s="8">
        <v>450</v>
      </c>
      <c r="D351" s="8">
        <v>450</v>
      </c>
      <c r="E351" s="8" t="s">
        <v>38</v>
      </c>
      <c r="I351" s="8" t="s">
        <v>35</v>
      </c>
      <c r="J351" s="8">
        <v>2</v>
      </c>
      <c r="K351" s="8">
        <v>8</v>
      </c>
    </row>
    <row r="352" spans="1:11">
      <c r="A352" s="8">
        <v>20021</v>
      </c>
      <c r="B352" s="8">
        <v>2001</v>
      </c>
      <c r="C352" s="8">
        <v>150</v>
      </c>
      <c r="D352" s="8">
        <v>150</v>
      </c>
      <c r="E352" s="8" t="s">
        <v>39</v>
      </c>
      <c r="I352" s="8" t="s">
        <v>40</v>
      </c>
      <c r="J352" s="8">
        <v>0</v>
      </c>
      <c r="K352" s="8">
        <v>12</v>
      </c>
    </row>
    <row r="353" spans="1:11">
      <c r="A353" s="8">
        <v>20022</v>
      </c>
      <c r="B353" s="8">
        <v>2001</v>
      </c>
      <c r="C353" s="8">
        <v>300</v>
      </c>
      <c r="D353" s="8">
        <v>300</v>
      </c>
      <c r="E353" s="8" t="s">
        <v>41</v>
      </c>
      <c r="I353" s="8" t="s">
        <v>40</v>
      </c>
      <c r="J353" s="8">
        <v>0</v>
      </c>
      <c r="K353" s="8">
        <v>11</v>
      </c>
    </row>
    <row r="354" spans="1:11">
      <c r="A354" s="8">
        <v>20023</v>
      </c>
      <c r="B354" s="8">
        <v>2001</v>
      </c>
      <c r="C354" s="8">
        <v>450</v>
      </c>
      <c r="D354" s="8">
        <v>450</v>
      </c>
      <c r="E354" s="8" t="s">
        <v>42</v>
      </c>
      <c r="I354" s="8" t="s">
        <v>40</v>
      </c>
      <c r="J354" s="8">
        <v>0</v>
      </c>
      <c r="K354" s="8">
        <v>10</v>
      </c>
    </row>
    <row r="355" spans="1:11">
      <c r="A355" s="8">
        <v>20024</v>
      </c>
      <c r="B355" s="8">
        <v>2001</v>
      </c>
      <c r="C355" s="8">
        <v>600</v>
      </c>
      <c r="D355" s="8">
        <v>600</v>
      </c>
      <c r="E355" s="8" t="s">
        <v>43</v>
      </c>
      <c r="I355" s="8" t="s">
        <v>40</v>
      </c>
      <c r="J355" s="8">
        <v>0</v>
      </c>
      <c r="K355" s="8">
        <v>9</v>
      </c>
    </row>
    <row r="356" spans="1:11">
      <c r="A356" s="8">
        <v>20025</v>
      </c>
      <c r="B356" s="8">
        <v>2001</v>
      </c>
      <c r="C356" s="9">
        <v>200</v>
      </c>
      <c r="D356" s="9">
        <v>200</v>
      </c>
      <c r="E356" s="9" t="s">
        <v>58</v>
      </c>
      <c r="F356" s="9"/>
      <c r="G356" s="9"/>
      <c r="H356" s="9"/>
      <c r="I356" s="9" t="s">
        <v>45</v>
      </c>
      <c r="J356" s="9">
        <v>2</v>
      </c>
      <c r="K356" s="9">
        <v>13</v>
      </c>
    </row>
    <row r="357" spans="1:11">
      <c r="A357" s="8">
        <v>30001</v>
      </c>
      <c r="B357" s="8">
        <v>3001</v>
      </c>
      <c r="C357" s="8">
        <v>10000</v>
      </c>
      <c r="D357" s="8">
        <v>10000</v>
      </c>
      <c r="E357" s="8" t="s">
        <v>20</v>
      </c>
      <c r="G357" s="8">
        <v>1</v>
      </c>
      <c r="H357" s="8">
        <v>40000</v>
      </c>
      <c r="I357" s="8" t="s">
        <v>21</v>
      </c>
      <c r="J357" s="8">
        <v>0</v>
      </c>
      <c r="K357" s="8">
        <v>1</v>
      </c>
    </row>
    <row r="358" spans="1:11">
      <c r="A358" s="8">
        <v>30002</v>
      </c>
      <c r="B358" s="8">
        <v>3001</v>
      </c>
      <c r="C358" s="8">
        <v>10000</v>
      </c>
      <c r="D358" s="8">
        <v>10000</v>
      </c>
      <c r="E358" s="8" t="s">
        <v>22</v>
      </c>
      <c r="G358" s="8">
        <v>1</v>
      </c>
      <c r="H358" s="8">
        <v>60000</v>
      </c>
      <c r="I358" s="8" t="s">
        <v>23</v>
      </c>
      <c r="J358" s="8">
        <v>0</v>
      </c>
      <c r="K358" s="8">
        <v>2</v>
      </c>
    </row>
    <row r="359" spans="1:11">
      <c r="A359" s="8">
        <v>30003</v>
      </c>
      <c r="B359" s="8">
        <v>3001</v>
      </c>
      <c r="C359" s="8">
        <v>10000</v>
      </c>
      <c r="D359" s="8">
        <v>10000</v>
      </c>
      <c r="E359" s="8" t="s">
        <v>24</v>
      </c>
      <c r="G359" s="8">
        <v>1</v>
      </c>
      <c r="H359" s="8">
        <v>80000</v>
      </c>
      <c r="I359" s="8" t="s">
        <v>25</v>
      </c>
      <c r="J359" s="8">
        <v>0</v>
      </c>
      <c r="K359" s="8">
        <v>3</v>
      </c>
    </row>
    <row r="360" spans="1:11">
      <c r="A360" s="8">
        <v>30004</v>
      </c>
      <c r="B360" s="8">
        <v>3001</v>
      </c>
      <c r="C360" s="8">
        <v>2000</v>
      </c>
      <c r="D360" s="8">
        <v>2000</v>
      </c>
      <c r="E360" s="8" t="s">
        <v>26</v>
      </c>
      <c r="I360" s="8" t="s">
        <v>27</v>
      </c>
      <c r="J360" s="8">
        <v>1</v>
      </c>
      <c r="K360" s="8">
        <v>14</v>
      </c>
    </row>
    <row r="361" spans="1:11">
      <c r="A361" s="8">
        <v>30005</v>
      </c>
      <c r="B361" s="8">
        <v>3001</v>
      </c>
      <c r="C361" s="8">
        <v>2000</v>
      </c>
      <c r="D361" s="8">
        <v>2000</v>
      </c>
      <c r="E361" s="8" t="s">
        <v>28</v>
      </c>
      <c r="I361" s="8" t="s">
        <v>29</v>
      </c>
      <c r="J361" s="8">
        <v>1</v>
      </c>
      <c r="K361" s="8">
        <v>15</v>
      </c>
    </row>
    <row r="362" spans="1:11">
      <c r="A362" s="8">
        <v>30006</v>
      </c>
      <c r="B362" s="8">
        <v>3001</v>
      </c>
      <c r="C362" s="8">
        <v>2000</v>
      </c>
      <c r="D362" s="8">
        <v>2000</v>
      </c>
      <c r="E362" s="8" t="s">
        <v>30</v>
      </c>
      <c r="I362" s="8" t="s">
        <v>31</v>
      </c>
      <c r="J362" s="8">
        <v>1</v>
      </c>
      <c r="K362" s="8">
        <v>16</v>
      </c>
    </row>
    <row r="363" spans="1:11">
      <c r="A363" s="8">
        <v>30007</v>
      </c>
      <c r="B363" s="8">
        <v>3001</v>
      </c>
      <c r="C363" s="8">
        <v>2000</v>
      </c>
      <c r="D363" s="8">
        <v>2000</v>
      </c>
      <c r="E363" s="8" t="s">
        <v>32</v>
      </c>
      <c r="I363" s="8" t="s">
        <v>33</v>
      </c>
      <c r="J363" s="8">
        <v>1</v>
      </c>
      <c r="K363" s="8">
        <v>17</v>
      </c>
    </row>
    <row r="364" spans="1:11">
      <c r="A364" s="8">
        <v>30008</v>
      </c>
      <c r="B364" s="8">
        <v>3001</v>
      </c>
      <c r="C364" s="8">
        <v>1500</v>
      </c>
      <c r="D364" s="8">
        <v>750</v>
      </c>
      <c r="E364" s="8" t="s">
        <v>46</v>
      </c>
      <c r="F364" s="8">
        <v>1</v>
      </c>
      <c r="I364" s="8" t="s">
        <v>27</v>
      </c>
      <c r="J364" s="8">
        <v>2</v>
      </c>
      <c r="K364" s="8">
        <v>18</v>
      </c>
    </row>
    <row r="365" spans="1:11">
      <c r="A365" s="8">
        <v>30009</v>
      </c>
      <c r="B365" s="8">
        <v>3001</v>
      </c>
      <c r="C365" s="8">
        <v>1500</v>
      </c>
      <c r="D365" s="8">
        <v>750</v>
      </c>
      <c r="E365" s="8" t="s">
        <v>47</v>
      </c>
      <c r="F365" s="8">
        <v>1</v>
      </c>
      <c r="I365" s="8" t="s">
        <v>29</v>
      </c>
      <c r="J365" s="8">
        <v>2</v>
      </c>
      <c r="K365" s="8">
        <v>19</v>
      </c>
    </row>
    <row r="366" spans="1:11">
      <c r="A366" s="8">
        <v>30010</v>
      </c>
      <c r="B366" s="8">
        <v>3001</v>
      </c>
      <c r="C366" s="8">
        <v>1500</v>
      </c>
      <c r="D366" s="8">
        <v>750</v>
      </c>
      <c r="E366" s="8" t="s">
        <v>48</v>
      </c>
      <c r="F366" s="8">
        <v>1</v>
      </c>
      <c r="I366" s="8" t="s">
        <v>31</v>
      </c>
      <c r="J366" s="8">
        <v>2</v>
      </c>
      <c r="K366" s="8">
        <v>20</v>
      </c>
    </row>
    <row r="367" spans="1:11">
      <c r="A367" s="8">
        <v>30011</v>
      </c>
      <c r="B367" s="8">
        <v>3001</v>
      </c>
      <c r="C367" s="8">
        <v>300</v>
      </c>
      <c r="D367" s="8">
        <v>750</v>
      </c>
      <c r="E367" s="8" t="s">
        <v>49</v>
      </c>
      <c r="F367" s="8">
        <v>1</v>
      </c>
      <c r="I367" s="8" t="s">
        <v>33</v>
      </c>
      <c r="J367" s="8">
        <v>2</v>
      </c>
      <c r="K367" s="8">
        <v>21</v>
      </c>
    </row>
    <row r="368" spans="1:11">
      <c r="A368" s="8">
        <v>30012</v>
      </c>
      <c r="B368" s="8">
        <v>3001</v>
      </c>
      <c r="C368" s="8">
        <v>300</v>
      </c>
      <c r="D368" s="8">
        <v>750</v>
      </c>
      <c r="E368" s="8" t="s">
        <v>50</v>
      </c>
      <c r="F368" s="8">
        <v>1</v>
      </c>
      <c r="I368" s="8" t="s">
        <v>51</v>
      </c>
      <c r="J368" s="8">
        <v>2</v>
      </c>
      <c r="K368" s="8">
        <v>22</v>
      </c>
    </row>
    <row r="369" spans="1:11">
      <c r="A369" s="8">
        <v>30013</v>
      </c>
      <c r="B369" s="8">
        <v>3001</v>
      </c>
      <c r="C369" s="8">
        <v>300</v>
      </c>
      <c r="D369" s="8">
        <v>750</v>
      </c>
      <c r="E369" s="8" t="s">
        <v>52</v>
      </c>
      <c r="F369" s="8">
        <v>1</v>
      </c>
      <c r="I369" s="8" t="s">
        <v>53</v>
      </c>
      <c r="J369" s="8">
        <v>2</v>
      </c>
      <c r="K369" s="8">
        <v>23</v>
      </c>
    </row>
    <row r="370" spans="1:11">
      <c r="A370" s="8">
        <v>30014</v>
      </c>
      <c r="B370" s="8">
        <v>3001</v>
      </c>
      <c r="C370" s="8">
        <v>300</v>
      </c>
      <c r="D370" s="8">
        <v>750</v>
      </c>
      <c r="E370" s="8" t="s">
        <v>54</v>
      </c>
      <c r="F370" s="8">
        <v>1</v>
      </c>
      <c r="I370" s="8" t="s">
        <v>55</v>
      </c>
      <c r="J370" s="8">
        <v>2</v>
      </c>
      <c r="K370" s="8">
        <v>24</v>
      </c>
    </row>
    <row r="371" spans="1:11">
      <c r="A371" s="8">
        <v>30015</v>
      </c>
      <c r="B371" s="8">
        <v>3001</v>
      </c>
      <c r="C371" s="8">
        <v>300</v>
      </c>
      <c r="D371" s="8">
        <v>750</v>
      </c>
      <c r="E371" s="8" t="s">
        <v>56</v>
      </c>
      <c r="F371" s="8">
        <v>1</v>
      </c>
      <c r="I371" s="8" t="s">
        <v>57</v>
      </c>
      <c r="J371" s="8">
        <v>2</v>
      </c>
      <c r="K371" s="8">
        <v>25</v>
      </c>
    </row>
    <row r="372" spans="1:11">
      <c r="A372" s="8">
        <v>30016</v>
      </c>
      <c r="B372" s="8">
        <v>3001</v>
      </c>
      <c r="C372" s="8">
        <v>500</v>
      </c>
      <c r="D372" s="8">
        <v>160</v>
      </c>
      <c r="E372" s="8" t="s">
        <v>59</v>
      </c>
      <c r="F372" s="8">
        <v>1</v>
      </c>
      <c r="I372" s="8" t="s">
        <v>27</v>
      </c>
      <c r="J372" s="8">
        <v>3</v>
      </c>
      <c r="K372" s="8">
        <v>26</v>
      </c>
    </row>
    <row r="373" spans="1:11">
      <c r="A373" s="8">
        <v>30017</v>
      </c>
      <c r="B373" s="8">
        <v>3001</v>
      </c>
      <c r="C373" s="8">
        <v>500</v>
      </c>
      <c r="D373" s="8">
        <v>160</v>
      </c>
      <c r="E373" s="8" t="s">
        <v>60</v>
      </c>
      <c r="F373" s="8">
        <v>1</v>
      </c>
      <c r="I373" s="8" t="s">
        <v>29</v>
      </c>
      <c r="J373" s="8">
        <v>3</v>
      </c>
      <c r="K373" s="8">
        <v>27</v>
      </c>
    </row>
    <row r="374" spans="1:11">
      <c r="A374" s="8">
        <v>30018</v>
      </c>
      <c r="B374" s="8">
        <v>3001</v>
      </c>
      <c r="C374" s="8">
        <v>500</v>
      </c>
      <c r="D374" s="8">
        <v>160</v>
      </c>
      <c r="E374" s="8" t="s">
        <v>61</v>
      </c>
      <c r="F374" s="8">
        <v>1</v>
      </c>
      <c r="I374" s="8" t="s">
        <v>31</v>
      </c>
      <c r="J374" s="8">
        <v>3</v>
      </c>
      <c r="K374" s="8">
        <v>28</v>
      </c>
    </row>
    <row r="375" spans="1:11">
      <c r="A375" s="8">
        <v>30019</v>
      </c>
      <c r="B375" s="8">
        <v>3001</v>
      </c>
      <c r="C375" s="8">
        <v>50</v>
      </c>
      <c r="D375" s="8">
        <v>160</v>
      </c>
      <c r="E375" s="8" t="s">
        <v>62</v>
      </c>
      <c r="F375" s="8">
        <v>1</v>
      </c>
      <c r="I375" s="8" t="s">
        <v>33</v>
      </c>
      <c r="J375" s="8">
        <v>3</v>
      </c>
      <c r="K375" s="8">
        <v>29</v>
      </c>
    </row>
    <row r="376" spans="1:11">
      <c r="A376" s="8">
        <v>30020</v>
      </c>
      <c r="B376" s="8">
        <v>3001</v>
      </c>
      <c r="C376" s="8">
        <v>50</v>
      </c>
      <c r="D376" s="8">
        <v>160</v>
      </c>
      <c r="E376" s="8" t="s">
        <v>63</v>
      </c>
      <c r="F376" s="8">
        <v>1</v>
      </c>
      <c r="I376" s="8" t="s">
        <v>51</v>
      </c>
      <c r="J376" s="8">
        <v>3</v>
      </c>
      <c r="K376" s="8">
        <v>30</v>
      </c>
    </row>
    <row r="377" spans="1:11">
      <c r="A377" s="8">
        <v>30021</v>
      </c>
      <c r="B377" s="8">
        <v>3001</v>
      </c>
      <c r="C377" s="8">
        <v>20</v>
      </c>
      <c r="D377" s="8">
        <v>160</v>
      </c>
      <c r="E377" s="8" t="s">
        <v>64</v>
      </c>
      <c r="F377" s="8">
        <v>1</v>
      </c>
      <c r="I377" s="8" t="s">
        <v>53</v>
      </c>
      <c r="J377" s="8">
        <v>3</v>
      </c>
      <c r="K377" s="8">
        <v>31</v>
      </c>
    </row>
    <row r="378" spans="1:11">
      <c r="A378" s="8">
        <v>30022</v>
      </c>
      <c r="B378" s="8">
        <v>3001</v>
      </c>
      <c r="C378" s="8">
        <v>50</v>
      </c>
      <c r="D378" s="8">
        <v>160</v>
      </c>
      <c r="E378" s="8" t="s">
        <v>65</v>
      </c>
      <c r="F378" s="8">
        <v>1</v>
      </c>
      <c r="I378" s="8" t="s">
        <v>66</v>
      </c>
      <c r="J378" s="8">
        <v>3</v>
      </c>
      <c r="K378" s="8">
        <v>32</v>
      </c>
    </row>
    <row r="379" spans="1:11">
      <c r="A379" s="8">
        <v>30023</v>
      </c>
      <c r="B379" s="8">
        <v>3001</v>
      </c>
      <c r="C379" s="8">
        <v>50</v>
      </c>
      <c r="D379" s="8">
        <v>160</v>
      </c>
      <c r="E379" s="8" t="s">
        <v>67</v>
      </c>
      <c r="F379" s="8">
        <v>1</v>
      </c>
      <c r="I379" s="8" t="s">
        <v>55</v>
      </c>
      <c r="J379" s="8">
        <v>3</v>
      </c>
      <c r="K379" s="8">
        <v>33</v>
      </c>
    </row>
    <row r="380" spans="1:11">
      <c r="A380" s="8">
        <v>30024</v>
      </c>
      <c r="B380" s="8">
        <v>3001</v>
      </c>
      <c r="C380" s="8">
        <v>50</v>
      </c>
      <c r="D380" s="8">
        <v>160</v>
      </c>
      <c r="E380" s="8" t="s">
        <v>68</v>
      </c>
      <c r="F380" s="8">
        <v>1</v>
      </c>
      <c r="I380" s="8" t="s">
        <v>69</v>
      </c>
      <c r="J380" s="8">
        <v>3</v>
      </c>
      <c r="K380" s="8">
        <v>34</v>
      </c>
    </row>
    <row r="381" spans="1:11">
      <c r="A381" s="8">
        <v>30025</v>
      </c>
      <c r="B381" s="8">
        <v>3001</v>
      </c>
      <c r="C381" s="8">
        <v>50</v>
      </c>
      <c r="D381" s="8">
        <v>160</v>
      </c>
      <c r="E381" s="8" t="s">
        <v>70</v>
      </c>
      <c r="F381" s="8">
        <v>1</v>
      </c>
      <c r="I381" s="8" t="s">
        <v>57</v>
      </c>
      <c r="J381" s="8">
        <v>3</v>
      </c>
      <c r="K381" s="8">
        <v>35</v>
      </c>
    </row>
    <row r="382" spans="1:11">
      <c r="A382" s="8">
        <v>30026</v>
      </c>
      <c r="B382" s="8">
        <v>3001</v>
      </c>
      <c r="C382" s="8">
        <v>50</v>
      </c>
      <c r="D382" s="8">
        <v>160</v>
      </c>
      <c r="E382" s="8" t="s">
        <v>71</v>
      </c>
      <c r="F382" s="8">
        <v>1</v>
      </c>
      <c r="I382" s="8" t="s">
        <v>72</v>
      </c>
      <c r="J382" s="8">
        <v>3</v>
      </c>
      <c r="K382" s="8">
        <v>36</v>
      </c>
    </row>
    <row r="383" spans="1:11">
      <c r="A383" s="8">
        <v>30027</v>
      </c>
      <c r="B383" s="8">
        <v>3001</v>
      </c>
      <c r="C383" s="8">
        <v>50</v>
      </c>
      <c r="D383" s="8">
        <v>160</v>
      </c>
      <c r="E383" s="8" t="s">
        <v>73</v>
      </c>
      <c r="F383" s="8">
        <v>1</v>
      </c>
      <c r="I383" s="8" t="s">
        <v>74</v>
      </c>
      <c r="J383" s="8">
        <v>3</v>
      </c>
      <c r="K383" s="8">
        <v>37</v>
      </c>
    </row>
    <row r="384" spans="1:11">
      <c r="A384" s="8">
        <v>30028</v>
      </c>
      <c r="B384" s="8">
        <v>3001</v>
      </c>
      <c r="C384" s="8">
        <v>1</v>
      </c>
      <c r="D384" s="8">
        <v>5</v>
      </c>
      <c r="E384" s="8" t="s">
        <v>75</v>
      </c>
      <c r="F384" s="8">
        <v>1</v>
      </c>
      <c r="I384" s="8" t="s">
        <v>76</v>
      </c>
      <c r="J384" s="8">
        <v>3</v>
      </c>
      <c r="K384" s="8">
        <v>38</v>
      </c>
    </row>
    <row r="385" spans="1:11">
      <c r="A385" s="8">
        <v>30029</v>
      </c>
      <c r="B385" s="8">
        <v>3001</v>
      </c>
      <c r="C385" s="8">
        <v>5</v>
      </c>
      <c r="D385" s="8">
        <v>5</v>
      </c>
      <c r="E385" s="8" t="s">
        <v>77</v>
      </c>
      <c r="F385" s="8">
        <v>1</v>
      </c>
      <c r="I385" s="8" t="s">
        <v>78</v>
      </c>
      <c r="J385" s="8">
        <v>3</v>
      </c>
      <c r="K385" s="8">
        <v>39</v>
      </c>
    </row>
    <row r="386" spans="1:11">
      <c r="A386" s="8">
        <v>30030</v>
      </c>
      <c r="B386" s="8">
        <v>3001</v>
      </c>
      <c r="C386" s="8">
        <v>1</v>
      </c>
      <c r="D386" s="8">
        <v>5</v>
      </c>
      <c r="E386" s="8" t="s">
        <v>79</v>
      </c>
      <c r="F386" s="8">
        <v>1</v>
      </c>
      <c r="I386" s="8" t="s">
        <v>80</v>
      </c>
      <c r="J386" s="8">
        <v>3</v>
      </c>
      <c r="K386" s="8">
        <v>40</v>
      </c>
    </row>
    <row r="387" spans="1:11">
      <c r="A387" s="8">
        <v>30031</v>
      </c>
      <c r="B387" s="8">
        <v>3001</v>
      </c>
      <c r="C387" s="8">
        <v>5</v>
      </c>
      <c r="D387" s="8">
        <v>5</v>
      </c>
      <c r="E387" s="8" t="s">
        <v>81</v>
      </c>
      <c r="F387" s="8">
        <v>1</v>
      </c>
      <c r="I387" s="8" t="s">
        <v>82</v>
      </c>
      <c r="J387" s="8">
        <v>3</v>
      </c>
      <c r="K387" s="8">
        <v>41</v>
      </c>
    </row>
    <row r="388" spans="1:11">
      <c r="A388" s="8">
        <v>30032</v>
      </c>
      <c r="B388" s="8">
        <v>3001</v>
      </c>
      <c r="C388" s="8">
        <v>5</v>
      </c>
      <c r="D388" s="8">
        <v>5</v>
      </c>
      <c r="E388" s="8" t="s">
        <v>83</v>
      </c>
      <c r="F388" s="8">
        <v>1</v>
      </c>
      <c r="I388" s="8" t="s">
        <v>84</v>
      </c>
      <c r="J388" s="8">
        <v>3</v>
      </c>
      <c r="K388" s="8">
        <v>42</v>
      </c>
    </row>
    <row r="389" spans="1:11">
      <c r="A389" s="8">
        <v>30033</v>
      </c>
      <c r="B389" s="8">
        <v>3001</v>
      </c>
      <c r="C389" s="8">
        <v>5</v>
      </c>
      <c r="D389" s="8">
        <v>5</v>
      </c>
      <c r="E389" s="8" t="s">
        <v>85</v>
      </c>
      <c r="F389" s="8">
        <v>1</v>
      </c>
      <c r="I389" s="6" t="s">
        <v>86</v>
      </c>
      <c r="J389" s="8">
        <v>3</v>
      </c>
      <c r="K389" s="8">
        <v>43</v>
      </c>
    </row>
    <row r="390" spans="1:11">
      <c r="A390" s="8">
        <v>30034</v>
      </c>
      <c r="B390" s="8">
        <v>3001</v>
      </c>
      <c r="C390" s="8">
        <v>5</v>
      </c>
      <c r="D390" s="8">
        <v>5</v>
      </c>
      <c r="E390" s="8" t="s">
        <v>87</v>
      </c>
      <c r="F390" s="8">
        <v>1</v>
      </c>
      <c r="I390" s="6" t="s">
        <v>88</v>
      </c>
      <c r="J390" s="8">
        <v>3</v>
      </c>
      <c r="K390" s="8">
        <v>44</v>
      </c>
    </row>
    <row r="391" spans="1:11">
      <c r="A391" s="8">
        <v>30035</v>
      </c>
      <c r="B391" s="8">
        <v>3001</v>
      </c>
      <c r="C391" s="8">
        <v>5</v>
      </c>
      <c r="D391" s="8">
        <v>5</v>
      </c>
      <c r="E391" s="8" t="s">
        <v>89</v>
      </c>
      <c r="F391" s="8">
        <v>1</v>
      </c>
      <c r="I391" s="6" t="s">
        <v>90</v>
      </c>
      <c r="J391" s="8">
        <v>3</v>
      </c>
      <c r="K391" s="8">
        <v>45</v>
      </c>
    </row>
    <row r="392" spans="1:11">
      <c r="A392" s="8">
        <v>30036</v>
      </c>
      <c r="B392" s="8">
        <v>3001</v>
      </c>
      <c r="C392" s="8">
        <v>5</v>
      </c>
      <c r="D392" s="8">
        <v>5</v>
      </c>
      <c r="E392" s="8" t="s">
        <v>91</v>
      </c>
      <c r="F392" s="8">
        <v>1</v>
      </c>
      <c r="I392" s="6" t="s">
        <v>92</v>
      </c>
      <c r="J392" s="8">
        <v>3</v>
      </c>
      <c r="K392" s="8">
        <v>46</v>
      </c>
    </row>
    <row r="393" spans="1:11">
      <c r="A393" s="8">
        <v>30037</v>
      </c>
      <c r="B393" s="8">
        <v>3001</v>
      </c>
      <c r="C393" s="8">
        <v>5</v>
      </c>
      <c r="D393" s="8">
        <v>5</v>
      </c>
      <c r="E393" s="8" t="s">
        <v>93</v>
      </c>
      <c r="F393" s="8">
        <v>1</v>
      </c>
      <c r="I393" s="6" t="s">
        <v>94</v>
      </c>
      <c r="J393" s="8">
        <v>3</v>
      </c>
      <c r="K393" s="8">
        <v>47</v>
      </c>
    </row>
    <row r="394" spans="1:11">
      <c r="A394" s="8">
        <v>30038</v>
      </c>
      <c r="B394" s="8">
        <v>3001</v>
      </c>
      <c r="C394" s="8">
        <v>1103</v>
      </c>
      <c r="D394" s="8">
        <v>1103</v>
      </c>
      <c r="E394" s="8" t="s">
        <v>34</v>
      </c>
      <c r="I394" s="8" t="s">
        <v>35</v>
      </c>
      <c r="J394" s="8">
        <v>2</v>
      </c>
      <c r="K394" s="8">
        <v>4</v>
      </c>
    </row>
    <row r="395" spans="1:11">
      <c r="A395" s="8">
        <v>30039</v>
      </c>
      <c r="B395" s="8">
        <v>3001</v>
      </c>
      <c r="C395" s="8">
        <v>1000</v>
      </c>
      <c r="D395" s="8">
        <v>1000</v>
      </c>
      <c r="E395" s="8" t="s">
        <v>36</v>
      </c>
      <c r="I395" s="8" t="s">
        <v>35</v>
      </c>
      <c r="J395" s="8">
        <v>2</v>
      </c>
      <c r="K395" s="8">
        <v>5</v>
      </c>
    </row>
    <row r="396" spans="1:11">
      <c r="A396" s="8">
        <v>30040</v>
      </c>
      <c r="B396" s="8">
        <v>3001</v>
      </c>
      <c r="C396" s="8">
        <v>400</v>
      </c>
      <c r="D396" s="8">
        <v>400</v>
      </c>
      <c r="E396" s="8" t="s">
        <v>37</v>
      </c>
      <c r="I396" s="8" t="s">
        <v>35</v>
      </c>
      <c r="J396" s="8">
        <v>2</v>
      </c>
      <c r="K396" s="8">
        <v>6</v>
      </c>
    </row>
    <row r="397" spans="1:11">
      <c r="A397" s="8">
        <v>30041</v>
      </c>
      <c r="B397" s="8">
        <v>3001</v>
      </c>
      <c r="C397" s="8">
        <v>400</v>
      </c>
      <c r="D397" s="8">
        <v>400</v>
      </c>
      <c r="E397" s="8" t="s">
        <v>38</v>
      </c>
      <c r="I397" s="8" t="s">
        <v>35</v>
      </c>
      <c r="J397" s="8">
        <v>2</v>
      </c>
      <c r="K397" s="8">
        <v>7</v>
      </c>
    </row>
    <row r="398" spans="1:11">
      <c r="A398" s="8">
        <v>30042</v>
      </c>
      <c r="B398" s="8">
        <v>3001</v>
      </c>
      <c r="C398" s="8">
        <v>100</v>
      </c>
      <c r="D398" s="8">
        <v>100</v>
      </c>
      <c r="E398" s="8" t="s">
        <v>95</v>
      </c>
      <c r="F398" s="8">
        <v>1</v>
      </c>
      <c r="I398" s="8" t="s">
        <v>96</v>
      </c>
      <c r="J398" s="8">
        <v>4</v>
      </c>
      <c r="K398" s="8">
        <v>8</v>
      </c>
    </row>
    <row r="399" spans="1:11">
      <c r="A399" s="8">
        <v>30043</v>
      </c>
      <c r="B399" s="8">
        <v>3001</v>
      </c>
      <c r="C399" s="8">
        <v>200</v>
      </c>
      <c r="D399" s="8">
        <v>200</v>
      </c>
      <c r="E399" s="8" t="s">
        <v>39</v>
      </c>
      <c r="I399" s="8" t="s">
        <v>40</v>
      </c>
      <c r="J399" s="8">
        <v>0</v>
      </c>
      <c r="K399" s="8">
        <v>12</v>
      </c>
    </row>
    <row r="400" spans="1:11">
      <c r="A400" s="8">
        <v>30044</v>
      </c>
      <c r="B400" s="8">
        <v>3001</v>
      </c>
      <c r="C400" s="8">
        <v>400</v>
      </c>
      <c r="D400" s="8">
        <v>400</v>
      </c>
      <c r="E400" s="8" t="s">
        <v>41</v>
      </c>
      <c r="I400" s="8" t="s">
        <v>40</v>
      </c>
      <c r="J400" s="8">
        <v>0</v>
      </c>
      <c r="K400" s="8">
        <v>11</v>
      </c>
    </row>
    <row r="401" spans="1:11">
      <c r="A401" s="8">
        <v>30045</v>
      </c>
      <c r="B401" s="8">
        <v>3001</v>
      </c>
      <c r="C401" s="8">
        <v>600</v>
      </c>
      <c r="D401" s="8">
        <v>600</v>
      </c>
      <c r="E401" s="8" t="s">
        <v>42</v>
      </c>
      <c r="I401" s="8" t="s">
        <v>40</v>
      </c>
      <c r="J401" s="8">
        <v>0</v>
      </c>
      <c r="K401" s="8">
        <v>10</v>
      </c>
    </row>
    <row r="402" spans="1:11">
      <c r="A402" s="8">
        <v>30046</v>
      </c>
      <c r="B402" s="8">
        <v>3001</v>
      </c>
      <c r="C402" s="8">
        <v>800</v>
      </c>
      <c r="D402" s="8">
        <v>800</v>
      </c>
      <c r="E402" s="8" t="s">
        <v>43</v>
      </c>
      <c r="I402" s="8" t="s">
        <v>40</v>
      </c>
      <c r="J402" s="8">
        <v>0</v>
      </c>
      <c r="K402" s="8">
        <v>9</v>
      </c>
    </row>
    <row r="403" spans="1:11">
      <c r="A403" s="8">
        <v>30047</v>
      </c>
      <c r="B403" s="8">
        <v>3001</v>
      </c>
      <c r="C403" s="9">
        <v>400</v>
      </c>
      <c r="D403" s="9">
        <v>400</v>
      </c>
      <c r="E403" s="9" t="s">
        <v>97</v>
      </c>
      <c r="F403" s="9"/>
      <c r="G403" s="9"/>
      <c r="H403" s="9"/>
      <c r="I403" s="9" t="s">
        <v>45</v>
      </c>
      <c r="J403" s="9">
        <v>2</v>
      </c>
      <c r="K403" s="9">
        <v>13</v>
      </c>
    </row>
    <row r="404" spans="1:11">
      <c r="A404" s="8">
        <v>40001</v>
      </c>
      <c r="B404" s="8">
        <v>4001</v>
      </c>
      <c r="C404" s="8">
        <v>10000</v>
      </c>
      <c r="D404" s="8">
        <v>5000</v>
      </c>
      <c r="E404" s="8" t="s">
        <v>22</v>
      </c>
      <c r="G404" s="8">
        <v>1</v>
      </c>
      <c r="H404" s="8">
        <v>60000</v>
      </c>
      <c r="I404" s="8" t="s">
        <v>23</v>
      </c>
      <c r="J404" s="8">
        <v>0</v>
      </c>
      <c r="K404" s="8">
        <v>1</v>
      </c>
    </row>
    <row r="405" spans="1:11">
      <c r="A405" s="8">
        <v>40002</v>
      </c>
      <c r="B405" s="8">
        <v>4001</v>
      </c>
      <c r="C405" s="8">
        <v>10000</v>
      </c>
      <c r="D405" s="8">
        <v>5000</v>
      </c>
      <c r="E405" s="8" t="s">
        <v>24</v>
      </c>
      <c r="G405" s="8">
        <v>1</v>
      </c>
      <c r="H405" s="8">
        <v>80000</v>
      </c>
      <c r="I405" s="8" t="s">
        <v>25</v>
      </c>
      <c r="J405" s="8">
        <v>0</v>
      </c>
      <c r="K405" s="8">
        <v>2</v>
      </c>
    </row>
    <row r="406" spans="1:11">
      <c r="A406" s="8">
        <v>40003</v>
      </c>
      <c r="B406" s="8">
        <v>4001</v>
      </c>
      <c r="C406" s="8">
        <v>750</v>
      </c>
      <c r="D406" s="8">
        <v>750</v>
      </c>
      <c r="E406" s="8" t="s">
        <v>26</v>
      </c>
      <c r="I406" s="8" t="s">
        <v>27</v>
      </c>
      <c r="J406" s="8">
        <v>1</v>
      </c>
      <c r="K406" s="8">
        <v>13</v>
      </c>
    </row>
    <row r="407" spans="1:11">
      <c r="A407" s="8">
        <v>40004</v>
      </c>
      <c r="B407" s="8">
        <v>4001</v>
      </c>
      <c r="C407" s="8">
        <v>750</v>
      </c>
      <c r="D407" s="8">
        <v>750</v>
      </c>
      <c r="E407" s="8" t="s">
        <v>28</v>
      </c>
      <c r="I407" s="8" t="s">
        <v>29</v>
      </c>
      <c r="J407" s="8">
        <v>1</v>
      </c>
      <c r="K407" s="8">
        <v>14</v>
      </c>
    </row>
    <row r="408" spans="1:11">
      <c r="A408" s="8">
        <v>40005</v>
      </c>
      <c r="B408" s="8">
        <v>4001</v>
      </c>
      <c r="C408" s="8">
        <v>750</v>
      </c>
      <c r="D408" s="8">
        <v>750</v>
      </c>
      <c r="E408" s="8" t="s">
        <v>30</v>
      </c>
      <c r="I408" s="8" t="s">
        <v>31</v>
      </c>
      <c r="J408" s="8">
        <v>1</v>
      </c>
      <c r="K408" s="8">
        <v>15</v>
      </c>
    </row>
    <row r="409" spans="1:11">
      <c r="A409" s="8">
        <v>40006</v>
      </c>
      <c r="B409" s="8">
        <v>4001</v>
      </c>
      <c r="C409" s="8">
        <v>750</v>
      </c>
      <c r="D409" s="8">
        <v>750</v>
      </c>
      <c r="E409" s="8" t="s">
        <v>32</v>
      </c>
      <c r="I409" s="8" t="s">
        <v>33</v>
      </c>
      <c r="J409" s="8">
        <v>1</v>
      </c>
      <c r="K409" s="8">
        <v>16</v>
      </c>
    </row>
    <row r="410" spans="1:11">
      <c r="A410" s="8">
        <v>40007</v>
      </c>
      <c r="B410" s="8">
        <v>4001</v>
      </c>
      <c r="C410" s="8">
        <v>1500</v>
      </c>
      <c r="D410" s="8">
        <v>870</v>
      </c>
      <c r="E410" s="8" t="s">
        <v>46</v>
      </c>
      <c r="F410" s="8">
        <v>1</v>
      </c>
      <c r="I410" s="8" t="s">
        <v>27</v>
      </c>
      <c r="J410" s="8">
        <v>2</v>
      </c>
      <c r="K410" s="8">
        <v>17</v>
      </c>
    </row>
    <row r="411" spans="1:11">
      <c r="A411" s="8">
        <v>40008</v>
      </c>
      <c r="B411" s="8">
        <v>4001</v>
      </c>
      <c r="C411" s="8">
        <v>1500</v>
      </c>
      <c r="D411" s="8">
        <v>880</v>
      </c>
      <c r="E411" s="8" t="s">
        <v>47</v>
      </c>
      <c r="F411" s="8">
        <v>1</v>
      </c>
      <c r="I411" s="8" t="s">
        <v>29</v>
      </c>
      <c r="J411" s="8">
        <v>2</v>
      </c>
      <c r="K411" s="8">
        <v>18</v>
      </c>
    </row>
    <row r="412" spans="1:11">
      <c r="A412" s="8">
        <v>40009</v>
      </c>
      <c r="B412" s="8">
        <v>4001</v>
      </c>
      <c r="C412" s="8">
        <v>1500</v>
      </c>
      <c r="D412" s="8">
        <v>870</v>
      </c>
      <c r="E412" s="8" t="s">
        <v>48</v>
      </c>
      <c r="F412" s="8">
        <v>1</v>
      </c>
      <c r="I412" s="8" t="s">
        <v>31</v>
      </c>
      <c r="J412" s="8">
        <v>2</v>
      </c>
      <c r="K412" s="8">
        <v>19</v>
      </c>
    </row>
    <row r="413" spans="1:11">
      <c r="A413" s="8">
        <v>40010</v>
      </c>
      <c r="B413" s="8">
        <v>4001</v>
      </c>
      <c r="C413" s="8">
        <v>500</v>
      </c>
      <c r="D413" s="8">
        <v>880</v>
      </c>
      <c r="E413" s="8" t="s">
        <v>49</v>
      </c>
      <c r="F413" s="8">
        <v>1</v>
      </c>
      <c r="I413" s="8" t="s">
        <v>33</v>
      </c>
      <c r="J413" s="8">
        <v>2</v>
      </c>
      <c r="K413" s="8">
        <v>20</v>
      </c>
    </row>
    <row r="414" spans="1:11">
      <c r="A414" s="8">
        <v>40011</v>
      </c>
      <c r="B414" s="8">
        <v>4001</v>
      </c>
      <c r="C414" s="8">
        <v>500</v>
      </c>
      <c r="D414" s="8">
        <v>870</v>
      </c>
      <c r="E414" s="8" t="s">
        <v>50</v>
      </c>
      <c r="F414" s="8">
        <v>1</v>
      </c>
      <c r="I414" s="8" t="s">
        <v>51</v>
      </c>
      <c r="J414" s="8">
        <v>2</v>
      </c>
      <c r="K414" s="8">
        <v>21</v>
      </c>
    </row>
    <row r="415" spans="1:11">
      <c r="A415" s="8">
        <v>40012</v>
      </c>
      <c r="B415" s="8">
        <v>4001</v>
      </c>
      <c r="C415" s="8">
        <v>500</v>
      </c>
      <c r="D415" s="8">
        <v>880</v>
      </c>
      <c r="E415" s="8" t="s">
        <v>52</v>
      </c>
      <c r="F415" s="8">
        <v>1</v>
      </c>
      <c r="I415" s="8" t="s">
        <v>53</v>
      </c>
      <c r="J415" s="8">
        <v>2</v>
      </c>
      <c r="K415" s="8">
        <v>22</v>
      </c>
    </row>
    <row r="416" spans="1:11">
      <c r="A416" s="8">
        <v>40013</v>
      </c>
      <c r="B416" s="8">
        <v>4001</v>
      </c>
      <c r="C416" s="8">
        <v>500</v>
      </c>
      <c r="D416" s="8">
        <v>870</v>
      </c>
      <c r="E416" s="8" t="s">
        <v>54</v>
      </c>
      <c r="F416" s="8">
        <v>1</v>
      </c>
      <c r="I416" s="8" t="s">
        <v>55</v>
      </c>
      <c r="J416" s="8">
        <v>2</v>
      </c>
      <c r="K416" s="8">
        <v>23</v>
      </c>
    </row>
    <row r="417" spans="1:11">
      <c r="A417" s="8">
        <v>40014</v>
      </c>
      <c r="B417" s="8">
        <v>4001</v>
      </c>
      <c r="C417" s="8">
        <v>500</v>
      </c>
      <c r="D417" s="8">
        <v>880</v>
      </c>
      <c r="E417" s="8" t="s">
        <v>56</v>
      </c>
      <c r="F417" s="8">
        <v>1</v>
      </c>
      <c r="I417" s="8" t="s">
        <v>57</v>
      </c>
      <c r="J417" s="8">
        <v>2</v>
      </c>
      <c r="K417" s="8">
        <v>24</v>
      </c>
    </row>
    <row r="418" spans="1:11">
      <c r="A418" s="8">
        <v>40015</v>
      </c>
      <c r="B418" s="8">
        <v>4001</v>
      </c>
      <c r="C418" s="8">
        <v>680</v>
      </c>
      <c r="D418" s="8">
        <v>240</v>
      </c>
      <c r="E418" s="8" t="s">
        <v>59</v>
      </c>
      <c r="F418" s="8">
        <v>1</v>
      </c>
      <c r="I418" s="8" t="s">
        <v>27</v>
      </c>
      <c r="J418" s="8">
        <v>3</v>
      </c>
      <c r="K418" s="8">
        <v>25</v>
      </c>
    </row>
    <row r="419" spans="1:11">
      <c r="A419" s="8">
        <v>40016</v>
      </c>
      <c r="B419" s="8">
        <v>4001</v>
      </c>
      <c r="C419" s="8">
        <v>680</v>
      </c>
      <c r="D419" s="8">
        <v>240</v>
      </c>
      <c r="E419" s="8" t="s">
        <v>60</v>
      </c>
      <c r="F419" s="8">
        <v>1</v>
      </c>
      <c r="I419" s="8" t="s">
        <v>29</v>
      </c>
      <c r="J419" s="8">
        <v>3</v>
      </c>
      <c r="K419" s="8">
        <v>26</v>
      </c>
    </row>
    <row r="420" spans="1:11">
      <c r="A420" s="8">
        <v>40017</v>
      </c>
      <c r="B420" s="8">
        <v>4001</v>
      </c>
      <c r="C420" s="8">
        <v>690</v>
      </c>
      <c r="D420" s="8">
        <v>240</v>
      </c>
      <c r="E420" s="8" t="s">
        <v>61</v>
      </c>
      <c r="F420" s="8">
        <v>1</v>
      </c>
      <c r="I420" s="8" t="s">
        <v>31</v>
      </c>
      <c r="J420" s="8">
        <v>3</v>
      </c>
      <c r="K420" s="8">
        <v>27</v>
      </c>
    </row>
    <row r="421" spans="1:11">
      <c r="A421" s="8">
        <v>40018</v>
      </c>
      <c r="B421" s="8">
        <v>4001</v>
      </c>
      <c r="C421" s="8">
        <v>100</v>
      </c>
      <c r="D421" s="8">
        <v>240</v>
      </c>
      <c r="E421" s="8" t="s">
        <v>62</v>
      </c>
      <c r="F421" s="8">
        <v>1</v>
      </c>
      <c r="I421" s="8" t="s">
        <v>33</v>
      </c>
      <c r="J421" s="8">
        <v>3</v>
      </c>
      <c r="K421" s="8">
        <v>28</v>
      </c>
    </row>
    <row r="422" spans="1:11">
      <c r="A422" s="8">
        <v>40019</v>
      </c>
      <c r="B422" s="8">
        <v>4001</v>
      </c>
      <c r="C422" s="8">
        <v>100</v>
      </c>
      <c r="D422" s="8">
        <v>240</v>
      </c>
      <c r="E422" s="8" t="s">
        <v>63</v>
      </c>
      <c r="F422" s="8">
        <v>1</v>
      </c>
      <c r="I422" s="8" t="s">
        <v>51</v>
      </c>
      <c r="J422" s="8">
        <v>3</v>
      </c>
      <c r="K422" s="8">
        <v>29</v>
      </c>
    </row>
    <row r="423" spans="1:11">
      <c r="A423" s="8">
        <v>40020</v>
      </c>
      <c r="B423" s="8">
        <v>4001</v>
      </c>
      <c r="C423" s="8">
        <v>100</v>
      </c>
      <c r="D423" s="8">
        <v>240</v>
      </c>
      <c r="E423" s="8" t="s">
        <v>64</v>
      </c>
      <c r="F423" s="8">
        <v>1</v>
      </c>
      <c r="I423" s="8" t="s">
        <v>53</v>
      </c>
      <c r="J423" s="8">
        <v>3</v>
      </c>
      <c r="K423" s="8">
        <v>30</v>
      </c>
    </row>
    <row r="424" spans="1:11">
      <c r="A424" s="8">
        <v>40021</v>
      </c>
      <c r="B424" s="8">
        <v>4001</v>
      </c>
      <c r="C424" s="8">
        <v>100</v>
      </c>
      <c r="D424" s="8">
        <v>240</v>
      </c>
      <c r="E424" s="8" t="s">
        <v>65</v>
      </c>
      <c r="F424" s="8">
        <v>1</v>
      </c>
      <c r="I424" s="8" t="s">
        <v>66</v>
      </c>
      <c r="J424" s="8">
        <v>3</v>
      </c>
      <c r="K424" s="8">
        <v>31</v>
      </c>
    </row>
    <row r="425" spans="1:11">
      <c r="A425" s="8">
        <v>40022</v>
      </c>
      <c r="B425" s="8">
        <v>4001</v>
      </c>
      <c r="C425" s="8">
        <v>100</v>
      </c>
      <c r="D425" s="8">
        <v>240</v>
      </c>
      <c r="E425" s="8" t="s">
        <v>67</v>
      </c>
      <c r="F425" s="8">
        <v>1</v>
      </c>
      <c r="I425" s="8" t="s">
        <v>55</v>
      </c>
      <c r="J425" s="8">
        <v>3</v>
      </c>
      <c r="K425" s="8">
        <v>32</v>
      </c>
    </row>
    <row r="426" spans="1:11">
      <c r="A426" s="8">
        <v>40023</v>
      </c>
      <c r="B426" s="8">
        <v>4001</v>
      </c>
      <c r="C426" s="8">
        <v>100</v>
      </c>
      <c r="D426" s="8">
        <v>240</v>
      </c>
      <c r="E426" s="8" t="s">
        <v>68</v>
      </c>
      <c r="F426" s="8">
        <v>1</v>
      </c>
      <c r="I426" s="8" t="s">
        <v>69</v>
      </c>
      <c r="J426" s="8">
        <v>3</v>
      </c>
      <c r="K426" s="8">
        <v>33</v>
      </c>
    </row>
    <row r="427" spans="1:11">
      <c r="A427" s="8">
        <v>40024</v>
      </c>
      <c r="B427" s="8">
        <v>4001</v>
      </c>
      <c r="C427" s="8">
        <v>100</v>
      </c>
      <c r="D427" s="8">
        <v>240</v>
      </c>
      <c r="E427" s="8" t="s">
        <v>70</v>
      </c>
      <c r="F427" s="8">
        <v>1</v>
      </c>
      <c r="I427" s="8" t="s">
        <v>57</v>
      </c>
      <c r="J427" s="8">
        <v>3</v>
      </c>
      <c r="K427" s="8">
        <v>34</v>
      </c>
    </row>
    <row r="428" spans="1:11">
      <c r="A428" s="8">
        <v>40025</v>
      </c>
      <c r="B428" s="8">
        <v>4001</v>
      </c>
      <c r="C428" s="8">
        <v>100</v>
      </c>
      <c r="D428" s="8">
        <v>240</v>
      </c>
      <c r="E428" s="8" t="s">
        <v>71</v>
      </c>
      <c r="F428" s="8">
        <v>1</v>
      </c>
      <c r="I428" s="8" t="s">
        <v>72</v>
      </c>
      <c r="J428" s="8">
        <v>3</v>
      </c>
      <c r="K428" s="8">
        <v>35</v>
      </c>
    </row>
    <row r="429" spans="1:11">
      <c r="A429" s="8">
        <v>40026</v>
      </c>
      <c r="B429" s="8">
        <v>4001</v>
      </c>
      <c r="C429" s="8">
        <v>100</v>
      </c>
      <c r="D429" s="8">
        <v>210</v>
      </c>
      <c r="E429" s="8" t="s">
        <v>73</v>
      </c>
      <c r="F429" s="8">
        <v>1</v>
      </c>
      <c r="I429" s="8" t="s">
        <v>74</v>
      </c>
      <c r="J429" s="8">
        <v>3</v>
      </c>
      <c r="K429" s="8">
        <v>36</v>
      </c>
    </row>
    <row r="430" spans="1:11">
      <c r="A430" s="8">
        <v>40027</v>
      </c>
      <c r="B430" s="8">
        <v>4001</v>
      </c>
      <c r="C430" s="8">
        <v>1</v>
      </c>
      <c r="D430" s="8">
        <v>30</v>
      </c>
      <c r="E430" s="8" t="s">
        <v>75</v>
      </c>
      <c r="F430" s="8">
        <v>1</v>
      </c>
      <c r="I430" s="8" t="s">
        <v>76</v>
      </c>
      <c r="J430" s="8">
        <v>3</v>
      </c>
      <c r="K430" s="8">
        <v>37</v>
      </c>
    </row>
    <row r="431" spans="1:11">
      <c r="A431" s="8">
        <v>40028</v>
      </c>
      <c r="B431" s="8">
        <v>4001</v>
      </c>
      <c r="C431" s="8">
        <v>5</v>
      </c>
      <c r="D431" s="8">
        <v>30</v>
      </c>
      <c r="E431" s="8" t="s">
        <v>77</v>
      </c>
      <c r="F431" s="8">
        <v>1</v>
      </c>
      <c r="I431" s="8" t="s">
        <v>78</v>
      </c>
      <c r="J431" s="8">
        <v>3</v>
      </c>
      <c r="K431" s="8">
        <v>38</v>
      </c>
    </row>
    <row r="432" spans="1:11">
      <c r="A432" s="8">
        <v>40029</v>
      </c>
      <c r="B432" s="8">
        <v>4001</v>
      </c>
      <c r="C432" s="8">
        <v>1</v>
      </c>
      <c r="D432" s="8">
        <v>30</v>
      </c>
      <c r="E432" s="8" t="s">
        <v>79</v>
      </c>
      <c r="F432" s="8">
        <v>1</v>
      </c>
      <c r="I432" s="8" t="s">
        <v>80</v>
      </c>
      <c r="J432" s="8">
        <v>3</v>
      </c>
      <c r="K432" s="8">
        <v>39</v>
      </c>
    </row>
    <row r="433" spans="1:11">
      <c r="A433" s="8">
        <v>40030</v>
      </c>
      <c r="B433" s="8">
        <v>4001</v>
      </c>
      <c r="C433" s="8">
        <v>5</v>
      </c>
      <c r="D433" s="8">
        <v>30</v>
      </c>
      <c r="E433" s="8" t="s">
        <v>81</v>
      </c>
      <c r="F433" s="8">
        <v>1</v>
      </c>
      <c r="I433" s="8" t="s">
        <v>82</v>
      </c>
      <c r="J433" s="8">
        <v>3</v>
      </c>
      <c r="K433" s="8">
        <v>40</v>
      </c>
    </row>
    <row r="434" spans="1:11">
      <c r="A434" s="8">
        <v>40031</v>
      </c>
      <c r="B434" s="8">
        <v>4001</v>
      </c>
      <c r="C434" s="8">
        <v>5</v>
      </c>
      <c r="D434" s="8">
        <v>30</v>
      </c>
      <c r="E434" s="8" t="s">
        <v>83</v>
      </c>
      <c r="F434" s="8">
        <v>1</v>
      </c>
      <c r="I434" s="8" t="s">
        <v>84</v>
      </c>
      <c r="J434" s="8">
        <v>3</v>
      </c>
      <c r="K434" s="8">
        <v>41</v>
      </c>
    </row>
    <row r="435" spans="1:11">
      <c r="A435" s="8">
        <v>40032</v>
      </c>
      <c r="B435" s="8">
        <v>4001</v>
      </c>
      <c r="C435" s="8">
        <v>5</v>
      </c>
      <c r="D435" s="8">
        <v>30</v>
      </c>
      <c r="E435" s="8" t="s">
        <v>85</v>
      </c>
      <c r="F435" s="8">
        <v>1</v>
      </c>
      <c r="I435" s="6" t="s">
        <v>86</v>
      </c>
      <c r="J435" s="8">
        <v>3</v>
      </c>
      <c r="K435" s="8">
        <v>42</v>
      </c>
    </row>
    <row r="436" spans="1:11">
      <c r="A436" s="8">
        <v>40033</v>
      </c>
      <c r="B436" s="8">
        <v>4001</v>
      </c>
      <c r="C436" s="8">
        <v>5</v>
      </c>
      <c r="D436" s="8">
        <v>30</v>
      </c>
      <c r="E436" s="8" t="s">
        <v>87</v>
      </c>
      <c r="F436" s="8">
        <v>1</v>
      </c>
      <c r="I436" s="6" t="s">
        <v>88</v>
      </c>
      <c r="J436" s="8">
        <v>3</v>
      </c>
      <c r="K436" s="8">
        <v>43</v>
      </c>
    </row>
    <row r="437" spans="1:11">
      <c r="A437" s="8">
        <v>40034</v>
      </c>
      <c r="B437" s="8">
        <v>4001</v>
      </c>
      <c r="C437" s="8">
        <v>5</v>
      </c>
      <c r="D437" s="8">
        <v>30</v>
      </c>
      <c r="E437" s="8" t="s">
        <v>89</v>
      </c>
      <c r="F437" s="8">
        <v>1</v>
      </c>
      <c r="I437" s="6" t="s">
        <v>90</v>
      </c>
      <c r="J437" s="8">
        <v>3</v>
      </c>
      <c r="K437" s="8">
        <v>44</v>
      </c>
    </row>
    <row r="438" spans="1:11">
      <c r="A438" s="8">
        <v>40035</v>
      </c>
      <c r="B438" s="8">
        <v>4001</v>
      </c>
      <c r="C438" s="8">
        <v>5</v>
      </c>
      <c r="D438" s="8">
        <v>30</v>
      </c>
      <c r="E438" s="8" t="s">
        <v>91</v>
      </c>
      <c r="F438" s="8">
        <v>1</v>
      </c>
      <c r="I438" s="6" t="s">
        <v>92</v>
      </c>
      <c r="J438" s="8">
        <v>3</v>
      </c>
      <c r="K438" s="8">
        <v>45</v>
      </c>
    </row>
    <row r="439" spans="1:11">
      <c r="A439" s="8">
        <v>40036</v>
      </c>
      <c r="B439" s="8">
        <v>4001</v>
      </c>
      <c r="C439" s="8">
        <v>5</v>
      </c>
      <c r="D439" s="8">
        <v>30</v>
      </c>
      <c r="E439" s="8" t="s">
        <v>93</v>
      </c>
      <c r="F439" s="8">
        <v>1</v>
      </c>
      <c r="I439" s="6" t="s">
        <v>94</v>
      </c>
      <c r="J439" s="8">
        <v>3</v>
      </c>
      <c r="K439" s="8">
        <v>46</v>
      </c>
    </row>
    <row r="440" spans="1:11">
      <c r="A440" s="8">
        <v>40037</v>
      </c>
      <c r="B440" s="8">
        <v>4001</v>
      </c>
      <c r="C440" s="8">
        <v>300</v>
      </c>
      <c r="D440" s="8">
        <v>200</v>
      </c>
      <c r="E440" s="8" t="s">
        <v>98</v>
      </c>
      <c r="F440" s="8">
        <v>1</v>
      </c>
      <c r="I440" s="8" t="s">
        <v>27</v>
      </c>
      <c r="J440" s="8">
        <v>4</v>
      </c>
      <c r="K440" s="8">
        <v>47</v>
      </c>
    </row>
    <row r="441" spans="1:11">
      <c r="A441" s="8">
        <v>40038</v>
      </c>
      <c r="B441" s="8">
        <v>4001</v>
      </c>
      <c r="C441" s="8">
        <v>300</v>
      </c>
      <c r="D441" s="8">
        <v>200</v>
      </c>
      <c r="E441" s="8" t="s">
        <v>99</v>
      </c>
      <c r="F441" s="8">
        <v>1</v>
      </c>
      <c r="I441" s="8" t="s">
        <v>29</v>
      </c>
      <c r="J441" s="8">
        <v>4</v>
      </c>
      <c r="K441" s="8">
        <v>48</v>
      </c>
    </row>
    <row r="442" spans="1:11">
      <c r="A442" s="8">
        <v>40039</v>
      </c>
      <c r="B442" s="8">
        <v>4001</v>
      </c>
      <c r="C442" s="8">
        <v>100</v>
      </c>
      <c r="D442" s="8">
        <v>200</v>
      </c>
      <c r="E442" s="8" t="s">
        <v>100</v>
      </c>
      <c r="F442" s="8">
        <v>1</v>
      </c>
      <c r="I442" s="8" t="s">
        <v>31</v>
      </c>
      <c r="J442" s="8">
        <v>4</v>
      </c>
      <c r="K442" s="8">
        <v>49</v>
      </c>
    </row>
    <row r="443" spans="1:11">
      <c r="A443" s="8">
        <v>40040</v>
      </c>
      <c r="B443" s="8">
        <v>4001</v>
      </c>
      <c r="C443" s="8">
        <v>100</v>
      </c>
      <c r="D443" s="8">
        <v>200</v>
      </c>
      <c r="E443" s="8" t="s">
        <v>101</v>
      </c>
      <c r="F443" s="8">
        <v>1</v>
      </c>
      <c r="I443" s="8" t="s">
        <v>33</v>
      </c>
      <c r="J443" s="8">
        <v>4</v>
      </c>
      <c r="K443" s="8">
        <v>50</v>
      </c>
    </row>
    <row r="444" spans="1:11">
      <c r="A444" s="8">
        <v>40041</v>
      </c>
      <c r="B444" s="8">
        <v>4001</v>
      </c>
      <c r="C444" s="8">
        <v>20</v>
      </c>
      <c r="D444" s="8">
        <v>80</v>
      </c>
      <c r="E444" s="8" t="s">
        <v>102</v>
      </c>
      <c r="F444" s="8">
        <v>1</v>
      </c>
      <c r="I444" s="8" t="s">
        <v>51</v>
      </c>
      <c r="J444" s="8">
        <v>4</v>
      </c>
      <c r="K444" s="8">
        <v>51</v>
      </c>
    </row>
    <row r="445" spans="1:11">
      <c r="A445" s="8">
        <v>40042</v>
      </c>
      <c r="B445" s="8">
        <v>4001</v>
      </c>
      <c r="C445" s="8">
        <v>10</v>
      </c>
      <c r="D445" s="8">
        <v>80</v>
      </c>
      <c r="E445" s="8" t="s">
        <v>103</v>
      </c>
      <c r="F445" s="8">
        <v>1</v>
      </c>
      <c r="I445" s="8" t="s">
        <v>53</v>
      </c>
      <c r="J445" s="8">
        <v>4</v>
      </c>
      <c r="K445" s="8">
        <v>52</v>
      </c>
    </row>
    <row r="446" spans="1:11">
      <c r="A446" s="8">
        <v>40043</v>
      </c>
      <c r="B446" s="8">
        <v>4001</v>
      </c>
      <c r="C446" s="8">
        <v>20</v>
      </c>
      <c r="D446" s="8">
        <v>80</v>
      </c>
      <c r="E446" s="8" t="s">
        <v>104</v>
      </c>
      <c r="F446" s="8">
        <v>1</v>
      </c>
      <c r="I446" s="8" t="s">
        <v>66</v>
      </c>
      <c r="J446" s="8">
        <v>4</v>
      </c>
      <c r="K446" s="8">
        <v>53</v>
      </c>
    </row>
    <row r="447" spans="1:11">
      <c r="A447" s="8">
        <v>40044</v>
      </c>
      <c r="B447" s="8">
        <v>4001</v>
      </c>
      <c r="C447" s="8">
        <v>20</v>
      </c>
      <c r="D447" s="8">
        <v>80</v>
      </c>
      <c r="E447" s="8" t="s">
        <v>105</v>
      </c>
      <c r="F447" s="8">
        <v>1</v>
      </c>
      <c r="I447" s="8" t="s">
        <v>55</v>
      </c>
      <c r="J447" s="8">
        <v>4</v>
      </c>
      <c r="K447" s="8">
        <v>54</v>
      </c>
    </row>
    <row r="448" spans="1:11">
      <c r="A448" s="8">
        <v>40045</v>
      </c>
      <c r="B448" s="8">
        <v>4001</v>
      </c>
      <c r="C448" s="8">
        <v>20</v>
      </c>
      <c r="D448" s="8">
        <v>80</v>
      </c>
      <c r="E448" s="8" t="s">
        <v>106</v>
      </c>
      <c r="F448" s="8">
        <v>1</v>
      </c>
      <c r="I448" s="8" t="s">
        <v>69</v>
      </c>
      <c r="J448" s="8">
        <v>4</v>
      </c>
      <c r="K448" s="8">
        <v>55</v>
      </c>
    </row>
    <row r="449" spans="1:11">
      <c r="A449" s="8">
        <v>40046</v>
      </c>
      <c r="B449" s="8">
        <v>4001</v>
      </c>
      <c r="C449" s="8">
        <v>20</v>
      </c>
      <c r="D449" s="8">
        <v>80</v>
      </c>
      <c r="E449" s="8" t="s">
        <v>107</v>
      </c>
      <c r="F449" s="8">
        <v>1</v>
      </c>
      <c r="I449" s="8" t="s">
        <v>57</v>
      </c>
      <c r="J449" s="8">
        <v>4</v>
      </c>
      <c r="K449" s="8">
        <v>56</v>
      </c>
    </row>
    <row r="450" spans="1:11">
      <c r="A450" s="8">
        <v>40047</v>
      </c>
      <c r="B450" s="8">
        <v>4001</v>
      </c>
      <c r="C450" s="8">
        <v>20</v>
      </c>
      <c r="D450" s="8">
        <v>80</v>
      </c>
      <c r="E450" s="8" t="s">
        <v>108</v>
      </c>
      <c r="F450" s="8">
        <v>1</v>
      </c>
      <c r="I450" s="8" t="s">
        <v>72</v>
      </c>
      <c r="J450" s="8">
        <v>4</v>
      </c>
      <c r="K450" s="8">
        <v>57</v>
      </c>
    </row>
    <row r="451" spans="1:11">
      <c r="A451" s="8">
        <v>40048</v>
      </c>
      <c r="B451" s="8">
        <v>4001</v>
      </c>
      <c r="C451" s="8">
        <v>20</v>
      </c>
      <c r="D451" s="8">
        <v>80</v>
      </c>
      <c r="E451" s="8" t="s">
        <v>109</v>
      </c>
      <c r="F451" s="8">
        <v>1</v>
      </c>
      <c r="I451" s="8" t="s">
        <v>74</v>
      </c>
      <c r="J451" s="8">
        <v>4</v>
      </c>
      <c r="K451" s="8">
        <v>58</v>
      </c>
    </row>
    <row r="452" spans="1:11">
      <c r="A452" s="8">
        <v>40049</v>
      </c>
      <c r="B452" s="8">
        <v>4001</v>
      </c>
      <c r="C452" s="8">
        <v>1</v>
      </c>
      <c r="D452" s="8">
        <v>20</v>
      </c>
      <c r="E452" s="8" t="s">
        <v>110</v>
      </c>
      <c r="F452" s="8">
        <v>1</v>
      </c>
      <c r="I452" s="8" t="s">
        <v>76</v>
      </c>
      <c r="J452" s="8">
        <v>4</v>
      </c>
      <c r="K452" s="8">
        <v>59</v>
      </c>
    </row>
    <row r="453" spans="1:11">
      <c r="A453" s="8">
        <v>40050</v>
      </c>
      <c r="B453" s="8">
        <v>4001</v>
      </c>
      <c r="C453" s="8">
        <v>5</v>
      </c>
      <c r="D453" s="8">
        <v>20</v>
      </c>
      <c r="E453" s="8" t="s">
        <v>111</v>
      </c>
      <c r="F453" s="8">
        <v>1</v>
      </c>
      <c r="I453" s="8" t="s">
        <v>78</v>
      </c>
      <c r="J453" s="8">
        <v>4</v>
      </c>
      <c r="K453" s="8">
        <v>60</v>
      </c>
    </row>
    <row r="454" spans="1:11">
      <c r="A454" s="8">
        <v>40051</v>
      </c>
      <c r="B454" s="8">
        <v>4001</v>
      </c>
      <c r="C454" s="8">
        <v>1</v>
      </c>
      <c r="D454" s="8">
        <v>20</v>
      </c>
      <c r="E454" s="8" t="s">
        <v>112</v>
      </c>
      <c r="F454" s="8">
        <v>1</v>
      </c>
      <c r="I454" s="8" t="s">
        <v>80</v>
      </c>
      <c r="J454" s="8">
        <v>4</v>
      </c>
      <c r="K454" s="8">
        <v>61</v>
      </c>
    </row>
    <row r="455" spans="1:11">
      <c r="A455" s="8">
        <v>40052</v>
      </c>
      <c r="B455" s="8">
        <v>4001</v>
      </c>
      <c r="C455" s="8">
        <v>5</v>
      </c>
      <c r="D455" s="8">
        <v>20</v>
      </c>
      <c r="E455" s="8" t="s">
        <v>113</v>
      </c>
      <c r="F455" s="8">
        <v>1</v>
      </c>
      <c r="I455" s="8" t="s">
        <v>82</v>
      </c>
      <c r="J455" s="8">
        <v>4</v>
      </c>
      <c r="K455" s="8">
        <v>62</v>
      </c>
    </row>
    <row r="456" spans="1:11">
      <c r="A456" s="8">
        <v>40053</v>
      </c>
      <c r="B456" s="8">
        <v>4001</v>
      </c>
      <c r="C456" s="8">
        <v>5</v>
      </c>
      <c r="D456" s="8">
        <v>20</v>
      </c>
      <c r="E456" s="8" t="s">
        <v>114</v>
      </c>
      <c r="F456" s="8">
        <v>1</v>
      </c>
      <c r="I456" s="8" t="s">
        <v>84</v>
      </c>
      <c r="J456" s="8">
        <v>4</v>
      </c>
      <c r="K456" s="8">
        <v>63</v>
      </c>
    </row>
    <row r="457" spans="1:11">
      <c r="A457" s="8">
        <v>40054</v>
      </c>
      <c r="B457" s="8">
        <v>4001</v>
      </c>
      <c r="C457" s="8">
        <v>5</v>
      </c>
      <c r="D457" s="8">
        <v>20</v>
      </c>
      <c r="E457" s="8" t="s">
        <v>115</v>
      </c>
      <c r="F457" s="8">
        <v>1</v>
      </c>
      <c r="I457" s="6" t="s">
        <v>86</v>
      </c>
      <c r="J457" s="8">
        <v>4</v>
      </c>
      <c r="K457" s="8">
        <v>64</v>
      </c>
    </row>
    <row r="458" spans="1:11">
      <c r="A458" s="8">
        <v>40055</v>
      </c>
      <c r="B458" s="8">
        <v>4001</v>
      </c>
      <c r="C458" s="8">
        <v>5</v>
      </c>
      <c r="D458" s="8">
        <v>20</v>
      </c>
      <c r="E458" s="8" t="s">
        <v>116</v>
      </c>
      <c r="F458" s="8">
        <v>1</v>
      </c>
      <c r="I458" s="6" t="s">
        <v>88</v>
      </c>
      <c r="J458" s="8">
        <v>4</v>
      </c>
      <c r="K458" s="8">
        <v>65</v>
      </c>
    </row>
    <row r="459" spans="1:11">
      <c r="A459" s="8">
        <v>40056</v>
      </c>
      <c r="B459" s="8">
        <v>4001</v>
      </c>
      <c r="C459" s="8">
        <v>5</v>
      </c>
      <c r="D459" s="8">
        <v>20</v>
      </c>
      <c r="E459" s="8" t="s">
        <v>117</v>
      </c>
      <c r="F459" s="8">
        <v>1</v>
      </c>
      <c r="I459" s="6" t="s">
        <v>90</v>
      </c>
      <c r="J459" s="8">
        <v>4</v>
      </c>
      <c r="K459" s="8">
        <v>66</v>
      </c>
    </row>
    <row r="460" spans="1:11">
      <c r="A460" s="8">
        <v>40057</v>
      </c>
      <c r="B460" s="8">
        <v>4001</v>
      </c>
      <c r="C460" s="8">
        <v>5</v>
      </c>
      <c r="D460" s="8">
        <v>20</v>
      </c>
      <c r="E460" s="8" t="s">
        <v>118</v>
      </c>
      <c r="F460" s="8">
        <v>1</v>
      </c>
      <c r="I460" s="6" t="s">
        <v>92</v>
      </c>
      <c r="J460" s="8">
        <v>4</v>
      </c>
      <c r="K460" s="8">
        <v>67</v>
      </c>
    </row>
    <row r="461" spans="1:11">
      <c r="A461" s="8">
        <v>40058</v>
      </c>
      <c r="B461" s="8">
        <v>4001</v>
      </c>
      <c r="C461" s="8">
        <v>5</v>
      </c>
      <c r="D461" s="8">
        <v>20</v>
      </c>
      <c r="E461" s="8" t="s">
        <v>119</v>
      </c>
      <c r="F461" s="8">
        <v>1</v>
      </c>
      <c r="I461" s="6" t="s">
        <v>94</v>
      </c>
      <c r="J461" s="8">
        <v>4</v>
      </c>
      <c r="K461" s="8">
        <v>68</v>
      </c>
    </row>
    <row r="462" spans="1:11">
      <c r="A462" s="8">
        <v>40059</v>
      </c>
      <c r="B462" s="8">
        <v>4001</v>
      </c>
      <c r="C462" s="8">
        <v>12000</v>
      </c>
      <c r="D462" s="8">
        <v>11990</v>
      </c>
      <c r="E462" s="8" t="s">
        <v>34</v>
      </c>
      <c r="I462" s="8" t="s">
        <v>35</v>
      </c>
      <c r="J462" s="8">
        <v>2</v>
      </c>
      <c r="K462" s="8">
        <v>3</v>
      </c>
    </row>
    <row r="463" spans="1:11">
      <c r="A463" s="8">
        <v>40060</v>
      </c>
      <c r="B463" s="8">
        <v>4001</v>
      </c>
      <c r="C463" s="8">
        <v>11000</v>
      </c>
      <c r="D463" s="8">
        <v>11000</v>
      </c>
      <c r="E463" s="8" t="s">
        <v>36</v>
      </c>
      <c r="I463" s="8" t="s">
        <v>35</v>
      </c>
      <c r="J463" s="8">
        <v>2</v>
      </c>
      <c r="K463" s="8">
        <v>4</v>
      </c>
    </row>
    <row r="464" spans="1:11">
      <c r="A464" s="8">
        <v>40061</v>
      </c>
      <c r="B464" s="8">
        <v>4001</v>
      </c>
      <c r="C464" s="8">
        <v>4000</v>
      </c>
      <c r="D464" s="8">
        <v>4000</v>
      </c>
      <c r="E464" s="8" t="s">
        <v>37</v>
      </c>
      <c r="I464" s="8" t="s">
        <v>35</v>
      </c>
      <c r="J464" s="8">
        <v>2</v>
      </c>
      <c r="K464" s="8">
        <v>5</v>
      </c>
    </row>
    <row r="465" spans="1:11">
      <c r="A465" s="8">
        <v>40062</v>
      </c>
      <c r="B465" s="8">
        <v>4001</v>
      </c>
      <c r="C465" s="8">
        <v>4000</v>
      </c>
      <c r="D465" s="8">
        <v>4000</v>
      </c>
      <c r="E465" s="8" t="s">
        <v>38</v>
      </c>
      <c r="I465" s="8" t="s">
        <v>35</v>
      </c>
      <c r="J465" s="8">
        <v>2</v>
      </c>
      <c r="K465" s="8">
        <v>6</v>
      </c>
    </row>
    <row r="466" spans="1:11">
      <c r="A466" s="8">
        <v>40063</v>
      </c>
      <c r="B466" s="8">
        <v>4001</v>
      </c>
      <c r="C466" s="8">
        <v>2000</v>
      </c>
      <c r="D466" s="8">
        <v>4470</v>
      </c>
      <c r="E466" s="8" t="s">
        <v>95</v>
      </c>
      <c r="F466" s="8">
        <v>1</v>
      </c>
      <c r="I466" s="8" t="s">
        <v>96</v>
      </c>
      <c r="J466" s="8">
        <v>4</v>
      </c>
      <c r="K466" s="8">
        <v>7</v>
      </c>
    </row>
    <row r="467" spans="1:11">
      <c r="A467" s="8">
        <v>40064</v>
      </c>
      <c r="B467" s="8">
        <v>4001</v>
      </c>
      <c r="C467" s="8">
        <v>2500</v>
      </c>
      <c r="D467" s="8">
        <v>2500</v>
      </c>
      <c r="E467" s="8" t="s">
        <v>39</v>
      </c>
      <c r="I467" s="8" t="s">
        <v>40</v>
      </c>
      <c r="J467" s="8">
        <v>0</v>
      </c>
      <c r="K467" s="8">
        <v>11</v>
      </c>
    </row>
    <row r="468" spans="1:11">
      <c r="A468" s="8">
        <v>40065</v>
      </c>
      <c r="B468" s="8">
        <v>4001</v>
      </c>
      <c r="C468" s="8">
        <v>5000</v>
      </c>
      <c r="D468" s="8">
        <v>5000</v>
      </c>
      <c r="E468" s="8" t="s">
        <v>41</v>
      </c>
      <c r="I468" s="8" t="s">
        <v>40</v>
      </c>
      <c r="J468" s="8">
        <v>0</v>
      </c>
      <c r="K468" s="8">
        <v>10</v>
      </c>
    </row>
    <row r="469" spans="1:11">
      <c r="A469" s="8">
        <v>40066</v>
      </c>
      <c r="B469" s="8">
        <v>4001</v>
      </c>
      <c r="C469" s="8">
        <v>7500</v>
      </c>
      <c r="D469" s="8">
        <v>7500</v>
      </c>
      <c r="E469" s="8" t="s">
        <v>42</v>
      </c>
      <c r="I469" s="8" t="s">
        <v>40</v>
      </c>
      <c r="J469" s="8">
        <v>0</v>
      </c>
      <c r="K469" s="8">
        <v>9</v>
      </c>
    </row>
    <row r="470" spans="1:11">
      <c r="A470" s="8">
        <v>40067</v>
      </c>
      <c r="B470" s="8">
        <v>4001</v>
      </c>
      <c r="C470" s="8">
        <v>10000</v>
      </c>
      <c r="D470" s="8">
        <v>10000</v>
      </c>
      <c r="E470" s="8" t="s">
        <v>43</v>
      </c>
      <c r="I470" s="8" t="s">
        <v>40</v>
      </c>
      <c r="J470" s="8">
        <v>0</v>
      </c>
      <c r="K470" s="8">
        <v>8</v>
      </c>
    </row>
    <row r="471" spans="1:11">
      <c r="A471" s="8">
        <v>40068</v>
      </c>
      <c r="B471" s="8">
        <v>4001</v>
      </c>
      <c r="C471" s="9">
        <v>8000</v>
      </c>
      <c r="D471" s="9">
        <v>150000</v>
      </c>
      <c r="E471" s="9" t="s">
        <v>120</v>
      </c>
      <c r="F471" s="9">
        <v>1</v>
      </c>
      <c r="G471" s="9"/>
      <c r="H471" s="9"/>
      <c r="I471" s="9" t="s">
        <v>45</v>
      </c>
      <c r="J471" s="9">
        <v>2</v>
      </c>
      <c r="K471" s="9">
        <v>12</v>
      </c>
    </row>
    <row r="472" spans="1:11">
      <c r="A472" s="8">
        <v>50001</v>
      </c>
      <c r="B472" s="8">
        <v>5001</v>
      </c>
      <c r="C472" s="8">
        <v>250</v>
      </c>
      <c r="D472" s="8">
        <v>250</v>
      </c>
      <c r="E472" s="8" t="s">
        <v>18</v>
      </c>
      <c r="G472" s="8">
        <v>1</v>
      </c>
      <c r="H472" s="8">
        <v>20000</v>
      </c>
      <c r="I472" s="8" t="s">
        <v>19</v>
      </c>
      <c r="J472" s="8">
        <v>0</v>
      </c>
    </row>
    <row r="473" spans="1:11">
      <c r="A473" s="8">
        <v>60001</v>
      </c>
      <c r="B473" s="8">
        <v>6001</v>
      </c>
      <c r="C473" s="8">
        <v>250</v>
      </c>
      <c r="D473" s="8">
        <v>250</v>
      </c>
      <c r="E473" s="8" t="s">
        <v>20</v>
      </c>
      <c r="G473" s="8">
        <v>1</v>
      </c>
      <c r="H473" s="8">
        <v>40000</v>
      </c>
      <c r="I473" s="8" t="s">
        <v>21</v>
      </c>
      <c r="J473" s="8">
        <v>0</v>
      </c>
    </row>
    <row r="474" spans="1:11">
      <c r="A474" s="8">
        <v>70001</v>
      </c>
      <c r="B474" s="8">
        <v>7001</v>
      </c>
      <c r="C474" s="8">
        <v>250</v>
      </c>
      <c r="D474" s="8">
        <v>250</v>
      </c>
      <c r="E474" s="8" t="s">
        <v>22</v>
      </c>
      <c r="G474" s="8">
        <v>1</v>
      </c>
      <c r="H474" s="8">
        <v>60000</v>
      </c>
      <c r="I474" s="8" t="s">
        <v>23</v>
      </c>
      <c r="J474" s="8">
        <v>0</v>
      </c>
    </row>
    <row r="475" spans="1:11">
      <c r="A475" s="8">
        <v>80001</v>
      </c>
      <c r="B475" s="8">
        <v>8001</v>
      </c>
      <c r="C475" s="8">
        <v>250</v>
      </c>
      <c r="D475" s="8">
        <v>250</v>
      </c>
      <c r="E475" s="8" t="s">
        <v>24</v>
      </c>
      <c r="G475" s="8">
        <v>1</v>
      </c>
      <c r="H475" s="8">
        <v>80000</v>
      </c>
      <c r="I475" s="8" t="s">
        <v>25</v>
      </c>
      <c r="J475" s="8">
        <v>0</v>
      </c>
    </row>
    <row r="476" spans="1:11">
      <c r="A476" s="8">
        <v>90001</v>
      </c>
      <c r="B476" s="10">
        <v>9001</v>
      </c>
      <c r="C476" s="10">
        <v>1250</v>
      </c>
      <c r="D476" s="10">
        <v>1250</v>
      </c>
      <c r="E476" s="10" t="s">
        <v>18</v>
      </c>
      <c r="F476" s="10"/>
      <c r="G476" s="10">
        <v>1</v>
      </c>
      <c r="H476" s="10">
        <v>20000</v>
      </c>
      <c r="I476" s="10" t="s">
        <v>19</v>
      </c>
      <c r="J476" s="10">
        <v>0</v>
      </c>
      <c r="K476" s="8">
        <v>1</v>
      </c>
    </row>
    <row r="477" spans="1:11">
      <c r="A477" s="8">
        <v>90002</v>
      </c>
      <c r="B477" s="8">
        <v>9001</v>
      </c>
      <c r="C477" s="8">
        <v>1250</v>
      </c>
      <c r="D477" s="8">
        <v>1250</v>
      </c>
      <c r="E477" s="8" t="s">
        <v>20</v>
      </c>
      <c r="G477" s="8">
        <v>1</v>
      </c>
      <c r="H477" s="8">
        <v>40000</v>
      </c>
      <c r="I477" s="8" t="s">
        <v>21</v>
      </c>
      <c r="J477" s="8">
        <v>0</v>
      </c>
      <c r="K477" s="8">
        <v>2</v>
      </c>
    </row>
    <row r="478" spans="1:11">
      <c r="A478" s="8">
        <v>90003</v>
      </c>
      <c r="B478" s="8">
        <v>9001</v>
      </c>
      <c r="C478" s="8">
        <v>1250</v>
      </c>
      <c r="D478" s="8">
        <v>1250</v>
      </c>
      <c r="E478" s="8" t="s">
        <v>22</v>
      </c>
      <c r="G478" s="8">
        <v>1</v>
      </c>
      <c r="H478" s="8">
        <v>60000</v>
      </c>
      <c r="I478" s="8" t="s">
        <v>23</v>
      </c>
      <c r="J478" s="8">
        <v>0</v>
      </c>
      <c r="K478" s="8">
        <v>3</v>
      </c>
    </row>
    <row r="479" spans="1:11">
      <c r="A479" s="8">
        <v>90004</v>
      </c>
      <c r="B479" s="8">
        <v>9001</v>
      </c>
      <c r="C479" s="8">
        <v>1250</v>
      </c>
      <c r="D479" s="8">
        <v>1250</v>
      </c>
      <c r="E479" s="8" t="s">
        <v>24</v>
      </c>
      <c r="G479" s="8">
        <v>1</v>
      </c>
      <c r="H479" s="8">
        <v>80000</v>
      </c>
      <c r="I479" s="8" t="s">
        <v>25</v>
      </c>
      <c r="J479" s="8">
        <v>0</v>
      </c>
      <c r="K479" s="8">
        <v>4</v>
      </c>
    </row>
    <row r="480" spans="1:11">
      <c r="A480" s="8">
        <v>90005</v>
      </c>
      <c r="B480" s="8">
        <v>9001</v>
      </c>
      <c r="C480" s="8">
        <v>100</v>
      </c>
      <c r="D480" s="8">
        <v>100</v>
      </c>
      <c r="E480" s="8" t="s">
        <v>26</v>
      </c>
      <c r="I480" s="8" t="s">
        <v>27</v>
      </c>
      <c r="J480" s="8">
        <v>1</v>
      </c>
      <c r="K480" s="8">
        <v>14</v>
      </c>
    </row>
    <row r="481" spans="1:11">
      <c r="A481" s="8">
        <v>90006</v>
      </c>
      <c r="B481" s="8">
        <v>9001</v>
      </c>
      <c r="C481" s="8">
        <v>100</v>
      </c>
      <c r="D481" s="8">
        <v>100</v>
      </c>
      <c r="E481" s="8" t="s">
        <v>28</v>
      </c>
      <c r="I481" s="8" t="s">
        <v>29</v>
      </c>
      <c r="J481" s="8">
        <v>1</v>
      </c>
      <c r="K481" s="8">
        <v>15</v>
      </c>
    </row>
    <row r="482" spans="1:11">
      <c r="A482" s="8">
        <v>90007</v>
      </c>
      <c r="B482" s="8">
        <v>9001</v>
      </c>
      <c r="C482" s="8">
        <v>100</v>
      </c>
      <c r="D482" s="8">
        <v>100</v>
      </c>
      <c r="E482" s="8" t="s">
        <v>30</v>
      </c>
      <c r="I482" s="8" t="s">
        <v>31</v>
      </c>
      <c r="J482" s="8">
        <v>1</v>
      </c>
      <c r="K482" s="8">
        <v>16</v>
      </c>
    </row>
    <row r="483" spans="1:11">
      <c r="A483" s="8">
        <v>90008</v>
      </c>
      <c r="B483" s="8">
        <v>9001</v>
      </c>
      <c r="C483" s="8">
        <v>100</v>
      </c>
      <c r="D483" s="8">
        <v>100</v>
      </c>
      <c r="E483" s="8" t="s">
        <v>32</v>
      </c>
      <c r="I483" s="8" t="s">
        <v>33</v>
      </c>
      <c r="J483" s="8">
        <v>1</v>
      </c>
      <c r="K483" s="8">
        <v>17</v>
      </c>
    </row>
    <row r="484" spans="1:11">
      <c r="A484" s="8">
        <v>90009</v>
      </c>
      <c r="B484" s="8">
        <v>9001</v>
      </c>
      <c r="C484" s="8">
        <v>1500</v>
      </c>
      <c r="D484" s="8">
        <v>1500</v>
      </c>
      <c r="E484" s="8" t="s">
        <v>34</v>
      </c>
      <c r="I484" s="8" t="s">
        <v>35</v>
      </c>
      <c r="J484" s="8">
        <v>2</v>
      </c>
      <c r="K484" s="8">
        <v>5</v>
      </c>
    </row>
    <row r="485" spans="1:11">
      <c r="A485" s="8">
        <v>90010</v>
      </c>
      <c r="B485" s="8">
        <v>9001</v>
      </c>
      <c r="C485" s="8">
        <v>1000</v>
      </c>
      <c r="D485" s="8">
        <v>1000</v>
      </c>
      <c r="E485" s="8" t="s">
        <v>36</v>
      </c>
      <c r="I485" s="8" t="s">
        <v>35</v>
      </c>
      <c r="J485" s="8">
        <v>2</v>
      </c>
      <c r="K485" s="8">
        <v>6</v>
      </c>
    </row>
    <row r="486" spans="1:11">
      <c r="A486" s="8">
        <v>90011</v>
      </c>
      <c r="B486" s="8">
        <v>9001</v>
      </c>
      <c r="C486" s="8">
        <v>500</v>
      </c>
      <c r="D486" s="8">
        <v>500</v>
      </c>
      <c r="E486" s="8" t="s">
        <v>37</v>
      </c>
      <c r="I486" s="8" t="s">
        <v>35</v>
      </c>
      <c r="J486" s="8">
        <v>2</v>
      </c>
      <c r="K486" s="8">
        <v>7</v>
      </c>
    </row>
    <row r="487" spans="1:11">
      <c r="A487" s="8">
        <v>90012</v>
      </c>
      <c r="B487" s="8">
        <v>9001</v>
      </c>
      <c r="C487" s="8">
        <v>500</v>
      </c>
      <c r="D487" s="8">
        <v>500</v>
      </c>
      <c r="E487" s="8" t="s">
        <v>38</v>
      </c>
      <c r="I487" s="8" t="s">
        <v>35</v>
      </c>
      <c r="J487" s="8">
        <v>2</v>
      </c>
      <c r="K487" s="8">
        <v>8</v>
      </c>
    </row>
    <row r="488" spans="1:11">
      <c r="A488" s="8">
        <v>90013</v>
      </c>
      <c r="B488" s="8">
        <v>9001</v>
      </c>
      <c r="C488" s="8">
        <v>100</v>
      </c>
      <c r="D488" s="8">
        <v>100</v>
      </c>
      <c r="E488" s="8" t="s">
        <v>39</v>
      </c>
      <c r="I488" s="8" t="s">
        <v>40</v>
      </c>
      <c r="J488" s="8">
        <v>0</v>
      </c>
      <c r="K488" s="8">
        <v>12</v>
      </c>
    </row>
    <row r="489" spans="1:11">
      <c r="A489" s="8">
        <v>90014</v>
      </c>
      <c r="B489" s="8">
        <v>9001</v>
      </c>
      <c r="C489" s="8">
        <v>200</v>
      </c>
      <c r="D489" s="8">
        <v>200</v>
      </c>
      <c r="E489" s="8" t="s">
        <v>41</v>
      </c>
      <c r="I489" s="8" t="s">
        <v>40</v>
      </c>
      <c r="J489" s="8">
        <v>0</v>
      </c>
      <c r="K489" s="8">
        <v>11</v>
      </c>
    </row>
    <row r="490" spans="1:11">
      <c r="A490" s="8">
        <v>90015</v>
      </c>
      <c r="B490" s="8">
        <v>9001</v>
      </c>
      <c r="C490" s="8">
        <v>300</v>
      </c>
      <c r="D490" s="8">
        <v>300</v>
      </c>
      <c r="E490" s="8" t="s">
        <v>42</v>
      </c>
      <c r="I490" s="8" t="s">
        <v>40</v>
      </c>
      <c r="J490" s="8">
        <v>0</v>
      </c>
      <c r="K490" s="8">
        <v>10</v>
      </c>
    </row>
    <row r="491" spans="1:11">
      <c r="A491" s="8">
        <v>90016</v>
      </c>
      <c r="B491" s="8">
        <v>9001</v>
      </c>
      <c r="C491" s="8">
        <v>400</v>
      </c>
      <c r="D491" s="8">
        <v>400</v>
      </c>
      <c r="E491" s="8" t="s">
        <v>43</v>
      </c>
      <c r="I491" s="8" t="s">
        <v>40</v>
      </c>
      <c r="J491" s="8">
        <v>0</v>
      </c>
      <c r="K491" s="8">
        <v>9</v>
      </c>
    </row>
    <row r="492" spans="1:11">
      <c r="A492" s="8">
        <v>90017</v>
      </c>
      <c r="B492" s="8">
        <v>9001</v>
      </c>
      <c r="C492" s="9">
        <v>100</v>
      </c>
      <c r="D492" s="9">
        <v>100</v>
      </c>
      <c r="E492" s="9" t="s">
        <v>44</v>
      </c>
      <c r="F492" s="9"/>
      <c r="G492" s="9"/>
      <c r="H492" s="9"/>
      <c r="I492" s="9" t="s">
        <v>45</v>
      </c>
      <c r="J492" s="9">
        <v>2</v>
      </c>
      <c r="K492" s="8">
        <v>13</v>
      </c>
    </row>
    <row r="493" spans="1:11">
      <c r="A493" s="8">
        <v>100001</v>
      </c>
      <c r="B493" s="8">
        <v>10001</v>
      </c>
      <c r="C493" s="8">
        <v>1000</v>
      </c>
      <c r="D493" s="8">
        <v>1000</v>
      </c>
      <c r="E493" s="8" t="s">
        <v>18</v>
      </c>
      <c r="G493" s="8">
        <v>1</v>
      </c>
      <c r="H493" s="8">
        <v>20000</v>
      </c>
      <c r="I493" s="8" t="s">
        <v>19</v>
      </c>
      <c r="J493" s="8">
        <v>0</v>
      </c>
      <c r="K493" s="8">
        <v>1</v>
      </c>
    </row>
    <row r="494" spans="1:11">
      <c r="A494" s="8">
        <v>100002</v>
      </c>
      <c r="B494" s="8">
        <v>10001</v>
      </c>
      <c r="C494" s="8">
        <v>1000</v>
      </c>
      <c r="D494" s="8">
        <v>1000</v>
      </c>
      <c r="E494" s="8" t="s">
        <v>20</v>
      </c>
      <c r="G494" s="8">
        <v>1</v>
      </c>
      <c r="H494" s="8">
        <v>40000</v>
      </c>
      <c r="I494" s="8" t="s">
        <v>21</v>
      </c>
      <c r="J494" s="8">
        <v>0</v>
      </c>
      <c r="K494" s="8">
        <v>2</v>
      </c>
    </row>
    <row r="495" spans="1:11">
      <c r="A495" s="8">
        <v>100003</v>
      </c>
      <c r="B495" s="8">
        <v>10001</v>
      </c>
      <c r="C495" s="8">
        <v>1000</v>
      </c>
      <c r="D495" s="8">
        <v>1000</v>
      </c>
      <c r="E495" s="8" t="s">
        <v>22</v>
      </c>
      <c r="G495" s="8">
        <v>1</v>
      </c>
      <c r="H495" s="8">
        <v>60000</v>
      </c>
      <c r="I495" s="8" t="s">
        <v>23</v>
      </c>
      <c r="J495" s="8">
        <v>0</v>
      </c>
      <c r="K495" s="8">
        <v>3</v>
      </c>
    </row>
    <row r="496" spans="1:11">
      <c r="A496" s="8">
        <v>100004</v>
      </c>
      <c r="B496" s="8">
        <v>10001</v>
      </c>
      <c r="C496" s="8">
        <v>1000</v>
      </c>
      <c r="D496" s="8">
        <v>1000</v>
      </c>
      <c r="E496" s="8" t="s">
        <v>24</v>
      </c>
      <c r="G496" s="8">
        <v>1</v>
      </c>
      <c r="H496" s="8">
        <v>80000</v>
      </c>
      <c r="I496" s="8" t="s">
        <v>25</v>
      </c>
      <c r="J496" s="8">
        <v>0</v>
      </c>
      <c r="K496" s="8">
        <v>4</v>
      </c>
    </row>
    <row r="497" spans="1:11">
      <c r="A497" s="8">
        <v>100005</v>
      </c>
      <c r="B497" s="8">
        <v>10001</v>
      </c>
      <c r="C497" s="8">
        <v>150</v>
      </c>
      <c r="D497" s="8">
        <v>150</v>
      </c>
      <c r="E497" s="8" t="s">
        <v>26</v>
      </c>
      <c r="I497" s="8" t="s">
        <v>27</v>
      </c>
      <c r="J497" s="8">
        <v>1</v>
      </c>
      <c r="K497" s="8">
        <v>14</v>
      </c>
    </row>
    <row r="498" spans="1:11">
      <c r="A498" s="8">
        <v>100006</v>
      </c>
      <c r="B498" s="8">
        <v>10001</v>
      </c>
      <c r="C498" s="8">
        <v>150</v>
      </c>
      <c r="D498" s="8">
        <v>150</v>
      </c>
      <c r="E498" s="8" t="s">
        <v>28</v>
      </c>
      <c r="I498" s="8" t="s">
        <v>29</v>
      </c>
      <c r="J498" s="8">
        <v>1</v>
      </c>
      <c r="K498" s="8">
        <v>15</v>
      </c>
    </row>
    <row r="499" spans="1:11">
      <c r="A499" s="8">
        <v>100007</v>
      </c>
      <c r="B499" s="8">
        <v>10001</v>
      </c>
      <c r="C499" s="8">
        <v>150</v>
      </c>
      <c r="D499" s="8">
        <v>150</v>
      </c>
      <c r="E499" s="8" t="s">
        <v>30</v>
      </c>
      <c r="I499" s="8" t="s">
        <v>31</v>
      </c>
      <c r="J499" s="8">
        <v>1</v>
      </c>
      <c r="K499" s="8">
        <v>16</v>
      </c>
    </row>
    <row r="500" spans="1:11">
      <c r="A500" s="8">
        <v>100008</v>
      </c>
      <c r="B500" s="8">
        <v>10001</v>
      </c>
      <c r="C500" s="8">
        <v>150</v>
      </c>
      <c r="D500" s="8">
        <v>150</v>
      </c>
      <c r="E500" s="8" t="s">
        <v>32</v>
      </c>
      <c r="I500" s="8" t="s">
        <v>33</v>
      </c>
      <c r="J500" s="8">
        <v>1</v>
      </c>
      <c r="K500" s="8">
        <v>17</v>
      </c>
    </row>
    <row r="501" spans="1:11">
      <c r="A501" s="8">
        <v>100009</v>
      </c>
      <c r="B501" s="8">
        <v>10001</v>
      </c>
      <c r="C501" s="8">
        <v>100</v>
      </c>
      <c r="D501" s="8">
        <v>50</v>
      </c>
      <c r="E501" s="8" t="s">
        <v>46</v>
      </c>
      <c r="F501" s="8">
        <v>1</v>
      </c>
      <c r="I501" s="8" t="s">
        <v>27</v>
      </c>
      <c r="J501" s="8">
        <v>2</v>
      </c>
      <c r="K501" s="8">
        <v>18</v>
      </c>
    </row>
    <row r="502" spans="1:11">
      <c r="A502" s="8">
        <v>100010</v>
      </c>
      <c r="B502" s="8">
        <v>10001</v>
      </c>
      <c r="C502" s="8">
        <v>100</v>
      </c>
      <c r="D502" s="8">
        <v>50</v>
      </c>
      <c r="E502" s="8" t="s">
        <v>47</v>
      </c>
      <c r="F502" s="8">
        <v>1</v>
      </c>
      <c r="I502" s="8" t="s">
        <v>29</v>
      </c>
      <c r="J502" s="8">
        <v>2</v>
      </c>
      <c r="K502" s="8">
        <v>19</v>
      </c>
    </row>
    <row r="503" spans="1:11">
      <c r="A503" s="8">
        <v>100011</v>
      </c>
      <c r="B503" s="8">
        <v>10001</v>
      </c>
      <c r="C503" s="8">
        <v>100</v>
      </c>
      <c r="D503" s="8">
        <v>50</v>
      </c>
      <c r="E503" s="8" t="s">
        <v>48</v>
      </c>
      <c r="F503" s="8">
        <v>1</v>
      </c>
      <c r="I503" s="8" t="s">
        <v>31</v>
      </c>
      <c r="J503" s="8">
        <v>2</v>
      </c>
      <c r="K503" s="8">
        <v>20</v>
      </c>
    </row>
    <row r="504" spans="1:11">
      <c r="A504" s="8">
        <v>100012</v>
      </c>
      <c r="B504" s="8">
        <v>10001</v>
      </c>
      <c r="C504" s="8">
        <v>20</v>
      </c>
      <c r="D504" s="8">
        <v>50</v>
      </c>
      <c r="E504" s="8" t="s">
        <v>49</v>
      </c>
      <c r="F504" s="8">
        <v>1</v>
      </c>
      <c r="I504" s="8" t="s">
        <v>33</v>
      </c>
      <c r="J504" s="8">
        <v>2</v>
      </c>
      <c r="K504" s="8">
        <v>21</v>
      </c>
    </row>
    <row r="505" spans="1:11">
      <c r="A505" s="8">
        <v>100013</v>
      </c>
      <c r="B505" s="8">
        <v>10001</v>
      </c>
      <c r="C505" s="8">
        <v>20</v>
      </c>
      <c r="D505" s="8">
        <v>50</v>
      </c>
      <c r="E505" s="8" t="s">
        <v>50</v>
      </c>
      <c r="F505" s="8">
        <v>1</v>
      </c>
      <c r="I505" s="8" t="s">
        <v>51</v>
      </c>
      <c r="J505" s="8">
        <v>2</v>
      </c>
      <c r="K505" s="8">
        <v>22</v>
      </c>
    </row>
    <row r="506" spans="1:11">
      <c r="A506" s="8">
        <v>100014</v>
      </c>
      <c r="B506" s="8">
        <v>10001</v>
      </c>
      <c r="C506" s="8">
        <v>20</v>
      </c>
      <c r="D506" s="8">
        <v>50</v>
      </c>
      <c r="E506" s="8" t="s">
        <v>52</v>
      </c>
      <c r="F506" s="8">
        <v>1</v>
      </c>
      <c r="I506" s="8" t="s">
        <v>53</v>
      </c>
      <c r="J506" s="8">
        <v>2</v>
      </c>
      <c r="K506" s="8">
        <v>23</v>
      </c>
    </row>
    <row r="507" spans="1:11">
      <c r="A507" s="8">
        <v>100015</v>
      </c>
      <c r="B507" s="8">
        <v>10001</v>
      </c>
      <c r="C507" s="8">
        <v>20</v>
      </c>
      <c r="D507" s="8">
        <v>50</v>
      </c>
      <c r="E507" s="8" t="s">
        <v>54</v>
      </c>
      <c r="F507" s="8">
        <v>1</v>
      </c>
      <c r="I507" s="8" t="s">
        <v>55</v>
      </c>
      <c r="J507" s="8">
        <v>2</v>
      </c>
      <c r="K507" s="8">
        <v>24</v>
      </c>
    </row>
    <row r="508" spans="1:11">
      <c r="A508" s="8">
        <v>100016</v>
      </c>
      <c r="B508" s="8">
        <v>10001</v>
      </c>
      <c r="C508" s="8">
        <v>20</v>
      </c>
      <c r="D508" s="8">
        <v>50</v>
      </c>
      <c r="E508" s="8" t="s">
        <v>56</v>
      </c>
      <c r="F508" s="8">
        <v>1</v>
      </c>
      <c r="I508" s="8" t="s">
        <v>57</v>
      </c>
      <c r="J508" s="8">
        <v>2</v>
      </c>
      <c r="K508" s="8">
        <v>25</v>
      </c>
    </row>
    <row r="509" spans="1:11">
      <c r="A509" s="8">
        <v>100017</v>
      </c>
      <c r="B509" s="8">
        <v>10001</v>
      </c>
      <c r="C509" s="8">
        <v>1400</v>
      </c>
      <c r="D509" s="8">
        <v>1400</v>
      </c>
      <c r="E509" s="8" t="s">
        <v>34</v>
      </c>
      <c r="I509" s="8" t="s">
        <v>35</v>
      </c>
      <c r="J509" s="8">
        <v>2</v>
      </c>
      <c r="K509" s="8">
        <v>5</v>
      </c>
    </row>
    <row r="510" spans="1:11">
      <c r="A510" s="8">
        <v>100018</v>
      </c>
      <c r="B510" s="8">
        <v>10001</v>
      </c>
      <c r="C510" s="8">
        <v>1000</v>
      </c>
      <c r="D510" s="8">
        <v>1000</v>
      </c>
      <c r="E510" s="8" t="s">
        <v>36</v>
      </c>
      <c r="I510" s="8" t="s">
        <v>35</v>
      </c>
      <c r="J510" s="8">
        <v>2</v>
      </c>
      <c r="K510" s="8">
        <v>6</v>
      </c>
    </row>
    <row r="511" spans="1:11">
      <c r="A511" s="8">
        <v>100019</v>
      </c>
      <c r="B511" s="8">
        <v>10001</v>
      </c>
      <c r="C511" s="8">
        <v>450</v>
      </c>
      <c r="D511" s="8">
        <v>450</v>
      </c>
      <c r="E511" s="8" t="s">
        <v>37</v>
      </c>
      <c r="I511" s="8" t="s">
        <v>35</v>
      </c>
      <c r="J511" s="8">
        <v>2</v>
      </c>
      <c r="K511" s="8">
        <v>7</v>
      </c>
    </row>
    <row r="512" spans="1:11">
      <c r="A512" s="8">
        <v>100020</v>
      </c>
      <c r="B512" s="8">
        <v>10001</v>
      </c>
      <c r="C512" s="8">
        <v>450</v>
      </c>
      <c r="D512" s="8">
        <v>450</v>
      </c>
      <c r="E512" s="8" t="s">
        <v>38</v>
      </c>
      <c r="I512" s="8" t="s">
        <v>35</v>
      </c>
      <c r="J512" s="8">
        <v>2</v>
      </c>
      <c r="K512" s="8">
        <v>8</v>
      </c>
    </row>
    <row r="513" spans="1:11">
      <c r="A513" s="8">
        <v>100021</v>
      </c>
      <c r="B513" s="8">
        <v>10001</v>
      </c>
      <c r="C513" s="8">
        <v>150</v>
      </c>
      <c r="D513" s="8">
        <v>150</v>
      </c>
      <c r="E513" s="8" t="s">
        <v>39</v>
      </c>
      <c r="I513" s="8" t="s">
        <v>40</v>
      </c>
      <c r="J513" s="8">
        <v>0</v>
      </c>
      <c r="K513" s="8">
        <v>12</v>
      </c>
    </row>
    <row r="514" spans="1:11">
      <c r="A514" s="8">
        <v>100022</v>
      </c>
      <c r="B514" s="8">
        <v>10001</v>
      </c>
      <c r="C514" s="8">
        <v>300</v>
      </c>
      <c r="D514" s="8">
        <v>300</v>
      </c>
      <c r="E514" s="8" t="s">
        <v>41</v>
      </c>
      <c r="I514" s="8" t="s">
        <v>40</v>
      </c>
      <c r="J514" s="8">
        <v>0</v>
      </c>
      <c r="K514" s="8">
        <v>11</v>
      </c>
    </row>
    <row r="515" spans="1:11">
      <c r="A515" s="8">
        <v>100023</v>
      </c>
      <c r="B515" s="8">
        <v>10001</v>
      </c>
      <c r="C515" s="8">
        <v>450</v>
      </c>
      <c r="D515" s="8">
        <v>450</v>
      </c>
      <c r="E515" s="8" t="s">
        <v>42</v>
      </c>
      <c r="I515" s="8" t="s">
        <v>40</v>
      </c>
      <c r="J515" s="8">
        <v>0</v>
      </c>
      <c r="K515" s="8">
        <v>10</v>
      </c>
    </row>
    <row r="516" spans="1:11">
      <c r="A516" s="8">
        <v>100024</v>
      </c>
      <c r="B516" s="8">
        <v>10001</v>
      </c>
      <c r="C516" s="8">
        <v>600</v>
      </c>
      <c r="D516" s="8">
        <v>600</v>
      </c>
      <c r="E516" s="8" t="s">
        <v>43</v>
      </c>
      <c r="I516" s="8" t="s">
        <v>40</v>
      </c>
      <c r="J516" s="8">
        <v>0</v>
      </c>
      <c r="K516" s="8">
        <v>9</v>
      </c>
    </row>
    <row r="517" spans="1:11">
      <c r="A517" s="8">
        <v>100025</v>
      </c>
      <c r="B517" s="8">
        <v>10001</v>
      </c>
      <c r="C517" s="9">
        <v>200</v>
      </c>
      <c r="D517" s="9">
        <v>200</v>
      </c>
      <c r="E517" s="9" t="s">
        <v>58</v>
      </c>
      <c r="F517" s="9"/>
      <c r="G517" s="9"/>
      <c r="H517" s="9"/>
      <c r="I517" s="9" t="s">
        <v>45</v>
      </c>
      <c r="J517" s="9">
        <v>2</v>
      </c>
      <c r="K517" s="8">
        <v>13</v>
      </c>
    </row>
    <row r="518" spans="1:11">
      <c r="A518" s="8">
        <v>110001</v>
      </c>
      <c r="B518" s="8">
        <v>11001</v>
      </c>
      <c r="C518" s="8">
        <v>10000</v>
      </c>
      <c r="D518" s="8">
        <v>1000</v>
      </c>
      <c r="E518" s="8" t="s">
        <v>20</v>
      </c>
      <c r="G518" s="8">
        <v>1</v>
      </c>
      <c r="H518" s="8">
        <v>40000</v>
      </c>
      <c r="I518" s="8" t="s">
        <v>21</v>
      </c>
      <c r="J518" s="8">
        <v>0</v>
      </c>
      <c r="K518" s="8">
        <v>1</v>
      </c>
    </row>
    <row r="519" spans="1:11">
      <c r="A519" s="8">
        <v>110002</v>
      </c>
      <c r="B519" s="8">
        <v>11001</v>
      </c>
      <c r="C519" s="8">
        <v>10000</v>
      </c>
      <c r="D519" s="8">
        <v>1000</v>
      </c>
      <c r="E519" s="8" t="s">
        <v>22</v>
      </c>
      <c r="G519" s="8">
        <v>1</v>
      </c>
      <c r="H519" s="8">
        <v>60000</v>
      </c>
      <c r="I519" s="8" t="s">
        <v>23</v>
      </c>
      <c r="J519" s="8">
        <v>0</v>
      </c>
      <c r="K519" s="8">
        <v>2</v>
      </c>
    </row>
    <row r="520" spans="1:11">
      <c r="A520" s="8">
        <v>110003</v>
      </c>
      <c r="B520" s="8">
        <v>11001</v>
      </c>
      <c r="C520" s="8">
        <v>10000</v>
      </c>
      <c r="D520" s="8">
        <v>1000</v>
      </c>
      <c r="E520" s="8" t="s">
        <v>24</v>
      </c>
      <c r="G520" s="8">
        <v>1</v>
      </c>
      <c r="H520" s="8">
        <v>80000</v>
      </c>
      <c r="I520" s="8" t="s">
        <v>25</v>
      </c>
      <c r="J520" s="8">
        <v>0</v>
      </c>
      <c r="K520" s="8">
        <v>3</v>
      </c>
    </row>
    <row r="521" spans="1:11">
      <c r="A521" s="8">
        <v>110004</v>
      </c>
      <c r="B521" s="8">
        <v>11001</v>
      </c>
      <c r="C521" s="8">
        <v>2000</v>
      </c>
      <c r="D521" s="8">
        <v>200</v>
      </c>
      <c r="E521" s="8" t="s">
        <v>26</v>
      </c>
      <c r="I521" s="8" t="s">
        <v>27</v>
      </c>
      <c r="J521" s="8">
        <v>1</v>
      </c>
      <c r="K521" s="8">
        <v>14</v>
      </c>
    </row>
    <row r="522" spans="1:11">
      <c r="A522" s="8">
        <v>110005</v>
      </c>
      <c r="B522" s="8">
        <v>11001</v>
      </c>
      <c r="C522" s="8">
        <v>2000</v>
      </c>
      <c r="D522" s="8">
        <v>200</v>
      </c>
      <c r="E522" s="8" t="s">
        <v>28</v>
      </c>
      <c r="I522" s="8" t="s">
        <v>29</v>
      </c>
      <c r="J522" s="8">
        <v>1</v>
      </c>
      <c r="K522" s="8">
        <v>15</v>
      </c>
    </row>
    <row r="523" spans="1:11">
      <c r="A523" s="8">
        <v>110006</v>
      </c>
      <c r="B523" s="8">
        <v>11001</v>
      </c>
      <c r="C523" s="8">
        <v>2000</v>
      </c>
      <c r="D523" s="8">
        <v>200</v>
      </c>
      <c r="E523" s="8" t="s">
        <v>30</v>
      </c>
      <c r="I523" s="8" t="s">
        <v>31</v>
      </c>
      <c r="J523" s="8">
        <v>1</v>
      </c>
      <c r="K523" s="8">
        <v>16</v>
      </c>
    </row>
    <row r="524" spans="1:11">
      <c r="A524" s="8">
        <v>110007</v>
      </c>
      <c r="B524" s="8">
        <v>11001</v>
      </c>
      <c r="C524" s="8">
        <v>2000</v>
      </c>
      <c r="D524" s="8">
        <v>200</v>
      </c>
      <c r="E524" s="8" t="s">
        <v>32</v>
      </c>
      <c r="I524" s="8" t="s">
        <v>33</v>
      </c>
      <c r="J524" s="8">
        <v>1</v>
      </c>
      <c r="K524" s="8">
        <v>17</v>
      </c>
    </row>
    <row r="525" spans="1:11">
      <c r="A525" s="8">
        <v>110008</v>
      </c>
      <c r="B525" s="8">
        <v>11001</v>
      </c>
      <c r="C525" s="8">
        <v>1500</v>
      </c>
      <c r="D525" s="8">
        <v>75</v>
      </c>
      <c r="E525" s="8" t="s">
        <v>46</v>
      </c>
      <c r="F525" s="8">
        <v>1</v>
      </c>
      <c r="I525" s="8" t="s">
        <v>27</v>
      </c>
      <c r="J525" s="8">
        <v>2</v>
      </c>
      <c r="K525" s="8">
        <v>18</v>
      </c>
    </row>
    <row r="526" spans="1:11">
      <c r="A526" s="8">
        <v>110009</v>
      </c>
      <c r="B526" s="8">
        <v>11001</v>
      </c>
      <c r="C526" s="8">
        <v>1500</v>
      </c>
      <c r="D526" s="8">
        <v>75</v>
      </c>
      <c r="E526" s="8" t="s">
        <v>47</v>
      </c>
      <c r="F526" s="8">
        <v>1</v>
      </c>
      <c r="I526" s="8" t="s">
        <v>29</v>
      </c>
      <c r="J526" s="8">
        <v>2</v>
      </c>
      <c r="K526" s="8">
        <v>19</v>
      </c>
    </row>
    <row r="527" spans="1:11">
      <c r="A527" s="8">
        <v>110010</v>
      </c>
      <c r="B527" s="8">
        <v>11001</v>
      </c>
      <c r="C527" s="8">
        <v>1500</v>
      </c>
      <c r="D527" s="8">
        <v>75</v>
      </c>
      <c r="E527" s="8" t="s">
        <v>48</v>
      </c>
      <c r="F527" s="8">
        <v>1</v>
      </c>
      <c r="I527" s="8" t="s">
        <v>31</v>
      </c>
      <c r="J527" s="8">
        <v>2</v>
      </c>
      <c r="K527" s="8">
        <v>20</v>
      </c>
    </row>
    <row r="528" spans="1:11">
      <c r="A528" s="8">
        <v>110011</v>
      </c>
      <c r="B528" s="8">
        <v>11001</v>
      </c>
      <c r="C528" s="8">
        <v>300</v>
      </c>
      <c r="D528" s="8">
        <v>75</v>
      </c>
      <c r="E528" s="8" t="s">
        <v>49</v>
      </c>
      <c r="F528" s="8">
        <v>1</v>
      </c>
      <c r="I528" s="8" t="s">
        <v>33</v>
      </c>
      <c r="J528" s="8">
        <v>2</v>
      </c>
      <c r="K528" s="8">
        <v>21</v>
      </c>
    </row>
    <row r="529" spans="1:11">
      <c r="A529" s="8">
        <v>110012</v>
      </c>
      <c r="B529" s="8">
        <v>11001</v>
      </c>
      <c r="C529" s="8">
        <v>300</v>
      </c>
      <c r="D529" s="8">
        <v>75</v>
      </c>
      <c r="E529" s="8" t="s">
        <v>50</v>
      </c>
      <c r="F529" s="8">
        <v>1</v>
      </c>
      <c r="I529" s="8" t="s">
        <v>51</v>
      </c>
      <c r="J529" s="8">
        <v>2</v>
      </c>
      <c r="K529" s="8">
        <v>22</v>
      </c>
    </row>
    <row r="530" spans="1:11">
      <c r="A530" s="8">
        <v>110013</v>
      </c>
      <c r="B530" s="8">
        <v>11001</v>
      </c>
      <c r="C530" s="8">
        <v>300</v>
      </c>
      <c r="D530" s="8">
        <v>75</v>
      </c>
      <c r="E530" s="8" t="s">
        <v>52</v>
      </c>
      <c r="F530" s="8">
        <v>1</v>
      </c>
      <c r="I530" s="8" t="s">
        <v>53</v>
      </c>
      <c r="J530" s="8">
        <v>2</v>
      </c>
      <c r="K530" s="8">
        <v>23</v>
      </c>
    </row>
    <row r="531" spans="1:11">
      <c r="A531" s="8">
        <v>110014</v>
      </c>
      <c r="B531" s="8">
        <v>11001</v>
      </c>
      <c r="C531" s="8">
        <v>300</v>
      </c>
      <c r="D531" s="8">
        <v>75</v>
      </c>
      <c r="E531" s="8" t="s">
        <v>54</v>
      </c>
      <c r="F531" s="8">
        <v>1</v>
      </c>
      <c r="I531" s="8" t="s">
        <v>55</v>
      </c>
      <c r="J531" s="8">
        <v>2</v>
      </c>
      <c r="K531" s="8">
        <v>24</v>
      </c>
    </row>
    <row r="532" spans="1:11">
      <c r="A532" s="8">
        <v>110015</v>
      </c>
      <c r="B532" s="8">
        <v>11001</v>
      </c>
      <c r="C532" s="8">
        <v>300</v>
      </c>
      <c r="D532" s="8">
        <v>75</v>
      </c>
      <c r="E532" s="8" t="s">
        <v>56</v>
      </c>
      <c r="F532" s="8">
        <v>1</v>
      </c>
      <c r="I532" s="8" t="s">
        <v>57</v>
      </c>
      <c r="J532" s="8">
        <v>2</v>
      </c>
      <c r="K532" s="8">
        <v>25</v>
      </c>
    </row>
    <row r="533" spans="1:11">
      <c r="A533" s="8">
        <v>110016</v>
      </c>
      <c r="B533" s="8">
        <v>11001</v>
      </c>
      <c r="C533" s="8">
        <v>500</v>
      </c>
      <c r="D533" s="8">
        <v>16</v>
      </c>
      <c r="E533" s="8" t="s">
        <v>59</v>
      </c>
      <c r="F533" s="8">
        <v>1</v>
      </c>
      <c r="I533" s="8" t="s">
        <v>27</v>
      </c>
      <c r="J533" s="8">
        <v>3</v>
      </c>
      <c r="K533" s="8">
        <v>26</v>
      </c>
    </row>
    <row r="534" spans="1:11">
      <c r="A534" s="8">
        <v>110017</v>
      </c>
      <c r="B534" s="8">
        <v>11001</v>
      </c>
      <c r="C534" s="8">
        <v>500</v>
      </c>
      <c r="D534" s="8">
        <v>16</v>
      </c>
      <c r="E534" s="8" t="s">
        <v>60</v>
      </c>
      <c r="F534" s="8">
        <v>1</v>
      </c>
      <c r="I534" s="8" t="s">
        <v>29</v>
      </c>
      <c r="J534" s="8">
        <v>3</v>
      </c>
      <c r="K534" s="8">
        <v>27</v>
      </c>
    </row>
    <row r="535" spans="1:11">
      <c r="A535" s="8">
        <v>110018</v>
      </c>
      <c r="B535" s="8">
        <v>11001</v>
      </c>
      <c r="C535" s="8">
        <v>500</v>
      </c>
      <c r="D535" s="8">
        <v>16</v>
      </c>
      <c r="E535" s="8" t="s">
        <v>61</v>
      </c>
      <c r="F535" s="8">
        <v>1</v>
      </c>
      <c r="I535" s="8" t="s">
        <v>31</v>
      </c>
      <c r="J535" s="8">
        <v>3</v>
      </c>
      <c r="K535" s="8">
        <v>28</v>
      </c>
    </row>
    <row r="536" spans="1:11">
      <c r="A536" s="8">
        <v>110019</v>
      </c>
      <c r="B536" s="8">
        <v>11001</v>
      </c>
      <c r="C536" s="8">
        <v>50</v>
      </c>
      <c r="D536" s="8">
        <v>16</v>
      </c>
      <c r="E536" s="8" t="s">
        <v>62</v>
      </c>
      <c r="F536" s="8">
        <v>1</v>
      </c>
      <c r="I536" s="8" t="s">
        <v>33</v>
      </c>
      <c r="J536" s="8">
        <v>3</v>
      </c>
      <c r="K536" s="8">
        <v>29</v>
      </c>
    </row>
    <row r="537" spans="1:11">
      <c r="A537" s="8">
        <v>110020</v>
      </c>
      <c r="B537" s="8">
        <v>11001</v>
      </c>
      <c r="C537" s="8">
        <v>50</v>
      </c>
      <c r="D537" s="8">
        <v>16</v>
      </c>
      <c r="E537" s="8" t="s">
        <v>63</v>
      </c>
      <c r="F537" s="8">
        <v>1</v>
      </c>
      <c r="I537" s="8" t="s">
        <v>51</v>
      </c>
      <c r="J537" s="8">
        <v>3</v>
      </c>
      <c r="K537" s="8">
        <v>30</v>
      </c>
    </row>
    <row r="538" spans="1:11">
      <c r="A538" s="8">
        <v>110021</v>
      </c>
      <c r="B538" s="8">
        <v>11001</v>
      </c>
      <c r="C538" s="8">
        <v>20</v>
      </c>
      <c r="D538" s="8">
        <v>16</v>
      </c>
      <c r="E538" s="8" t="s">
        <v>64</v>
      </c>
      <c r="F538" s="8">
        <v>1</v>
      </c>
      <c r="I538" s="8" t="s">
        <v>53</v>
      </c>
      <c r="J538" s="8">
        <v>3</v>
      </c>
      <c r="K538" s="8">
        <v>31</v>
      </c>
    </row>
    <row r="539" spans="1:11">
      <c r="A539" s="8">
        <v>110022</v>
      </c>
      <c r="B539" s="8">
        <v>11001</v>
      </c>
      <c r="C539" s="8">
        <v>50</v>
      </c>
      <c r="D539" s="8">
        <v>16</v>
      </c>
      <c r="E539" s="8" t="s">
        <v>65</v>
      </c>
      <c r="F539" s="8">
        <v>1</v>
      </c>
      <c r="I539" s="8" t="s">
        <v>66</v>
      </c>
      <c r="J539" s="8">
        <v>3</v>
      </c>
      <c r="K539" s="8">
        <v>32</v>
      </c>
    </row>
    <row r="540" spans="1:11">
      <c r="A540" s="8">
        <v>110023</v>
      </c>
      <c r="B540" s="8">
        <v>11001</v>
      </c>
      <c r="C540" s="8">
        <v>50</v>
      </c>
      <c r="D540" s="8">
        <v>16</v>
      </c>
      <c r="E540" s="8" t="s">
        <v>67</v>
      </c>
      <c r="F540" s="8">
        <v>1</v>
      </c>
      <c r="I540" s="8" t="s">
        <v>55</v>
      </c>
      <c r="J540" s="8">
        <v>3</v>
      </c>
      <c r="K540" s="8">
        <v>33</v>
      </c>
    </row>
    <row r="541" spans="1:11">
      <c r="A541" s="8">
        <v>110024</v>
      </c>
      <c r="B541" s="8">
        <v>11001</v>
      </c>
      <c r="C541" s="8">
        <v>50</v>
      </c>
      <c r="D541" s="8">
        <v>16</v>
      </c>
      <c r="E541" s="8" t="s">
        <v>68</v>
      </c>
      <c r="F541" s="8">
        <v>1</v>
      </c>
      <c r="I541" s="8" t="s">
        <v>69</v>
      </c>
      <c r="J541" s="8">
        <v>3</v>
      </c>
      <c r="K541" s="8">
        <v>34</v>
      </c>
    </row>
    <row r="542" spans="1:11">
      <c r="A542" s="8">
        <v>110025</v>
      </c>
      <c r="B542" s="8">
        <v>11001</v>
      </c>
      <c r="C542" s="8">
        <v>50</v>
      </c>
      <c r="D542" s="8">
        <v>16</v>
      </c>
      <c r="E542" s="8" t="s">
        <v>70</v>
      </c>
      <c r="F542" s="8">
        <v>1</v>
      </c>
      <c r="I542" s="8" t="s">
        <v>57</v>
      </c>
      <c r="J542" s="8">
        <v>3</v>
      </c>
      <c r="K542" s="8">
        <v>35</v>
      </c>
    </row>
    <row r="543" spans="1:11">
      <c r="A543" s="8">
        <v>110026</v>
      </c>
      <c r="B543" s="8">
        <v>11001</v>
      </c>
      <c r="C543" s="8">
        <v>50</v>
      </c>
      <c r="D543" s="8">
        <v>16</v>
      </c>
      <c r="E543" s="8" t="s">
        <v>71</v>
      </c>
      <c r="F543" s="8">
        <v>1</v>
      </c>
      <c r="I543" s="8" t="s">
        <v>72</v>
      </c>
      <c r="J543" s="8">
        <v>3</v>
      </c>
      <c r="K543" s="8">
        <v>36</v>
      </c>
    </row>
    <row r="544" spans="1:11">
      <c r="A544" s="8">
        <v>110027</v>
      </c>
      <c r="B544" s="8">
        <v>11001</v>
      </c>
      <c r="C544" s="8">
        <v>50</v>
      </c>
      <c r="D544" s="8">
        <v>16</v>
      </c>
      <c r="E544" s="8" t="s">
        <v>73</v>
      </c>
      <c r="F544" s="8">
        <v>1</v>
      </c>
      <c r="I544" s="8" t="s">
        <v>74</v>
      </c>
      <c r="J544" s="8">
        <v>3</v>
      </c>
      <c r="K544" s="8">
        <v>37</v>
      </c>
    </row>
    <row r="545" spans="1:11">
      <c r="A545" s="8">
        <v>110028</v>
      </c>
      <c r="B545" s="8">
        <v>11001</v>
      </c>
      <c r="C545" s="8">
        <v>1</v>
      </c>
      <c r="D545" s="8">
        <v>1</v>
      </c>
      <c r="E545" s="8" t="s">
        <v>75</v>
      </c>
      <c r="F545" s="8">
        <v>1</v>
      </c>
      <c r="I545" s="8" t="s">
        <v>76</v>
      </c>
      <c r="J545" s="8">
        <v>3</v>
      </c>
      <c r="K545" s="8">
        <v>38</v>
      </c>
    </row>
    <row r="546" spans="1:11">
      <c r="A546" s="8">
        <v>110029</v>
      </c>
      <c r="B546" s="8">
        <v>11001</v>
      </c>
      <c r="C546" s="8">
        <v>5</v>
      </c>
      <c r="D546" s="8">
        <v>1</v>
      </c>
      <c r="E546" s="8" t="s">
        <v>77</v>
      </c>
      <c r="F546" s="8">
        <v>1</v>
      </c>
      <c r="I546" s="8" t="s">
        <v>78</v>
      </c>
      <c r="J546" s="8">
        <v>3</v>
      </c>
      <c r="K546" s="8">
        <v>39</v>
      </c>
    </row>
    <row r="547" spans="1:11">
      <c r="A547" s="8">
        <v>110030</v>
      </c>
      <c r="B547" s="8">
        <v>11001</v>
      </c>
      <c r="C547" s="8">
        <v>1</v>
      </c>
      <c r="D547" s="8">
        <v>1</v>
      </c>
      <c r="E547" s="8" t="s">
        <v>79</v>
      </c>
      <c r="F547" s="8">
        <v>1</v>
      </c>
      <c r="I547" s="8" t="s">
        <v>80</v>
      </c>
      <c r="J547" s="8">
        <v>3</v>
      </c>
      <c r="K547" s="8">
        <v>40</v>
      </c>
    </row>
    <row r="548" spans="1:11">
      <c r="A548" s="8">
        <v>110031</v>
      </c>
      <c r="B548" s="8">
        <v>11001</v>
      </c>
      <c r="C548" s="8">
        <v>5</v>
      </c>
      <c r="D548" s="8">
        <v>1</v>
      </c>
      <c r="E548" s="8" t="s">
        <v>81</v>
      </c>
      <c r="F548" s="8">
        <v>1</v>
      </c>
      <c r="I548" s="8" t="s">
        <v>82</v>
      </c>
      <c r="J548" s="8">
        <v>3</v>
      </c>
      <c r="K548" s="8">
        <v>41</v>
      </c>
    </row>
    <row r="549" spans="1:11">
      <c r="A549" s="8">
        <v>110032</v>
      </c>
      <c r="B549" s="8">
        <v>11001</v>
      </c>
      <c r="C549" s="8">
        <v>5</v>
      </c>
      <c r="D549" s="8">
        <v>1</v>
      </c>
      <c r="E549" s="8" t="s">
        <v>83</v>
      </c>
      <c r="F549" s="8">
        <v>1</v>
      </c>
      <c r="I549" s="8" t="s">
        <v>84</v>
      </c>
      <c r="J549" s="8">
        <v>3</v>
      </c>
      <c r="K549" s="8">
        <v>42</v>
      </c>
    </row>
    <row r="550" spans="1:11">
      <c r="A550" s="8">
        <v>110033</v>
      </c>
      <c r="B550" s="8">
        <v>11001</v>
      </c>
      <c r="C550" s="8">
        <v>5</v>
      </c>
      <c r="D550" s="8">
        <v>5</v>
      </c>
      <c r="E550" s="8" t="s">
        <v>85</v>
      </c>
      <c r="F550" s="8">
        <v>1</v>
      </c>
      <c r="I550" s="6" t="s">
        <v>86</v>
      </c>
      <c r="J550" s="8">
        <v>3</v>
      </c>
      <c r="K550" s="8">
        <v>43</v>
      </c>
    </row>
    <row r="551" spans="1:11">
      <c r="A551" s="8">
        <v>110034</v>
      </c>
      <c r="B551" s="8">
        <v>11001</v>
      </c>
      <c r="C551" s="8">
        <v>5</v>
      </c>
      <c r="D551" s="8">
        <v>5</v>
      </c>
      <c r="E551" s="8" t="s">
        <v>87</v>
      </c>
      <c r="F551" s="8">
        <v>1</v>
      </c>
      <c r="I551" s="6" t="s">
        <v>88</v>
      </c>
      <c r="J551" s="8">
        <v>3</v>
      </c>
      <c r="K551" s="8">
        <v>44</v>
      </c>
    </row>
    <row r="552" spans="1:11">
      <c r="A552" s="8">
        <v>110035</v>
      </c>
      <c r="B552" s="8">
        <v>11001</v>
      </c>
      <c r="C552" s="8">
        <v>5</v>
      </c>
      <c r="D552" s="8">
        <v>5</v>
      </c>
      <c r="E552" s="8" t="s">
        <v>89</v>
      </c>
      <c r="F552" s="8">
        <v>1</v>
      </c>
      <c r="I552" s="6" t="s">
        <v>90</v>
      </c>
      <c r="J552" s="8">
        <v>3</v>
      </c>
      <c r="K552" s="8">
        <v>45</v>
      </c>
    </row>
    <row r="553" spans="1:11">
      <c r="A553" s="8">
        <v>110036</v>
      </c>
      <c r="B553" s="8">
        <v>11001</v>
      </c>
      <c r="C553" s="8">
        <v>5</v>
      </c>
      <c r="D553" s="8">
        <v>5</v>
      </c>
      <c r="E553" s="8" t="s">
        <v>91</v>
      </c>
      <c r="F553" s="8">
        <v>1</v>
      </c>
      <c r="I553" s="6" t="s">
        <v>92</v>
      </c>
      <c r="J553" s="8">
        <v>3</v>
      </c>
      <c r="K553" s="8">
        <v>46</v>
      </c>
    </row>
    <row r="554" spans="1:11">
      <c r="A554" s="8">
        <v>110037</v>
      </c>
      <c r="B554" s="8">
        <v>11001</v>
      </c>
      <c r="C554" s="8">
        <v>5</v>
      </c>
      <c r="D554" s="8">
        <v>5</v>
      </c>
      <c r="E554" s="8" t="s">
        <v>93</v>
      </c>
      <c r="F554" s="8">
        <v>1</v>
      </c>
      <c r="I554" s="6" t="s">
        <v>94</v>
      </c>
      <c r="J554" s="8">
        <v>3</v>
      </c>
      <c r="K554" s="8">
        <v>47</v>
      </c>
    </row>
    <row r="555" spans="1:11">
      <c r="A555" s="8">
        <v>110038</v>
      </c>
      <c r="B555" s="8">
        <v>11001</v>
      </c>
      <c r="C555" s="8">
        <v>11030</v>
      </c>
      <c r="D555" s="8">
        <v>1103</v>
      </c>
      <c r="E555" s="8" t="s">
        <v>34</v>
      </c>
      <c r="I555" s="8" t="s">
        <v>35</v>
      </c>
      <c r="J555" s="8">
        <v>2</v>
      </c>
      <c r="K555" s="8">
        <v>4</v>
      </c>
    </row>
    <row r="556" spans="1:11">
      <c r="A556" s="8">
        <v>110039</v>
      </c>
      <c r="B556" s="8">
        <v>11001</v>
      </c>
      <c r="C556" s="8">
        <v>10000</v>
      </c>
      <c r="D556" s="8">
        <v>1000</v>
      </c>
      <c r="E556" s="8" t="s">
        <v>36</v>
      </c>
      <c r="I556" s="8" t="s">
        <v>35</v>
      </c>
      <c r="J556" s="8">
        <v>2</v>
      </c>
      <c r="K556" s="8">
        <v>5</v>
      </c>
    </row>
    <row r="557" spans="1:11">
      <c r="A557" s="8">
        <v>110040</v>
      </c>
      <c r="B557" s="8">
        <v>11001</v>
      </c>
      <c r="C557" s="8">
        <v>4000</v>
      </c>
      <c r="D557" s="8">
        <v>400</v>
      </c>
      <c r="E557" s="8" t="s">
        <v>37</v>
      </c>
      <c r="I557" s="8" t="s">
        <v>35</v>
      </c>
      <c r="J557" s="8">
        <v>2</v>
      </c>
      <c r="K557" s="8">
        <v>6</v>
      </c>
    </row>
    <row r="558" spans="1:11">
      <c r="A558" s="8">
        <v>110041</v>
      </c>
      <c r="B558" s="8">
        <v>11001</v>
      </c>
      <c r="C558" s="8">
        <v>4000</v>
      </c>
      <c r="D558" s="8">
        <v>400</v>
      </c>
      <c r="E558" s="8" t="s">
        <v>38</v>
      </c>
      <c r="I558" s="8" t="s">
        <v>35</v>
      </c>
      <c r="J558" s="8">
        <v>2</v>
      </c>
      <c r="K558" s="8">
        <v>7</v>
      </c>
    </row>
    <row r="559" spans="1:11">
      <c r="A559" s="8">
        <v>110042</v>
      </c>
      <c r="B559" s="8">
        <v>11001</v>
      </c>
      <c r="C559" s="8">
        <v>1000</v>
      </c>
      <c r="D559" s="8">
        <v>100</v>
      </c>
      <c r="E559" s="8" t="s">
        <v>95</v>
      </c>
      <c r="F559" s="8">
        <v>1</v>
      </c>
      <c r="I559" s="8" t="s">
        <v>96</v>
      </c>
      <c r="J559" s="8">
        <v>4</v>
      </c>
      <c r="K559" s="8">
        <v>8</v>
      </c>
    </row>
    <row r="560" spans="1:11">
      <c r="A560" s="8">
        <v>110043</v>
      </c>
      <c r="B560" s="8">
        <v>11001</v>
      </c>
      <c r="C560" s="8">
        <v>2000</v>
      </c>
      <c r="D560" s="8">
        <v>200</v>
      </c>
      <c r="E560" s="8" t="s">
        <v>39</v>
      </c>
      <c r="I560" s="8" t="s">
        <v>40</v>
      </c>
      <c r="J560" s="8">
        <v>0</v>
      </c>
      <c r="K560" s="8">
        <v>12</v>
      </c>
    </row>
    <row r="561" spans="1:11">
      <c r="A561" s="8">
        <v>110044</v>
      </c>
      <c r="B561" s="8">
        <v>11001</v>
      </c>
      <c r="C561" s="8">
        <v>4000</v>
      </c>
      <c r="D561" s="8">
        <v>400</v>
      </c>
      <c r="E561" s="8" t="s">
        <v>41</v>
      </c>
      <c r="I561" s="8" t="s">
        <v>40</v>
      </c>
      <c r="J561" s="8">
        <v>0</v>
      </c>
      <c r="K561" s="8">
        <v>11</v>
      </c>
    </row>
    <row r="562" spans="1:11">
      <c r="A562" s="8">
        <v>110045</v>
      </c>
      <c r="B562" s="8">
        <v>11001</v>
      </c>
      <c r="C562" s="8">
        <v>6000</v>
      </c>
      <c r="D562" s="8">
        <v>600</v>
      </c>
      <c r="E562" s="8" t="s">
        <v>42</v>
      </c>
      <c r="I562" s="8" t="s">
        <v>40</v>
      </c>
      <c r="J562" s="8">
        <v>0</v>
      </c>
      <c r="K562" s="8">
        <v>10</v>
      </c>
    </row>
    <row r="563" spans="1:11">
      <c r="A563" s="8">
        <v>110046</v>
      </c>
      <c r="B563" s="8">
        <v>11001</v>
      </c>
      <c r="C563" s="8">
        <v>8000</v>
      </c>
      <c r="D563" s="8">
        <v>800</v>
      </c>
      <c r="E563" s="8" t="s">
        <v>43</v>
      </c>
      <c r="I563" s="8" t="s">
        <v>40</v>
      </c>
      <c r="J563" s="8">
        <v>0</v>
      </c>
      <c r="K563" s="8">
        <v>9</v>
      </c>
    </row>
    <row r="564" spans="1:11">
      <c r="A564" s="8">
        <v>110047</v>
      </c>
      <c r="B564" s="8">
        <v>11001</v>
      </c>
      <c r="C564" s="9">
        <v>4000</v>
      </c>
      <c r="D564" s="9">
        <v>400</v>
      </c>
      <c r="E564" s="9" t="s">
        <v>97</v>
      </c>
      <c r="F564" s="9"/>
      <c r="G564" s="9"/>
      <c r="H564" s="9"/>
      <c r="I564" s="9" t="s">
        <v>45</v>
      </c>
      <c r="J564" s="9">
        <v>2</v>
      </c>
      <c r="K564" s="8">
        <v>13</v>
      </c>
    </row>
    <row r="565" spans="1:11">
      <c r="A565" s="8">
        <v>120001</v>
      </c>
      <c r="B565" s="8">
        <v>12001</v>
      </c>
      <c r="C565" s="8">
        <v>10000</v>
      </c>
      <c r="D565" s="8">
        <v>500</v>
      </c>
      <c r="E565" s="8" t="s">
        <v>22</v>
      </c>
      <c r="G565" s="8">
        <v>1</v>
      </c>
      <c r="H565" s="8">
        <v>60000</v>
      </c>
      <c r="I565" s="8" t="s">
        <v>23</v>
      </c>
      <c r="J565" s="8">
        <v>0</v>
      </c>
      <c r="K565" s="8">
        <v>1</v>
      </c>
    </row>
    <row r="566" spans="1:11">
      <c r="A566" s="8">
        <v>120002</v>
      </c>
      <c r="B566" s="8">
        <v>12001</v>
      </c>
      <c r="C566" s="8">
        <v>10000</v>
      </c>
      <c r="D566" s="8">
        <v>500</v>
      </c>
      <c r="E566" s="8" t="s">
        <v>24</v>
      </c>
      <c r="G566" s="8">
        <v>1</v>
      </c>
      <c r="H566" s="8">
        <v>80000</v>
      </c>
      <c r="I566" s="8" t="s">
        <v>25</v>
      </c>
      <c r="J566" s="8">
        <v>0</v>
      </c>
      <c r="K566" s="8">
        <v>2</v>
      </c>
    </row>
    <row r="567" spans="1:11">
      <c r="A567" s="8">
        <v>120003</v>
      </c>
      <c r="B567" s="8">
        <v>12001</v>
      </c>
      <c r="C567" s="8">
        <v>750</v>
      </c>
      <c r="D567" s="8">
        <v>75</v>
      </c>
      <c r="E567" s="8" t="s">
        <v>26</v>
      </c>
      <c r="I567" s="8" t="s">
        <v>27</v>
      </c>
      <c r="J567" s="8">
        <v>1</v>
      </c>
      <c r="K567" s="8">
        <v>13</v>
      </c>
    </row>
    <row r="568" spans="1:11">
      <c r="A568" s="8">
        <v>120004</v>
      </c>
      <c r="B568" s="8">
        <v>12001</v>
      </c>
      <c r="C568" s="8">
        <v>750</v>
      </c>
      <c r="D568" s="8">
        <v>75</v>
      </c>
      <c r="E568" s="8" t="s">
        <v>28</v>
      </c>
      <c r="I568" s="8" t="s">
        <v>29</v>
      </c>
      <c r="J568" s="8">
        <v>1</v>
      </c>
      <c r="K568" s="8">
        <v>14</v>
      </c>
    </row>
    <row r="569" spans="1:11">
      <c r="A569" s="8">
        <v>120005</v>
      </c>
      <c r="B569" s="8">
        <v>12001</v>
      </c>
      <c r="C569" s="8">
        <v>750</v>
      </c>
      <c r="D569" s="8">
        <v>75</v>
      </c>
      <c r="E569" s="8" t="s">
        <v>30</v>
      </c>
      <c r="I569" s="8" t="s">
        <v>31</v>
      </c>
      <c r="J569" s="8">
        <v>1</v>
      </c>
      <c r="K569" s="8">
        <v>15</v>
      </c>
    </row>
    <row r="570" spans="1:11">
      <c r="A570" s="8">
        <v>120006</v>
      </c>
      <c r="B570" s="8">
        <v>12001</v>
      </c>
      <c r="C570" s="8">
        <v>750</v>
      </c>
      <c r="D570" s="8">
        <v>75</v>
      </c>
      <c r="E570" s="8" t="s">
        <v>32</v>
      </c>
      <c r="I570" s="8" t="s">
        <v>33</v>
      </c>
      <c r="J570" s="8">
        <v>1</v>
      </c>
      <c r="K570" s="8">
        <v>16</v>
      </c>
    </row>
    <row r="571" spans="1:11">
      <c r="A571" s="8">
        <v>120007</v>
      </c>
      <c r="B571" s="8">
        <v>12001</v>
      </c>
      <c r="C571" s="8">
        <v>1500</v>
      </c>
      <c r="D571" s="8">
        <v>87</v>
      </c>
      <c r="E571" s="8" t="s">
        <v>46</v>
      </c>
      <c r="F571" s="8">
        <v>1</v>
      </c>
      <c r="I571" s="8" t="s">
        <v>27</v>
      </c>
      <c r="J571" s="8">
        <v>2</v>
      </c>
      <c r="K571" s="8">
        <v>17</v>
      </c>
    </row>
    <row r="572" spans="1:11">
      <c r="A572" s="8">
        <v>120008</v>
      </c>
      <c r="B572" s="8">
        <v>12001</v>
      </c>
      <c r="C572" s="8">
        <v>1500</v>
      </c>
      <c r="D572" s="8">
        <v>88</v>
      </c>
      <c r="E572" s="8" t="s">
        <v>47</v>
      </c>
      <c r="F572" s="8">
        <v>1</v>
      </c>
      <c r="I572" s="8" t="s">
        <v>29</v>
      </c>
      <c r="J572" s="8">
        <v>2</v>
      </c>
      <c r="K572" s="8">
        <v>18</v>
      </c>
    </row>
    <row r="573" spans="1:11">
      <c r="A573" s="8">
        <v>120009</v>
      </c>
      <c r="B573" s="8">
        <v>12001</v>
      </c>
      <c r="C573" s="8">
        <v>1500</v>
      </c>
      <c r="D573" s="8">
        <v>87</v>
      </c>
      <c r="E573" s="8" t="s">
        <v>48</v>
      </c>
      <c r="F573" s="8">
        <v>1</v>
      </c>
      <c r="I573" s="8" t="s">
        <v>31</v>
      </c>
      <c r="J573" s="8">
        <v>2</v>
      </c>
      <c r="K573" s="8">
        <v>19</v>
      </c>
    </row>
    <row r="574" spans="1:11">
      <c r="A574" s="8">
        <v>120010</v>
      </c>
      <c r="B574" s="8">
        <v>12001</v>
      </c>
      <c r="C574" s="8">
        <v>500</v>
      </c>
      <c r="D574" s="8">
        <v>88</v>
      </c>
      <c r="E574" s="8" t="s">
        <v>49</v>
      </c>
      <c r="F574" s="8">
        <v>1</v>
      </c>
      <c r="I574" s="8" t="s">
        <v>33</v>
      </c>
      <c r="J574" s="8">
        <v>2</v>
      </c>
      <c r="K574" s="8">
        <v>20</v>
      </c>
    </row>
    <row r="575" spans="1:11">
      <c r="A575" s="8">
        <v>120011</v>
      </c>
      <c r="B575" s="8">
        <v>12001</v>
      </c>
      <c r="C575" s="8">
        <v>500</v>
      </c>
      <c r="D575" s="8">
        <v>87</v>
      </c>
      <c r="E575" s="8" t="s">
        <v>50</v>
      </c>
      <c r="F575" s="8">
        <v>1</v>
      </c>
      <c r="I575" s="8" t="s">
        <v>51</v>
      </c>
      <c r="J575" s="8">
        <v>2</v>
      </c>
      <c r="K575" s="8">
        <v>21</v>
      </c>
    </row>
    <row r="576" spans="1:11">
      <c r="A576" s="8">
        <v>120012</v>
      </c>
      <c r="B576" s="8">
        <v>12001</v>
      </c>
      <c r="C576" s="8">
        <v>500</v>
      </c>
      <c r="D576" s="8">
        <v>88</v>
      </c>
      <c r="E576" s="8" t="s">
        <v>52</v>
      </c>
      <c r="F576" s="8">
        <v>1</v>
      </c>
      <c r="I576" s="8" t="s">
        <v>53</v>
      </c>
      <c r="J576" s="8">
        <v>2</v>
      </c>
      <c r="K576" s="8">
        <v>22</v>
      </c>
    </row>
    <row r="577" spans="1:11">
      <c r="A577" s="8">
        <v>120013</v>
      </c>
      <c r="B577" s="8">
        <v>12001</v>
      </c>
      <c r="C577" s="8">
        <v>500</v>
      </c>
      <c r="D577" s="8">
        <v>87</v>
      </c>
      <c r="E577" s="8" t="s">
        <v>54</v>
      </c>
      <c r="F577" s="8">
        <v>1</v>
      </c>
      <c r="I577" s="8" t="s">
        <v>55</v>
      </c>
      <c r="J577" s="8">
        <v>2</v>
      </c>
      <c r="K577" s="8">
        <v>23</v>
      </c>
    </row>
    <row r="578" spans="1:11">
      <c r="A578" s="8">
        <v>120014</v>
      </c>
      <c r="B578" s="8">
        <v>12001</v>
      </c>
      <c r="C578" s="8">
        <v>500</v>
      </c>
      <c r="D578" s="8">
        <v>88</v>
      </c>
      <c r="E578" s="8" t="s">
        <v>56</v>
      </c>
      <c r="F578" s="8">
        <v>1</v>
      </c>
      <c r="I578" s="8" t="s">
        <v>57</v>
      </c>
      <c r="J578" s="8">
        <v>2</v>
      </c>
      <c r="K578" s="8">
        <v>24</v>
      </c>
    </row>
    <row r="579" spans="1:11">
      <c r="A579" s="8">
        <v>120015</v>
      </c>
      <c r="B579" s="8">
        <v>12001</v>
      </c>
      <c r="C579" s="8">
        <v>680</v>
      </c>
      <c r="D579" s="8">
        <v>24</v>
      </c>
      <c r="E579" s="8" t="s">
        <v>59</v>
      </c>
      <c r="F579" s="8">
        <v>1</v>
      </c>
      <c r="I579" s="8" t="s">
        <v>27</v>
      </c>
      <c r="J579" s="8">
        <v>3</v>
      </c>
      <c r="K579" s="8">
        <v>25</v>
      </c>
    </row>
    <row r="580" spans="1:11">
      <c r="A580" s="8">
        <v>120016</v>
      </c>
      <c r="B580" s="8">
        <v>12001</v>
      </c>
      <c r="C580" s="8">
        <v>680</v>
      </c>
      <c r="D580" s="8">
        <v>24</v>
      </c>
      <c r="E580" s="8" t="s">
        <v>60</v>
      </c>
      <c r="F580" s="8">
        <v>1</v>
      </c>
      <c r="I580" s="8" t="s">
        <v>29</v>
      </c>
      <c r="J580" s="8">
        <v>3</v>
      </c>
      <c r="K580" s="8">
        <v>26</v>
      </c>
    </row>
    <row r="581" spans="1:11">
      <c r="A581" s="8">
        <v>120017</v>
      </c>
      <c r="B581" s="8">
        <v>12001</v>
      </c>
      <c r="C581" s="8">
        <v>690</v>
      </c>
      <c r="D581" s="8">
        <v>24</v>
      </c>
      <c r="E581" s="8" t="s">
        <v>61</v>
      </c>
      <c r="F581" s="8">
        <v>1</v>
      </c>
      <c r="I581" s="8" t="s">
        <v>31</v>
      </c>
      <c r="J581" s="8">
        <v>3</v>
      </c>
      <c r="K581" s="8">
        <v>27</v>
      </c>
    </row>
    <row r="582" spans="1:11">
      <c r="A582" s="8">
        <v>120018</v>
      </c>
      <c r="B582" s="8">
        <v>12001</v>
      </c>
      <c r="C582" s="8">
        <v>100</v>
      </c>
      <c r="D582" s="8">
        <v>24</v>
      </c>
      <c r="E582" s="8" t="s">
        <v>62</v>
      </c>
      <c r="F582" s="8">
        <v>1</v>
      </c>
      <c r="I582" s="8" t="s">
        <v>33</v>
      </c>
      <c r="J582" s="8">
        <v>3</v>
      </c>
      <c r="K582" s="8">
        <v>28</v>
      </c>
    </row>
    <row r="583" spans="1:11">
      <c r="A583" s="8">
        <v>120019</v>
      </c>
      <c r="B583" s="8">
        <v>12001</v>
      </c>
      <c r="C583" s="8">
        <v>100</v>
      </c>
      <c r="D583" s="8">
        <v>24</v>
      </c>
      <c r="E583" s="8" t="s">
        <v>63</v>
      </c>
      <c r="F583" s="8">
        <v>1</v>
      </c>
      <c r="I583" s="8" t="s">
        <v>51</v>
      </c>
      <c r="J583" s="8">
        <v>3</v>
      </c>
      <c r="K583" s="8">
        <v>29</v>
      </c>
    </row>
    <row r="584" spans="1:11">
      <c r="A584" s="8">
        <v>120020</v>
      </c>
      <c r="B584" s="8">
        <v>12001</v>
      </c>
      <c r="C584" s="8">
        <v>100</v>
      </c>
      <c r="D584" s="8">
        <v>24</v>
      </c>
      <c r="E584" s="8" t="s">
        <v>64</v>
      </c>
      <c r="F584" s="8">
        <v>1</v>
      </c>
      <c r="I584" s="8" t="s">
        <v>53</v>
      </c>
      <c r="J584" s="8">
        <v>3</v>
      </c>
      <c r="K584" s="8">
        <v>30</v>
      </c>
    </row>
    <row r="585" spans="1:11">
      <c r="A585" s="8">
        <v>120021</v>
      </c>
      <c r="B585" s="8">
        <v>12001</v>
      </c>
      <c r="C585" s="8">
        <v>100</v>
      </c>
      <c r="D585" s="8">
        <v>24</v>
      </c>
      <c r="E585" s="8" t="s">
        <v>65</v>
      </c>
      <c r="F585" s="8">
        <v>1</v>
      </c>
      <c r="I585" s="8" t="s">
        <v>66</v>
      </c>
      <c r="J585" s="8">
        <v>3</v>
      </c>
      <c r="K585" s="8">
        <v>31</v>
      </c>
    </row>
    <row r="586" spans="1:11">
      <c r="A586" s="8">
        <v>120022</v>
      </c>
      <c r="B586" s="8">
        <v>12001</v>
      </c>
      <c r="C586" s="8">
        <v>100</v>
      </c>
      <c r="D586" s="8">
        <v>24</v>
      </c>
      <c r="E586" s="8" t="s">
        <v>67</v>
      </c>
      <c r="F586" s="8">
        <v>1</v>
      </c>
      <c r="I586" s="8" t="s">
        <v>55</v>
      </c>
      <c r="J586" s="8">
        <v>3</v>
      </c>
      <c r="K586" s="8">
        <v>32</v>
      </c>
    </row>
    <row r="587" spans="1:11">
      <c r="A587" s="8">
        <v>120023</v>
      </c>
      <c r="B587" s="8">
        <v>12001</v>
      </c>
      <c r="C587" s="8">
        <v>100</v>
      </c>
      <c r="D587" s="8">
        <v>24</v>
      </c>
      <c r="E587" s="8" t="s">
        <v>68</v>
      </c>
      <c r="F587" s="8">
        <v>1</v>
      </c>
      <c r="I587" s="8" t="s">
        <v>69</v>
      </c>
      <c r="J587" s="8">
        <v>3</v>
      </c>
      <c r="K587" s="8">
        <v>33</v>
      </c>
    </row>
    <row r="588" spans="1:11">
      <c r="A588" s="8">
        <v>120024</v>
      </c>
      <c r="B588" s="8">
        <v>12001</v>
      </c>
      <c r="C588" s="8">
        <v>100</v>
      </c>
      <c r="D588" s="8">
        <v>24</v>
      </c>
      <c r="E588" s="8" t="s">
        <v>70</v>
      </c>
      <c r="F588" s="8">
        <v>1</v>
      </c>
      <c r="I588" s="8" t="s">
        <v>57</v>
      </c>
      <c r="J588" s="8">
        <v>3</v>
      </c>
      <c r="K588" s="8">
        <v>34</v>
      </c>
    </row>
    <row r="589" spans="1:11">
      <c r="A589" s="8">
        <v>120025</v>
      </c>
      <c r="B589" s="8">
        <v>12001</v>
      </c>
      <c r="C589" s="8">
        <v>100</v>
      </c>
      <c r="D589" s="8">
        <v>24</v>
      </c>
      <c r="E589" s="8" t="s">
        <v>71</v>
      </c>
      <c r="F589" s="8">
        <v>1</v>
      </c>
      <c r="I589" s="8" t="s">
        <v>72</v>
      </c>
      <c r="J589" s="8">
        <v>3</v>
      </c>
      <c r="K589" s="8">
        <v>35</v>
      </c>
    </row>
    <row r="590" spans="1:11">
      <c r="A590" s="8">
        <v>120026</v>
      </c>
      <c r="B590" s="8">
        <v>12001</v>
      </c>
      <c r="C590" s="8">
        <v>100</v>
      </c>
      <c r="D590" s="8">
        <v>21</v>
      </c>
      <c r="E590" s="8" t="s">
        <v>73</v>
      </c>
      <c r="F590" s="8">
        <v>1</v>
      </c>
      <c r="I590" s="8" t="s">
        <v>74</v>
      </c>
      <c r="J590" s="8">
        <v>3</v>
      </c>
      <c r="K590" s="8">
        <v>36</v>
      </c>
    </row>
    <row r="591" spans="1:11">
      <c r="A591" s="8">
        <v>120027</v>
      </c>
      <c r="B591" s="8">
        <v>12001</v>
      </c>
      <c r="C591" s="8">
        <v>2</v>
      </c>
      <c r="D591" s="8">
        <v>3</v>
      </c>
      <c r="E591" s="8" t="s">
        <v>75</v>
      </c>
      <c r="F591" s="8">
        <v>1</v>
      </c>
      <c r="I591" s="8" t="s">
        <v>76</v>
      </c>
      <c r="J591" s="8">
        <v>3</v>
      </c>
      <c r="K591" s="8">
        <v>37</v>
      </c>
    </row>
    <row r="592" spans="1:11">
      <c r="A592" s="8">
        <v>120028</v>
      </c>
      <c r="B592" s="8">
        <v>12001</v>
      </c>
      <c r="C592" s="8">
        <v>10</v>
      </c>
      <c r="D592" s="8">
        <v>3</v>
      </c>
      <c r="E592" s="8" t="s">
        <v>77</v>
      </c>
      <c r="F592" s="8">
        <v>1</v>
      </c>
      <c r="I592" s="8" t="s">
        <v>78</v>
      </c>
      <c r="J592" s="8">
        <v>3</v>
      </c>
      <c r="K592" s="8">
        <v>38</v>
      </c>
    </row>
    <row r="593" spans="1:11">
      <c r="A593" s="8">
        <v>120029</v>
      </c>
      <c r="B593" s="8">
        <v>12001</v>
      </c>
      <c r="C593" s="8">
        <v>2</v>
      </c>
      <c r="D593" s="8">
        <v>3</v>
      </c>
      <c r="E593" s="8" t="s">
        <v>79</v>
      </c>
      <c r="F593" s="8">
        <v>1</v>
      </c>
      <c r="I593" s="8" t="s">
        <v>80</v>
      </c>
      <c r="J593" s="8">
        <v>3</v>
      </c>
      <c r="K593" s="8">
        <v>39</v>
      </c>
    </row>
    <row r="594" spans="1:11">
      <c r="A594" s="8">
        <v>120030</v>
      </c>
      <c r="B594" s="8">
        <v>12001</v>
      </c>
      <c r="C594" s="8">
        <v>10</v>
      </c>
      <c r="D594" s="8">
        <v>3</v>
      </c>
      <c r="E594" s="8" t="s">
        <v>81</v>
      </c>
      <c r="F594" s="8">
        <v>1</v>
      </c>
      <c r="I594" s="8" t="s">
        <v>82</v>
      </c>
      <c r="J594" s="8">
        <v>3</v>
      </c>
      <c r="K594" s="8">
        <v>40</v>
      </c>
    </row>
    <row r="595" spans="1:11">
      <c r="A595" s="8">
        <v>120031</v>
      </c>
      <c r="B595" s="8">
        <v>12001</v>
      </c>
      <c r="C595" s="8">
        <v>10</v>
      </c>
      <c r="D595" s="8">
        <v>3</v>
      </c>
      <c r="E595" s="8" t="s">
        <v>83</v>
      </c>
      <c r="F595" s="8">
        <v>1</v>
      </c>
      <c r="I595" s="8" t="s">
        <v>84</v>
      </c>
      <c r="J595" s="8">
        <v>3</v>
      </c>
      <c r="K595" s="8">
        <v>41</v>
      </c>
    </row>
    <row r="596" spans="1:11">
      <c r="A596" s="8">
        <v>120032</v>
      </c>
      <c r="B596" s="8">
        <v>12001</v>
      </c>
      <c r="C596" s="8">
        <v>600</v>
      </c>
      <c r="D596" s="8">
        <v>40</v>
      </c>
      <c r="E596" s="8" t="s">
        <v>98</v>
      </c>
      <c r="F596" s="8">
        <v>1</v>
      </c>
      <c r="I596" s="8" t="s">
        <v>27</v>
      </c>
      <c r="J596" s="8">
        <v>4</v>
      </c>
      <c r="K596" s="8">
        <v>42</v>
      </c>
    </row>
    <row r="597" spans="1:11">
      <c r="A597" s="8">
        <v>120033</v>
      </c>
      <c r="B597" s="8">
        <v>12001</v>
      </c>
      <c r="C597" s="8">
        <v>600</v>
      </c>
      <c r="D597" s="8">
        <v>40</v>
      </c>
      <c r="E597" s="8" t="s">
        <v>99</v>
      </c>
      <c r="F597" s="8">
        <v>1</v>
      </c>
      <c r="I597" s="8" t="s">
        <v>29</v>
      </c>
      <c r="J597" s="8">
        <v>4</v>
      </c>
      <c r="K597" s="8">
        <v>43</v>
      </c>
    </row>
    <row r="598" spans="1:11">
      <c r="A598" s="8">
        <v>120034</v>
      </c>
      <c r="B598" s="8">
        <v>12001</v>
      </c>
      <c r="C598" s="8">
        <v>200</v>
      </c>
      <c r="D598" s="8">
        <v>40</v>
      </c>
      <c r="E598" s="8" t="s">
        <v>100</v>
      </c>
      <c r="F598" s="8">
        <v>1</v>
      </c>
      <c r="I598" s="8" t="s">
        <v>31</v>
      </c>
      <c r="J598" s="8">
        <v>4</v>
      </c>
      <c r="K598" s="8">
        <v>44</v>
      </c>
    </row>
    <row r="599" spans="1:11">
      <c r="A599" s="8">
        <v>120035</v>
      </c>
      <c r="B599" s="8">
        <v>12001</v>
      </c>
      <c r="C599" s="8">
        <v>200</v>
      </c>
      <c r="D599" s="8">
        <v>40</v>
      </c>
      <c r="E599" s="8" t="s">
        <v>101</v>
      </c>
      <c r="F599" s="8">
        <v>1</v>
      </c>
      <c r="I599" s="8" t="s">
        <v>33</v>
      </c>
      <c r="J599" s="8">
        <v>4</v>
      </c>
      <c r="K599" s="8">
        <v>45</v>
      </c>
    </row>
    <row r="600" spans="1:11">
      <c r="A600" s="8">
        <v>120036</v>
      </c>
      <c r="B600" s="8">
        <v>12001</v>
      </c>
      <c r="C600" s="8">
        <v>40</v>
      </c>
      <c r="D600" s="8">
        <v>16</v>
      </c>
      <c r="E600" s="8" t="s">
        <v>102</v>
      </c>
      <c r="F600" s="8">
        <v>1</v>
      </c>
      <c r="I600" s="8" t="s">
        <v>51</v>
      </c>
      <c r="J600" s="8">
        <v>4</v>
      </c>
      <c r="K600" s="8">
        <v>46</v>
      </c>
    </row>
    <row r="601" spans="1:11">
      <c r="A601" s="8">
        <v>120037</v>
      </c>
      <c r="B601" s="8">
        <v>12001</v>
      </c>
      <c r="C601" s="8">
        <v>20</v>
      </c>
      <c r="D601" s="8">
        <v>16</v>
      </c>
      <c r="E601" s="8" t="s">
        <v>103</v>
      </c>
      <c r="F601" s="8">
        <v>1</v>
      </c>
      <c r="I601" s="8" t="s">
        <v>53</v>
      </c>
      <c r="J601" s="8">
        <v>4</v>
      </c>
      <c r="K601" s="8">
        <v>47</v>
      </c>
    </row>
    <row r="602" spans="1:11">
      <c r="A602" s="8">
        <v>120038</v>
      </c>
      <c r="B602" s="8">
        <v>12001</v>
      </c>
      <c r="C602" s="8">
        <v>40</v>
      </c>
      <c r="D602" s="8">
        <v>16</v>
      </c>
      <c r="E602" s="8" t="s">
        <v>104</v>
      </c>
      <c r="F602" s="8">
        <v>1</v>
      </c>
      <c r="I602" s="8" t="s">
        <v>66</v>
      </c>
      <c r="J602" s="8">
        <v>4</v>
      </c>
      <c r="K602" s="8">
        <v>48</v>
      </c>
    </row>
    <row r="603" spans="1:11">
      <c r="A603" s="8">
        <v>120039</v>
      </c>
      <c r="B603" s="8">
        <v>12001</v>
      </c>
      <c r="C603" s="8">
        <v>40</v>
      </c>
      <c r="D603" s="8">
        <v>16</v>
      </c>
      <c r="E603" s="8" t="s">
        <v>105</v>
      </c>
      <c r="F603" s="8">
        <v>1</v>
      </c>
      <c r="I603" s="8" t="s">
        <v>55</v>
      </c>
      <c r="J603" s="8">
        <v>4</v>
      </c>
      <c r="K603" s="8">
        <v>49</v>
      </c>
    </row>
    <row r="604" spans="1:11">
      <c r="A604" s="8">
        <v>120040</v>
      </c>
      <c r="B604" s="8">
        <v>12001</v>
      </c>
      <c r="C604" s="8">
        <v>40</v>
      </c>
      <c r="D604" s="8">
        <v>16</v>
      </c>
      <c r="E604" s="8" t="s">
        <v>106</v>
      </c>
      <c r="F604" s="8">
        <v>1</v>
      </c>
      <c r="I604" s="8" t="s">
        <v>69</v>
      </c>
      <c r="J604" s="8">
        <v>4</v>
      </c>
      <c r="K604" s="8">
        <v>50</v>
      </c>
    </row>
    <row r="605" spans="1:11">
      <c r="A605" s="8">
        <v>120041</v>
      </c>
      <c r="B605" s="8">
        <v>12001</v>
      </c>
      <c r="C605" s="8">
        <v>40</v>
      </c>
      <c r="D605" s="8">
        <v>16</v>
      </c>
      <c r="E605" s="8" t="s">
        <v>107</v>
      </c>
      <c r="F605" s="8">
        <v>1</v>
      </c>
      <c r="I605" s="8" t="s">
        <v>57</v>
      </c>
      <c r="J605" s="8">
        <v>4</v>
      </c>
      <c r="K605" s="8">
        <v>51</v>
      </c>
    </row>
    <row r="606" spans="1:11">
      <c r="A606" s="8">
        <v>120042</v>
      </c>
      <c r="B606" s="8">
        <v>12001</v>
      </c>
      <c r="C606" s="8">
        <v>40</v>
      </c>
      <c r="D606" s="8">
        <v>16</v>
      </c>
      <c r="E606" s="8" t="s">
        <v>108</v>
      </c>
      <c r="F606" s="8">
        <v>1</v>
      </c>
      <c r="I606" s="8" t="s">
        <v>72</v>
      </c>
      <c r="J606" s="8">
        <v>4</v>
      </c>
      <c r="K606" s="8">
        <v>52</v>
      </c>
    </row>
    <row r="607" spans="1:11">
      <c r="A607" s="8">
        <v>120043</v>
      </c>
      <c r="B607" s="8">
        <v>12001</v>
      </c>
      <c r="C607" s="8">
        <v>40</v>
      </c>
      <c r="D607" s="8">
        <v>16</v>
      </c>
      <c r="E607" s="8" t="s">
        <v>109</v>
      </c>
      <c r="F607" s="8">
        <v>1</v>
      </c>
      <c r="I607" s="8" t="s">
        <v>74</v>
      </c>
      <c r="J607" s="8">
        <v>4</v>
      </c>
      <c r="K607" s="8">
        <v>53</v>
      </c>
    </row>
    <row r="608" spans="1:11">
      <c r="A608" s="8">
        <v>120044</v>
      </c>
      <c r="B608" s="8">
        <v>12001</v>
      </c>
      <c r="C608" s="8">
        <v>2</v>
      </c>
      <c r="D608" s="8">
        <v>4</v>
      </c>
      <c r="E608" s="8" t="s">
        <v>110</v>
      </c>
      <c r="F608" s="8">
        <v>1</v>
      </c>
      <c r="I608" s="8" t="s">
        <v>76</v>
      </c>
      <c r="J608" s="8">
        <v>4</v>
      </c>
      <c r="K608" s="8">
        <v>54</v>
      </c>
    </row>
    <row r="609" spans="1:11">
      <c r="A609" s="8">
        <v>120045</v>
      </c>
      <c r="B609" s="8">
        <v>12001</v>
      </c>
      <c r="C609" s="8">
        <v>10</v>
      </c>
      <c r="D609" s="8">
        <v>4</v>
      </c>
      <c r="E609" s="8" t="s">
        <v>111</v>
      </c>
      <c r="F609" s="8">
        <v>1</v>
      </c>
      <c r="I609" s="8" t="s">
        <v>78</v>
      </c>
      <c r="J609" s="8">
        <v>4</v>
      </c>
      <c r="K609" s="8">
        <v>55</v>
      </c>
    </row>
    <row r="610" spans="1:11">
      <c r="A610" s="8">
        <v>120046</v>
      </c>
      <c r="B610" s="8">
        <v>12001</v>
      </c>
      <c r="C610" s="8">
        <v>2</v>
      </c>
      <c r="D610" s="8">
        <v>4</v>
      </c>
      <c r="E610" s="8" t="s">
        <v>112</v>
      </c>
      <c r="F610" s="8">
        <v>1</v>
      </c>
      <c r="I610" s="8" t="s">
        <v>80</v>
      </c>
      <c r="J610" s="8">
        <v>4</v>
      </c>
      <c r="K610" s="8">
        <v>56</v>
      </c>
    </row>
    <row r="611" spans="1:11">
      <c r="A611" s="8">
        <v>120047</v>
      </c>
      <c r="B611" s="8">
        <v>12001</v>
      </c>
      <c r="C611" s="8">
        <v>10</v>
      </c>
      <c r="D611" s="8">
        <v>4</v>
      </c>
      <c r="E611" s="8" t="s">
        <v>113</v>
      </c>
      <c r="F611" s="8">
        <v>1</v>
      </c>
      <c r="I611" s="8" t="s">
        <v>82</v>
      </c>
      <c r="J611" s="8">
        <v>4</v>
      </c>
      <c r="K611" s="8">
        <v>57</v>
      </c>
    </row>
    <row r="612" spans="1:11">
      <c r="A612" s="8">
        <v>120048</v>
      </c>
      <c r="B612" s="8">
        <v>12001</v>
      </c>
      <c r="C612" s="8">
        <v>10</v>
      </c>
      <c r="D612" s="8">
        <v>4</v>
      </c>
      <c r="E612" s="8" t="s">
        <v>114</v>
      </c>
      <c r="F612" s="8">
        <v>1</v>
      </c>
      <c r="I612" s="8" t="s">
        <v>84</v>
      </c>
      <c r="J612" s="8">
        <v>4</v>
      </c>
      <c r="K612" s="8">
        <v>58</v>
      </c>
    </row>
    <row r="613" spans="1:11">
      <c r="A613" s="8">
        <v>120049</v>
      </c>
      <c r="B613" s="8">
        <v>12001</v>
      </c>
      <c r="C613" s="8">
        <v>10</v>
      </c>
      <c r="D613" s="8">
        <v>4</v>
      </c>
      <c r="E613" s="8" t="s">
        <v>115</v>
      </c>
      <c r="F613" s="8">
        <v>1</v>
      </c>
      <c r="I613" s="6" t="s">
        <v>86</v>
      </c>
      <c r="J613" s="8">
        <v>4</v>
      </c>
      <c r="K613" s="8">
        <v>59</v>
      </c>
    </row>
    <row r="614" spans="1:11">
      <c r="A614" s="8">
        <v>120050</v>
      </c>
      <c r="B614" s="8">
        <v>12001</v>
      </c>
      <c r="C614" s="8">
        <v>10</v>
      </c>
      <c r="D614" s="8">
        <v>4</v>
      </c>
      <c r="E614" s="8" t="s">
        <v>116</v>
      </c>
      <c r="F614" s="8">
        <v>1</v>
      </c>
      <c r="I614" s="6" t="s">
        <v>88</v>
      </c>
      <c r="J614" s="8">
        <v>4</v>
      </c>
      <c r="K614" s="8">
        <v>60</v>
      </c>
    </row>
    <row r="615" spans="1:11">
      <c r="A615" s="8">
        <v>120051</v>
      </c>
      <c r="B615" s="8">
        <v>12001</v>
      </c>
      <c r="C615" s="8">
        <v>10</v>
      </c>
      <c r="D615" s="8">
        <v>4</v>
      </c>
      <c r="E615" s="8" t="s">
        <v>117</v>
      </c>
      <c r="F615" s="8">
        <v>1</v>
      </c>
      <c r="I615" s="6" t="s">
        <v>90</v>
      </c>
      <c r="J615" s="8">
        <v>4</v>
      </c>
      <c r="K615" s="8">
        <v>61</v>
      </c>
    </row>
    <row r="616" spans="1:11">
      <c r="A616" s="8">
        <v>120052</v>
      </c>
      <c r="B616" s="8">
        <v>12001</v>
      </c>
      <c r="C616" s="8">
        <v>10</v>
      </c>
      <c r="D616" s="8">
        <v>4</v>
      </c>
      <c r="E616" s="8" t="s">
        <v>118</v>
      </c>
      <c r="F616" s="8">
        <v>1</v>
      </c>
      <c r="I616" s="6" t="s">
        <v>92</v>
      </c>
      <c r="J616" s="8">
        <v>4</v>
      </c>
      <c r="K616" s="8">
        <v>62</v>
      </c>
    </row>
    <row r="617" spans="1:11">
      <c r="A617" s="8">
        <v>120053</v>
      </c>
      <c r="B617" s="8">
        <v>12001</v>
      </c>
      <c r="C617" s="8">
        <v>10</v>
      </c>
      <c r="D617" s="8">
        <v>4</v>
      </c>
      <c r="E617" s="8" t="s">
        <v>119</v>
      </c>
      <c r="F617" s="8">
        <v>1</v>
      </c>
      <c r="I617" s="6" t="s">
        <v>94</v>
      </c>
      <c r="J617" s="8">
        <v>4</v>
      </c>
      <c r="K617" s="8">
        <v>63</v>
      </c>
    </row>
    <row r="618" spans="1:11">
      <c r="A618" s="8">
        <v>120054</v>
      </c>
      <c r="B618" s="8">
        <v>12001</v>
      </c>
      <c r="C618" s="8">
        <v>12000</v>
      </c>
      <c r="D618" s="8">
        <v>1199</v>
      </c>
      <c r="E618" s="8" t="s">
        <v>34</v>
      </c>
      <c r="I618" s="8" t="s">
        <v>35</v>
      </c>
      <c r="J618" s="8">
        <v>2</v>
      </c>
      <c r="K618" s="8">
        <v>3</v>
      </c>
    </row>
    <row r="619" spans="1:11">
      <c r="A619" s="8">
        <v>120055</v>
      </c>
      <c r="B619" s="8">
        <v>12001</v>
      </c>
      <c r="C619" s="8">
        <v>11000</v>
      </c>
      <c r="D619" s="8">
        <v>1100</v>
      </c>
      <c r="E619" s="8" t="s">
        <v>36</v>
      </c>
      <c r="I619" s="8" t="s">
        <v>35</v>
      </c>
      <c r="J619" s="8">
        <v>2</v>
      </c>
      <c r="K619" s="8">
        <v>4</v>
      </c>
    </row>
    <row r="620" spans="1:11">
      <c r="A620" s="8">
        <v>120056</v>
      </c>
      <c r="B620" s="8">
        <v>12001</v>
      </c>
      <c r="C620" s="8">
        <v>4000</v>
      </c>
      <c r="D620" s="8">
        <v>400</v>
      </c>
      <c r="E620" s="8" t="s">
        <v>37</v>
      </c>
      <c r="I620" s="8" t="s">
        <v>35</v>
      </c>
      <c r="J620" s="8">
        <v>2</v>
      </c>
      <c r="K620" s="8">
        <v>5</v>
      </c>
    </row>
    <row r="621" spans="1:11">
      <c r="A621" s="8">
        <v>120057</v>
      </c>
      <c r="B621" s="8">
        <v>12001</v>
      </c>
      <c r="C621" s="8">
        <v>4000</v>
      </c>
      <c r="D621" s="8">
        <v>400</v>
      </c>
      <c r="E621" s="8" t="s">
        <v>38</v>
      </c>
      <c r="I621" s="8" t="s">
        <v>35</v>
      </c>
      <c r="J621" s="8">
        <v>2</v>
      </c>
      <c r="K621" s="8">
        <v>6</v>
      </c>
    </row>
    <row r="622" spans="1:11">
      <c r="A622" s="8">
        <v>120058</v>
      </c>
      <c r="B622" s="8">
        <v>12001</v>
      </c>
      <c r="C622" s="8">
        <v>2000</v>
      </c>
      <c r="D622" s="8">
        <v>447</v>
      </c>
      <c r="E622" s="8" t="s">
        <v>95</v>
      </c>
      <c r="F622" s="8">
        <v>1</v>
      </c>
      <c r="I622" s="8" t="s">
        <v>96</v>
      </c>
      <c r="J622" s="8">
        <v>4</v>
      </c>
      <c r="K622" s="8">
        <v>7</v>
      </c>
    </row>
    <row r="623" spans="1:11">
      <c r="A623" s="8">
        <v>120059</v>
      </c>
      <c r="B623" s="8">
        <v>12001</v>
      </c>
      <c r="C623" s="8">
        <v>2000</v>
      </c>
      <c r="D623" s="8">
        <v>250</v>
      </c>
      <c r="E623" s="8" t="s">
        <v>39</v>
      </c>
      <c r="I623" s="8" t="s">
        <v>40</v>
      </c>
      <c r="J623" s="8">
        <v>0</v>
      </c>
      <c r="K623" s="8">
        <v>11</v>
      </c>
    </row>
    <row r="624" spans="1:11">
      <c r="A624" s="8">
        <v>120060</v>
      </c>
      <c r="B624" s="8">
        <v>12001</v>
      </c>
      <c r="C624" s="8">
        <v>5000</v>
      </c>
      <c r="D624" s="8">
        <v>500</v>
      </c>
      <c r="E624" s="8" t="s">
        <v>41</v>
      </c>
      <c r="I624" s="8" t="s">
        <v>40</v>
      </c>
      <c r="J624" s="8">
        <v>0</v>
      </c>
      <c r="K624" s="8">
        <v>10</v>
      </c>
    </row>
    <row r="625" spans="1:11">
      <c r="A625" s="8">
        <v>120061</v>
      </c>
      <c r="B625" s="8">
        <v>12001</v>
      </c>
      <c r="C625" s="8">
        <v>7000</v>
      </c>
      <c r="D625" s="8">
        <v>750</v>
      </c>
      <c r="E625" s="8" t="s">
        <v>42</v>
      </c>
      <c r="I625" s="8" t="s">
        <v>40</v>
      </c>
      <c r="J625" s="8">
        <v>0</v>
      </c>
      <c r="K625" s="8">
        <v>9</v>
      </c>
    </row>
    <row r="626" spans="1:11">
      <c r="A626" s="8">
        <v>120062</v>
      </c>
      <c r="B626" s="8">
        <v>12001</v>
      </c>
      <c r="C626" s="8">
        <v>10000</v>
      </c>
      <c r="D626" s="8">
        <v>1000</v>
      </c>
      <c r="E626" s="8" t="s">
        <v>43</v>
      </c>
      <c r="I626" s="8" t="s">
        <v>40</v>
      </c>
      <c r="J626" s="8">
        <v>0</v>
      </c>
      <c r="K626" s="8">
        <v>8</v>
      </c>
    </row>
    <row r="627" spans="1:11">
      <c r="A627" s="8">
        <v>120063</v>
      </c>
      <c r="B627" s="8">
        <v>12001</v>
      </c>
      <c r="C627" s="9">
        <v>8000</v>
      </c>
      <c r="D627" s="9">
        <v>1500</v>
      </c>
      <c r="E627" s="9" t="s">
        <v>120</v>
      </c>
      <c r="F627" s="9">
        <v>1</v>
      </c>
      <c r="G627" s="9"/>
      <c r="H627" s="9"/>
      <c r="I627" s="9" t="s">
        <v>45</v>
      </c>
      <c r="J627" s="9">
        <v>2</v>
      </c>
      <c r="K627" s="8">
        <v>12</v>
      </c>
    </row>
  </sheetData>
  <autoFilter ref="A1:J627"/>
  <conditionalFormatting sqref="I2">
    <cfRule type="duplicateValues" priority="185"/>
  </conditionalFormatting>
  <conditionalFormatting sqref="I3">
    <cfRule type="duplicateValues" priority="184"/>
  </conditionalFormatting>
  <conditionalFormatting sqref="I4">
    <cfRule type="duplicateValues" priority="142"/>
  </conditionalFormatting>
  <conditionalFormatting sqref="I5">
    <cfRule type="duplicateValues" priority="141"/>
  </conditionalFormatting>
  <conditionalFormatting sqref="I14">
    <cfRule type="duplicateValues" priority="178"/>
  </conditionalFormatting>
  <conditionalFormatting sqref="I15">
    <cfRule type="duplicateValues" priority="177"/>
  </conditionalFormatting>
  <conditionalFormatting sqref="I16">
    <cfRule type="duplicateValues" priority="176"/>
  </conditionalFormatting>
  <conditionalFormatting sqref="I19">
    <cfRule type="duplicateValues" priority="136"/>
  </conditionalFormatting>
  <conditionalFormatting sqref="I20">
    <cfRule type="duplicateValues" priority="135"/>
  </conditionalFormatting>
  <conditionalFormatting sqref="I21">
    <cfRule type="duplicateValues" priority="134"/>
  </conditionalFormatting>
  <conditionalFormatting sqref="I22">
    <cfRule type="duplicateValues" priority="133"/>
  </conditionalFormatting>
  <conditionalFormatting sqref="I39">
    <cfRule type="duplicateValues" priority="140"/>
  </conditionalFormatting>
  <conditionalFormatting sqref="I40">
    <cfRule type="duplicateValues" priority="139"/>
  </conditionalFormatting>
  <conditionalFormatting sqref="I41">
    <cfRule type="duplicateValues" priority="138"/>
  </conditionalFormatting>
  <conditionalFormatting sqref="I42">
    <cfRule type="duplicateValues" priority="137"/>
  </conditionalFormatting>
  <conditionalFormatting sqref="I43">
    <cfRule type="duplicateValues" priority="104"/>
  </conditionalFormatting>
  <conditionalFormatting sqref="I44">
    <cfRule type="duplicateValues" priority="121"/>
  </conditionalFormatting>
  <conditionalFormatting sqref="I45">
    <cfRule type="duplicateValues" priority="120"/>
  </conditionalFormatting>
  <conditionalFormatting sqref="I46">
    <cfRule type="duplicateValues" priority="119"/>
  </conditionalFormatting>
  <conditionalFormatting sqref="I86">
    <cfRule type="duplicateValues" priority="116"/>
  </conditionalFormatting>
  <conditionalFormatting sqref="I87">
    <cfRule type="duplicateValues" priority="115"/>
  </conditionalFormatting>
  <conditionalFormatting sqref="I88">
    <cfRule type="duplicateValues" priority="114"/>
  </conditionalFormatting>
  <conditionalFormatting sqref="I89">
    <cfRule type="duplicateValues" priority="113"/>
  </conditionalFormatting>
  <conditionalFormatting sqref="I90">
    <cfRule type="duplicateValues" priority="101"/>
  </conditionalFormatting>
  <conditionalFormatting sqref="I91">
    <cfRule type="duplicateValues" priority="110"/>
  </conditionalFormatting>
  <conditionalFormatting sqref="I92">
    <cfRule type="duplicateValues" priority="109"/>
  </conditionalFormatting>
  <conditionalFormatting sqref="I154">
    <cfRule type="duplicateValues" priority="152"/>
  </conditionalFormatting>
  <conditionalFormatting sqref="I155">
    <cfRule type="duplicateValues" priority="151"/>
  </conditionalFormatting>
  <conditionalFormatting sqref="I156">
    <cfRule type="duplicateValues" priority="150"/>
  </conditionalFormatting>
  <conditionalFormatting sqref="I157">
    <cfRule type="duplicateValues" priority="149"/>
  </conditionalFormatting>
  <conditionalFormatting sqref="I158">
    <cfRule type="duplicateValues" priority="102"/>
  </conditionalFormatting>
  <conditionalFormatting sqref="I159">
    <cfRule type="duplicateValues" priority="108"/>
  </conditionalFormatting>
  <conditionalFormatting sqref="I160">
    <cfRule type="duplicateValues" priority="107"/>
  </conditionalFormatting>
  <conditionalFormatting sqref="I161">
    <cfRule type="duplicateValues" priority="106"/>
  </conditionalFormatting>
  <conditionalFormatting sqref="I162">
    <cfRule type="duplicateValues" priority="105"/>
  </conditionalFormatting>
  <conditionalFormatting sqref="I163">
    <cfRule type="duplicateValues" priority="100"/>
  </conditionalFormatting>
  <conditionalFormatting sqref="I164">
    <cfRule type="duplicateValues" priority="99"/>
  </conditionalFormatting>
  <conditionalFormatting sqref="I165">
    <cfRule type="duplicateValues" priority="90"/>
  </conditionalFormatting>
  <conditionalFormatting sqref="I166">
    <cfRule type="duplicateValues" priority="89"/>
  </conditionalFormatting>
  <conditionalFormatting sqref="I175">
    <cfRule type="duplicateValues" priority="98"/>
  </conditionalFormatting>
  <conditionalFormatting sqref="I176">
    <cfRule type="duplicateValues" priority="97"/>
  </conditionalFormatting>
  <conditionalFormatting sqref="I177">
    <cfRule type="duplicateValues" priority="96"/>
  </conditionalFormatting>
  <conditionalFormatting sqref="I180">
    <cfRule type="duplicateValues" priority="84"/>
  </conditionalFormatting>
  <conditionalFormatting sqref="I181">
    <cfRule type="duplicateValues" priority="83"/>
  </conditionalFormatting>
  <conditionalFormatting sqref="I182">
    <cfRule type="duplicateValues" priority="82"/>
  </conditionalFormatting>
  <conditionalFormatting sqref="I183">
    <cfRule type="duplicateValues" priority="81"/>
  </conditionalFormatting>
  <conditionalFormatting sqref="I200">
    <cfRule type="duplicateValues" priority="88"/>
  </conditionalFormatting>
  <conditionalFormatting sqref="I201">
    <cfRule type="duplicateValues" priority="87"/>
  </conditionalFormatting>
  <conditionalFormatting sqref="I202">
    <cfRule type="duplicateValues" priority="86"/>
  </conditionalFormatting>
  <conditionalFormatting sqref="I203">
    <cfRule type="duplicateValues" priority="85"/>
  </conditionalFormatting>
  <conditionalFormatting sqref="I204">
    <cfRule type="duplicateValues" priority="71"/>
  </conditionalFormatting>
  <conditionalFormatting sqref="I205">
    <cfRule type="duplicateValues" priority="80"/>
  </conditionalFormatting>
  <conditionalFormatting sqref="I206">
    <cfRule type="duplicateValues" priority="79"/>
  </conditionalFormatting>
  <conditionalFormatting sqref="I207">
    <cfRule type="duplicateValues" priority="78"/>
  </conditionalFormatting>
  <conditionalFormatting sqref="I247">
    <cfRule type="duplicateValues" priority="77"/>
  </conditionalFormatting>
  <conditionalFormatting sqref="I248">
    <cfRule type="duplicateValues" priority="76"/>
  </conditionalFormatting>
  <conditionalFormatting sqref="I249">
    <cfRule type="duplicateValues" priority="75"/>
  </conditionalFormatting>
  <conditionalFormatting sqref="I250">
    <cfRule type="duplicateValues" priority="74"/>
  </conditionalFormatting>
  <conditionalFormatting sqref="I251">
    <cfRule type="duplicateValues" priority="69"/>
  </conditionalFormatting>
  <conditionalFormatting sqref="I252">
    <cfRule type="duplicateValues" priority="73"/>
  </conditionalFormatting>
  <conditionalFormatting sqref="I253">
    <cfRule type="duplicateValues" priority="72"/>
  </conditionalFormatting>
  <conditionalFormatting sqref="I310">
    <cfRule type="duplicateValues" priority="94"/>
  </conditionalFormatting>
  <conditionalFormatting sqref="I311">
    <cfRule type="duplicateValues" priority="93"/>
  </conditionalFormatting>
  <conditionalFormatting sqref="I312">
    <cfRule type="duplicateValues" priority="92"/>
  </conditionalFormatting>
  <conditionalFormatting sqref="I313">
    <cfRule type="duplicateValues" priority="91"/>
  </conditionalFormatting>
  <conditionalFormatting sqref="I314">
    <cfRule type="duplicateValues" priority="70"/>
  </conditionalFormatting>
  <conditionalFormatting sqref="I315">
    <cfRule type="duplicateValues" priority="68"/>
  </conditionalFormatting>
  <conditionalFormatting sqref="I316">
    <cfRule type="duplicateValues" priority="67"/>
  </conditionalFormatting>
  <conditionalFormatting sqref="I317">
    <cfRule type="duplicateValues" priority="58"/>
  </conditionalFormatting>
  <conditionalFormatting sqref="I318">
    <cfRule type="duplicateValues" priority="57"/>
  </conditionalFormatting>
  <conditionalFormatting sqref="I327">
    <cfRule type="duplicateValues" priority="66"/>
  </conditionalFormatting>
  <conditionalFormatting sqref="I328">
    <cfRule type="duplicateValues" priority="65"/>
  </conditionalFormatting>
  <conditionalFormatting sqref="I329">
    <cfRule type="duplicateValues" priority="64"/>
  </conditionalFormatting>
  <conditionalFormatting sqref="I332">
    <cfRule type="duplicateValues" priority="52"/>
  </conditionalFormatting>
  <conditionalFormatting sqref="I333">
    <cfRule type="duplicateValues" priority="51"/>
  </conditionalFormatting>
  <conditionalFormatting sqref="I334">
    <cfRule type="duplicateValues" priority="50"/>
  </conditionalFormatting>
  <conditionalFormatting sqref="I335">
    <cfRule type="duplicateValues" priority="49"/>
  </conditionalFormatting>
  <conditionalFormatting sqref="I352">
    <cfRule type="duplicateValues" priority="56"/>
  </conditionalFormatting>
  <conditionalFormatting sqref="I353">
    <cfRule type="duplicateValues" priority="55"/>
  </conditionalFormatting>
  <conditionalFormatting sqref="I354">
    <cfRule type="duplicateValues" priority="54"/>
  </conditionalFormatting>
  <conditionalFormatting sqref="I355">
    <cfRule type="duplicateValues" priority="53"/>
  </conditionalFormatting>
  <conditionalFormatting sqref="I356">
    <cfRule type="duplicateValues" priority="35"/>
  </conditionalFormatting>
  <conditionalFormatting sqref="I357">
    <cfRule type="duplicateValues" priority="48"/>
  </conditionalFormatting>
  <conditionalFormatting sqref="I358">
    <cfRule type="duplicateValues" priority="47"/>
  </conditionalFormatting>
  <conditionalFormatting sqref="I359">
    <cfRule type="duplicateValues" priority="46"/>
  </conditionalFormatting>
  <conditionalFormatting sqref="I399">
    <cfRule type="duplicateValues" priority="45"/>
  </conditionalFormatting>
  <conditionalFormatting sqref="I400">
    <cfRule type="duplicateValues" priority="44"/>
  </conditionalFormatting>
  <conditionalFormatting sqref="I401">
    <cfRule type="duplicateValues" priority="43"/>
  </conditionalFormatting>
  <conditionalFormatting sqref="I402">
    <cfRule type="duplicateValues" priority="42"/>
  </conditionalFormatting>
  <conditionalFormatting sqref="I403">
    <cfRule type="duplicateValues" priority="33"/>
  </conditionalFormatting>
  <conditionalFormatting sqref="I404">
    <cfRule type="duplicateValues" priority="41"/>
  </conditionalFormatting>
  <conditionalFormatting sqref="I405">
    <cfRule type="duplicateValues" priority="40"/>
  </conditionalFormatting>
  <conditionalFormatting sqref="I467">
    <cfRule type="duplicateValues" priority="62"/>
  </conditionalFormatting>
  <conditionalFormatting sqref="I468">
    <cfRule type="duplicateValues" priority="61"/>
  </conditionalFormatting>
  <conditionalFormatting sqref="I469">
    <cfRule type="duplicateValues" priority="60"/>
  </conditionalFormatting>
  <conditionalFormatting sqref="I470">
    <cfRule type="duplicateValues" priority="59"/>
  </conditionalFormatting>
  <conditionalFormatting sqref="I471">
    <cfRule type="duplicateValues" priority="34"/>
  </conditionalFormatting>
  <conditionalFormatting sqref="I472">
    <cfRule type="duplicateValues" priority="39"/>
  </conditionalFormatting>
  <conditionalFormatting sqref="I473">
    <cfRule type="duplicateValues" priority="38"/>
  </conditionalFormatting>
  <conditionalFormatting sqref="I474">
    <cfRule type="duplicateValues" priority="37"/>
  </conditionalFormatting>
  <conditionalFormatting sqref="I475">
    <cfRule type="duplicateValues" priority="36"/>
  </conditionalFormatting>
  <conditionalFormatting sqref="I476">
    <cfRule type="duplicateValues" priority="32"/>
  </conditionalFormatting>
  <conditionalFormatting sqref="I477">
    <cfRule type="duplicateValues" priority="31"/>
  </conditionalFormatting>
  <conditionalFormatting sqref="I478">
    <cfRule type="duplicateValues" priority="22"/>
  </conditionalFormatting>
  <conditionalFormatting sqref="I479">
    <cfRule type="duplicateValues" priority="21"/>
  </conditionalFormatting>
  <conditionalFormatting sqref="I488">
    <cfRule type="duplicateValues" priority="30"/>
  </conditionalFormatting>
  <conditionalFormatting sqref="I489">
    <cfRule type="duplicateValues" priority="29"/>
  </conditionalFormatting>
  <conditionalFormatting sqref="I490">
    <cfRule type="duplicateValues" priority="28"/>
  </conditionalFormatting>
  <conditionalFormatting sqref="I493">
    <cfRule type="duplicateValues" priority="16"/>
  </conditionalFormatting>
  <conditionalFormatting sqref="I494">
    <cfRule type="duplicateValues" priority="15"/>
  </conditionalFormatting>
  <conditionalFormatting sqref="I495">
    <cfRule type="duplicateValues" priority="14"/>
  </conditionalFormatting>
  <conditionalFormatting sqref="I496">
    <cfRule type="duplicateValues" priority="13"/>
  </conditionalFormatting>
  <conditionalFormatting sqref="I513">
    <cfRule type="duplicateValues" priority="20"/>
  </conditionalFormatting>
  <conditionalFormatting sqref="I514">
    <cfRule type="duplicateValues" priority="19"/>
  </conditionalFormatting>
  <conditionalFormatting sqref="I515">
    <cfRule type="duplicateValues" priority="18"/>
  </conditionalFormatting>
  <conditionalFormatting sqref="I516">
    <cfRule type="duplicateValues" priority="17"/>
  </conditionalFormatting>
  <conditionalFormatting sqref="I517">
    <cfRule type="duplicateValues" priority="3"/>
  </conditionalFormatting>
  <conditionalFormatting sqref="I518">
    <cfRule type="duplicateValues" priority="12"/>
  </conditionalFormatting>
  <conditionalFormatting sqref="I519">
    <cfRule type="duplicateValues" priority="11"/>
  </conditionalFormatting>
  <conditionalFormatting sqref="I520">
    <cfRule type="duplicateValues" priority="10"/>
  </conditionalFormatting>
  <conditionalFormatting sqref="I560">
    <cfRule type="duplicateValues" priority="9"/>
  </conditionalFormatting>
  <conditionalFormatting sqref="I561">
    <cfRule type="duplicateValues" priority="8"/>
  </conditionalFormatting>
  <conditionalFormatting sqref="I562">
    <cfRule type="duplicateValues" priority="7"/>
  </conditionalFormatting>
  <conditionalFormatting sqref="I563">
    <cfRule type="duplicateValues" priority="6"/>
  </conditionalFormatting>
  <conditionalFormatting sqref="I564">
    <cfRule type="duplicateValues" priority="1"/>
  </conditionalFormatting>
  <conditionalFormatting sqref="I565">
    <cfRule type="duplicateValues" priority="5"/>
  </conditionalFormatting>
  <conditionalFormatting sqref="I566">
    <cfRule type="duplicateValues" priority="4"/>
  </conditionalFormatting>
  <conditionalFormatting sqref="I623">
    <cfRule type="duplicateValues" priority="26"/>
  </conditionalFormatting>
  <conditionalFormatting sqref="I624">
    <cfRule type="duplicateValues" priority="25"/>
  </conditionalFormatting>
  <conditionalFormatting sqref="I625">
    <cfRule type="duplicateValues" priority="24"/>
  </conditionalFormatting>
  <conditionalFormatting sqref="I626">
    <cfRule type="duplicateValues" priority="23"/>
  </conditionalFormatting>
  <conditionalFormatting sqref="I627">
    <cfRule type="duplicateValues" priority="2"/>
  </conditionalFormatting>
  <conditionalFormatting sqref="I17:I18">
    <cfRule type="duplicateValues" priority="175"/>
  </conditionalFormatting>
  <conditionalFormatting sqref="I178:I179">
    <cfRule type="duplicateValues" priority="95"/>
  </conditionalFormatting>
  <conditionalFormatting sqref="I330:I331">
    <cfRule type="duplicateValues" priority="63"/>
  </conditionalFormatting>
  <conditionalFormatting sqref="I491:I492">
    <cfRule type="duplicateValues" priority="27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21" sqref="E21"/>
    </sheetView>
  </sheetViews>
  <sheetFormatPr defaultColWidth="9" defaultRowHeight="15"/>
  <sheetData>
    <row r="1" spans="1:4">
      <c r="A1" s="6" t="s">
        <v>0</v>
      </c>
      <c r="B1" s="6" t="s">
        <v>121</v>
      </c>
      <c r="C1" s="6" t="s">
        <v>122</v>
      </c>
      <c r="D1" s="6" t="s">
        <v>8</v>
      </c>
    </row>
    <row r="2" spans="1:4">
      <c r="A2" s="6">
        <v>1</v>
      </c>
      <c r="B2" s="6">
        <v>1</v>
      </c>
      <c r="C2" s="6">
        <v>1</v>
      </c>
      <c r="D2" s="6">
        <v>8001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1"/>
  <sheetViews>
    <sheetView tabSelected="1" workbookViewId="0">
      <selection activeCell="G12" sqref="G12"/>
    </sheetView>
  </sheetViews>
  <sheetFormatPr defaultColWidth="9" defaultRowHeight="15"/>
  <cols>
    <col min="8" max="8" width="13.140625" customWidth="1"/>
    <col min="11" max="11" width="13.140625" customWidth="1"/>
    <col min="14" max="14" width="21.5703125" customWidth="1"/>
  </cols>
  <sheetData>
    <row r="1" spans="1:19" ht="16.5">
      <c r="A1" s="1">
        <v>100053</v>
      </c>
      <c r="B1" s="2">
        <v>100000</v>
      </c>
      <c r="C1" s="3">
        <f>B1*0.5</f>
        <v>50000</v>
      </c>
      <c r="D1" s="3">
        <v>50000</v>
      </c>
      <c r="E1" s="3">
        <v>100000</v>
      </c>
      <c r="F1" s="3">
        <v>250000</v>
      </c>
      <c r="H1" s="4" t="s">
        <v>123</v>
      </c>
      <c r="K1" s="4" t="s">
        <v>18</v>
      </c>
      <c r="M1">
        <f>FIND(":",K1,1)</f>
        <v>2</v>
      </c>
      <c r="N1" t="str">
        <f>RIGHT(K1,LEN(K1)-M1)</f>
        <v>100053:1</v>
      </c>
      <c r="O1">
        <f>FIND(":",N1,1)</f>
        <v>7</v>
      </c>
      <c r="P1" t="str">
        <f>LEFT(N1,O1-1)</f>
        <v>100053</v>
      </c>
      <c r="Q1" s="5">
        <v>100053</v>
      </c>
      <c r="R1" t="e">
        <f>VLOOKUP(Q1,[1]命格基础!$A:$B,2,0)</f>
        <v>#N/A</v>
      </c>
      <c r="S1" t="e">
        <f>VLOOKUP(Q1,[1]命格基础!$A:$C,3,0)</f>
        <v>#N/A</v>
      </c>
    </row>
    <row r="2" spans="1:19" ht="16.5">
      <c r="A2" s="1">
        <v>100054</v>
      </c>
      <c r="B2" s="2">
        <v>120000</v>
      </c>
      <c r="C2" s="3">
        <f>B2*0.5</f>
        <v>60000</v>
      </c>
      <c r="D2" s="3">
        <v>60000</v>
      </c>
      <c r="E2" s="3">
        <v>120000</v>
      </c>
      <c r="F2" s="3">
        <v>300000</v>
      </c>
      <c r="H2" s="4" t="s">
        <v>124</v>
      </c>
      <c r="K2" s="4" t="s">
        <v>20</v>
      </c>
      <c r="M2">
        <f t="shared" ref="M2:M65" si="0">FIND(":",K2,1)</f>
        <v>2</v>
      </c>
      <c r="N2" t="str">
        <f t="shared" ref="N2:N65" si="1">RIGHT(K2,LEN(K2)-M2)</f>
        <v>100054:1</v>
      </c>
      <c r="O2">
        <f t="shared" ref="O2:O65" si="2">FIND(":",N2,1)</f>
        <v>7</v>
      </c>
      <c r="P2" t="str">
        <f t="shared" ref="P2:P65" si="3">LEFT(N2,O2-1)</f>
        <v>100054</v>
      </c>
      <c r="Q2" s="5">
        <v>100054</v>
      </c>
      <c r="R2" t="e">
        <f>VLOOKUP(Q2,[1]命格基础!$A:$B,2,0)</f>
        <v>#N/A</v>
      </c>
      <c r="S2" t="e">
        <f>VLOOKUP(Q2,[1]命格基础!$A:$C,3,0)</f>
        <v>#N/A</v>
      </c>
    </row>
    <row r="3" spans="1:19" ht="16.5">
      <c r="A3" s="1">
        <v>100055</v>
      </c>
      <c r="B3" s="2">
        <v>150000</v>
      </c>
      <c r="C3" s="3">
        <f>B3*0.5</f>
        <v>75000</v>
      </c>
      <c r="D3" s="3">
        <v>75000</v>
      </c>
      <c r="E3" s="3">
        <v>150000</v>
      </c>
      <c r="F3" s="3">
        <v>375000</v>
      </c>
      <c r="H3" s="4" t="s">
        <v>125</v>
      </c>
      <c r="K3" s="4" t="s">
        <v>26</v>
      </c>
      <c r="M3">
        <f t="shared" si="0"/>
        <v>2</v>
      </c>
      <c r="N3" t="str">
        <f t="shared" si="1"/>
        <v>10001:1</v>
      </c>
      <c r="O3">
        <f t="shared" si="2"/>
        <v>6</v>
      </c>
      <c r="P3" t="str">
        <f t="shared" si="3"/>
        <v>10001</v>
      </c>
      <c r="Q3" s="5">
        <v>10001</v>
      </c>
      <c r="R3" t="str">
        <f>VLOOKUP(Q3,[1]命格基础!$A$1:$B$71,2,0)</f>
        <v>子鼠</v>
      </c>
      <c r="S3">
        <f>VLOOKUP(Q3,[1]命格基础!$A:$C,3,0)</f>
        <v>1</v>
      </c>
    </row>
    <row r="4" spans="1:19" ht="16.5">
      <c r="A4" s="1">
        <v>100056</v>
      </c>
      <c r="B4" s="2">
        <v>200000</v>
      </c>
      <c r="C4" s="3">
        <f>B4*0.5</f>
        <v>100000</v>
      </c>
      <c r="D4" s="3">
        <v>100000</v>
      </c>
      <c r="E4" s="3">
        <v>200000</v>
      </c>
      <c r="F4" s="3">
        <v>500000</v>
      </c>
      <c r="H4" s="4" t="s">
        <v>126</v>
      </c>
      <c r="K4" s="4" t="s">
        <v>28</v>
      </c>
      <c r="M4">
        <f t="shared" si="0"/>
        <v>2</v>
      </c>
      <c r="N4" t="str">
        <f t="shared" si="1"/>
        <v>10011:1</v>
      </c>
      <c r="O4">
        <f t="shared" si="2"/>
        <v>6</v>
      </c>
      <c r="P4" t="str">
        <f t="shared" si="3"/>
        <v>10011</v>
      </c>
      <c r="Q4" s="5">
        <v>10011</v>
      </c>
      <c r="R4" t="str">
        <f>VLOOKUP(Q4,[1]命格基础!$A:$B,2,0)</f>
        <v>丑牛</v>
      </c>
      <c r="S4">
        <f>VLOOKUP(Q4,[1]命格基础!$A:$C,3,0)</f>
        <v>1</v>
      </c>
    </row>
    <row r="5" spans="1:19" ht="16.5">
      <c r="H5" s="4" t="s">
        <v>127</v>
      </c>
      <c r="K5" s="4" t="s">
        <v>30</v>
      </c>
      <c r="M5">
        <f t="shared" si="0"/>
        <v>2</v>
      </c>
      <c r="N5" t="str">
        <f t="shared" si="1"/>
        <v>10021:1</v>
      </c>
      <c r="O5">
        <f t="shared" si="2"/>
        <v>6</v>
      </c>
      <c r="P5" t="str">
        <f t="shared" si="3"/>
        <v>10021</v>
      </c>
      <c r="Q5" s="5">
        <v>10021</v>
      </c>
      <c r="R5" t="str">
        <f>VLOOKUP(Q5,[1]命格基础!$A:$B,2,0)</f>
        <v>寅虎</v>
      </c>
      <c r="S5">
        <f>VLOOKUP(Q5,[1]命格基础!$A:$C,3,0)</f>
        <v>1</v>
      </c>
    </row>
    <row r="6" spans="1:19" ht="16.5">
      <c r="H6" s="4" t="s">
        <v>128</v>
      </c>
      <c r="K6" s="4" t="s">
        <v>32</v>
      </c>
      <c r="M6">
        <f t="shared" si="0"/>
        <v>2</v>
      </c>
      <c r="N6" t="str">
        <f t="shared" si="1"/>
        <v>10031:1</v>
      </c>
      <c r="O6">
        <f t="shared" si="2"/>
        <v>6</v>
      </c>
      <c r="P6" t="str">
        <f t="shared" si="3"/>
        <v>10031</v>
      </c>
      <c r="Q6" s="5">
        <v>10031</v>
      </c>
      <c r="R6" t="str">
        <f>VLOOKUP(Q6,[1]命格基础!$A:$B,2,0)</f>
        <v>卯兔</v>
      </c>
      <c r="S6">
        <f>VLOOKUP(Q6,[1]命格基础!$A:$C,3,0)</f>
        <v>1</v>
      </c>
    </row>
    <row r="7" spans="1:19" ht="16.5">
      <c r="H7" s="4" t="s">
        <v>129</v>
      </c>
      <c r="K7" s="4" t="s">
        <v>130</v>
      </c>
      <c r="M7">
        <f t="shared" si="0"/>
        <v>2</v>
      </c>
      <c r="N7" t="str">
        <f t="shared" si="1"/>
        <v>10041:1</v>
      </c>
      <c r="O7">
        <f t="shared" si="2"/>
        <v>6</v>
      </c>
      <c r="P7" t="str">
        <f t="shared" si="3"/>
        <v>10041</v>
      </c>
      <c r="Q7" s="5">
        <v>10041</v>
      </c>
      <c r="R7" t="str">
        <f>VLOOKUP(Q7,[1]命格基础!$A:$B,2,0)</f>
        <v>辰龙</v>
      </c>
      <c r="S7">
        <f>VLOOKUP(Q7,[1]命格基础!$A:$C,3,0)</f>
        <v>1</v>
      </c>
    </row>
    <row r="8" spans="1:19" ht="16.5">
      <c r="H8" s="4" t="s">
        <v>131</v>
      </c>
      <c r="K8" s="4" t="s">
        <v>132</v>
      </c>
      <c r="M8">
        <f t="shared" si="0"/>
        <v>2</v>
      </c>
      <c r="N8" t="str">
        <f t="shared" si="1"/>
        <v>10051:1</v>
      </c>
      <c r="O8">
        <f t="shared" si="2"/>
        <v>6</v>
      </c>
      <c r="P8" t="str">
        <f t="shared" si="3"/>
        <v>10051</v>
      </c>
      <c r="Q8" s="5">
        <v>10051</v>
      </c>
      <c r="R8" t="str">
        <f>VLOOKUP(Q8,[1]命格基础!$A:$B,2,0)</f>
        <v>巳蛇</v>
      </c>
      <c r="S8">
        <f>VLOOKUP(Q8,[1]命格基础!$A:$C,3,0)</f>
        <v>1</v>
      </c>
    </row>
    <row r="9" spans="1:19" ht="16.5">
      <c r="H9" s="4" t="s">
        <v>133</v>
      </c>
      <c r="K9" s="4" t="s">
        <v>134</v>
      </c>
      <c r="M9">
        <f t="shared" si="0"/>
        <v>2</v>
      </c>
      <c r="N9" t="str">
        <f t="shared" si="1"/>
        <v>10061:1</v>
      </c>
      <c r="O9">
        <f t="shared" si="2"/>
        <v>6</v>
      </c>
      <c r="P9" t="str">
        <f t="shared" si="3"/>
        <v>10061</v>
      </c>
      <c r="Q9" s="5">
        <v>10061</v>
      </c>
      <c r="R9" t="str">
        <f>VLOOKUP(Q9,[1]命格基础!$A:$B,2,0)</f>
        <v>午马</v>
      </c>
      <c r="S9">
        <f>VLOOKUP(Q9,[1]命格基础!$A:$C,3,0)</f>
        <v>1</v>
      </c>
    </row>
    <row r="10" spans="1:19" ht="16.5">
      <c r="H10" s="4" t="s">
        <v>135</v>
      </c>
      <c r="K10" s="4" t="s">
        <v>136</v>
      </c>
      <c r="M10">
        <f t="shared" si="0"/>
        <v>2</v>
      </c>
      <c r="N10" t="str">
        <f t="shared" si="1"/>
        <v>10071:1</v>
      </c>
      <c r="O10">
        <f t="shared" si="2"/>
        <v>6</v>
      </c>
      <c r="P10" t="str">
        <f t="shared" si="3"/>
        <v>10071</v>
      </c>
      <c r="Q10" s="5">
        <v>10071</v>
      </c>
      <c r="R10" t="str">
        <f>VLOOKUP(Q10,[1]命格基础!$A:$B,2,0)</f>
        <v>未羊</v>
      </c>
      <c r="S10">
        <f>VLOOKUP(Q10,[1]命格基础!$A:$C,3,0)</f>
        <v>1</v>
      </c>
    </row>
    <row r="11" spans="1:19" ht="16.5">
      <c r="H11" s="4" t="s">
        <v>137</v>
      </c>
      <c r="K11" s="4" t="s">
        <v>138</v>
      </c>
      <c r="M11">
        <f t="shared" si="0"/>
        <v>2</v>
      </c>
      <c r="N11" t="str">
        <f t="shared" si="1"/>
        <v>10081:1</v>
      </c>
      <c r="O11">
        <f t="shared" si="2"/>
        <v>6</v>
      </c>
      <c r="P11" t="str">
        <f t="shared" si="3"/>
        <v>10081</v>
      </c>
      <c r="Q11" s="5">
        <v>10081</v>
      </c>
      <c r="R11" t="str">
        <f>VLOOKUP(Q11,[1]命格基础!$A:$B,2,0)</f>
        <v>申猴</v>
      </c>
      <c r="S11">
        <f>VLOOKUP(Q11,[1]命格基础!$A:$C,3,0)</f>
        <v>1</v>
      </c>
    </row>
    <row r="12" spans="1:19" ht="16.5">
      <c r="H12" s="4" t="s">
        <v>139</v>
      </c>
      <c r="K12" s="4" t="s">
        <v>140</v>
      </c>
      <c r="M12">
        <f t="shared" si="0"/>
        <v>2</v>
      </c>
      <c r="N12" t="str">
        <f t="shared" si="1"/>
        <v>10091:1</v>
      </c>
      <c r="O12">
        <f t="shared" si="2"/>
        <v>6</v>
      </c>
      <c r="P12" t="str">
        <f t="shared" si="3"/>
        <v>10091</v>
      </c>
      <c r="Q12" s="5">
        <v>10091</v>
      </c>
      <c r="R12" t="str">
        <f>VLOOKUP(Q12,[1]命格基础!$A:$B,2,0)</f>
        <v>酉鸡</v>
      </c>
      <c r="S12">
        <f>VLOOKUP(Q12,[1]命格基础!$A:$C,3,0)</f>
        <v>1</v>
      </c>
    </row>
    <row r="13" spans="1:19" ht="16.5">
      <c r="H13" s="4" t="s">
        <v>141</v>
      </c>
      <c r="K13" s="4" t="s">
        <v>142</v>
      </c>
      <c r="M13">
        <f t="shared" si="0"/>
        <v>2</v>
      </c>
      <c r="N13" t="str">
        <f t="shared" si="1"/>
        <v>10101:1</v>
      </c>
      <c r="O13">
        <f t="shared" si="2"/>
        <v>6</v>
      </c>
      <c r="P13" t="str">
        <f t="shared" si="3"/>
        <v>10101</v>
      </c>
      <c r="Q13" s="5">
        <v>10101</v>
      </c>
      <c r="R13" t="str">
        <f>VLOOKUP(Q13,[1]命格基础!$A:$B,2,0)</f>
        <v>戌狗</v>
      </c>
      <c r="S13">
        <f>VLOOKUP(Q13,[1]命格基础!$A:$C,3,0)</f>
        <v>1</v>
      </c>
    </row>
    <row r="14" spans="1:19" ht="16.5">
      <c r="H14" s="4" t="s">
        <v>143</v>
      </c>
      <c r="K14" s="4" t="s">
        <v>144</v>
      </c>
      <c r="M14">
        <f t="shared" si="0"/>
        <v>2</v>
      </c>
      <c r="N14" t="str">
        <f t="shared" si="1"/>
        <v>10111:1</v>
      </c>
      <c r="O14">
        <f t="shared" si="2"/>
        <v>6</v>
      </c>
      <c r="P14" t="str">
        <f t="shared" si="3"/>
        <v>10111</v>
      </c>
      <c r="Q14" s="5">
        <v>10111</v>
      </c>
      <c r="R14" t="str">
        <f>VLOOKUP(Q14,[1]命格基础!$A:$B,2,0)</f>
        <v>亥猪</v>
      </c>
      <c r="S14">
        <f>VLOOKUP(Q14,[1]命格基础!$A:$C,3,0)</f>
        <v>1</v>
      </c>
    </row>
    <row r="15" spans="1:19" ht="16.5">
      <c r="H15" s="4" t="s">
        <v>145</v>
      </c>
      <c r="K15" s="4" t="s">
        <v>46</v>
      </c>
      <c r="M15">
        <f t="shared" si="0"/>
        <v>2</v>
      </c>
      <c r="N15" t="str">
        <f t="shared" si="1"/>
        <v>10002:1</v>
      </c>
      <c r="O15">
        <f t="shared" si="2"/>
        <v>6</v>
      </c>
      <c r="P15" t="str">
        <f t="shared" si="3"/>
        <v>10002</v>
      </c>
      <c r="Q15" s="5">
        <v>10002</v>
      </c>
      <c r="R15" t="str">
        <f>VLOOKUP(Q15,[1]命格基础!$A:$B,2,0)</f>
        <v>子鼠</v>
      </c>
      <c r="S15">
        <f>VLOOKUP(Q15,[1]命格基础!$A:$C,3,0)</f>
        <v>2</v>
      </c>
    </row>
    <row r="16" spans="1:19" ht="16.5">
      <c r="H16" s="4" t="s">
        <v>146</v>
      </c>
      <c r="K16" s="4" t="s">
        <v>47</v>
      </c>
      <c r="M16">
        <f t="shared" si="0"/>
        <v>2</v>
      </c>
      <c r="N16" t="str">
        <f t="shared" si="1"/>
        <v>10012:1</v>
      </c>
      <c r="O16">
        <f t="shared" si="2"/>
        <v>6</v>
      </c>
      <c r="P16" t="str">
        <f t="shared" si="3"/>
        <v>10012</v>
      </c>
      <c r="Q16" s="5">
        <v>10012</v>
      </c>
      <c r="R16" t="str">
        <f>VLOOKUP(Q16,[1]命格基础!$A:$B,2,0)</f>
        <v>丑牛</v>
      </c>
      <c r="S16">
        <f>VLOOKUP(Q16,[1]命格基础!$A:$C,3,0)</f>
        <v>2</v>
      </c>
    </row>
    <row r="17" spans="8:19" ht="16.5">
      <c r="H17" s="4" t="s">
        <v>147</v>
      </c>
      <c r="K17" s="4" t="s">
        <v>48</v>
      </c>
      <c r="M17">
        <f t="shared" si="0"/>
        <v>2</v>
      </c>
      <c r="N17" t="str">
        <f t="shared" si="1"/>
        <v>10022:1</v>
      </c>
      <c r="O17">
        <f t="shared" si="2"/>
        <v>6</v>
      </c>
      <c r="P17" t="str">
        <f t="shared" si="3"/>
        <v>10022</v>
      </c>
      <c r="Q17" s="5">
        <v>10022</v>
      </c>
      <c r="R17" t="str">
        <f>VLOOKUP(Q17,[1]命格基础!$A:$B,2,0)</f>
        <v>寅虎</v>
      </c>
      <c r="S17">
        <f>VLOOKUP(Q17,[1]命格基础!$A:$C,3,0)</f>
        <v>2</v>
      </c>
    </row>
    <row r="18" spans="8:19" ht="16.5">
      <c r="H18" s="4" t="s">
        <v>148</v>
      </c>
      <c r="K18" s="4" t="s">
        <v>49</v>
      </c>
      <c r="M18">
        <f t="shared" si="0"/>
        <v>2</v>
      </c>
      <c r="N18" t="str">
        <f t="shared" si="1"/>
        <v>10032:1</v>
      </c>
      <c r="O18">
        <f t="shared" si="2"/>
        <v>6</v>
      </c>
      <c r="P18" t="str">
        <f t="shared" si="3"/>
        <v>10032</v>
      </c>
      <c r="Q18" s="5">
        <v>10032</v>
      </c>
      <c r="R18" t="str">
        <f>VLOOKUP(Q18,[1]命格基础!$A:$B,2,0)</f>
        <v>卯兔</v>
      </c>
      <c r="S18">
        <f>VLOOKUP(Q18,[1]命格基础!$A:$C,3,0)</f>
        <v>2</v>
      </c>
    </row>
    <row r="19" spans="8:19" ht="16.5">
      <c r="H19" s="4" t="s">
        <v>149</v>
      </c>
      <c r="K19" s="4" t="s">
        <v>50</v>
      </c>
      <c r="M19">
        <f t="shared" si="0"/>
        <v>2</v>
      </c>
      <c r="N19" t="str">
        <f t="shared" si="1"/>
        <v>10042:1</v>
      </c>
      <c r="O19">
        <f t="shared" si="2"/>
        <v>6</v>
      </c>
      <c r="P19" t="str">
        <f t="shared" si="3"/>
        <v>10042</v>
      </c>
      <c r="Q19" s="5">
        <v>10042</v>
      </c>
      <c r="R19" t="str">
        <f>VLOOKUP(Q19,[1]命格基础!$A:$B,2,0)</f>
        <v>辰龙</v>
      </c>
      <c r="S19">
        <f>VLOOKUP(Q19,[1]命格基础!$A:$C,3,0)</f>
        <v>2</v>
      </c>
    </row>
    <row r="20" spans="8:19" ht="16.5">
      <c r="H20" s="4" t="s">
        <v>150</v>
      </c>
      <c r="K20" s="4" t="s">
        <v>52</v>
      </c>
      <c r="M20">
        <f t="shared" si="0"/>
        <v>2</v>
      </c>
      <c r="N20" t="str">
        <f t="shared" si="1"/>
        <v>10052:1</v>
      </c>
      <c r="O20">
        <f t="shared" si="2"/>
        <v>6</v>
      </c>
      <c r="P20" t="str">
        <f t="shared" si="3"/>
        <v>10052</v>
      </c>
      <c r="Q20" s="5">
        <v>10052</v>
      </c>
      <c r="R20" t="str">
        <f>VLOOKUP(Q20,[1]命格基础!$A:$B,2,0)</f>
        <v>巳蛇</v>
      </c>
      <c r="S20">
        <f>VLOOKUP(Q20,[1]命格基础!$A:$C,3,0)</f>
        <v>2</v>
      </c>
    </row>
    <row r="21" spans="8:19" ht="16.5">
      <c r="H21" s="4" t="s">
        <v>151</v>
      </c>
      <c r="K21" s="4" t="s">
        <v>152</v>
      </c>
      <c r="M21">
        <f t="shared" si="0"/>
        <v>2</v>
      </c>
      <c r="N21" t="str">
        <f t="shared" si="1"/>
        <v>10062:1</v>
      </c>
      <c r="O21">
        <f t="shared" si="2"/>
        <v>6</v>
      </c>
      <c r="P21" t="str">
        <f t="shared" si="3"/>
        <v>10062</v>
      </c>
      <c r="Q21" s="5">
        <v>10062</v>
      </c>
      <c r="R21" t="str">
        <f>VLOOKUP(Q21,[1]命格基础!$A:$B,2,0)</f>
        <v>午马</v>
      </c>
      <c r="S21">
        <f>VLOOKUP(Q21,[1]命格基础!$A:$C,3,0)</f>
        <v>2</v>
      </c>
    </row>
    <row r="22" spans="8:19" ht="16.5">
      <c r="H22" s="4" t="s">
        <v>153</v>
      </c>
      <c r="K22" s="4" t="s">
        <v>54</v>
      </c>
      <c r="M22">
        <f t="shared" si="0"/>
        <v>2</v>
      </c>
      <c r="N22" t="str">
        <f t="shared" si="1"/>
        <v>10072:1</v>
      </c>
      <c r="O22">
        <f t="shared" si="2"/>
        <v>6</v>
      </c>
      <c r="P22" t="str">
        <f t="shared" si="3"/>
        <v>10072</v>
      </c>
      <c r="Q22" s="5">
        <v>10072</v>
      </c>
      <c r="R22" t="str">
        <f>VLOOKUP(Q22,[1]命格基础!$A:$B,2,0)</f>
        <v>未羊</v>
      </c>
      <c r="S22">
        <f>VLOOKUP(Q22,[1]命格基础!$A:$C,3,0)</f>
        <v>2</v>
      </c>
    </row>
    <row r="23" spans="8:19" ht="16.5">
      <c r="H23" s="4" t="s">
        <v>154</v>
      </c>
      <c r="K23" s="4" t="s">
        <v>155</v>
      </c>
      <c r="M23">
        <f t="shared" si="0"/>
        <v>2</v>
      </c>
      <c r="N23" t="str">
        <f t="shared" si="1"/>
        <v>10082:1</v>
      </c>
      <c r="O23">
        <f t="shared" si="2"/>
        <v>6</v>
      </c>
      <c r="P23" t="str">
        <f t="shared" si="3"/>
        <v>10082</v>
      </c>
      <c r="Q23" s="5">
        <v>10082</v>
      </c>
      <c r="R23" t="str">
        <f>VLOOKUP(Q23,[1]命格基础!$A:$B,2,0)</f>
        <v>申猴</v>
      </c>
      <c r="S23">
        <f>VLOOKUP(Q23,[1]命格基础!$A:$C,3,0)</f>
        <v>2</v>
      </c>
    </row>
    <row r="24" spans="8:19" ht="16.5">
      <c r="H24" s="4" t="s">
        <v>156</v>
      </c>
      <c r="K24" s="4" t="s">
        <v>56</v>
      </c>
      <c r="M24">
        <f t="shared" si="0"/>
        <v>2</v>
      </c>
      <c r="N24" t="str">
        <f t="shared" si="1"/>
        <v>10092:1</v>
      </c>
      <c r="O24">
        <f t="shared" si="2"/>
        <v>6</v>
      </c>
      <c r="P24" t="str">
        <f t="shared" si="3"/>
        <v>10092</v>
      </c>
      <c r="Q24" s="5">
        <v>10092</v>
      </c>
      <c r="R24" t="str">
        <f>VLOOKUP(Q24,[1]命格基础!$A:$B,2,0)</f>
        <v>酉鸡</v>
      </c>
      <c r="S24">
        <f>VLOOKUP(Q24,[1]命格基础!$A:$C,3,0)</f>
        <v>2</v>
      </c>
    </row>
    <row r="25" spans="8:19" ht="16.5">
      <c r="H25" s="4" t="s">
        <v>157</v>
      </c>
      <c r="K25" s="4" t="s">
        <v>158</v>
      </c>
      <c r="M25">
        <f t="shared" si="0"/>
        <v>2</v>
      </c>
      <c r="N25" t="str">
        <f t="shared" si="1"/>
        <v>10102:1</v>
      </c>
      <c r="O25">
        <f t="shared" si="2"/>
        <v>6</v>
      </c>
      <c r="P25" t="str">
        <f t="shared" si="3"/>
        <v>10102</v>
      </c>
      <c r="Q25" s="5">
        <v>10102</v>
      </c>
      <c r="R25" t="str">
        <f>VLOOKUP(Q25,[1]命格基础!$A:$B,2,0)</f>
        <v>戌狗</v>
      </c>
      <c r="S25">
        <f>VLOOKUP(Q25,[1]命格基础!$A:$C,3,0)</f>
        <v>2</v>
      </c>
    </row>
    <row r="26" spans="8:19" ht="16.5">
      <c r="H26" s="4" t="s">
        <v>159</v>
      </c>
      <c r="K26" s="4" t="s">
        <v>160</v>
      </c>
      <c r="M26">
        <f t="shared" si="0"/>
        <v>2</v>
      </c>
      <c r="N26" t="str">
        <f t="shared" si="1"/>
        <v>10112:1</v>
      </c>
      <c r="O26">
        <f t="shared" si="2"/>
        <v>6</v>
      </c>
      <c r="P26" t="str">
        <f t="shared" si="3"/>
        <v>10112</v>
      </c>
      <c r="Q26" s="5">
        <v>10112</v>
      </c>
      <c r="R26" t="str">
        <f>VLOOKUP(Q26,[1]命格基础!$A:$B,2,0)</f>
        <v>亥猪</v>
      </c>
      <c r="S26">
        <f>VLOOKUP(Q26,[1]命格基础!$A:$C,3,0)</f>
        <v>2</v>
      </c>
    </row>
    <row r="27" spans="8:19" ht="16.5">
      <c r="H27" s="4" t="s">
        <v>161</v>
      </c>
      <c r="K27" s="4" t="s">
        <v>37</v>
      </c>
      <c r="M27">
        <f t="shared" si="0"/>
        <v>2</v>
      </c>
      <c r="N27" t="str">
        <f t="shared" si="1"/>
        <v>30001:15</v>
      </c>
      <c r="O27">
        <f t="shared" si="2"/>
        <v>6</v>
      </c>
      <c r="P27" t="str">
        <f t="shared" si="3"/>
        <v>30001</v>
      </c>
      <c r="Q27" s="5">
        <v>30001</v>
      </c>
      <c r="R27" t="str">
        <f>VLOOKUP(Q27,[1]命格基础!$A:$B,2,0)</f>
        <v>兽魂经验(小)</v>
      </c>
      <c r="S27">
        <f>VLOOKUP(Q27,[1]命格基础!$A:$C,3,0)</f>
        <v>2</v>
      </c>
    </row>
    <row r="28" spans="8:19" ht="16.5">
      <c r="H28" s="4" t="s">
        <v>162</v>
      </c>
      <c r="K28" s="4" t="s">
        <v>163</v>
      </c>
      <c r="M28">
        <f t="shared" si="0"/>
        <v>2</v>
      </c>
      <c r="N28" t="str">
        <f t="shared" si="1"/>
        <v>30001:14</v>
      </c>
      <c r="O28">
        <f t="shared" si="2"/>
        <v>6</v>
      </c>
      <c r="P28" t="str">
        <f t="shared" si="3"/>
        <v>30001</v>
      </c>
      <c r="Q28" s="5">
        <v>30001</v>
      </c>
      <c r="R28" t="str">
        <f>VLOOKUP(Q28,[1]命格基础!$A:$B,2,0)</f>
        <v>兽魂经验(小)</v>
      </c>
      <c r="S28">
        <f>VLOOKUP(Q28,[1]命格基础!$A:$C,3,0)</f>
        <v>2</v>
      </c>
    </row>
    <row r="29" spans="8:19" ht="16.5">
      <c r="H29" s="4" t="s">
        <v>164</v>
      </c>
      <c r="K29" s="4" t="s">
        <v>165</v>
      </c>
      <c r="M29">
        <f t="shared" si="0"/>
        <v>2</v>
      </c>
      <c r="N29" t="str">
        <f t="shared" si="1"/>
        <v>30001:13</v>
      </c>
      <c r="O29">
        <f t="shared" si="2"/>
        <v>6</v>
      </c>
      <c r="P29" t="str">
        <f t="shared" si="3"/>
        <v>30001</v>
      </c>
      <c r="Q29" s="5">
        <v>30001</v>
      </c>
      <c r="R29" t="str">
        <f>VLOOKUP(Q29,[1]命格基础!$A:$B,2,0)</f>
        <v>兽魂经验(小)</v>
      </c>
      <c r="S29">
        <f>VLOOKUP(Q29,[1]命格基础!$A:$C,3,0)</f>
        <v>2</v>
      </c>
    </row>
    <row r="30" spans="8:19" ht="16.5">
      <c r="H30" s="4" t="s">
        <v>166</v>
      </c>
      <c r="K30" s="4" t="s">
        <v>167</v>
      </c>
      <c r="M30">
        <f t="shared" si="0"/>
        <v>2</v>
      </c>
      <c r="N30" t="str">
        <f t="shared" si="1"/>
        <v>30001:12</v>
      </c>
      <c r="O30">
        <f t="shared" si="2"/>
        <v>6</v>
      </c>
      <c r="P30" t="str">
        <f t="shared" si="3"/>
        <v>30001</v>
      </c>
      <c r="Q30" s="5">
        <v>30001</v>
      </c>
      <c r="R30" t="str">
        <f>VLOOKUP(Q30,[1]命格基础!$A:$B,2,0)</f>
        <v>兽魂经验(小)</v>
      </c>
      <c r="S30">
        <f>VLOOKUP(Q30,[1]命格基础!$A:$C,3,0)</f>
        <v>2</v>
      </c>
    </row>
    <row r="31" spans="8:19" ht="16.5">
      <c r="H31" s="4" t="s">
        <v>168</v>
      </c>
      <c r="K31" s="4" t="s">
        <v>169</v>
      </c>
      <c r="M31">
        <f t="shared" si="0"/>
        <v>2</v>
      </c>
      <c r="N31" t="str">
        <f t="shared" si="1"/>
        <v>30001:11</v>
      </c>
      <c r="O31">
        <f t="shared" si="2"/>
        <v>6</v>
      </c>
      <c r="P31" t="str">
        <f t="shared" si="3"/>
        <v>30001</v>
      </c>
      <c r="Q31" s="5">
        <v>30001</v>
      </c>
      <c r="R31" t="str">
        <f>VLOOKUP(Q31,[1]命格基础!$A:$B,2,0)</f>
        <v>兽魂经验(小)</v>
      </c>
      <c r="S31">
        <f>VLOOKUP(Q31,[1]命格基础!$A:$C,3,0)</f>
        <v>2</v>
      </c>
    </row>
    <row r="32" spans="8:19" ht="16.5">
      <c r="H32" s="4" t="s">
        <v>170</v>
      </c>
      <c r="K32" s="4" t="s">
        <v>36</v>
      </c>
      <c r="M32">
        <f t="shared" si="0"/>
        <v>2</v>
      </c>
      <c r="N32" t="str">
        <f t="shared" si="1"/>
        <v>30001:10</v>
      </c>
      <c r="O32">
        <f t="shared" si="2"/>
        <v>6</v>
      </c>
      <c r="P32" t="str">
        <f t="shared" si="3"/>
        <v>30001</v>
      </c>
      <c r="Q32" s="5">
        <v>30001</v>
      </c>
      <c r="R32" t="str">
        <f>VLOOKUP(Q32,[1]命格基础!$A:$B,2,0)</f>
        <v>兽魂经验(小)</v>
      </c>
      <c r="S32">
        <f>VLOOKUP(Q32,[1]命格基础!$A:$C,3,0)</f>
        <v>2</v>
      </c>
    </row>
    <row r="33" spans="8:19" ht="16.5">
      <c r="H33" s="4" t="s">
        <v>171</v>
      </c>
      <c r="K33" s="4" t="s">
        <v>95</v>
      </c>
      <c r="M33">
        <f t="shared" si="0"/>
        <v>2</v>
      </c>
      <c r="N33" t="str">
        <f t="shared" si="1"/>
        <v>30002:1</v>
      </c>
      <c r="O33">
        <f t="shared" si="2"/>
        <v>6</v>
      </c>
      <c r="P33" t="str">
        <f t="shared" si="3"/>
        <v>30002</v>
      </c>
      <c r="Q33" s="5">
        <v>30002</v>
      </c>
      <c r="R33" t="str">
        <f>VLOOKUP(Q33,[1]命格基础!$A:$B,2,0)</f>
        <v>兽魂经验(大)</v>
      </c>
      <c r="S33">
        <f>VLOOKUP(Q33,[1]命格基础!$A:$C,3,0)</f>
        <v>4</v>
      </c>
    </row>
    <row r="34" spans="8:19" ht="16.5">
      <c r="H34" s="4" t="s">
        <v>172</v>
      </c>
      <c r="K34" s="4" t="s">
        <v>39</v>
      </c>
      <c r="M34">
        <f t="shared" si="0"/>
        <v>2</v>
      </c>
      <c r="N34" t="str">
        <f t="shared" si="1"/>
        <v>100031:10</v>
      </c>
      <c r="O34">
        <f t="shared" si="2"/>
        <v>7</v>
      </c>
      <c r="P34" t="str">
        <f t="shared" si="3"/>
        <v>100031</v>
      </c>
      <c r="Q34" s="5">
        <v>100031</v>
      </c>
      <c r="R34" t="e">
        <f>VLOOKUP(Q34,[1]命格基础!$A:$B,2,0)</f>
        <v>#N/A</v>
      </c>
      <c r="S34" t="e">
        <f>VLOOKUP(Q34,[1]命格基础!$A:$C,3,0)</f>
        <v>#N/A</v>
      </c>
    </row>
    <row r="35" spans="8:19" ht="16.5">
      <c r="H35" s="4" t="s">
        <v>173</v>
      </c>
      <c r="K35" s="4" t="s">
        <v>174</v>
      </c>
      <c r="M35">
        <f t="shared" si="0"/>
        <v>2</v>
      </c>
      <c r="N35" t="str">
        <f t="shared" si="1"/>
        <v>100031:8</v>
      </c>
      <c r="O35">
        <f t="shared" si="2"/>
        <v>7</v>
      </c>
      <c r="P35" t="str">
        <f t="shared" si="3"/>
        <v>100031</v>
      </c>
      <c r="Q35" s="5">
        <v>100031</v>
      </c>
      <c r="R35" t="e">
        <f>VLOOKUP(Q35,[1]命格基础!$A:$B,2,0)</f>
        <v>#N/A</v>
      </c>
      <c r="S35" t="e">
        <f>VLOOKUP(Q35,[1]命格基础!$A:$C,3,0)</f>
        <v>#N/A</v>
      </c>
    </row>
    <row r="36" spans="8:19" ht="16.5">
      <c r="H36" s="4" t="s">
        <v>175</v>
      </c>
      <c r="K36" s="4" t="s">
        <v>41</v>
      </c>
      <c r="M36">
        <f t="shared" si="0"/>
        <v>2</v>
      </c>
      <c r="N36" t="str">
        <f t="shared" si="1"/>
        <v>100031:5</v>
      </c>
      <c r="O36">
        <f t="shared" si="2"/>
        <v>7</v>
      </c>
      <c r="P36" t="str">
        <f t="shared" si="3"/>
        <v>100031</v>
      </c>
      <c r="Q36" s="5">
        <v>100031</v>
      </c>
      <c r="R36" t="e">
        <f>VLOOKUP(Q36,[1]命格基础!$A:$B,2,0)</f>
        <v>#N/A</v>
      </c>
      <c r="S36" t="e">
        <f>VLOOKUP(Q36,[1]命格基础!$A:$C,3,0)</f>
        <v>#N/A</v>
      </c>
    </row>
    <row r="37" spans="8:19" ht="16.5">
      <c r="H37" s="4" t="s">
        <v>176</v>
      </c>
      <c r="K37" s="4" t="s">
        <v>177</v>
      </c>
      <c r="M37">
        <f t="shared" si="0"/>
        <v>2</v>
      </c>
      <c r="N37" t="str">
        <f t="shared" si="1"/>
        <v>100031:4</v>
      </c>
      <c r="O37">
        <f t="shared" si="2"/>
        <v>7</v>
      </c>
      <c r="P37" t="str">
        <f t="shared" si="3"/>
        <v>100031</v>
      </c>
      <c r="Q37" s="5">
        <v>100031</v>
      </c>
      <c r="R37" t="e">
        <f>VLOOKUP(Q37,[1]命格基础!$A:$B,2,0)</f>
        <v>#N/A</v>
      </c>
      <c r="S37" t="e">
        <f>VLOOKUP(Q37,[1]命格基础!$A:$C,3,0)</f>
        <v>#N/A</v>
      </c>
    </row>
    <row r="38" spans="8:19" ht="16.5">
      <c r="H38" s="4" t="s">
        <v>124</v>
      </c>
      <c r="K38" s="4" t="s">
        <v>20</v>
      </c>
      <c r="M38">
        <f t="shared" si="0"/>
        <v>2</v>
      </c>
      <c r="N38" t="str">
        <f t="shared" si="1"/>
        <v>100054:1</v>
      </c>
      <c r="O38">
        <f t="shared" si="2"/>
        <v>7</v>
      </c>
      <c r="P38" t="str">
        <f t="shared" si="3"/>
        <v>100054</v>
      </c>
      <c r="Q38" s="5">
        <v>100054</v>
      </c>
      <c r="R38" t="e">
        <f>VLOOKUP(Q38,[1]命格基础!$A:$B,2,0)</f>
        <v>#N/A</v>
      </c>
      <c r="S38" t="e">
        <f>VLOOKUP(Q38,[1]命格基础!$A:$C,3,0)</f>
        <v>#N/A</v>
      </c>
    </row>
    <row r="39" spans="8:19" ht="16.5">
      <c r="H39" s="4" t="s">
        <v>178</v>
      </c>
      <c r="K39" s="4" t="s">
        <v>22</v>
      </c>
      <c r="M39">
        <f t="shared" si="0"/>
        <v>2</v>
      </c>
      <c r="N39" t="str">
        <f t="shared" si="1"/>
        <v>100055:1</v>
      </c>
      <c r="O39">
        <f t="shared" si="2"/>
        <v>7</v>
      </c>
      <c r="P39" t="str">
        <f t="shared" si="3"/>
        <v>100055</v>
      </c>
      <c r="Q39" s="5">
        <v>100055</v>
      </c>
      <c r="R39" t="e">
        <f>VLOOKUP(Q39,[1]命格基础!$A:$B,2,0)</f>
        <v>#N/A</v>
      </c>
      <c r="S39" t="e">
        <f>VLOOKUP(Q39,[1]命格基础!$A:$C,3,0)</f>
        <v>#N/A</v>
      </c>
    </row>
    <row r="40" spans="8:19" ht="16.5">
      <c r="H40" s="4" t="s">
        <v>125</v>
      </c>
      <c r="K40" s="4" t="s">
        <v>26</v>
      </c>
      <c r="M40">
        <f t="shared" si="0"/>
        <v>2</v>
      </c>
      <c r="N40" t="str">
        <f t="shared" si="1"/>
        <v>10001:1</v>
      </c>
      <c r="O40">
        <f t="shared" si="2"/>
        <v>6</v>
      </c>
      <c r="P40" t="str">
        <f t="shared" si="3"/>
        <v>10001</v>
      </c>
      <c r="Q40" s="5">
        <v>10001</v>
      </c>
      <c r="R40" t="str">
        <f>VLOOKUP(Q40,[1]命格基础!$A:$B,2,0)</f>
        <v>子鼠</v>
      </c>
      <c r="S40">
        <f>VLOOKUP(Q40,[1]命格基础!$A:$C,3,0)</f>
        <v>1</v>
      </c>
    </row>
    <row r="41" spans="8:19" ht="16.5">
      <c r="H41" s="4" t="s">
        <v>126</v>
      </c>
      <c r="K41" s="4" t="s">
        <v>28</v>
      </c>
      <c r="M41">
        <f t="shared" si="0"/>
        <v>2</v>
      </c>
      <c r="N41" t="str">
        <f t="shared" si="1"/>
        <v>10011:1</v>
      </c>
      <c r="O41">
        <f t="shared" si="2"/>
        <v>6</v>
      </c>
      <c r="P41" t="str">
        <f t="shared" si="3"/>
        <v>10011</v>
      </c>
      <c r="Q41" s="5">
        <v>10011</v>
      </c>
      <c r="R41" t="str">
        <f>VLOOKUP(Q41,[1]命格基础!$A:$B,2,0)</f>
        <v>丑牛</v>
      </c>
      <c r="S41">
        <f>VLOOKUP(Q41,[1]命格基础!$A:$C,3,0)</f>
        <v>1</v>
      </c>
    </row>
    <row r="42" spans="8:19" ht="16.5">
      <c r="H42" s="4" t="s">
        <v>127</v>
      </c>
      <c r="K42" s="4" t="s">
        <v>30</v>
      </c>
      <c r="M42">
        <f t="shared" si="0"/>
        <v>2</v>
      </c>
      <c r="N42" t="str">
        <f t="shared" si="1"/>
        <v>10021:1</v>
      </c>
      <c r="O42">
        <f t="shared" si="2"/>
        <v>6</v>
      </c>
      <c r="P42" t="str">
        <f t="shared" si="3"/>
        <v>10021</v>
      </c>
      <c r="Q42" s="5">
        <v>10021</v>
      </c>
      <c r="R42" t="str">
        <f>VLOOKUP(Q42,[1]命格基础!$A:$B,2,0)</f>
        <v>寅虎</v>
      </c>
      <c r="S42">
        <f>VLOOKUP(Q42,[1]命格基础!$A:$C,3,0)</f>
        <v>1</v>
      </c>
    </row>
    <row r="43" spans="8:19" ht="16.5">
      <c r="H43" s="4" t="s">
        <v>128</v>
      </c>
      <c r="K43" s="4" t="s">
        <v>32</v>
      </c>
      <c r="M43">
        <f t="shared" si="0"/>
        <v>2</v>
      </c>
      <c r="N43" t="str">
        <f t="shared" si="1"/>
        <v>10031:1</v>
      </c>
      <c r="O43">
        <f t="shared" si="2"/>
        <v>6</v>
      </c>
      <c r="P43" t="str">
        <f t="shared" si="3"/>
        <v>10031</v>
      </c>
      <c r="Q43" s="5">
        <v>10031</v>
      </c>
      <c r="R43" t="str">
        <f>VLOOKUP(Q43,[1]命格基础!$A:$B,2,0)</f>
        <v>卯兔</v>
      </c>
      <c r="S43">
        <f>VLOOKUP(Q43,[1]命格基础!$A:$C,3,0)</f>
        <v>1</v>
      </c>
    </row>
    <row r="44" spans="8:19" ht="16.5">
      <c r="H44" s="4" t="s">
        <v>129</v>
      </c>
      <c r="K44" s="4" t="s">
        <v>130</v>
      </c>
      <c r="M44">
        <f t="shared" si="0"/>
        <v>2</v>
      </c>
      <c r="N44" t="str">
        <f t="shared" si="1"/>
        <v>10041:1</v>
      </c>
      <c r="O44">
        <f t="shared" si="2"/>
        <v>6</v>
      </c>
      <c r="P44" t="str">
        <f t="shared" si="3"/>
        <v>10041</v>
      </c>
      <c r="Q44" s="5">
        <v>10041</v>
      </c>
      <c r="R44" t="str">
        <f>VLOOKUP(Q44,[1]命格基础!$A:$B,2,0)</f>
        <v>辰龙</v>
      </c>
      <c r="S44">
        <f>VLOOKUP(Q44,[1]命格基础!$A:$C,3,0)</f>
        <v>1</v>
      </c>
    </row>
    <row r="45" spans="8:19" ht="16.5">
      <c r="H45" s="4" t="s">
        <v>131</v>
      </c>
      <c r="K45" s="4" t="s">
        <v>132</v>
      </c>
      <c r="M45">
        <f t="shared" si="0"/>
        <v>2</v>
      </c>
      <c r="N45" t="str">
        <f t="shared" si="1"/>
        <v>10051:1</v>
      </c>
      <c r="O45">
        <f t="shared" si="2"/>
        <v>6</v>
      </c>
      <c r="P45" t="str">
        <f t="shared" si="3"/>
        <v>10051</v>
      </c>
      <c r="Q45" s="5">
        <v>10051</v>
      </c>
      <c r="R45" t="str">
        <f>VLOOKUP(Q45,[1]命格基础!$A:$B,2,0)</f>
        <v>巳蛇</v>
      </c>
      <c r="S45">
        <f>VLOOKUP(Q45,[1]命格基础!$A:$C,3,0)</f>
        <v>1</v>
      </c>
    </row>
    <row r="46" spans="8:19" ht="16.5">
      <c r="H46" s="4" t="s">
        <v>133</v>
      </c>
      <c r="K46" s="4" t="s">
        <v>134</v>
      </c>
      <c r="M46">
        <f t="shared" si="0"/>
        <v>2</v>
      </c>
      <c r="N46" t="str">
        <f t="shared" si="1"/>
        <v>10061:1</v>
      </c>
      <c r="O46">
        <f t="shared" si="2"/>
        <v>6</v>
      </c>
      <c r="P46" t="str">
        <f t="shared" si="3"/>
        <v>10061</v>
      </c>
      <c r="Q46" s="5">
        <v>10061</v>
      </c>
      <c r="R46" t="str">
        <f>VLOOKUP(Q46,[1]命格基础!$A:$B,2,0)</f>
        <v>午马</v>
      </c>
      <c r="S46">
        <f>VLOOKUP(Q46,[1]命格基础!$A:$C,3,0)</f>
        <v>1</v>
      </c>
    </row>
    <row r="47" spans="8:19" ht="16.5">
      <c r="H47" s="4" t="s">
        <v>135</v>
      </c>
      <c r="K47" s="4" t="s">
        <v>136</v>
      </c>
      <c r="M47">
        <f t="shared" si="0"/>
        <v>2</v>
      </c>
      <c r="N47" t="str">
        <f t="shared" si="1"/>
        <v>10071:1</v>
      </c>
      <c r="O47">
        <f t="shared" si="2"/>
        <v>6</v>
      </c>
      <c r="P47" t="str">
        <f t="shared" si="3"/>
        <v>10071</v>
      </c>
      <c r="Q47" s="5">
        <v>10071</v>
      </c>
      <c r="R47" t="str">
        <f>VLOOKUP(Q47,[1]命格基础!$A:$B,2,0)</f>
        <v>未羊</v>
      </c>
      <c r="S47">
        <f>VLOOKUP(Q47,[1]命格基础!$A:$C,3,0)</f>
        <v>1</v>
      </c>
    </row>
    <row r="48" spans="8:19" ht="16.5">
      <c r="H48" s="4" t="s">
        <v>137</v>
      </c>
      <c r="K48" s="4" t="s">
        <v>138</v>
      </c>
      <c r="M48">
        <f t="shared" si="0"/>
        <v>2</v>
      </c>
      <c r="N48" t="str">
        <f t="shared" si="1"/>
        <v>10081:1</v>
      </c>
      <c r="O48">
        <f t="shared" si="2"/>
        <v>6</v>
      </c>
      <c r="P48" t="str">
        <f t="shared" si="3"/>
        <v>10081</v>
      </c>
      <c r="Q48" s="5">
        <v>10081</v>
      </c>
      <c r="R48" t="str">
        <f>VLOOKUP(Q48,[1]命格基础!$A:$B,2,0)</f>
        <v>申猴</v>
      </c>
      <c r="S48">
        <f>VLOOKUP(Q48,[1]命格基础!$A:$C,3,0)</f>
        <v>1</v>
      </c>
    </row>
    <row r="49" spans="8:19" ht="16.5">
      <c r="H49" s="4" t="s">
        <v>139</v>
      </c>
      <c r="K49" s="4" t="s">
        <v>140</v>
      </c>
      <c r="M49">
        <f t="shared" si="0"/>
        <v>2</v>
      </c>
      <c r="N49" t="str">
        <f t="shared" si="1"/>
        <v>10091:1</v>
      </c>
      <c r="O49">
        <f t="shared" si="2"/>
        <v>6</v>
      </c>
      <c r="P49" t="str">
        <f t="shared" si="3"/>
        <v>10091</v>
      </c>
      <c r="Q49" s="5">
        <v>10091</v>
      </c>
      <c r="R49" t="str">
        <f>VLOOKUP(Q49,[1]命格基础!$A:$B,2,0)</f>
        <v>酉鸡</v>
      </c>
      <c r="S49">
        <f>VLOOKUP(Q49,[1]命格基础!$A:$C,3,0)</f>
        <v>1</v>
      </c>
    </row>
    <row r="50" spans="8:19" ht="16.5">
      <c r="H50" s="4" t="s">
        <v>141</v>
      </c>
      <c r="K50" s="4" t="s">
        <v>142</v>
      </c>
      <c r="M50">
        <f t="shared" si="0"/>
        <v>2</v>
      </c>
      <c r="N50" t="str">
        <f t="shared" si="1"/>
        <v>10101:1</v>
      </c>
      <c r="O50">
        <f t="shared" si="2"/>
        <v>6</v>
      </c>
      <c r="P50" t="str">
        <f t="shared" si="3"/>
        <v>10101</v>
      </c>
      <c r="Q50" s="5">
        <v>10101</v>
      </c>
      <c r="R50" t="str">
        <f>VLOOKUP(Q50,[1]命格基础!$A:$B,2,0)</f>
        <v>戌狗</v>
      </c>
      <c r="S50">
        <f>VLOOKUP(Q50,[1]命格基础!$A:$C,3,0)</f>
        <v>1</v>
      </c>
    </row>
    <row r="51" spans="8:19" ht="16.5">
      <c r="H51" s="4" t="s">
        <v>143</v>
      </c>
      <c r="K51" s="4" t="s">
        <v>144</v>
      </c>
      <c r="M51">
        <f t="shared" si="0"/>
        <v>2</v>
      </c>
      <c r="N51" t="str">
        <f t="shared" si="1"/>
        <v>10111:1</v>
      </c>
      <c r="O51">
        <f t="shared" si="2"/>
        <v>6</v>
      </c>
      <c r="P51" t="str">
        <f t="shared" si="3"/>
        <v>10111</v>
      </c>
      <c r="Q51" s="5">
        <v>10111</v>
      </c>
      <c r="R51" t="str">
        <f>VLOOKUP(Q51,[1]命格基础!$A:$B,2,0)</f>
        <v>亥猪</v>
      </c>
      <c r="S51">
        <f>VLOOKUP(Q51,[1]命格基础!$A:$C,3,0)</f>
        <v>1</v>
      </c>
    </row>
    <row r="52" spans="8:19" ht="16.5">
      <c r="H52" s="4" t="s">
        <v>145</v>
      </c>
      <c r="K52" s="4" t="s">
        <v>46</v>
      </c>
      <c r="M52">
        <f t="shared" si="0"/>
        <v>2</v>
      </c>
      <c r="N52" t="str">
        <f t="shared" si="1"/>
        <v>10002:1</v>
      </c>
      <c r="O52">
        <f t="shared" si="2"/>
        <v>6</v>
      </c>
      <c r="P52" t="str">
        <f t="shared" si="3"/>
        <v>10002</v>
      </c>
      <c r="Q52" s="5">
        <v>10002</v>
      </c>
      <c r="R52" t="str">
        <f>VLOOKUP(Q52,[1]命格基础!$A:$B,2,0)</f>
        <v>子鼠</v>
      </c>
      <c r="S52">
        <f>VLOOKUP(Q52,[1]命格基础!$A:$C,3,0)</f>
        <v>2</v>
      </c>
    </row>
    <row r="53" spans="8:19" ht="16.5">
      <c r="H53" s="4" t="s">
        <v>146</v>
      </c>
      <c r="K53" s="4" t="s">
        <v>47</v>
      </c>
      <c r="M53">
        <f t="shared" si="0"/>
        <v>2</v>
      </c>
      <c r="N53" t="str">
        <f t="shared" si="1"/>
        <v>10012:1</v>
      </c>
      <c r="O53">
        <f t="shared" si="2"/>
        <v>6</v>
      </c>
      <c r="P53" t="str">
        <f t="shared" si="3"/>
        <v>10012</v>
      </c>
      <c r="Q53" s="5">
        <v>10012</v>
      </c>
      <c r="R53" t="str">
        <f>VLOOKUP(Q53,[1]命格基础!$A:$B,2,0)</f>
        <v>丑牛</v>
      </c>
      <c r="S53">
        <f>VLOOKUP(Q53,[1]命格基础!$A:$C,3,0)</f>
        <v>2</v>
      </c>
    </row>
    <row r="54" spans="8:19" ht="16.5">
      <c r="H54" s="4" t="s">
        <v>147</v>
      </c>
      <c r="K54" s="4" t="s">
        <v>48</v>
      </c>
      <c r="M54">
        <f t="shared" si="0"/>
        <v>2</v>
      </c>
      <c r="N54" t="str">
        <f t="shared" si="1"/>
        <v>10022:1</v>
      </c>
      <c r="O54">
        <f t="shared" si="2"/>
        <v>6</v>
      </c>
      <c r="P54" t="str">
        <f t="shared" si="3"/>
        <v>10022</v>
      </c>
      <c r="Q54" s="5">
        <v>10022</v>
      </c>
      <c r="R54" t="str">
        <f>VLOOKUP(Q54,[1]命格基础!$A:$B,2,0)</f>
        <v>寅虎</v>
      </c>
      <c r="S54">
        <f>VLOOKUP(Q54,[1]命格基础!$A:$C,3,0)</f>
        <v>2</v>
      </c>
    </row>
    <row r="55" spans="8:19" ht="16.5">
      <c r="H55" s="4" t="s">
        <v>148</v>
      </c>
      <c r="K55" s="4" t="s">
        <v>49</v>
      </c>
      <c r="M55">
        <f t="shared" si="0"/>
        <v>2</v>
      </c>
      <c r="N55" t="str">
        <f t="shared" si="1"/>
        <v>10032:1</v>
      </c>
      <c r="O55">
        <f t="shared" si="2"/>
        <v>6</v>
      </c>
      <c r="P55" t="str">
        <f t="shared" si="3"/>
        <v>10032</v>
      </c>
      <c r="Q55" s="5">
        <v>10032</v>
      </c>
      <c r="R55" t="str">
        <f>VLOOKUP(Q55,[1]命格基础!$A:$B,2,0)</f>
        <v>卯兔</v>
      </c>
      <c r="S55">
        <f>VLOOKUP(Q55,[1]命格基础!$A:$C,3,0)</f>
        <v>2</v>
      </c>
    </row>
    <row r="56" spans="8:19" ht="16.5">
      <c r="H56" s="4" t="s">
        <v>149</v>
      </c>
      <c r="K56" s="4" t="s">
        <v>50</v>
      </c>
      <c r="M56">
        <f t="shared" si="0"/>
        <v>2</v>
      </c>
      <c r="N56" t="str">
        <f t="shared" si="1"/>
        <v>10042:1</v>
      </c>
      <c r="O56">
        <f t="shared" si="2"/>
        <v>6</v>
      </c>
      <c r="P56" t="str">
        <f t="shared" si="3"/>
        <v>10042</v>
      </c>
      <c r="Q56" s="5">
        <v>10042</v>
      </c>
      <c r="R56" t="str">
        <f>VLOOKUP(Q56,[1]命格基础!$A:$B,2,0)</f>
        <v>辰龙</v>
      </c>
      <c r="S56">
        <f>VLOOKUP(Q56,[1]命格基础!$A:$C,3,0)</f>
        <v>2</v>
      </c>
    </row>
    <row r="57" spans="8:19" ht="16.5">
      <c r="H57" s="4" t="s">
        <v>150</v>
      </c>
      <c r="K57" s="4" t="s">
        <v>52</v>
      </c>
      <c r="M57">
        <f t="shared" si="0"/>
        <v>2</v>
      </c>
      <c r="N57" t="str">
        <f t="shared" si="1"/>
        <v>10052:1</v>
      </c>
      <c r="O57">
        <f t="shared" si="2"/>
        <v>6</v>
      </c>
      <c r="P57" t="str">
        <f t="shared" si="3"/>
        <v>10052</v>
      </c>
      <c r="Q57" s="5">
        <v>10052</v>
      </c>
      <c r="R57" t="str">
        <f>VLOOKUP(Q57,[1]命格基础!$A:$B,2,0)</f>
        <v>巳蛇</v>
      </c>
      <c r="S57">
        <f>VLOOKUP(Q57,[1]命格基础!$A:$C,3,0)</f>
        <v>2</v>
      </c>
    </row>
    <row r="58" spans="8:19" ht="16.5">
      <c r="H58" s="4" t="s">
        <v>151</v>
      </c>
      <c r="K58" s="4" t="s">
        <v>152</v>
      </c>
      <c r="M58">
        <f t="shared" si="0"/>
        <v>2</v>
      </c>
      <c r="N58" t="str">
        <f t="shared" si="1"/>
        <v>10062:1</v>
      </c>
      <c r="O58">
        <f t="shared" si="2"/>
        <v>6</v>
      </c>
      <c r="P58" t="str">
        <f t="shared" si="3"/>
        <v>10062</v>
      </c>
      <c r="Q58" s="5">
        <v>10062</v>
      </c>
      <c r="R58" t="str">
        <f>VLOOKUP(Q58,[1]命格基础!$A:$B,2,0)</f>
        <v>午马</v>
      </c>
      <c r="S58">
        <f>VLOOKUP(Q58,[1]命格基础!$A:$C,3,0)</f>
        <v>2</v>
      </c>
    </row>
    <row r="59" spans="8:19" ht="16.5">
      <c r="H59" s="4" t="s">
        <v>153</v>
      </c>
      <c r="K59" s="4" t="s">
        <v>54</v>
      </c>
      <c r="M59">
        <f t="shared" si="0"/>
        <v>2</v>
      </c>
      <c r="N59" t="str">
        <f t="shared" si="1"/>
        <v>10072:1</v>
      </c>
      <c r="O59">
        <f t="shared" si="2"/>
        <v>6</v>
      </c>
      <c r="P59" t="str">
        <f t="shared" si="3"/>
        <v>10072</v>
      </c>
      <c r="Q59" s="5">
        <v>10072</v>
      </c>
      <c r="R59" t="str">
        <f>VLOOKUP(Q59,[1]命格基础!$A:$B,2,0)</f>
        <v>未羊</v>
      </c>
      <c r="S59">
        <f>VLOOKUP(Q59,[1]命格基础!$A:$C,3,0)</f>
        <v>2</v>
      </c>
    </row>
    <row r="60" spans="8:19" ht="16.5">
      <c r="H60" s="4" t="s">
        <v>154</v>
      </c>
      <c r="K60" s="4" t="s">
        <v>155</v>
      </c>
      <c r="M60">
        <f t="shared" si="0"/>
        <v>2</v>
      </c>
      <c r="N60" t="str">
        <f t="shared" si="1"/>
        <v>10082:1</v>
      </c>
      <c r="O60">
        <f t="shared" si="2"/>
        <v>6</v>
      </c>
      <c r="P60" t="str">
        <f t="shared" si="3"/>
        <v>10082</v>
      </c>
      <c r="Q60" s="5">
        <v>10082</v>
      </c>
      <c r="R60" t="str">
        <f>VLOOKUP(Q60,[1]命格基础!$A:$B,2,0)</f>
        <v>申猴</v>
      </c>
      <c r="S60">
        <f>VLOOKUP(Q60,[1]命格基础!$A:$C,3,0)</f>
        <v>2</v>
      </c>
    </row>
    <row r="61" spans="8:19" ht="16.5">
      <c r="H61" s="4" t="s">
        <v>156</v>
      </c>
      <c r="K61" s="4" t="s">
        <v>56</v>
      </c>
      <c r="M61">
        <f t="shared" si="0"/>
        <v>2</v>
      </c>
      <c r="N61" t="str">
        <f t="shared" si="1"/>
        <v>10092:1</v>
      </c>
      <c r="O61">
        <f t="shared" si="2"/>
        <v>6</v>
      </c>
      <c r="P61" t="str">
        <f t="shared" si="3"/>
        <v>10092</v>
      </c>
      <c r="Q61" s="5">
        <v>10092</v>
      </c>
      <c r="R61" t="str">
        <f>VLOOKUP(Q61,[1]命格基础!$A:$B,2,0)</f>
        <v>酉鸡</v>
      </c>
      <c r="S61">
        <f>VLOOKUP(Q61,[1]命格基础!$A:$C,3,0)</f>
        <v>2</v>
      </c>
    </row>
    <row r="62" spans="8:19" ht="16.5">
      <c r="H62" s="4" t="s">
        <v>157</v>
      </c>
      <c r="K62" s="4" t="s">
        <v>158</v>
      </c>
      <c r="M62">
        <f t="shared" si="0"/>
        <v>2</v>
      </c>
      <c r="N62" t="str">
        <f t="shared" si="1"/>
        <v>10102:1</v>
      </c>
      <c r="O62">
        <f t="shared" si="2"/>
        <v>6</v>
      </c>
      <c r="P62" t="str">
        <f t="shared" si="3"/>
        <v>10102</v>
      </c>
      <c r="Q62" s="5">
        <v>10102</v>
      </c>
      <c r="R62" t="str">
        <f>VLOOKUP(Q62,[1]命格基础!$A:$B,2,0)</f>
        <v>戌狗</v>
      </c>
      <c r="S62">
        <f>VLOOKUP(Q62,[1]命格基础!$A:$C,3,0)</f>
        <v>2</v>
      </c>
    </row>
    <row r="63" spans="8:19" ht="16.5">
      <c r="H63" s="4" t="s">
        <v>159</v>
      </c>
      <c r="K63" s="4" t="s">
        <v>160</v>
      </c>
      <c r="M63">
        <f t="shared" si="0"/>
        <v>2</v>
      </c>
      <c r="N63" t="str">
        <f t="shared" si="1"/>
        <v>10112:1</v>
      </c>
      <c r="O63">
        <f t="shared" si="2"/>
        <v>6</v>
      </c>
      <c r="P63" t="str">
        <f t="shared" si="3"/>
        <v>10112</v>
      </c>
      <c r="Q63" s="5">
        <v>10112</v>
      </c>
      <c r="R63" t="str">
        <f>VLOOKUP(Q63,[1]命格基础!$A:$B,2,0)</f>
        <v>亥猪</v>
      </c>
      <c r="S63">
        <f>VLOOKUP(Q63,[1]命格基础!$A:$C,3,0)</f>
        <v>2</v>
      </c>
    </row>
    <row r="64" spans="8:19" ht="16.5">
      <c r="H64" s="4" t="s">
        <v>179</v>
      </c>
      <c r="K64" s="4" t="s">
        <v>38</v>
      </c>
      <c r="M64">
        <f t="shared" si="0"/>
        <v>2</v>
      </c>
      <c r="N64" t="str">
        <f t="shared" si="1"/>
        <v>30001:20</v>
      </c>
      <c r="O64">
        <f t="shared" si="2"/>
        <v>6</v>
      </c>
      <c r="P64" t="str">
        <f t="shared" si="3"/>
        <v>30001</v>
      </c>
      <c r="Q64" s="5">
        <v>30001</v>
      </c>
      <c r="R64" t="str">
        <f>VLOOKUP(Q64,[1]命格基础!$A:$B,2,0)</f>
        <v>兽魂经验(小)</v>
      </c>
      <c r="S64">
        <f>VLOOKUP(Q64,[1]命格基础!$A:$C,3,0)</f>
        <v>2</v>
      </c>
    </row>
    <row r="65" spans="8:19" ht="16.5">
      <c r="H65" s="4" t="s">
        <v>180</v>
      </c>
      <c r="K65" s="4" t="s">
        <v>181</v>
      </c>
      <c r="M65">
        <f t="shared" si="0"/>
        <v>2</v>
      </c>
      <c r="N65" t="str">
        <f t="shared" si="1"/>
        <v>30001:19</v>
      </c>
      <c r="O65">
        <f t="shared" si="2"/>
        <v>6</v>
      </c>
      <c r="P65" t="str">
        <f t="shared" si="3"/>
        <v>30001</v>
      </c>
      <c r="Q65" s="5">
        <v>30001</v>
      </c>
      <c r="R65" t="str">
        <f>VLOOKUP(Q65,[1]命格基础!$A:$B,2,0)</f>
        <v>兽魂经验(小)</v>
      </c>
      <c r="S65">
        <f>VLOOKUP(Q65,[1]命格基础!$A:$C,3,0)</f>
        <v>2</v>
      </c>
    </row>
    <row r="66" spans="8:19" ht="16.5">
      <c r="H66" s="4" t="s">
        <v>182</v>
      </c>
      <c r="K66" s="4" t="s">
        <v>183</v>
      </c>
      <c r="M66">
        <f t="shared" ref="M66:M129" si="4">FIND(":",K66,1)</f>
        <v>2</v>
      </c>
      <c r="N66" t="str">
        <f t="shared" ref="N66:N129" si="5">RIGHT(K66,LEN(K66)-M66)</f>
        <v>30001:18</v>
      </c>
      <c r="O66">
        <f t="shared" ref="O66:O129" si="6">FIND(":",N66,1)</f>
        <v>6</v>
      </c>
      <c r="P66" t="str">
        <f t="shared" ref="P66:P129" si="7">LEFT(N66,O66-1)</f>
        <v>30001</v>
      </c>
      <c r="Q66" s="5">
        <v>30001</v>
      </c>
      <c r="R66" t="str">
        <f>VLOOKUP(Q66,[1]命格基础!$A:$B,2,0)</f>
        <v>兽魂经验(小)</v>
      </c>
      <c r="S66">
        <f>VLOOKUP(Q66,[1]命格基础!$A:$C,3,0)</f>
        <v>2</v>
      </c>
    </row>
    <row r="67" spans="8:19" ht="16.5">
      <c r="H67" s="4" t="s">
        <v>184</v>
      </c>
      <c r="K67" s="4" t="s">
        <v>185</v>
      </c>
      <c r="M67">
        <f t="shared" si="4"/>
        <v>2</v>
      </c>
      <c r="N67" t="str">
        <f t="shared" si="5"/>
        <v>30001:17</v>
      </c>
      <c r="O67">
        <f t="shared" si="6"/>
        <v>6</v>
      </c>
      <c r="P67" t="str">
        <f t="shared" si="7"/>
        <v>30001</v>
      </c>
      <c r="Q67" s="5">
        <v>30001</v>
      </c>
      <c r="R67" t="str">
        <f>VLOOKUP(Q67,[1]命格基础!$A:$B,2,0)</f>
        <v>兽魂经验(小)</v>
      </c>
      <c r="S67">
        <f>VLOOKUP(Q67,[1]命格基础!$A:$C,3,0)</f>
        <v>2</v>
      </c>
    </row>
    <row r="68" spans="8:19" ht="16.5">
      <c r="H68" s="4" t="s">
        <v>186</v>
      </c>
      <c r="K68" s="4" t="s">
        <v>187</v>
      </c>
      <c r="M68">
        <f t="shared" si="4"/>
        <v>2</v>
      </c>
      <c r="N68" t="str">
        <f t="shared" si="5"/>
        <v>30001:16</v>
      </c>
      <c r="O68">
        <f t="shared" si="6"/>
        <v>6</v>
      </c>
      <c r="P68" t="str">
        <f t="shared" si="7"/>
        <v>30001</v>
      </c>
      <c r="Q68" s="5">
        <v>30001</v>
      </c>
      <c r="R68" t="str">
        <f>VLOOKUP(Q68,[1]命格基础!$A:$B,2,0)</f>
        <v>兽魂经验(小)</v>
      </c>
      <c r="S68">
        <f>VLOOKUP(Q68,[1]命格基础!$A:$C,3,0)</f>
        <v>2</v>
      </c>
    </row>
    <row r="69" spans="8:19" ht="16.5">
      <c r="H69" s="4" t="s">
        <v>161</v>
      </c>
      <c r="K69" s="4" t="s">
        <v>37</v>
      </c>
      <c r="M69">
        <f t="shared" si="4"/>
        <v>2</v>
      </c>
      <c r="N69" t="str">
        <f t="shared" si="5"/>
        <v>30001:15</v>
      </c>
      <c r="O69">
        <f t="shared" si="6"/>
        <v>6</v>
      </c>
      <c r="P69" t="str">
        <f t="shared" si="7"/>
        <v>30001</v>
      </c>
      <c r="Q69" s="5">
        <v>30001</v>
      </c>
      <c r="R69" t="str">
        <f>VLOOKUP(Q69,[1]命格基础!$A:$B,2,0)</f>
        <v>兽魂经验(小)</v>
      </c>
      <c r="S69">
        <f>VLOOKUP(Q69,[1]命格基础!$A:$C,3,0)</f>
        <v>2</v>
      </c>
    </row>
    <row r="70" spans="8:19" ht="16.5">
      <c r="H70" s="4" t="s">
        <v>171</v>
      </c>
      <c r="K70" s="4" t="s">
        <v>95</v>
      </c>
      <c r="M70">
        <f t="shared" si="4"/>
        <v>2</v>
      </c>
      <c r="N70" t="str">
        <f t="shared" si="5"/>
        <v>30002:1</v>
      </c>
      <c r="O70">
        <f t="shared" si="6"/>
        <v>6</v>
      </c>
      <c r="P70" t="str">
        <f t="shared" si="7"/>
        <v>30002</v>
      </c>
      <c r="Q70" s="5">
        <v>30002</v>
      </c>
      <c r="R70" t="str">
        <f>VLOOKUP(Q70,[1]命格基础!$A:$B,2,0)</f>
        <v>兽魂经验(大)</v>
      </c>
      <c r="S70">
        <f>VLOOKUP(Q70,[1]命格基础!$A:$C,3,0)</f>
        <v>4</v>
      </c>
    </row>
    <row r="71" spans="8:19" ht="16.5">
      <c r="H71" s="4" t="s">
        <v>188</v>
      </c>
      <c r="K71" s="4" t="s">
        <v>189</v>
      </c>
      <c r="M71">
        <f t="shared" si="4"/>
        <v>2</v>
      </c>
      <c r="N71" t="str">
        <f t="shared" si="5"/>
        <v>100031:15</v>
      </c>
      <c r="O71">
        <f t="shared" si="6"/>
        <v>7</v>
      </c>
      <c r="P71" t="str">
        <f t="shared" si="7"/>
        <v>100031</v>
      </c>
      <c r="Q71" s="5">
        <v>100031</v>
      </c>
      <c r="R71" t="e">
        <f>VLOOKUP(Q71,[1]命格基础!$A:$B,2,0)</f>
        <v>#N/A</v>
      </c>
      <c r="S71" t="e">
        <f>VLOOKUP(Q71,[1]命格基础!$A:$C,3,0)</f>
        <v>#N/A</v>
      </c>
    </row>
    <row r="72" spans="8:19" ht="16.5">
      <c r="H72" s="4" t="s">
        <v>190</v>
      </c>
      <c r="K72" s="4" t="s">
        <v>191</v>
      </c>
      <c r="M72">
        <f t="shared" si="4"/>
        <v>2</v>
      </c>
      <c r="N72" t="str">
        <f t="shared" si="5"/>
        <v>100031:12</v>
      </c>
      <c r="O72">
        <f t="shared" si="6"/>
        <v>7</v>
      </c>
      <c r="P72" t="str">
        <f t="shared" si="7"/>
        <v>100031</v>
      </c>
      <c r="Q72" s="5">
        <v>100031</v>
      </c>
      <c r="R72" t="e">
        <f>VLOOKUP(Q72,[1]命格基础!$A:$B,2,0)</f>
        <v>#N/A</v>
      </c>
      <c r="S72" t="e">
        <f>VLOOKUP(Q72,[1]命格基础!$A:$C,3,0)</f>
        <v>#N/A</v>
      </c>
    </row>
    <row r="73" spans="8:19" ht="16.5">
      <c r="H73" s="4" t="s">
        <v>172</v>
      </c>
      <c r="K73" s="4" t="s">
        <v>39</v>
      </c>
      <c r="M73">
        <f t="shared" si="4"/>
        <v>2</v>
      </c>
      <c r="N73" t="str">
        <f t="shared" si="5"/>
        <v>100031:10</v>
      </c>
      <c r="O73">
        <f t="shared" si="6"/>
        <v>7</v>
      </c>
      <c r="P73" t="str">
        <f t="shared" si="7"/>
        <v>100031</v>
      </c>
      <c r="Q73" s="5">
        <v>100031</v>
      </c>
      <c r="R73" t="e">
        <f>VLOOKUP(Q73,[1]命格基础!$A:$B,2,0)</f>
        <v>#N/A</v>
      </c>
      <c r="S73" t="e">
        <f>VLOOKUP(Q73,[1]命格基础!$A:$C,3,0)</f>
        <v>#N/A</v>
      </c>
    </row>
    <row r="74" spans="8:19" ht="16.5">
      <c r="H74" s="4" t="s">
        <v>175</v>
      </c>
      <c r="K74" s="4" t="s">
        <v>41</v>
      </c>
      <c r="M74">
        <f t="shared" si="4"/>
        <v>2</v>
      </c>
      <c r="N74" t="str">
        <f t="shared" si="5"/>
        <v>100031:5</v>
      </c>
      <c r="O74">
        <f t="shared" si="6"/>
        <v>7</v>
      </c>
      <c r="P74" t="str">
        <f t="shared" si="7"/>
        <v>100031</v>
      </c>
      <c r="Q74" s="5">
        <v>100031</v>
      </c>
      <c r="R74" t="e">
        <f>VLOOKUP(Q74,[1]命格基础!$A:$B,2,0)</f>
        <v>#N/A</v>
      </c>
      <c r="S74" t="e">
        <f>VLOOKUP(Q74,[1]命格基础!$A:$C,3,0)</f>
        <v>#N/A</v>
      </c>
    </row>
    <row r="75" spans="8:19" ht="16.5">
      <c r="H75" s="4" t="s">
        <v>178</v>
      </c>
      <c r="K75" s="4" t="s">
        <v>22</v>
      </c>
      <c r="M75">
        <f t="shared" si="4"/>
        <v>2</v>
      </c>
      <c r="N75" t="str">
        <f t="shared" si="5"/>
        <v>100055:1</v>
      </c>
      <c r="O75">
        <f t="shared" si="6"/>
        <v>7</v>
      </c>
      <c r="P75" t="str">
        <f t="shared" si="7"/>
        <v>100055</v>
      </c>
      <c r="Q75" s="5">
        <v>100055</v>
      </c>
      <c r="R75" t="e">
        <f>VLOOKUP(Q75,[1]命格基础!$A:$B,2,0)</f>
        <v>#N/A</v>
      </c>
      <c r="S75" t="e">
        <f>VLOOKUP(Q75,[1]命格基础!$A:$C,3,0)</f>
        <v>#N/A</v>
      </c>
    </row>
    <row r="76" spans="8:19" ht="16.5">
      <c r="H76" s="4" t="s">
        <v>192</v>
      </c>
      <c r="K76" s="4" t="s">
        <v>24</v>
      </c>
      <c r="M76">
        <f t="shared" si="4"/>
        <v>2</v>
      </c>
      <c r="N76" t="str">
        <f t="shared" si="5"/>
        <v>100056:1</v>
      </c>
      <c r="O76">
        <f t="shared" si="6"/>
        <v>7</v>
      </c>
      <c r="P76" t="str">
        <f t="shared" si="7"/>
        <v>100056</v>
      </c>
      <c r="Q76" s="5">
        <v>100056</v>
      </c>
      <c r="R76" t="e">
        <f>VLOOKUP(Q76,[1]命格基础!$A:$B,2,0)</f>
        <v>#N/A</v>
      </c>
      <c r="S76" t="e">
        <f>VLOOKUP(Q76,[1]命格基础!$A:$C,3,0)</f>
        <v>#N/A</v>
      </c>
    </row>
    <row r="77" spans="8:19" ht="16.5">
      <c r="H77" s="4" t="s">
        <v>125</v>
      </c>
      <c r="K77" s="4" t="s">
        <v>26</v>
      </c>
      <c r="M77">
        <f t="shared" si="4"/>
        <v>2</v>
      </c>
      <c r="N77" t="str">
        <f t="shared" si="5"/>
        <v>10001:1</v>
      </c>
      <c r="O77">
        <f t="shared" si="6"/>
        <v>6</v>
      </c>
      <c r="P77" t="str">
        <f t="shared" si="7"/>
        <v>10001</v>
      </c>
      <c r="Q77" s="5">
        <v>10001</v>
      </c>
      <c r="R77" t="str">
        <f>VLOOKUP(Q77,[1]命格基础!$A:$B,2,0)</f>
        <v>子鼠</v>
      </c>
      <c r="S77">
        <f>VLOOKUP(Q77,[1]命格基础!$A:$C,3,0)</f>
        <v>1</v>
      </c>
    </row>
    <row r="78" spans="8:19" ht="16.5">
      <c r="H78" s="4" t="s">
        <v>126</v>
      </c>
      <c r="K78" s="4" t="s">
        <v>28</v>
      </c>
      <c r="M78">
        <f t="shared" si="4"/>
        <v>2</v>
      </c>
      <c r="N78" t="str">
        <f t="shared" si="5"/>
        <v>10011:1</v>
      </c>
      <c r="O78">
        <f t="shared" si="6"/>
        <v>6</v>
      </c>
      <c r="P78" t="str">
        <f t="shared" si="7"/>
        <v>10011</v>
      </c>
      <c r="Q78" s="5">
        <v>10011</v>
      </c>
      <c r="R78" t="str">
        <f>VLOOKUP(Q78,[1]命格基础!$A:$B,2,0)</f>
        <v>丑牛</v>
      </c>
      <c r="S78">
        <f>VLOOKUP(Q78,[1]命格基础!$A:$C,3,0)</f>
        <v>1</v>
      </c>
    </row>
    <row r="79" spans="8:19" ht="16.5">
      <c r="H79" s="4" t="s">
        <v>127</v>
      </c>
      <c r="K79" s="4" t="s">
        <v>30</v>
      </c>
      <c r="M79">
        <f t="shared" si="4"/>
        <v>2</v>
      </c>
      <c r="N79" t="str">
        <f t="shared" si="5"/>
        <v>10021:1</v>
      </c>
      <c r="O79">
        <f t="shared" si="6"/>
        <v>6</v>
      </c>
      <c r="P79" t="str">
        <f t="shared" si="7"/>
        <v>10021</v>
      </c>
      <c r="Q79" s="5">
        <v>10021</v>
      </c>
      <c r="R79" t="str">
        <f>VLOOKUP(Q79,[1]命格基础!$A:$B,2,0)</f>
        <v>寅虎</v>
      </c>
      <c r="S79">
        <f>VLOOKUP(Q79,[1]命格基础!$A:$C,3,0)</f>
        <v>1</v>
      </c>
    </row>
    <row r="80" spans="8:19" ht="16.5">
      <c r="H80" s="4" t="s">
        <v>128</v>
      </c>
      <c r="K80" s="4" t="s">
        <v>32</v>
      </c>
      <c r="M80">
        <f t="shared" si="4"/>
        <v>2</v>
      </c>
      <c r="N80" t="str">
        <f t="shared" si="5"/>
        <v>10031:1</v>
      </c>
      <c r="O80">
        <f t="shared" si="6"/>
        <v>6</v>
      </c>
      <c r="P80" t="str">
        <f t="shared" si="7"/>
        <v>10031</v>
      </c>
      <c r="Q80" s="5">
        <v>10031</v>
      </c>
      <c r="R80" t="str">
        <f>VLOOKUP(Q80,[1]命格基础!$A:$B,2,0)</f>
        <v>卯兔</v>
      </c>
      <c r="S80">
        <f>VLOOKUP(Q80,[1]命格基础!$A:$C,3,0)</f>
        <v>1</v>
      </c>
    </row>
    <row r="81" spans="8:19" ht="16.5">
      <c r="H81" s="4" t="s">
        <v>129</v>
      </c>
      <c r="K81" s="4" t="s">
        <v>130</v>
      </c>
      <c r="M81">
        <f t="shared" si="4"/>
        <v>2</v>
      </c>
      <c r="N81" t="str">
        <f t="shared" si="5"/>
        <v>10041:1</v>
      </c>
      <c r="O81">
        <f t="shared" si="6"/>
        <v>6</v>
      </c>
      <c r="P81" t="str">
        <f t="shared" si="7"/>
        <v>10041</v>
      </c>
      <c r="Q81" s="5">
        <v>10041</v>
      </c>
      <c r="R81" t="str">
        <f>VLOOKUP(Q81,[1]命格基础!$A:$B,2,0)</f>
        <v>辰龙</v>
      </c>
      <c r="S81">
        <f>VLOOKUP(Q81,[1]命格基础!$A:$C,3,0)</f>
        <v>1</v>
      </c>
    </row>
    <row r="82" spans="8:19" ht="16.5">
      <c r="H82" s="4" t="s">
        <v>131</v>
      </c>
      <c r="K82" s="4" t="s">
        <v>132</v>
      </c>
      <c r="M82">
        <f t="shared" si="4"/>
        <v>2</v>
      </c>
      <c r="N82" t="str">
        <f t="shared" si="5"/>
        <v>10051:1</v>
      </c>
      <c r="O82">
        <f t="shared" si="6"/>
        <v>6</v>
      </c>
      <c r="P82" t="str">
        <f t="shared" si="7"/>
        <v>10051</v>
      </c>
      <c r="Q82" s="5">
        <v>10051</v>
      </c>
      <c r="R82" t="str">
        <f>VLOOKUP(Q82,[1]命格基础!$A:$B,2,0)</f>
        <v>巳蛇</v>
      </c>
      <c r="S82">
        <f>VLOOKUP(Q82,[1]命格基础!$A:$C,3,0)</f>
        <v>1</v>
      </c>
    </row>
    <row r="83" spans="8:19" ht="16.5">
      <c r="H83" s="4" t="s">
        <v>133</v>
      </c>
      <c r="K83" s="4" t="s">
        <v>134</v>
      </c>
      <c r="M83">
        <f t="shared" si="4"/>
        <v>2</v>
      </c>
      <c r="N83" t="str">
        <f t="shared" si="5"/>
        <v>10061:1</v>
      </c>
      <c r="O83">
        <f t="shared" si="6"/>
        <v>6</v>
      </c>
      <c r="P83" t="str">
        <f t="shared" si="7"/>
        <v>10061</v>
      </c>
      <c r="Q83" s="5">
        <v>10061</v>
      </c>
      <c r="R83" t="str">
        <f>VLOOKUP(Q83,[1]命格基础!$A:$B,2,0)</f>
        <v>午马</v>
      </c>
      <c r="S83">
        <f>VLOOKUP(Q83,[1]命格基础!$A:$C,3,0)</f>
        <v>1</v>
      </c>
    </row>
    <row r="84" spans="8:19" ht="16.5">
      <c r="H84" s="4" t="s">
        <v>135</v>
      </c>
      <c r="K84" s="4" t="s">
        <v>136</v>
      </c>
      <c r="M84">
        <f t="shared" si="4"/>
        <v>2</v>
      </c>
      <c r="N84" t="str">
        <f t="shared" si="5"/>
        <v>10071:1</v>
      </c>
      <c r="O84">
        <f t="shared" si="6"/>
        <v>6</v>
      </c>
      <c r="P84" t="str">
        <f t="shared" si="7"/>
        <v>10071</v>
      </c>
      <c r="Q84" s="5">
        <v>10071</v>
      </c>
      <c r="R84" t="str">
        <f>VLOOKUP(Q84,[1]命格基础!$A:$B,2,0)</f>
        <v>未羊</v>
      </c>
      <c r="S84">
        <f>VLOOKUP(Q84,[1]命格基础!$A:$C,3,0)</f>
        <v>1</v>
      </c>
    </row>
    <row r="85" spans="8:19" ht="16.5">
      <c r="H85" s="4" t="s">
        <v>137</v>
      </c>
      <c r="K85" s="4" t="s">
        <v>138</v>
      </c>
      <c r="M85">
        <f t="shared" si="4"/>
        <v>2</v>
      </c>
      <c r="N85" t="str">
        <f t="shared" si="5"/>
        <v>10081:1</v>
      </c>
      <c r="O85">
        <f t="shared" si="6"/>
        <v>6</v>
      </c>
      <c r="P85" t="str">
        <f t="shared" si="7"/>
        <v>10081</v>
      </c>
      <c r="Q85" s="5">
        <v>10081</v>
      </c>
      <c r="R85" t="str">
        <f>VLOOKUP(Q85,[1]命格基础!$A:$B,2,0)</f>
        <v>申猴</v>
      </c>
      <c r="S85">
        <f>VLOOKUP(Q85,[1]命格基础!$A:$C,3,0)</f>
        <v>1</v>
      </c>
    </row>
    <row r="86" spans="8:19" ht="16.5">
      <c r="H86" s="4" t="s">
        <v>139</v>
      </c>
      <c r="K86" s="4" t="s">
        <v>140</v>
      </c>
      <c r="M86">
        <f t="shared" si="4"/>
        <v>2</v>
      </c>
      <c r="N86" t="str">
        <f t="shared" si="5"/>
        <v>10091:1</v>
      </c>
      <c r="O86">
        <f t="shared" si="6"/>
        <v>6</v>
      </c>
      <c r="P86" t="str">
        <f t="shared" si="7"/>
        <v>10091</v>
      </c>
      <c r="Q86" s="5">
        <v>10091</v>
      </c>
      <c r="R86" t="str">
        <f>VLOOKUP(Q86,[1]命格基础!$A:$B,2,0)</f>
        <v>酉鸡</v>
      </c>
      <c r="S86">
        <f>VLOOKUP(Q86,[1]命格基础!$A:$C,3,0)</f>
        <v>1</v>
      </c>
    </row>
    <row r="87" spans="8:19" ht="16.5">
      <c r="H87" s="4" t="s">
        <v>141</v>
      </c>
      <c r="K87" s="4" t="s">
        <v>142</v>
      </c>
      <c r="M87">
        <f t="shared" si="4"/>
        <v>2</v>
      </c>
      <c r="N87" t="str">
        <f t="shared" si="5"/>
        <v>10101:1</v>
      </c>
      <c r="O87">
        <f t="shared" si="6"/>
        <v>6</v>
      </c>
      <c r="P87" t="str">
        <f t="shared" si="7"/>
        <v>10101</v>
      </c>
      <c r="Q87" s="5">
        <v>10101</v>
      </c>
      <c r="R87" t="str">
        <f>VLOOKUP(Q87,[1]命格基础!$A:$B,2,0)</f>
        <v>戌狗</v>
      </c>
      <c r="S87">
        <f>VLOOKUP(Q87,[1]命格基础!$A:$C,3,0)</f>
        <v>1</v>
      </c>
    </row>
    <row r="88" spans="8:19" ht="16.5">
      <c r="H88" s="4" t="s">
        <v>143</v>
      </c>
      <c r="K88" s="4" t="s">
        <v>144</v>
      </c>
      <c r="M88">
        <f t="shared" si="4"/>
        <v>2</v>
      </c>
      <c r="N88" t="str">
        <f t="shared" si="5"/>
        <v>10111:1</v>
      </c>
      <c r="O88">
        <f t="shared" si="6"/>
        <v>6</v>
      </c>
      <c r="P88" t="str">
        <f t="shared" si="7"/>
        <v>10111</v>
      </c>
      <c r="Q88" s="5">
        <v>10111</v>
      </c>
      <c r="R88" t="str">
        <f>VLOOKUP(Q88,[1]命格基础!$A:$B,2,0)</f>
        <v>亥猪</v>
      </c>
      <c r="S88">
        <f>VLOOKUP(Q88,[1]命格基础!$A:$C,3,0)</f>
        <v>1</v>
      </c>
    </row>
    <row r="89" spans="8:19" ht="16.5">
      <c r="H89" s="4" t="s">
        <v>145</v>
      </c>
      <c r="K89" s="4" t="s">
        <v>46</v>
      </c>
      <c r="M89">
        <f t="shared" si="4"/>
        <v>2</v>
      </c>
      <c r="N89" t="str">
        <f t="shared" si="5"/>
        <v>10002:1</v>
      </c>
      <c r="O89">
        <f t="shared" si="6"/>
        <v>6</v>
      </c>
      <c r="P89" t="str">
        <f t="shared" si="7"/>
        <v>10002</v>
      </c>
      <c r="Q89" s="5">
        <v>10002</v>
      </c>
      <c r="R89" t="str">
        <f>VLOOKUP(Q89,[1]命格基础!$A:$B,2,0)</f>
        <v>子鼠</v>
      </c>
      <c r="S89">
        <f>VLOOKUP(Q89,[1]命格基础!$A:$C,3,0)</f>
        <v>2</v>
      </c>
    </row>
    <row r="90" spans="8:19" ht="16.5">
      <c r="H90" s="4" t="s">
        <v>146</v>
      </c>
      <c r="K90" s="4" t="s">
        <v>47</v>
      </c>
      <c r="M90">
        <f t="shared" si="4"/>
        <v>2</v>
      </c>
      <c r="N90" t="str">
        <f t="shared" si="5"/>
        <v>10012:1</v>
      </c>
      <c r="O90">
        <f t="shared" si="6"/>
        <v>6</v>
      </c>
      <c r="P90" t="str">
        <f t="shared" si="7"/>
        <v>10012</v>
      </c>
      <c r="Q90" s="5">
        <v>10012</v>
      </c>
      <c r="R90" t="str">
        <f>VLOOKUP(Q90,[1]命格基础!$A:$B,2,0)</f>
        <v>丑牛</v>
      </c>
      <c r="S90">
        <f>VLOOKUP(Q90,[1]命格基础!$A:$C,3,0)</f>
        <v>2</v>
      </c>
    </row>
    <row r="91" spans="8:19" ht="16.5">
      <c r="H91" s="4" t="s">
        <v>147</v>
      </c>
      <c r="K91" s="4" t="s">
        <v>48</v>
      </c>
      <c r="M91">
        <f t="shared" si="4"/>
        <v>2</v>
      </c>
      <c r="N91" t="str">
        <f t="shared" si="5"/>
        <v>10022:1</v>
      </c>
      <c r="O91">
        <f t="shared" si="6"/>
        <v>6</v>
      </c>
      <c r="P91" t="str">
        <f t="shared" si="7"/>
        <v>10022</v>
      </c>
      <c r="Q91" s="5">
        <v>10022</v>
      </c>
      <c r="R91" t="str">
        <f>VLOOKUP(Q91,[1]命格基础!$A:$B,2,0)</f>
        <v>寅虎</v>
      </c>
      <c r="S91">
        <f>VLOOKUP(Q91,[1]命格基础!$A:$C,3,0)</f>
        <v>2</v>
      </c>
    </row>
    <row r="92" spans="8:19" ht="16.5">
      <c r="H92" s="4" t="s">
        <v>148</v>
      </c>
      <c r="K92" s="4" t="s">
        <v>49</v>
      </c>
      <c r="M92">
        <f t="shared" si="4"/>
        <v>2</v>
      </c>
      <c r="N92" t="str">
        <f t="shared" si="5"/>
        <v>10032:1</v>
      </c>
      <c r="O92">
        <f t="shared" si="6"/>
        <v>6</v>
      </c>
      <c r="P92" t="str">
        <f t="shared" si="7"/>
        <v>10032</v>
      </c>
      <c r="Q92" s="5">
        <v>10032</v>
      </c>
      <c r="R92" t="str">
        <f>VLOOKUP(Q92,[1]命格基础!$A:$B,2,0)</f>
        <v>卯兔</v>
      </c>
      <c r="S92">
        <f>VLOOKUP(Q92,[1]命格基础!$A:$C,3,0)</f>
        <v>2</v>
      </c>
    </row>
    <row r="93" spans="8:19" ht="16.5">
      <c r="H93" s="4" t="s">
        <v>149</v>
      </c>
      <c r="K93" s="4" t="s">
        <v>50</v>
      </c>
      <c r="M93">
        <f t="shared" si="4"/>
        <v>2</v>
      </c>
      <c r="N93" t="str">
        <f t="shared" si="5"/>
        <v>10042:1</v>
      </c>
      <c r="O93">
        <f t="shared" si="6"/>
        <v>6</v>
      </c>
      <c r="P93" t="str">
        <f t="shared" si="7"/>
        <v>10042</v>
      </c>
      <c r="Q93" s="5">
        <v>10042</v>
      </c>
      <c r="R93" t="str">
        <f>VLOOKUP(Q93,[1]命格基础!$A:$B,2,0)</f>
        <v>辰龙</v>
      </c>
      <c r="S93">
        <f>VLOOKUP(Q93,[1]命格基础!$A:$C,3,0)</f>
        <v>2</v>
      </c>
    </row>
    <row r="94" spans="8:19" ht="16.5">
      <c r="H94" s="4" t="s">
        <v>150</v>
      </c>
      <c r="K94" s="4" t="s">
        <v>52</v>
      </c>
      <c r="M94">
        <f t="shared" si="4"/>
        <v>2</v>
      </c>
      <c r="N94" t="str">
        <f t="shared" si="5"/>
        <v>10052:1</v>
      </c>
      <c r="O94">
        <f t="shared" si="6"/>
        <v>6</v>
      </c>
      <c r="P94" t="str">
        <f t="shared" si="7"/>
        <v>10052</v>
      </c>
      <c r="Q94" s="5">
        <v>10052</v>
      </c>
      <c r="R94" t="str">
        <f>VLOOKUP(Q94,[1]命格基础!$A:$B,2,0)</f>
        <v>巳蛇</v>
      </c>
      <c r="S94">
        <f>VLOOKUP(Q94,[1]命格基础!$A:$C,3,0)</f>
        <v>2</v>
      </c>
    </row>
    <row r="95" spans="8:19" ht="16.5">
      <c r="H95" s="4" t="s">
        <v>151</v>
      </c>
      <c r="K95" s="4" t="s">
        <v>152</v>
      </c>
      <c r="M95">
        <f t="shared" si="4"/>
        <v>2</v>
      </c>
      <c r="N95" t="str">
        <f t="shared" si="5"/>
        <v>10062:1</v>
      </c>
      <c r="O95">
        <f t="shared" si="6"/>
        <v>6</v>
      </c>
      <c r="P95" t="str">
        <f t="shared" si="7"/>
        <v>10062</v>
      </c>
      <c r="Q95" s="5">
        <v>10062</v>
      </c>
      <c r="R95" t="str">
        <f>VLOOKUP(Q95,[1]命格基础!$A:$B,2,0)</f>
        <v>午马</v>
      </c>
      <c r="S95">
        <f>VLOOKUP(Q95,[1]命格基础!$A:$C,3,0)</f>
        <v>2</v>
      </c>
    </row>
    <row r="96" spans="8:19" ht="16.5">
      <c r="H96" s="4" t="s">
        <v>153</v>
      </c>
      <c r="K96" s="4" t="s">
        <v>54</v>
      </c>
      <c r="M96">
        <f t="shared" si="4"/>
        <v>2</v>
      </c>
      <c r="N96" t="str">
        <f t="shared" si="5"/>
        <v>10072:1</v>
      </c>
      <c r="O96">
        <f t="shared" si="6"/>
        <v>6</v>
      </c>
      <c r="P96" t="str">
        <f t="shared" si="7"/>
        <v>10072</v>
      </c>
      <c r="Q96" s="5">
        <v>10072</v>
      </c>
      <c r="R96" t="str">
        <f>VLOOKUP(Q96,[1]命格基础!$A:$B,2,0)</f>
        <v>未羊</v>
      </c>
      <c r="S96">
        <f>VLOOKUP(Q96,[1]命格基础!$A:$C,3,0)</f>
        <v>2</v>
      </c>
    </row>
    <row r="97" spans="8:19" ht="16.5">
      <c r="H97" s="4" t="s">
        <v>154</v>
      </c>
      <c r="K97" s="4" t="s">
        <v>155</v>
      </c>
      <c r="M97">
        <f t="shared" si="4"/>
        <v>2</v>
      </c>
      <c r="N97" t="str">
        <f t="shared" si="5"/>
        <v>10082:1</v>
      </c>
      <c r="O97">
        <f t="shared" si="6"/>
        <v>6</v>
      </c>
      <c r="P97" t="str">
        <f t="shared" si="7"/>
        <v>10082</v>
      </c>
      <c r="Q97" s="5">
        <v>10082</v>
      </c>
      <c r="R97" t="str">
        <f>VLOOKUP(Q97,[1]命格基础!$A:$B,2,0)</f>
        <v>申猴</v>
      </c>
      <c r="S97">
        <f>VLOOKUP(Q97,[1]命格基础!$A:$C,3,0)</f>
        <v>2</v>
      </c>
    </row>
    <row r="98" spans="8:19" ht="16.5">
      <c r="H98" s="4" t="s">
        <v>156</v>
      </c>
      <c r="K98" s="4" t="s">
        <v>56</v>
      </c>
      <c r="M98">
        <f t="shared" si="4"/>
        <v>2</v>
      </c>
      <c r="N98" t="str">
        <f t="shared" si="5"/>
        <v>10092:1</v>
      </c>
      <c r="O98">
        <f t="shared" si="6"/>
        <v>6</v>
      </c>
      <c r="P98" t="str">
        <f t="shared" si="7"/>
        <v>10092</v>
      </c>
      <c r="Q98" s="5">
        <v>10092</v>
      </c>
      <c r="R98" t="str">
        <f>VLOOKUP(Q98,[1]命格基础!$A:$B,2,0)</f>
        <v>酉鸡</v>
      </c>
      <c r="S98">
        <f>VLOOKUP(Q98,[1]命格基础!$A:$C,3,0)</f>
        <v>2</v>
      </c>
    </row>
    <row r="99" spans="8:19" ht="16.5">
      <c r="H99" s="4" t="s">
        <v>157</v>
      </c>
      <c r="K99" s="4" t="s">
        <v>158</v>
      </c>
      <c r="M99">
        <f t="shared" si="4"/>
        <v>2</v>
      </c>
      <c r="N99" t="str">
        <f t="shared" si="5"/>
        <v>10102:1</v>
      </c>
      <c r="O99">
        <f t="shared" si="6"/>
        <v>6</v>
      </c>
      <c r="P99" t="str">
        <f t="shared" si="7"/>
        <v>10102</v>
      </c>
      <c r="Q99" s="5">
        <v>10102</v>
      </c>
      <c r="R99" t="str">
        <f>VLOOKUP(Q99,[1]命格基础!$A:$B,2,0)</f>
        <v>戌狗</v>
      </c>
      <c r="S99">
        <f>VLOOKUP(Q99,[1]命格基础!$A:$C,3,0)</f>
        <v>2</v>
      </c>
    </row>
    <row r="100" spans="8:19" ht="16.5">
      <c r="H100" s="4" t="s">
        <v>159</v>
      </c>
      <c r="K100" s="4" t="s">
        <v>160</v>
      </c>
      <c r="M100">
        <f t="shared" si="4"/>
        <v>2</v>
      </c>
      <c r="N100" t="str">
        <f t="shared" si="5"/>
        <v>10112:1</v>
      </c>
      <c r="O100">
        <f t="shared" si="6"/>
        <v>6</v>
      </c>
      <c r="P100" t="str">
        <f t="shared" si="7"/>
        <v>10112</v>
      </c>
      <c r="Q100" s="5">
        <v>10112</v>
      </c>
      <c r="R100" t="str">
        <f>VLOOKUP(Q100,[1]命格基础!$A:$B,2,0)</f>
        <v>亥猪</v>
      </c>
      <c r="S100">
        <f>VLOOKUP(Q100,[1]命格基础!$A:$C,3,0)</f>
        <v>2</v>
      </c>
    </row>
    <row r="101" spans="8:19" ht="16.5">
      <c r="H101" s="4" t="s">
        <v>193</v>
      </c>
      <c r="K101" s="4" t="s">
        <v>59</v>
      </c>
      <c r="M101">
        <f t="shared" si="4"/>
        <v>2</v>
      </c>
      <c r="N101" t="str">
        <f t="shared" si="5"/>
        <v>10003:1</v>
      </c>
      <c r="O101">
        <f t="shared" si="6"/>
        <v>6</v>
      </c>
      <c r="P101" t="str">
        <f t="shared" si="7"/>
        <v>10003</v>
      </c>
      <c r="Q101" s="5">
        <v>10003</v>
      </c>
      <c r="R101" t="str">
        <f>VLOOKUP(Q101,[1]命格基础!$A:$B,2,0)</f>
        <v>子鼠</v>
      </c>
      <c r="S101">
        <f>VLOOKUP(Q101,[1]命格基础!$A:$C,3,0)</f>
        <v>3</v>
      </c>
    </row>
    <row r="102" spans="8:19" ht="16.5">
      <c r="H102" s="4" t="s">
        <v>194</v>
      </c>
      <c r="K102" s="4" t="s">
        <v>60</v>
      </c>
      <c r="M102">
        <f t="shared" si="4"/>
        <v>2</v>
      </c>
      <c r="N102" t="str">
        <f t="shared" si="5"/>
        <v>10013:1</v>
      </c>
      <c r="O102">
        <f t="shared" si="6"/>
        <v>6</v>
      </c>
      <c r="P102" t="str">
        <f t="shared" si="7"/>
        <v>10013</v>
      </c>
      <c r="Q102" s="5">
        <v>10013</v>
      </c>
      <c r="R102" t="str">
        <f>VLOOKUP(Q102,[1]命格基础!$A:$B,2,0)</f>
        <v>丑牛</v>
      </c>
      <c r="S102">
        <f>VLOOKUP(Q102,[1]命格基础!$A:$C,3,0)</f>
        <v>3</v>
      </c>
    </row>
    <row r="103" spans="8:19" ht="16.5">
      <c r="H103" s="4" t="s">
        <v>195</v>
      </c>
      <c r="K103" s="4" t="s">
        <v>61</v>
      </c>
      <c r="M103">
        <f t="shared" si="4"/>
        <v>2</v>
      </c>
      <c r="N103" t="str">
        <f t="shared" si="5"/>
        <v>10023:1</v>
      </c>
      <c r="O103">
        <f t="shared" si="6"/>
        <v>6</v>
      </c>
      <c r="P103" t="str">
        <f t="shared" si="7"/>
        <v>10023</v>
      </c>
      <c r="Q103" s="5">
        <v>10023</v>
      </c>
      <c r="R103" t="str">
        <f>VLOOKUP(Q103,[1]命格基础!$A:$B,2,0)</f>
        <v>寅虎</v>
      </c>
      <c r="S103">
        <f>VLOOKUP(Q103,[1]命格基础!$A:$C,3,0)</f>
        <v>3</v>
      </c>
    </row>
    <row r="104" spans="8:19" ht="16.5">
      <c r="H104" s="4" t="s">
        <v>196</v>
      </c>
      <c r="K104" s="4" t="s">
        <v>62</v>
      </c>
      <c r="M104">
        <f t="shared" si="4"/>
        <v>2</v>
      </c>
      <c r="N104" t="str">
        <f t="shared" si="5"/>
        <v>10033:1</v>
      </c>
      <c r="O104">
        <f t="shared" si="6"/>
        <v>6</v>
      </c>
      <c r="P104" t="str">
        <f t="shared" si="7"/>
        <v>10033</v>
      </c>
      <c r="Q104" s="5">
        <v>10033</v>
      </c>
      <c r="R104" t="str">
        <f>VLOOKUP(Q104,[1]命格基础!$A:$B,2,0)</f>
        <v>卯兔</v>
      </c>
      <c r="S104">
        <f>VLOOKUP(Q104,[1]命格基础!$A:$C,3,0)</f>
        <v>3</v>
      </c>
    </row>
    <row r="105" spans="8:19" ht="16.5">
      <c r="H105" s="4" t="s">
        <v>197</v>
      </c>
      <c r="K105" s="4" t="s">
        <v>63</v>
      </c>
      <c r="M105">
        <f t="shared" si="4"/>
        <v>2</v>
      </c>
      <c r="N105" t="str">
        <f t="shared" si="5"/>
        <v>10043:1</v>
      </c>
      <c r="O105">
        <f t="shared" si="6"/>
        <v>6</v>
      </c>
      <c r="P105" t="str">
        <f t="shared" si="7"/>
        <v>10043</v>
      </c>
      <c r="Q105" s="5">
        <v>10043</v>
      </c>
      <c r="R105" t="str">
        <f>VLOOKUP(Q105,[1]命格基础!$A:$B,2,0)</f>
        <v>辰龙</v>
      </c>
      <c r="S105">
        <f>VLOOKUP(Q105,[1]命格基础!$A:$C,3,0)</f>
        <v>3</v>
      </c>
    </row>
    <row r="106" spans="8:19" ht="16.5">
      <c r="H106" s="4" t="s">
        <v>198</v>
      </c>
      <c r="K106" s="4" t="s">
        <v>64</v>
      </c>
      <c r="M106">
        <f t="shared" si="4"/>
        <v>2</v>
      </c>
      <c r="N106" t="str">
        <f t="shared" si="5"/>
        <v>10053:1</v>
      </c>
      <c r="O106">
        <f t="shared" si="6"/>
        <v>6</v>
      </c>
      <c r="P106" t="str">
        <f t="shared" si="7"/>
        <v>10053</v>
      </c>
      <c r="Q106" s="5">
        <v>10053</v>
      </c>
      <c r="R106" t="str">
        <f>VLOOKUP(Q106,[1]命格基础!$A:$B,2,0)</f>
        <v>巳蛇</v>
      </c>
      <c r="S106">
        <f>VLOOKUP(Q106,[1]命格基础!$A:$C,3,0)</f>
        <v>3</v>
      </c>
    </row>
    <row r="107" spans="8:19" ht="16.5">
      <c r="H107" s="4" t="s">
        <v>199</v>
      </c>
      <c r="K107" s="4" t="s">
        <v>65</v>
      </c>
      <c r="M107">
        <f t="shared" si="4"/>
        <v>2</v>
      </c>
      <c r="N107" t="str">
        <f t="shared" si="5"/>
        <v>10063:1</v>
      </c>
      <c r="O107">
        <f t="shared" si="6"/>
        <v>6</v>
      </c>
      <c r="P107" t="str">
        <f t="shared" si="7"/>
        <v>10063</v>
      </c>
      <c r="Q107" s="5">
        <v>10063</v>
      </c>
      <c r="R107" t="str">
        <f>VLOOKUP(Q107,[1]命格基础!$A:$B,2,0)</f>
        <v>午马</v>
      </c>
      <c r="S107">
        <f>VLOOKUP(Q107,[1]命格基础!$A:$C,3,0)</f>
        <v>3</v>
      </c>
    </row>
    <row r="108" spans="8:19" ht="16.5">
      <c r="H108" s="4" t="s">
        <v>200</v>
      </c>
      <c r="K108" s="4" t="s">
        <v>67</v>
      </c>
      <c r="M108">
        <f t="shared" si="4"/>
        <v>2</v>
      </c>
      <c r="N108" t="str">
        <f t="shared" si="5"/>
        <v>10073:1</v>
      </c>
      <c r="O108">
        <f t="shared" si="6"/>
        <v>6</v>
      </c>
      <c r="P108" t="str">
        <f t="shared" si="7"/>
        <v>10073</v>
      </c>
      <c r="Q108" s="5">
        <v>10073</v>
      </c>
      <c r="R108" t="str">
        <f>VLOOKUP(Q108,[1]命格基础!$A:$B,2,0)</f>
        <v>未羊</v>
      </c>
      <c r="S108">
        <f>VLOOKUP(Q108,[1]命格基础!$A:$C,3,0)</f>
        <v>3</v>
      </c>
    </row>
    <row r="109" spans="8:19" ht="16.5">
      <c r="H109" s="4" t="s">
        <v>201</v>
      </c>
      <c r="K109" s="4" t="s">
        <v>68</v>
      </c>
      <c r="M109">
        <f t="shared" si="4"/>
        <v>2</v>
      </c>
      <c r="N109" t="str">
        <f t="shared" si="5"/>
        <v>10083:1</v>
      </c>
      <c r="O109">
        <f t="shared" si="6"/>
        <v>6</v>
      </c>
      <c r="P109" t="str">
        <f t="shared" si="7"/>
        <v>10083</v>
      </c>
      <c r="Q109" s="5">
        <v>10083</v>
      </c>
      <c r="R109" t="str">
        <f>VLOOKUP(Q109,[1]命格基础!$A:$B,2,0)</f>
        <v>申猴</v>
      </c>
      <c r="S109">
        <f>VLOOKUP(Q109,[1]命格基础!$A:$C,3,0)</f>
        <v>3</v>
      </c>
    </row>
    <row r="110" spans="8:19" ht="16.5">
      <c r="H110" s="4" t="s">
        <v>202</v>
      </c>
      <c r="K110" s="4" t="s">
        <v>70</v>
      </c>
      <c r="M110">
        <f t="shared" si="4"/>
        <v>2</v>
      </c>
      <c r="N110" t="str">
        <f t="shared" si="5"/>
        <v>10093:1</v>
      </c>
      <c r="O110">
        <f t="shared" si="6"/>
        <v>6</v>
      </c>
      <c r="P110" t="str">
        <f t="shared" si="7"/>
        <v>10093</v>
      </c>
      <c r="Q110" s="5">
        <v>10093</v>
      </c>
      <c r="R110" t="str">
        <f>VLOOKUP(Q110,[1]命格基础!$A:$B,2,0)</f>
        <v>酉鸡</v>
      </c>
      <c r="S110">
        <f>VLOOKUP(Q110,[1]命格基础!$A:$C,3,0)</f>
        <v>3</v>
      </c>
    </row>
    <row r="111" spans="8:19" ht="16.5">
      <c r="H111" s="4" t="s">
        <v>203</v>
      </c>
      <c r="K111" s="4" t="s">
        <v>71</v>
      </c>
      <c r="M111">
        <f t="shared" si="4"/>
        <v>2</v>
      </c>
      <c r="N111" t="str">
        <f t="shared" si="5"/>
        <v>10103:1</v>
      </c>
      <c r="O111">
        <f t="shared" si="6"/>
        <v>6</v>
      </c>
      <c r="P111" t="str">
        <f t="shared" si="7"/>
        <v>10103</v>
      </c>
      <c r="Q111" s="5">
        <v>10103</v>
      </c>
      <c r="R111" t="str">
        <f>VLOOKUP(Q111,[1]命格基础!$A:$B,2,0)</f>
        <v>戌狗</v>
      </c>
      <c r="S111">
        <f>VLOOKUP(Q111,[1]命格基础!$A:$C,3,0)</f>
        <v>3</v>
      </c>
    </row>
    <row r="112" spans="8:19" ht="16.5">
      <c r="H112" s="4" t="s">
        <v>204</v>
      </c>
      <c r="K112" s="4" t="s">
        <v>73</v>
      </c>
      <c r="M112">
        <f t="shared" si="4"/>
        <v>2</v>
      </c>
      <c r="N112" t="str">
        <f t="shared" si="5"/>
        <v>10113:1</v>
      </c>
      <c r="O112">
        <f t="shared" si="6"/>
        <v>6</v>
      </c>
      <c r="P112" t="str">
        <f t="shared" si="7"/>
        <v>10113</v>
      </c>
      <c r="Q112" s="5">
        <v>10113</v>
      </c>
      <c r="R112" t="str">
        <f>VLOOKUP(Q112,[1]命格基础!$A:$B,2,0)</f>
        <v>亥猪</v>
      </c>
      <c r="S112">
        <f>VLOOKUP(Q112,[1]命格基础!$A:$C,3,0)</f>
        <v>3</v>
      </c>
    </row>
    <row r="113" spans="8:19" ht="16.5">
      <c r="H113" s="4" t="s">
        <v>205</v>
      </c>
      <c r="K113" s="4" t="s">
        <v>206</v>
      </c>
      <c r="M113">
        <f t="shared" si="4"/>
        <v>2</v>
      </c>
      <c r="N113" t="str">
        <f t="shared" si="5"/>
        <v>30001:25</v>
      </c>
      <c r="O113">
        <f t="shared" si="6"/>
        <v>6</v>
      </c>
      <c r="P113" t="str">
        <f t="shared" si="7"/>
        <v>30001</v>
      </c>
      <c r="Q113" s="5">
        <v>30001</v>
      </c>
      <c r="R113" t="str">
        <f>VLOOKUP(Q113,[1]命格基础!$A:$B,2,0)</f>
        <v>兽魂经验(小)</v>
      </c>
      <c r="S113">
        <f>VLOOKUP(Q113,[1]命格基础!$A:$C,3,0)</f>
        <v>2</v>
      </c>
    </row>
    <row r="114" spans="8:19" ht="16.5">
      <c r="H114" s="4" t="s">
        <v>207</v>
      </c>
      <c r="K114" s="4" t="s">
        <v>208</v>
      </c>
      <c r="M114">
        <f t="shared" si="4"/>
        <v>2</v>
      </c>
      <c r="N114" t="str">
        <f t="shared" si="5"/>
        <v>30001:22</v>
      </c>
      <c r="O114">
        <f t="shared" si="6"/>
        <v>6</v>
      </c>
      <c r="P114" t="str">
        <f t="shared" si="7"/>
        <v>30001</v>
      </c>
      <c r="Q114" s="5">
        <v>30001</v>
      </c>
      <c r="R114" t="str">
        <f>VLOOKUP(Q114,[1]命格基础!$A:$B,2,0)</f>
        <v>兽魂经验(小)</v>
      </c>
      <c r="S114">
        <f>VLOOKUP(Q114,[1]命格基础!$A:$C,3,0)</f>
        <v>2</v>
      </c>
    </row>
    <row r="115" spans="8:19" ht="16.5">
      <c r="H115" s="4" t="s">
        <v>179</v>
      </c>
      <c r="K115" s="4" t="s">
        <v>38</v>
      </c>
      <c r="M115">
        <f t="shared" si="4"/>
        <v>2</v>
      </c>
      <c r="N115" t="str">
        <f t="shared" si="5"/>
        <v>30001:20</v>
      </c>
      <c r="O115">
        <f t="shared" si="6"/>
        <v>6</v>
      </c>
      <c r="P115" t="str">
        <f t="shared" si="7"/>
        <v>30001</v>
      </c>
      <c r="Q115" s="5">
        <v>30001</v>
      </c>
      <c r="R115" t="str">
        <f>VLOOKUP(Q115,[1]命格基础!$A:$B,2,0)</f>
        <v>兽魂经验(小)</v>
      </c>
      <c r="S115">
        <f>VLOOKUP(Q115,[1]命格基础!$A:$C,3,0)</f>
        <v>2</v>
      </c>
    </row>
    <row r="116" spans="8:19" ht="16.5">
      <c r="H116" s="4" t="s">
        <v>182</v>
      </c>
      <c r="K116" s="4" t="s">
        <v>183</v>
      </c>
      <c r="M116">
        <f t="shared" si="4"/>
        <v>2</v>
      </c>
      <c r="N116" t="str">
        <f t="shared" si="5"/>
        <v>30001:18</v>
      </c>
      <c r="O116">
        <f t="shared" si="6"/>
        <v>6</v>
      </c>
      <c r="P116" t="str">
        <f t="shared" si="7"/>
        <v>30001</v>
      </c>
      <c r="Q116" s="5">
        <v>30001</v>
      </c>
      <c r="R116" t="str">
        <f>VLOOKUP(Q116,[1]命格基础!$A:$B,2,0)</f>
        <v>兽魂经验(小)</v>
      </c>
      <c r="S116">
        <f>VLOOKUP(Q116,[1]命格基础!$A:$C,3,0)</f>
        <v>2</v>
      </c>
    </row>
    <row r="117" spans="8:19" ht="16.5">
      <c r="H117" s="4" t="s">
        <v>170</v>
      </c>
      <c r="K117" s="4" t="s">
        <v>36</v>
      </c>
      <c r="M117">
        <f t="shared" si="4"/>
        <v>2</v>
      </c>
      <c r="N117" t="str">
        <f t="shared" si="5"/>
        <v>30001:10</v>
      </c>
      <c r="O117">
        <f t="shared" si="6"/>
        <v>6</v>
      </c>
      <c r="P117" t="str">
        <f t="shared" si="7"/>
        <v>30001</v>
      </c>
      <c r="Q117" s="5">
        <v>30001</v>
      </c>
      <c r="R117" t="str">
        <f>VLOOKUP(Q117,[1]命格基础!$A:$B,2,0)</f>
        <v>兽魂经验(小)</v>
      </c>
      <c r="S117">
        <f>VLOOKUP(Q117,[1]命格基础!$A:$C,3,0)</f>
        <v>2</v>
      </c>
    </row>
    <row r="118" spans="8:19" ht="16.5">
      <c r="H118" s="4" t="s">
        <v>171</v>
      </c>
      <c r="K118" s="4" t="s">
        <v>95</v>
      </c>
      <c r="M118">
        <f t="shared" si="4"/>
        <v>2</v>
      </c>
      <c r="N118" t="str">
        <f t="shared" si="5"/>
        <v>30002:1</v>
      </c>
      <c r="O118">
        <f t="shared" si="6"/>
        <v>6</v>
      </c>
      <c r="P118" t="str">
        <f t="shared" si="7"/>
        <v>30002</v>
      </c>
      <c r="Q118" s="5">
        <v>30002</v>
      </c>
      <c r="R118" t="str">
        <f>VLOOKUP(Q118,[1]命格基础!$A:$B,2,0)</f>
        <v>兽魂经验(大)</v>
      </c>
      <c r="S118">
        <f>VLOOKUP(Q118,[1]命格基础!$A:$C,3,0)</f>
        <v>4</v>
      </c>
    </row>
    <row r="119" spans="8:19" ht="16.5">
      <c r="H119" s="4" t="s">
        <v>188</v>
      </c>
      <c r="K119" s="4" t="s">
        <v>189</v>
      </c>
      <c r="M119">
        <f t="shared" si="4"/>
        <v>2</v>
      </c>
      <c r="N119" t="str">
        <f t="shared" si="5"/>
        <v>100031:15</v>
      </c>
      <c r="O119">
        <f t="shared" si="6"/>
        <v>7</v>
      </c>
      <c r="P119" t="str">
        <f t="shared" si="7"/>
        <v>100031</v>
      </c>
      <c r="Q119" s="5">
        <v>100031</v>
      </c>
      <c r="R119" t="e">
        <f>VLOOKUP(Q119,[1]命格基础!$A:$B,2,0)</f>
        <v>#N/A</v>
      </c>
      <c r="S119" t="e">
        <f>VLOOKUP(Q119,[1]命格基础!$A:$C,3,0)</f>
        <v>#N/A</v>
      </c>
    </row>
    <row r="120" spans="8:19" ht="16.5">
      <c r="H120" s="4" t="s">
        <v>190</v>
      </c>
      <c r="K120" s="4" t="s">
        <v>191</v>
      </c>
      <c r="M120">
        <f t="shared" si="4"/>
        <v>2</v>
      </c>
      <c r="N120" t="str">
        <f t="shared" si="5"/>
        <v>100031:12</v>
      </c>
      <c r="O120">
        <f t="shared" si="6"/>
        <v>7</v>
      </c>
      <c r="P120" t="str">
        <f t="shared" si="7"/>
        <v>100031</v>
      </c>
      <c r="Q120" s="5">
        <v>100031</v>
      </c>
      <c r="R120" t="e">
        <f>VLOOKUP(Q120,[1]命格基础!$A:$B,2,0)</f>
        <v>#N/A</v>
      </c>
      <c r="S120" t="e">
        <f>VLOOKUP(Q120,[1]命格基础!$A:$C,3,0)</f>
        <v>#N/A</v>
      </c>
    </row>
    <row r="121" spans="8:19" ht="16.5">
      <c r="H121" s="4" t="s">
        <v>172</v>
      </c>
      <c r="K121" s="4" t="s">
        <v>39</v>
      </c>
      <c r="M121">
        <f t="shared" si="4"/>
        <v>2</v>
      </c>
      <c r="N121" t="str">
        <f t="shared" si="5"/>
        <v>100031:10</v>
      </c>
      <c r="O121">
        <f t="shared" si="6"/>
        <v>7</v>
      </c>
      <c r="P121" t="str">
        <f t="shared" si="7"/>
        <v>100031</v>
      </c>
      <c r="Q121" s="5">
        <v>100031</v>
      </c>
      <c r="R121" t="e">
        <f>VLOOKUP(Q121,[1]命格基础!$A:$B,2,0)</f>
        <v>#N/A</v>
      </c>
      <c r="S121" t="e">
        <f>VLOOKUP(Q121,[1]命格基础!$A:$C,3,0)</f>
        <v>#N/A</v>
      </c>
    </row>
    <row r="122" spans="8:19" ht="16.5">
      <c r="H122" s="4" t="s">
        <v>173</v>
      </c>
      <c r="K122" s="4" t="s">
        <v>174</v>
      </c>
      <c r="M122">
        <f t="shared" si="4"/>
        <v>2</v>
      </c>
      <c r="N122" t="str">
        <f t="shared" si="5"/>
        <v>100031:8</v>
      </c>
      <c r="O122">
        <f t="shared" si="6"/>
        <v>7</v>
      </c>
      <c r="P122" t="str">
        <f t="shared" si="7"/>
        <v>100031</v>
      </c>
      <c r="Q122" s="5">
        <v>100031</v>
      </c>
      <c r="R122" t="e">
        <f>VLOOKUP(Q122,[1]命格基础!$A:$B,2,0)</f>
        <v>#N/A</v>
      </c>
      <c r="S122" t="e">
        <f>VLOOKUP(Q122,[1]命格基础!$A:$C,3,0)</f>
        <v>#N/A</v>
      </c>
    </row>
    <row r="123" spans="8:19" ht="16.5">
      <c r="H123" s="4" t="s">
        <v>209</v>
      </c>
      <c r="K123" s="4" t="s">
        <v>210</v>
      </c>
      <c r="M123">
        <f t="shared" si="4"/>
        <v>2</v>
      </c>
      <c r="N123" t="str">
        <f t="shared" si="5"/>
        <v>100056:2</v>
      </c>
      <c r="O123">
        <f t="shared" si="6"/>
        <v>7</v>
      </c>
      <c r="P123" t="str">
        <f t="shared" si="7"/>
        <v>100056</v>
      </c>
      <c r="Q123" s="5">
        <v>100056</v>
      </c>
      <c r="R123" t="e">
        <f>VLOOKUP(Q123,[1]命格基础!$A:$B,2,0)</f>
        <v>#N/A</v>
      </c>
      <c r="S123" t="e">
        <f>VLOOKUP(Q123,[1]命格基础!$A:$C,3,0)</f>
        <v>#N/A</v>
      </c>
    </row>
    <row r="124" spans="8:19" ht="16.5">
      <c r="H124" s="4" t="s">
        <v>211</v>
      </c>
      <c r="K124" s="4" t="s">
        <v>212</v>
      </c>
      <c r="M124">
        <f t="shared" si="4"/>
        <v>2</v>
      </c>
      <c r="N124" t="str">
        <f t="shared" si="5"/>
        <v>100056:3</v>
      </c>
      <c r="O124">
        <f t="shared" si="6"/>
        <v>7</v>
      </c>
      <c r="P124" t="str">
        <f t="shared" si="7"/>
        <v>100056</v>
      </c>
      <c r="Q124" s="5">
        <v>100056</v>
      </c>
      <c r="R124" t="e">
        <f>VLOOKUP(Q124,[1]命格基础!$A:$B,2,0)</f>
        <v>#N/A</v>
      </c>
      <c r="S124" t="e">
        <f>VLOOKUP(Q124,[1]命格基础!$A:$C,3,0)</f>
        <v>#N/A</v>
      </c>
    </row>
    <row r="125" spans="8:19" ht="16.5">
      <c r="H125" s="4" t="s">
        <v>125</v>
      </c>
      <c r="K125" s="4" t="s">
        <v>26</v>
      </c>
      <c r="M125">
        <f t="shared" si="4"/>
        <v>2</v>
      </c>
      <c r="N125" t="str">
        <f t="shared" si="5"/>
        <v>10001:1</v>
      </c>
      <c r="O125">
        <f t="shared" si="6"/>
        <v>6</v>
      </c>
      <c r="P125" t="str">
        <f t="shared" si="7"/>
        <v>10001</v>
      </c>
      <c r="Q125" s="5">
        <v>10001</v>
      </c>
      <c r="R125" t="str">
        <f>VLOOKUP(Q125,[1]命格基础!$A:$B,2,0)</f>
        <v>子鼠</v>
      </c>
      <c r="S125">
        <f>VLOOKUP(Q125,[1]命格基础!$A:$C,3,0)</f>
        <v>1</v>
      </c>
    </row>
    <row r="126" spans="8:19" ht="16.5">
      <c r="H126" s="4" t="s">
        <v>126</v>
      </c>
      <c r="K126" s="4" t="s">
        <v>28</v>
      </c>
      <c r="M126">
        <f t="shared" si="4"/>
        <v>2</v>
      </c>
      <c r="N126" t="str">
        <f t="shared" si="5"/>
        <v>10011:1</v>
      </c>
      <c r="O126">
        <f t="shared" si="6"/>
        <v>6</v>
      </c>
      <c r="P126" t="str">
        <f t="shared" si="7"/>
        <v>10011</v>
      </c>
      <c r="Q126" s="5">
        <v>10011</v>
      </c>
      <c r="R126" t="str">
        <f>VLOOKUP(Q126,[1]命格基础!$A:$B,2,0)</f>
        <v>丑牛</v>
      </c>
      <c r="S126">
        <f>VLOOKUP(Q126,[1]命格基础!$A:$C,3,0)</f>
        <v>1</v>
      </c>
    </row>
    <row r="127" spans="8:19" ht="16.5">
      <c r="H127" s="4" t="s">
        <v>127</v>
      </c>
      <c r="K127" s="4" t="s">
        <v>30</v>
      </c>
      <c r="M127">
        <f t="shared" si="4"/>
        <v>2</v>
      </c>
      <c r="N127" t="str">
        <f t="shared" si="5"/>
        <v>10021:1</v>
      </c>
      <c r="O127">
        <f t="shared" si="6"/>
        <v>6</v>
      </c>
      <c r="P127" t="str">
        <f t="shared" si="7"/>
        <v>10021</v>
      </c>
      <c r="Q127" s="5">
        <v>10021</v>
      </c>
      <c r="R127" t="str">
        <f>VLOOKUP(Q127,[1]命格基础!$A:$B,2,0)</f>
        <v>寅虎</v>
      </c>
      <c r="S127">
        <f>VLOOKUP(Q127,[1]命格基础!$A:$C,3,0)</f>
        <v>1</v>
      </c>
    </row>
    <row r="128" spans="8:19" ht="16.5">
      <c r="H128" s="4" t="s">
        <v>128</v>
      </c>
      <c r="K128" s="4" t="s">
        <v>32</v>
      </c>
      <c r="M128">
        <f t="shared" si="4"/>
        <v>2</v>
      </c>
      <c r="N128" t="str">
        <f t="shared" si="5"/>
        <v>10031:1</v>
      </c>
      <c r="O128">
        <f t="shared" si="6"/>
        <v>6</v>
      </c>
      <c r="P128" t="str">
        <f t="shared" si="7"/>
        <v>10031</v>
      </c>
      <c r="Q128" s="5">
        <v>10031</v>
      </c>
      <c r="R128" t="str">
        <f>VLOOKUP(Q128,[1]命格基础!$A:$B,2,0)</f>
        <v>卯兔</v>
      </c>
      <c r="S128">
        <f>VLOOKUP(Q128,[1]命格基础!$A:$C,3,0)</f>
        <v>1</v>
      </c>
    </row>
    <row r="129" spans="8:19" ht="16.5">
      <c r="H129" s="4" t="s">
        <v>129</v>
      </c>
      <c r="K129" s="4" t="s">
        <v>130</v>
      </c>
      <c r="M129">
        <f t="shared" si="4"/>
        <v>2</v>
      </c>
      <c r="N129" t="str">
        <f t="shared" si="5"/>
        <v>10041:1</v>
      </c>
      <c r="O129">
        <f t="shared" si="6"/>
        <v>6</v>
      </c>
      <c r="P129" t="str">
        <f t="shared" si="7"/>
        <v>10041</v>
      </c>
      <c r="Q129" s="5">
        <v>10041</v>
      </c>
      <c r="R129" t="str">
        <f>VLOOKUP(Q129,[1]命格基础!$A:$B,2,0)</f>
        <v>辰龙</v>
      </c>
      <c r="S129">
        <f>VLOOKUP(Q129,[1]命格基础!$A:$C,3,0)</f>
        <v>1</v>
      </c>
    </row>
    <row r="130" spans="8:19" ht="16.5">
      <c r="H130" s="4" t="s">
        <v>131</v>
      </c>
      <c r="K130" s="4" t="s">
        <v>132</v>
      </c>
      <c r="M130">
        <f t="shared" ref="M130:M193" si="8">FIND(":",K130,1)</f>
        <v>2</v>
      </c>
      <c r="N130" t="str">
        <f t="shared" ref="N130:N193" si="9">RIGHT(K130,LEN(K130)-M130)</f>
        <v>10051:1</v>
      </c>
      <c r="O130">
        <f t="shared" ref="O130:O193" si="10">FIND(":",N130,1)</f>
        <v>6</v>
      </c>
      <c r="P130" t="str">
        <f t="shared" ref="P130:P193" si="11">LEFT(N130,O130-1)</f>
        <v>10051</v>
      </c>
      <c r="Q130" s="5">
        <v>10051</v>
      </c>
      <c r="R130" t="str">
        <f>VLOOKUP(Q130,[1]命格基础!$A:$B,2,0)</f>
        <v>巳蛇</v>
      </c>
      <c r="S130">
        <f>VLOOKUP(Q130,[1]命格基础!$A:$C,3,0)</f>
        <v>1</v>
      </c>
    </row>
    <row r="131" spans="8:19" ht="16.5">
      <c r="H131" s="4" t="s">
        <v>133</v>
      </c>
      <c r="K131" s="4" t="s">
        <v>134</v>
      </c>
      <c r="M131">
        <f t="shared" si="8"/>
        <v>2</v>
      </c>
      <c r="N131" t="str">
        <f t="shared" si="9"/>
        <v>10061:1</v>
      </c>
      <c r="O131">
        <f t="shared" si="10"/>
        <v>6</v>
      </c>
      <c r="P131" t="str">
        <f t="shared" si="11"/>
        <v>10061</v>
      </c>
      <c r="Q131" s="5">
        <v>10061</v>
      </c>
      <c r="R131" t="str">
        <f>VLOOKUP(Q131,[1]命格基础!$A:$B,2,0)</f>
        <v>午马</v>
      </c>
      <c r="S131">
        <f>VLOOKUP(Q131,[1]命格基础!$A:$C,3,0)</f>
        <v>1</v>
      </c>
    </row>
    <row r="132" spans="8:19" ht="16.5">
      <c r="H132" s="4" t="s">
        <v>135</v>
      </c>
      <c r="K132" s="4" t="s">
        <v>136</v>
      </c>
      <c r="M132">
        <f t="shared" si="8"/>
        <v>2</v>
      </c>
      <c r="N132" t="str">
        <f t="shared" si="9"/>
        <v>10071:1</v>
      </c>
      <c r="O132">
        <f t="shared" si="10"/>
        <v>6</v>
      </c>
      <c r="P132" t="str">
        <f t="shared" si="11"/>
        <v>10071</v>
      </c>
      <c r="Q132" s="5">
        <v>10071</v>
      </c>
      <c r="R132" t="str">
        <f>VLOOKUP(Q132,[1]命格基础!$A:$B,2,0)</f>
        <v>未羊</v>
      </c>
      <c r="S132">
        <f>VLOOKUP(Q132,[1]命格基础!$A:$C,3,0)</f>
        <v>1</v>
      </c>
    </row>
    <row r="133" spans="8:19" ht="16.5">
      <c r="H133" s="4" t="s">
        <v>137</v>
      </c>
      <c r="K133" s="4" t="s">
        <v>138</v>
      </c>
      <c r="M133">
        <f t="shared" si="8"/>
        <v>2</v>
      </c>
      <c r="N133" t="str">
        <f t="shared" si="9"/>
        <v>10081:1</v>
      </c>
      <c r="O133">
        <f t="shared" si="10"/>
        <v>6</v>
      </c>
      <c r="P133" t="str">
        <f t="shared" si="11"/>
        <v>10081</v>
      </c>
      <c r="Q133" s="5">
        <v>10081</v>
      </c>
      <c r="R133" t="str">
        <f>VLOOKUP(Q133,[1]命格基础!$A:$B,2,0)</f>
        <v>申猴</v>
      </c>
      <c r="S133">
        <f>VLOOKUP(Q133,[1]命格基础!$A:$C,3,0)</f>
        <v>1</v>
      </c>
    </row>
    <row r="134" spans="8:19" ht="16.5">
      <c r="H134" s="4" t="s">
        <v>139</v>
      </c>
      <c r="K134" s="4" t="s">
        <v>140</v>
      </c>
      <c r="M134">
        <f t="shared" si="8"/>
        <v>2</v>
      </c>
      <c r="N134" t="str">
        <f t="shared" si="9"/>
        <v>10091:1</v>
      </c>
      <c r="O134">
        <f t="shared" si="10"/>
        <v>6</v>
      </c>
      <c r="P134" t="str">
        <f t="shared" si="11"/>
        <v>10091</v>
      </c>
      <c r="Q134" s="5">
        <v>10091</v>
      </c>
      <c r="R134" t="str">
        <f>VLOOKUP(Q134,[1]命格基础!$A:$B,2,0)</f>
        <v>酉鸡</v>
      </c>
      <c r="S134">
        <f>VLOOKUP(Q134,[1]命格基础!$A:$C,3,0)</f>
        <v>1</v>
      </c>
    </row>
    <row r="135" spans="8:19" ht="16.5">
      <c r="H135" s="4" t="s">
        <v>141</v>
      </c>
      <c r="K135" s="4" t="s">
        <v>142</v>
      </c>
      <c r="M135">
        <f t="shared" si="8"/>
        <v>2</v>
      </c>
      <c r="N135" t="str">
        <f t="shared" si="9"/>
        <v>10101:1</v>
      </c>
      <c r="O135">
        <f t="shared" si="10"/>
        <v>6</v>
      </c>
      <c r="P135" t="str">
        <f t="shared" si="11"/>
        <v>10101</v>
      </c>
      <c r="Q135" s="5">
        <v>10101</v>
      </c>
      <c r="R135" t="str">
        <f>VLOOKUP(Q135,[1]命格基础!$A:$B,2,0)</f>
        <v>戌狗</v>
      </c>
      <c r="S135">
        <f>VLOOKUP(Q135,[1]命格基础!$A:$C,3,0)</f>
        <v>1</v>
      </c>
    </row>
    <row r="136" spans="8:19" ht="16.5">
      <c r="H136" s="4" t="s">
        <v>143</v>
      </c>
      <c r="K136" s="4" t="s">
        <v>144</v>
      </c>
      <c r="M136">
        <f t="shared" si="8"/>
        <v>2</v>
      </c>
      <c r="N136" t="str">
        <f t="shared" si="9"/>
        <v>10111:1</v>
      </c>
      <c r="O136">
        <f t="shared" si="10"/>
        <v>6</v>
      </c>
      <c r="P136" t="str">
        <f t="shared" si="11"/>
        <v>10111</v>
      </c>
      <c r="Q136" s="5">
        <v>10111</v>
      </c>
      <c r="R136" t="str">
        <f>VLOOKUP(Q136,[1]命格基础!$A:$B,2,0)</f>
        <v>亥猪</v>
      </c>
      <c r="S136">
        <f>VLOOKUP(Q136,[1]命格基础!$A:$C,3,0)</f>
        <v>1</v>
      </c>
    </row>
    <row r="137" spans="8:19" ht="16.5">
      <c r="H137" s="4" t="s">
        <v>145</v>
      </c>
      <c r="K137" s="4" t="s">
        <v>46</v>
      </c>
      <c r="M137">
        <f t="shared" si="8"/>
        <v>2</v>
      </c>
      <c r="N137" t="str">
        <f t="shared" si="9"/>
        <v>10002:1</v>
      </c>
      <c r="O137">
        <f t="shared" si="10"/>
        <v>6</v>
      </c>
      <c r="P137" t="str">
        <f t="shared" si="11"/>
        <v>10002</v>
      </c>
      <c r="Q137" s="5">
        <v>10002</v>
      </c>
      <c r="R137" t="str">
        <f>VLOOKUP(Q137,[1]命格基础!$A:$B,2,0)</f>
        <v>子鼠</v>
      </c>
      <c r="S137">
        <f>VLOOKUP(Q137,[1]命格基础!$A:$C,3,0)</f>
        <v>2</v>
      </c>
    </row>
    <row r="138" spans="8:19" ht="16.5">
      <c r="H138" s="4" t="s">
        <v>146</v>
      </c>
      <c r="K138" s="4" t="s">
        <v>47</v>
      </c>
      <c r="M138">
        <f t="shared" si="8"/>
        <v>2</v>
      </c>
      <c r="N138" t="str">
        <f t="shared" si="9"/>
        <v>10012:1</v>
      </c>
      <c r="O138">
        <f t="shared" si="10"/>
        <v>6</v>
      </c>
      <c r="P138" t="str">
        <f t="shared" si="11"/>
        <v>10012</v>
      </c>
      <c r="Q138" s="5">
        <v>10012</v>
      </c>
      <c r="R138" t="str">
        <f>VLOOKUP(Q138,[1]命格基础!$A:$B,2,0)</f>
        <v>丑牛</v>
      </c>
      <c r="S138">
        <f>VLOOKUP(Q138,[1]命格基础!$A:$C,3,0)</f>
        <v>2</v>
      </c>
    </row>
    <row r="139" spans="8:19" ht="16.5">
      <c r="H139" s="4" t="s">
        <v>147</v>
      </c>
      <c r="K139" s="4" t="s">
        <v>48</v>
      </c>
      <c r="M139">
        <f t="shared" si="8"/>
        <v>2</v>
      </c>
      <c r="N139" t="str">
        <f t="shared" si="9"/>
        <v>10022:1</v>
      </c>
      <c r="O139">
        <f t="shared" si="10"/>
        <v>6</v>
      </c>
      <c r="P139" t="str">
        <f t="shared" si="11"/>
        <v>10022</v>
      </c>
      <c r="Q139" s="5">
        <v>10022</v>
      </c>
      <c r="R139" t="str">
        <f>VLOOKUP(Q139,[1]命格基础!$A:$B,2,0)</f>
        <v>寅虎</v>
      </c>
      <c r="S139">
        <f>VLOOKUP(Q139,[1]命格基础!$A:$C,3,0)</f>
        <v>2</v>
      </c>
    </row>
    <row r="140" spans="8:19" ht="16.5">
      <c r="H140" s="4" t="s">
        <v>148</v>
      </c>
      <c r="K140" s="4" t="s">
        <v>49</v>
      </c>
      <c r="M140">
        <f t="shared" si="8"/>
        <v>2</v>
      </c>
      <c r="N140" t="str">
        <f t="shared" si="9"/>
        <v>10032:1</v>
      </c>
      <c r="O140">
        <f t="shared" si="10"/>
        <v>6</v>
      </c>
      <c r="P140" t="str">
        <f t="shared" si="11"/>
        <v>10032</v>
      </c>
      <c r="Q140" s="5">
        <v>10032</v>
      </c>
      <c r="R140" t="str">
        <f>VLOOKUP(Q140,[1]命格基础!$A:$B,2,0)</f>
        <v>卯兔</v>
      </c>
      <c r="S140">
        <f>VLOOKUP(Q140,[1]命格基础!$A:$C,3,0)</f>
        <v>2</v>
      </c>
    </row>
    <row r="141" spans="8:19" ht="16.5">
      <c r="H141" s="4" t="s">
        <v>149</v>
      </c>
      <c r="K141" s="4" t="s">
        <v>50</v>
      </c>
      <c r="M141">
        <f t="shared" si="8"/>
        <v>2</v>
      </c>
      <c r="N141" t="str">
        <f t="shared" si="9"/>
        <v>10042:1</v>
      </c>
      <c r="O141">
        <f t="shared" si="10"/>
        <v>6</v>
      </c>
      <c r="P141" t="str">
        <f t="shared" si="11"/>
        <v>10042</v>
      </c>
      <c r="Q141" s="5">
        <v>10042</v>
      </c>
      <c r="R141" t="str">
        <f>VLOOKUP(Q141,[1]命格基础!$A:$B,2,0)</f>
        <v>辰龙</v>
      </c>
      <c r="S141">
        <f>VLOOKUP(Q141,[1]命格基础!$A:$C,3,0)</f>
        <v>2</v>
      </c>
    </row>
    <row r="142" spans="8:19" ht="16.5">
      <c r="H142" s="4" t="s">
        <v>150</v>
      </c>
      <c r="K142" s="4" t="s">
        <v>52</v>
      </c>
      <c r="M142">
        <f t="shared" si="8"/>
        <v>2</v>
      </c>
      <c r="N142" t="str">
        <f t="shared" si="9"/>
        <v>10052:1</v>
      </c>
      <c r="O142">
        <f t="shared" si="10"/>
        <v>6</v>
      </c>
      <c r="P142" t="str">
        <f t="shared" si="11"/>
        <v>10052</v>
      </c>
      <c r="Q142" s="5">
        <v>10052</v>
      </c>
      <c r="R142" t="str">
        <f>VLOOKUP(Q142,[1]命格基础!$A:$B,2,0)</f>
        <v>巳蛇</v>
      </c>
      <c r="S142">
        <f>VLOOKUP(Q142,[1]命格基础!$A:$C,3,0)</f>
        <v>2</v>
      </c>
    </row>
    <row r="143" spans="8:19" ht="16.5">
      <c r="H143" s="4" t="s">
        <v>151</v>
      </c>
      <c r="K143" s="4" t="s">
        <v>152</v>
      </c>
      <c r="M143">
        <f t="shared" si="8"/>
        <v>2</v>
      </c>
      <c r="N143" t="str">
        <f t="shared" si="9"/>
        <v>10062:1</v>
      </c>
      <c r="O143">
        <f t="shared" si="10"/>
        <v>6</v>
      </c>
      <c r="P143" t="str">
        <f t="shared" si="11"/>
        <v>10062</v>
      </c>
      <c r="Q143" s="5">
        <v>10062</v>
      </c>
      <c r="R143" t="str">
        <f>VLOOKUP(Q143,[1]命格基础!$A:$B,2,0)</f>
        <v>午马</v>
      </c>
      <c r="S143">
        <f>VLOOKUP(Q143,[1]命格基础!$A:$C,3,0)</f>
        <v>2</v>
      </c>
    </row>
    <row r="144" spans="8:19" ht="16.5">
      <c r="H144" s="4" t="s">
        <v>153</v>
      </c>
      <c r="K144" s="4" t="s">
        <v>54</v>
      </c>
      <c r="M144">
        <f t="shared" si="8"/>
        <v>2</v>
      </c>
      <c r="N144" t="str">
        <f t="shared" si="9"/>
        <v>10072:1</v>
      </c>
      <c r="O144">
        <f t="shared" si="10"/>
        <v>6</v>
      </c>
      <c r="P144" t="str">
        <f t="shared" si="11"/>
        <v>10072</v>
      </c>
      <c r="Q144" s="5">
        <v>10072</v>
      </c>
      <c r="R144" t="str">
        <f>VLOOKUP(Q144,[1]命格基础!$A:$B,2,0)</f>
        <v>未羊</v>
      </c>
      <c r="S144">
        <f>VLOOKUP(Q144,[1]命格基础!$A:$C,3,0)</f>
        <v>2</v>
      </c>
    </row>
    <row r="145" spans="8:19" ht="16.5">
      <c r="H145" s="4" t="s">
        <v>154</v>
      </c>
      <c r="K145" s="4" t="s">
        <v>155</v>
      </c>
      <c r="M145">
        <f t="shared" si="8"/>
        <v>2</v>
      </c>
      <c r="N145" t="str">
        <f t="shared" si="9"/>
        <v>10082:1</v>
      </c>
      <c r="O145">
        <f t="shared" si="10"/>
        <v>6</v>
      </c>
      <c r="P145" t="str">
        <f t="shared" si="11"/>
        <v>10082</v>
      </c>
      <c r="Q145" s="5">
        <v>10082</v>
      </c>
      <c r="R145" t="str">
        <f>VLOOKUP(Q145,[1]命格基础!$A:$B,2,0)</f>
        <v>申猴</v>
      </c>
      <c r="S145">
        <f>VLOOKUP(Q145,[1]命格基础!$A:$C,3,0)</f>
        <v>2</v>
      </c>
    </row>
    <row r="146" spans="8:19" ht="16.5">
      <c r="H146" s="4" t="s">
        <v>156</v>
      </c>
      <c r="K146" s="4" t="s">
        <v>56</v>
      </c>
      <c r="M146">
        <f t="shared" si="8"/>
        <v>2</v>
      </c>
      <c r="N146" t="str">
        <f t="shared" si="9"/>
        <v>10092:1</v>
      </c>
      <c r="O146">
        <f t="shared" si="10"/>
        <v>6</v>
      </c>
      <c r="P146" t="str">
        <f t="shared" si="11"/>
        <v>10092</v>
      </c>
      <c r="Q146" s="5">
        <v>10092</v>
      </c>
      <c r="R146" t="str">
        <f>VLOOKUP(Q146,[1]命格基础!$A:$B,2,0)</f>
        <v>酉鸡</v>
      </c>
      <c r="S146">
        <f>VLOOKUP(Q146,[1]命格基础!$A:$C,3,0)</f>
        <v>2</v>
      </c>
    </row>
    <row r="147" spans="8:19" ht="16.5">
      <c r="H147" s="4" t="s">
        <v>157</v>
      </c>
      <c r="K147" s="4" t="s">
        <v>158</v>
      </c>
      <c r="M147">
        <f t="shared" si="8"/>
        <v>2</v>
      </c>
      <c r="N147" t="str">
        <f t="shared" si="9"/>
        <v>10102:1</v>
      </c>
      <c r="O147">
        <f t="shared" si="10"/>
        <v>6</v>
      </c>
      <c r="P147" t="str">
        <f t="shared" si="11"/>
        <v>10102</v>
      </c>
      <c r="Q147" s="5">
        <v>10102</v>
      </c>
      <c r="R147" t="str">
        <f>VLOOKUP(Q147,[1]命格基础!$A:$B,2,0)</f>
        <v>戌狗</v>
      </c>
      <c r="S147">
        <f>VLOOKUP(Q147,[1]命格基础!$A:$C,3,0)</f>
        <v>2</v>
      </c>
    </row>
    <row r="148" spans="8:19" ht="16.5">
      <c r="H148" s="4" t="s">
        <v>159</v>
      </c>
      <c r="K148" s="4" t="s">
        <v>160</v>
      </c>
      <c r="M148">
        <f t="shared" si="8"/>
        <v>2</v>
      </c>
      <c r="N148" t="str">
        <f t="shared" si="9"/>
        <v>10112:1</v>
      </c>
      <c r="O148">
        <f t="shared" si="10"/>
        <v>6</v>
      </c>
      <c r="P148" t="str">
        <f t="shared" si="11"/>
        <v>10112</v>
      </c>
      <c r="Q148" s="5">
        <v>10112</v>
      </c>
      <c r="R148" t="str">
        <f>VLOOKUP(Q148,[1]命格基础!$A:$B,2,0)</f>
        <v>亥猪</v>
      </c>
      <c r="S148">
        <f>VLOOKUP(Q148,[1]命格基础!$A:$C,3,0)</f>
        <v>2</v>
      </c>
    </row>
    <row r="149" spans="8:19" ht="16.5">
      <c r="H149" s="4" t="s">
        <v>193</v>
      </c>
      <c r="K149" s="4" t="s">
        <v>59</v>
      </c>
      <c r="M149">
        <f t="shared" si="8"/>
        <v>2</v>
      </c>
      <c r="N149" t="str">
        <f t="shared" si="9"/>
        <v>10003:1</v>
      </c>
      <c r="O149">
        <f t="shared" si="10"/>
        <v>6</v>
      </c>
      <c r="P149" t="str">
        <f t="shared" si="11"/>
        <v>10003</v>
      </c>
      <c r="Q149" s="5">
        <v>10003</v>
      </c>
      <c r="R149" t="str">
        <f>VLOOKUP(Q149,[1]命格基础!$A:$B,2,0)</f>
        <v>子鼠</v>
      </c>
      <c r="S149">
        <f>VLOOKUP(Q149,[1]命格基础!$A:$C,3,0)</f>
        <v>3</v>
      </c>
    </row>
    <row r="150" spans="8:19" ht="16.5">
      <c r="H150" s="4" t="s">
        <v>194</v>
      </c>
      <c r="K150" s="4" t="s">
        <v>60</v>
      </c>
      <c r="M150">
        <f t="shared" si="8"/>
        <v>2</v>
      </c>
      <c r="N150" t="str">
        <f t="shared" si="9"/>
        <v>10013:1</v>
      </c>
      <c r="O150">
        <f t="shared" si="10"/>
        <v>6</v>
      </c>
      <c r="P150" t="str">
        <f t="shared" si="11"/>
        <v>10013</v>
      </c>
      <c r="Q150" s="5">
        <v>10013</v>
      </c>
      <c r="R150" t="str">
        <f>VLOOKUP(Q150,[1]命格基础!$A:$B,2,0)</f>
        <v>丑牛</v>
      </c>
      <c r="S150">
        <f>VLOOKUP(Q150,[1]命格基础!$A:$C,3,0)</f>
        <v>3</v>
      </c>
    </row>
    <row r="151" spans="8:19" ht="16.5">
      <c r="H151" s="4" t="s">
        <v>195</v>
      </c>
      <c r="K151" s="4" t="s">
        <v>61</v>
      </c>
      <c r="M151">
        <f t="shared" si="8"/>
        <v>2</v>
      </c>
      <c r="N151" t="str">
        <f t="shared" si="9"/>
        <v>10023:1</v>
      </c>
      <c r="O151">
        <f t="shared" si="10"/>
        <v>6</v>
      </c>
      <c r="P151" t="str">
        <f t="shared" si="11"/>
        <v>10023</v>
      </c>
      <c r="Q151" s="5">
        <v>10023</v>
      </c>
      <c r="R151" t="str">
        <f>VLOOKUP(Q151,[1]命格基础!$A:$B,2,0)</f>
        <v>寅虎</v>
      </c>
      <c r="S151">
        <f>VLOOKUP(Q151,[1]命格基础!$A:$C,3,0)</f>
        <v>3</v>
      </c>
    </row>
    <row r="152" spans="8:19" ht="16.5">
      <c r="H152" s="4" t="s">
        <v>196</v>
      </c>
      <c r="K152" s="4" t="s">
        <v>62</v>
      </c>
      <c r="M152">
        <f t="shared" si="8"/>
        <v>2</v>
      </c>
      <c r="N152" t="str">
        <f t="shared" si="9"/>
        <v>10033:1</v>
      </c>
      <c r="O152">
        <f t="shared" si="10"/>
        <v>6</v>
      </c>
      <c r="P152" t="str">
        <f t="shared" si="11"/>
        <v>10033</v>
      </c>
      <c r="Q152" s="5">
        <v>10033</v>
      </c>
      <c r="R152" t="str">
        <f>VLOOKUP(Q152,[1]命格基础!$A:$B,2,0)</f>
        <v>卯兔</v>
      </c>
      <c r="S152">
        <f>VLOOKUP(Q152,[1]命格基础!$A:$C,3,0)</f>
        <v>3</v>
      </c>
    </row>
    <row r="153" spans="8:19" ht="16.5">
      <c r="H153" s="4" t="s">
        <v>197</v>
      </c>
      <c r="K153" s="4" t="s">
        <v>63</v>
      </c>
      <c r="M153">
        <f t="shared" si="8"/>
        <v>2</v>
      </c>
      <c r="N153" t="str">
        <f t="shared" si="9"/>
        <v>10043:1</v>
      </c>
      <c r="O153">
        <f t="shared" si="10"/>
        <v>6</v>
      </c>
      <c r="P153" t="str">
        <f t="shared" si="11"/>
        <v>10043</v>
      </c>
      <c r="Q153" s="5">
        <v>10043</v>
      </c>
      <c r="R153" t="str">
        <f>VLOOKUP(Q153,[1]命格基础!$A:$B,2,0)</f>
        <v>辰龙</v>
      </c>
      <c r="S153">
        <f>VLOOKUP(Q153,[1]命格基础!$A:$C,3,0)</f>
        <v>3</v>
      </c>
    </row>
    <row r="154" spans="8:19" ht="16.5">
      <c r="H154" s="4" t="s">
        <v>198</v>
      </c>
      <c r="K154" s="4" t="s">
        <v>64</v>
      </c>
      <c r="M154">
        <f t="shared" si="8"/>
        <v>2</v>
      </c>
      <c r="N154" t="str">
        <f t="shared" si="9"/>
        <v>10053:1</v>
      </c>
      <c r="O154">
        <f t="shared" si="10"/>
        <v>6</v>
      </c>
      <c r="P154" t="str">
        <f t="shared" si="11"/>
        <v>10053</v>
      </c>
      <c r="Q154" s="5">
        <v>10053</v>
      </c>
      <c r="R154" t="str">
        <f>VLOOKUP(Q154,[1]命格基础!$A:$B,2,0)</f>
        <v>巳蛇</v>
      </c>
      <c r="S154">
        <f>VLOOKUP(Q154,[1]命格基础!$A:$C,3,0)</f>
        <v>3</v>
      </c>
    </row>
    <row r="155" spans="8:19" ht="16.5">
      <c r="H155" s="4" t="s">
        <v>199</v>
      </c>
      <c r="K155" s="4" t="s">
        <v>65</v>
      </c>
      <c r="M155">
        <f t="shared" si="8"/>
        <v>2</v>
      </c>
      <c r="N155" t="str">
        <f t="shared" si="9"/>
        <v>10063:1</v>
      </c>
      <c r="O155">
        <f t="shared" si="10"/>
        <v>6</v>
      </c>
      <c r="P155" t="str">
        <f t="shared" si="11"/>
        <v>10063</v>
      </c>
      <c r="Q155" s="5">
        <v>10063</v>
      </c>
      <c r="R155" t="str">
        <f>VLOOKUP(Q155,[1]命格基础!$A:$B,2,0)</f>
        <v>午马</v>
      </c>
      <c r="S155">
        <f>VLOOKUP(Q155,[1]命格基础!$A:$C,3,0)</f>
        <v>3</v>
      </c>
    </row>
    <row r="156" spans="8:19" ht="16.5">
      <c r="H156" s="4" t="s">
        <v>200</v>
      </c>
      <c r="K156" s="4" t="s">
        <v>67</v>
      </c>
      <c r="M156">
        <f t="shared" si="8"/>
        <v>2</v>
      </c>
      <c r="N156" t="str">
        <f t="shared" si="9"/>
        <v>10073:1</v>
      </c>
      <c r="O156">
        <f t="shared" si="10"/>
        <v>6</v>
      </c>
      <c r="P156" t="str">
        <f t="shared" si="11"/>
        <v>10073</v>
      </c>
      <c r="Q156" s="5">
        <v>10073</v>
      </c>
      <c r="R156" t="str">
        <f>VLOOKUP(Q156,[1]命格基础!$A:$B,2,0)</f>
        <v>未羊</v>
      </c>
      <c r="S156">
        <f>VLOOKUP(Q156,[1]命格基础!$A:$C,3,0)</f>
        <v>3</v>
      </c>
    </row>
    <row r="157" spans="8:19" ht="16.5">
      <c r="H157" s="4" t="s">
        <v>201</v>
      </c>
      <c r="K157" s="4" t="s">
        <v>68</v>
      </c>
      <c r="M157">
        <f t="shared" si="8"/>
        <v>2</v>
      </c>
      <c r="N157" t="str">
        <f t="shared" si="9"/>
        <v>10083:1</v>
      </c>
      <c r="O157">
        <f t="shared" si="10"/>
        <v>6</v>
      </c>
      <c r="P157" t="str">
        <f t="shared" si="11"/>
        <v>10083</v>
      </c>
      <c r="Q157" s="5">
        <v>10083</v>
      </c>
      <c r="R157" t="str">
        <f>VLOOKUP(Q157,[1]命格基础!$A:$B,2,0)</f>
        <v>申猴</v>
      </c>
      <c r="S157">
        <f>VLOOKUP(Q157,[1]命格基础!$A:$C,3,0)</f>
        <v>3</v>
      </c>
    </row>
    <row r="158" spans="8:19" ht="16.5">
      <c r="H158" s="4" t="s">
        <v>202</v>
      </c>
      <c r="K158" s="4" t="s">
        <v>70</v>
      </c>
      <c r="M158">
        <f t="shared" si="8"/>
        <v>2</v>
      </c>
      <c r="N158" t="str">
        <f t="shared" si="9"/>
        <v>10093:1</v>
      </c>
      <c r="O158">
        <f t="shared" si="10"/>
        <v>6</v>
      </c>
      <c r="P158" t="str">
        <f t="shared" si="11"/>
        <v>10093</v>
      </c>
      <c r="Q158" s="5">
        <v>10093</v>
      </c>
      <c r="R158" t="str">
        <f>VLOOKUP(Q158,[1]命格基础!$A:$B,2,0)</f>
        <v>酉鸡</v>
      </c>
      <c r="S158">
        <f>VLOOKUP(Q158,[1]命格基础!$A:$C,3,0)</f>
        <v>3</v>
      </c>
    </row>
    <row r="159" spans="8:19" ht="16.5">
      <c r="H159" s="4" t="s">
        <v>203</v>
      </c>
      <c r="K159" s="4" t="s">
        <v>71</v>
      </c>
      <c r="M159">
        <f t="shared" si="8"/>
        <v>2</v>
      </c>
      <c r="N159" t="str">
        <f t="shared" si="9"/>
        <v>10103:1</v>
      </c>
      <c r="O159">
        <f t="shared" si="10"/>
        <v>6</v>
      </c>
      <c r="P159" t="str">
        <f t="shared" si="11"/>
        <v>10103</v>
      </c>
      <c r="Q159" s="5">
        <v>10103</v>
      </c>
      <c r="R159" t="str">
        <f>VLOOKUP(Q159,[1]命格基础!$A:$B,2,0)</f>
        <v>戌狗</v>
      </c>
      <c r="S159">
        <f>VLOOKUP(Q159,[1]命格基础!$A:$C,3,0)</f>
        <v>3</v>
      </c>
    </row>
    <row r="160" spans="8:19" ht="16.5">
      <c r="H160" s="4" t="s">
        <v>204</v>
      </c>
      <c r="K160" s="4" t="s">
        <v>73</v>
      </c>
      <c r="M160">
        <f t="shared" si="8"/>
        <v>2</v>
      </c>
      <c r="N160" t="str">
        <f t="shared" si="9"/>
        <v>10113:1</v>
      </c>
      <c r="O160">
        <f t="shared" si="10"/>
        <v>6</v>
      </c>
      <c r="P160" t="str">
        <f t="shared" si="11"/>
        <v>10113</v>
      </c>
      <c r="Q160" s="5">
        <v>10113</v>
      </c>
      <c r="R160" t="str">
        <f>VLOOKUP(Q160,[1]命格基础!$A:$B,2,0)</f>
        <v>亥猪</v>
      </c>
      <c r="S160">
        <f>VLOOKUP(Q160,[1]命格基础!$A:$C,3,0)</f>
        <v>3</v>
      </c>
    </row>
    <row r="161" spans="8:19" ht="16.5">
      <c r="H161" s="4" t="s">
        <v>213</v>
      </c>
      <c r="K161" s="4" t="s">
        <v>98</v>
      </c>
      <c r="M161">
        <f t="shared" si="8"/>
        <v>2</v>
      </c>
      <c r="N161" t="str">
        <f t="shared" si="9"/>
        <v>10004:1</v>
      </c>
      <c r="O161">
        <f t="shared" si="10"/>
        <v>6</v>
      </c>
      <c r="P161" t="str">
        <f t="shared" si="11"/>
        <v>10004</v>
      </c>
      <c r="Q161" s="5">
        <v>10004</v>
      </c>
      <c r="R161" t="str">
        <f>VLOOKUP(Q161,[1]命格基础!$A:$B,2,0)</f>
        <v>子鼠</v>
      </c>
      <c r="S161">
        <f>VLOOKUP(Q161,[1]命格基础!$A:$C,3,0)</f>
        <v>4</v>
      </c>
    </row>
    <row r="162" spans="8:19" ht="16.5">
      <c r="H162" s="4" t="s">
        <v>214</v>
      </c>
      <c r="K162" s="4" t="s">
        <v>99</v>
      </c>
      <c r="M162">
        <f t="shared" si="8"/>
        <v>2</v>
      </c>
      <c r="N162" t="str">
        <f t="shared" si="9"/>
        <v>10014:1</v>
      </c>
      <c r="O162">
        <f t="shared" si="10"/>
        <v>6</v>
      </c>
      <c r="P162" t="str">
        <f t="shared" si="11"/>
        <v>10014</v>
      </c>
      <c r="Q162" s="5">
        <v>10014</v>
      </c>
      <c r="R162" t="str">
        <f>VLOOKUP(Q162,[1]命格基础!$A:$B,2,0)</f>
        <v>丑牛</v>
      </c>
      <c r="S162">
        <f>VLOOKUP(Q162,[1]命格基础!$A:$C,3,0)</f>
        <v>4</v>
      </c>
    </row>
    <row r="163" spans="8:19" ht="16.5">
      <c r="H163" s="4" t="s">
        <v>215</v>
      </c>
      <c r="K163" s="4" t="s">
        <v>100</v>
      </c>
      <c r="M163">
        <f t="shared" si="8"/>
        <v>2</v>
      </c>
      <c r="N163" t="str">
        <f t="shared" si="9"/>
        <v>10024:1</v>
      </c>
      <c r="O163">
        <f t="shared" si="10"/>
        <v>6</v>
      </c>
      <c r="P163" t="str">
        <f t="shared" si="11"/>
        <v>10024</v>
      </c>
      <c r="Q163" s="5">
        <v>10024</v>
      </c>
      <c r="R163" t="str">
        <f>VLOOKUP(Q163,[1]命格基础!$A:$B,2,0)</f>
        <v>寅虎</v>
      </c>
      <c r="S163">
        <f>VLOOKUP(Q163,[1]命格基础!$A:$C,3,0)</f>
        <v>4</v>
      </c>
    </row>
    <row r="164" spans="8:19" ht="16.5">
      <c r="H164" s="4" t="s">
        <v>216</v>
      </c>
      <c r="K164" s="4" t="s">
        <v>101</v>
      </c>
      <c r="M164">
        <f t="shared" si="8"/>
        <v>2</v>
      </c>
      <c r="N164" t="str">
        <f t="shared" si="9"/>
        <v>10034:1</v>
      </c>
      <c r="O164">
        <f t="shared" si="10"/>
        <v>6</v>
      </c>
      <c r="P164" t="str">
        <f t="shared" si="11"/>
        <v>10034</v>
      </c>
      <c r="Q164" s="5">
        <v>10034</v>
      </c>
      <c r="R164" t="str">
        <f>VLOOKUP(Q164,[1]命格基础!$A:$B,2,0)</f>
        <v>卯兔</v>
      </c>
      <c r="S164">
        <f>VLOOKUP(Q164,[1]命格基础!$A:$C,3,0)</f>
        <v>4</v>
      </c>
    </row>
    <row r="165" spans="8:19" ht="16.5">
      <c r="H165" s="4" t="s">
        <v>217</v>
      </c>
      <c r="K165" s="4" t="s">
        <v>102</v>
      </c>
      <c r="M165">
        <f t="shared" si="8"/>
        <v>2</v>
      </c>
      <c r="N165" t="str">
        <f t="shared" si="9"/>
        <v>10044:1</v>
      </c>
      <c r="O165">
        <f t="shared" si="10"/>
        <v>6</v>
      </c>
      <c r="P165" t="str">
        <f t="shared" si="11"/>
        <v>10044</v>
      </c>
      <c r="Q165" s="5">
        <v>10044</v>
      </c>
      <c r="R165" t="str">
        <f>VLOOKUP(Q165,[1]命格基础!$A:$B,2,0)</f>
        <v>辰龙</v>
      </c>
      <c r="S165">
        <f>VLOOKUP(Q165,[1]命格基础!$A:$C,3,0)</f>
        <v>4</v>
      </c>
    </row>
    <row r="166" spans="8:19" ht="16.5">
      <c r="H166" s="4" t="s">
        <v>218</v>
      </c>
      <c r="K166" s="4" t="s">
        <v>103</v>
      </c>
      <c r="M166">
        <f t="shared" si="8"/>
        <v>2</v>
      </c>
      <c r="N166" t="str">
        <f t="shared" si="9"/>
        <v>10054:1</v>
      </c>
      <c r="O166">
        <f t="shared" si="10"/>
        <v>6</v>
      </c>
      <c r="P166" t="str">
        <f t="shared" si="11"/>
        <v>10054</v>
      </c>
      <c r="Q166" s="5">
        <v>10054</v>
      </c>
      <c r="R166" t="str">
        <f>VLOOKUP(Q166,[1]命格基础!$A:$B,2,0)</f>
        <v>巳蛇</v>
      </c>
      <c r="S166">
        <f>VLOOKUP(Q166,[1]命格基础!$A:$C,3,0)</f>
        <v>4</v>
      </c>
    </row>
    <row r="167" spans="8:19" ht="16.5">
      <c r="H167" s="4" t="s">
        <v>219</v>
      </c>
      <c r="K167" s="4" t="s">
        <v>104</v>
      </c>
      <c r="M167">
        <f t="shared" si="8"/>
        <v>2</v>
      </c>
      <c r="N167" t="str">
        <f t="shared" si="9"/>
        <v>10064:1</v>
      </c>
      <c r="O167">
        <f t="shared" si="10"/>
        <v>6</v>
      </c>
      <c r="P167" t="str">
        <f t="shared" si="11"/>
        <v>10064</v>
      </c>
      <c r="Q167" s="5">
        <v>10064</v>
      </c>
      <c r="R167" t="str">
        <f>VLOOKUP(Q167,[1]命格基础!$A:$B,2,0)</f>
        <v>午马</v>
      </c>
      <c r="S167">
        <f>VLOOKUP(Q167,[1]命格基础!$A:$C,3,0)</f>
        <v>4</v>
      </c>
    </row>
    <row r="168" spans="8:19" ht="16.5">
      <c r="H168" s="4" t="s">
        <v>220</v>
      </c>
      <c r="K168" s="4" t="s">
        <v>105</v>
      </c>
      <c r="M168">
        <f t="shared" si="8"/>
        <v>2</v>
      </c>
      <c r="N168" t="str">
        <f t="shared" si="9"/>
        <v>10074:1</v>
      </c>
      <c r="O168">
        <f t="shared" si="10"/>
        <v>6</v>
      </c>
      <c r="P168" t="str">
        <f t="shared" si="11"/>
        <v>10074</v>
      </c>
      <c r="Q168" s="5">
        <v>10074</v>
      </c>
      <c r="R168" t="str">
        <f>VLOOKUP(Q168,[1]命格基础!$A:$B,2,0)</f>
        <v>未羊</v>
      </c>
      <c r="S168">
        <f>VLOOKUP(Q168,[1]命格基础!$A:$C,3,0)</f>
        <v>4</v>
      </c>
    </row>
    <row r="169" spans="8:19" ht="16.5">
      <c r="H169" s="4" t="s">
        <v>221</v>
      </c>
      <c r="K169" s="4" t="s">
        <v>106</v>
      </c>
      <c r="M169">
        <f t="shared" si="8"/>
        <v>2</v>
      </c>
      <c r="N169" t="str">
        <f t="shared" si="9"/>
        <v>10084:1</v>
      </c>
      <c r="O169">
        <f t="shared" si="10"/>
        <v>6</v>
      </c>
      <c r="P169" t="str">
        <f t="shared" si="11"/>
        <v>10084</v>
      </c>
      <c r="Q169" s="5">
        <v>10084</v>
      </c>
      <c r="R169" t="str">
        <f>VLOOKUP(Q169,[1]命格基础!$A:$B,2,0)</f>
        <v>申猴</v>
      </c>
      <c r="S169">
        <f>VLOOKUP(Q169,[1]命格基础!$A:$C,3,0)</f>
        <v>4</v>
      </c>
    </row>
    <row r="170" spans="8:19" ht="16.5">
      <c r="H170" s="4" t="s">
        <v>222</v>
      </c>
      <c r="K170" s="4" t="s">
        <v>107</v>
      </c>
      <c r="M170">
        <f t="shared" si="8"/>
        <v>2</v>
      </c>
      <c r="N170" t="str">
        <f t="shared" si="9"/>
        <v>10094:1</v>
      </c>
      <c r="O170">
        <f t="shared" si="10"/>
        <v>6</v>
      </c>
      <c r="P170" t="str">
        <f t="shared" si="11"/>
        <v>10094</v>
      </c>
      <c r="Q170" s="5">
        <v>10094</v>
      </c>
      <c r="R170" t="str">
        <f>VLOOKUP(Q170,[1]命格基础!$A:$B,2,0)</f>
        <v>酉鸡</v>
      </c>
      <c r="S170">
        <f>VLOOKUP(Q170,[1]命格基础!$A:$C,3,0)</f>
        <v>4</v>
      </c>
    </row>
    <row r="171" spans="8:19" ht="16.5">
      <c r="H171" s="4" t="s">
        <v>223</v>
      </c>
      <c r="K171" s="4" t="s">
        <v>108</v>
      </c>
      <c r="M171">
        <f t="shared" si="8"/>
        <v>2</v>
      </c>
      <c r="N171" t="str">
        <f t="shared" si="9"/>
        <v>10104:1</v>
      </c>
      <c r="O171">
        <f t="shared" si="10"/>
        <v>6</v>
      </c>
      <c r="P171" t="str">
        <f t="shared" si="11"/>
        <v>10104</v>
      </c>
      <c r="Q171" s="5">
        <v>10104</v>
      </c>
      <c r="R171" t="str">
        <f>VLOOKUP(Q171,[1]命格基础!$A:$B,2,0)</f>
        <v>戌狗</v>
      </c>
      <c r="S171">
        <f>VLOOKUP(Q171,[1]命格基础!$A:$C,3,0)</f>
        <v>4</v>
      </c>
    </row>
    <row r="172" spans="8:19" ht="16.5">
      <c r="H172" s="4" t="s">
        <v>224</v>
      </c>
      <c r="K172" s="4" t="s">
        <v>109</v>
      </c>
      <c r="M172">
        <f t="shared" si="8"/>
        <v>2</v>
      </c>
      <c r="N172" t="str">
        <f t="shared" si="9"/>
        <v>10114:1</v>
      </c>
      <c r="O172">
        <f t="shared" si="10"/>
        <v>6</v>
      </c>
      <c r="P172" t="str">
        <f t="shared" si="11"/>
        <v>10114</v>
      </c>
      <c r="Q172" s="5">
        <v>10114</v>
      </c>
      <c r="R172" t="str">
        <f>VLOOKUP(Q172,[1]命格基础!$A:$B,2,0)</f>
        <v>亥猪</v>
      </c>
      <c r="S172">
        <f>VLOOKUP(Q172,[1]命格基础!$A:$C,3,0)</f>
        <v>4</v>
      </c>
    </row>
    <row r="173" spans="8:19" ht="16.5">
      <c r="H173" s="4" t="s">
        <v>225</v>
      </c>
      <c r="K173" s="4" t="s">
        <v>75</v>
      </c>
      <c r="M173">
        <f t="shared" si="8"/>
        <v>2</v>
      </c>
      <c r="N173" t="str">
        <f t="shared" si="9"/>
        <v>20001:1</v>
      </c>
      <c r="O173">
        <f t="shared" si="10"/>
        <v>6</v>
      </c>
      <c r="P173" t="str">
        <f t="shared" si="11"/>
        <v>20001</v>
      </c>
      <c r="Q173" s="5">
        <v>20001</v>
      </c>
      <c r="R173" t="str">
        <f>VLOOKUP(Q173,[1]命格基础!$A:$B,2,0)</f>
        <v>青龙</v>
      </c>
      <c r="S173">
        <f>VLOOKUP(Q173,[1]命格基础!$A:$C,3,0)</f>
        <v>3</v>
      </c>
    </row>
    <row r="174" spans="8:19" ht="16.5">
      <c r="H174" s="4" t="s">
        <v>226</v>
      </c>
      <c r="K174" s="4" t="s">
        <v>77</v>
      </c>
      <c r="M174">
        <f t="shared" si="8"/>
        <v>2</v>
      </c>
      <c r="N174" t="str">
        <f t="shared" si="9"/>
        <v>20011:1</v>
      </c>
      <c r="O174">
        <f t="shared" si="10"/>
        <v>6</v>
      </c>
      <c r="P174" t="str">
        <f t="shared" si="11"/>
        <v>20011</v>
      </c>
      <c r="Q174" s="5">
        <v>20011</v>
      </c>
      <c r="R174" t="str">
        <f>VLOOKUP(Q174,[1]命格基础!$A:$B,2,0)</f>
        <v>白虎</v>
      </c>
      <c r="S174">
        <f>VLOOKUP(Q174,[1]命格基础!$A:$C,3,0)</f>
        <v>3</v>
      </c>
    </row>
    <row r="175" spans="8:19" ht="16.5">
      <c r="H175" s="4" t="s">
        <v>227</v>
      </c>
      <c r="K175" s="4" t="s">
        <v>79</v>
      </c>
      <c r="M175">
        <f t="shared" si="8"/>
        <v>2</v>
      </c>
      <c r="N175" t="str">
        <f t="shared" si="9"/>
        <v>20021:1</v>
      </c>
      <c r="O175">
        <f t="shared" si="10"/>
        <v>6</v>
      </c>
      <c r="P175" t="str">
        <f t="shared" si="11"/>
        <v>20021</v>
      </c>
      <c r="Q175" s="5">
        <v>20021</v>
      </c>
      <c r="R175" t="str">
        <f>VLOOKUP(Q175,[1]命格基础!$A:$B,2,0)</f>
        <v>朱雀</v>
      </c>
      <c r="S175">
        <f>VLOOKUP(Q175,[1]命格基础!$A:$C,3,0)</f>
        <v>3</v>
      </c>
    </row>
    <row r="176" spans="8:19" ht="16.5">
      <c r="H176" s="4" t="s">
        <v>228</v>
      </c>
      <c r="K176" s="4" t="s">
        <v>81</v>
      </c>
      <c r="M176">
        <f t="shared" si="8"/>
        <v>2</v>
      </c>
      <c r="N176" t="str">
        <f t="shared" si="9"/>
        <v>20031:1</v>
      </c>
      <c r="O176">
        <f t="shared" si="10"/>
        <v>6</v>
      </c>
      <c r="P176" t="str">
        <f t="shared" si="11"/>
        <v>20031</v>
      </c>
      <c r="Q176" s="5">
        <v>20031</v>
      </c>
      <c r="R176" t="str">
        <f>VLOOKUP(Q176,[1]命格基础!$A:$B,2,0)</f>
        <v>玄武</v>
      </c>
      <c r="S176">
        <f>VLOOKUP(Q176,[1]命格基础!$A:$C,3,0)</f>
        <v>3</v>
      </c>
    </row>
    <row r="177" spans="8:19" ht="16.5">
      <c r="H177" s="4" t="s">
        <v>229</v>
      </c>
      <c r="K177" s="4" t="s">
        <v>83</v>
      </c>
      <c r="M177">
        <f t="shared" si="8"/>
        <v>2</v>
      </c>
      <c r="N177" t="str">
        <f t="shared" si="9"/>
        <v>20041:1</v>
      </c>
      <c r="O177">
        <f t="shared" si="10"/>
        <v>6</v>
      </c>
      <c r="P177" t="str">
        <f t="shared" si="11"/>
        <v>20041</v>
      </c>
      <c r="Q177" s="5">
        <v>20041</v>
      </c>
      <c r="R177" t="str">
        <f>VLOOKUP(Q177,[1]命格基础!$A:$B,2,0)</f>
        <v>饕餮</v>
      </c>
      <c r="S177">
        <f>VLOOKUP(Q177,[1]命格基础!$A:$C,3,0)</f>
        <v>3</v>
      </c>
    </row>
    <row r="178" spans="8:19" ht="16.5">
      <c r="H178" s="4" t="s">
        <v>230</v>
      </c>
      <c r="K178" s="4" t="s">
        <v>110</v>
      </c>
      <c r="M178">
        <f t="shared" si="8"/>
        <v>2</v>
      </c>
      <c r="N178" t="str">
        <f t="shared" si="9"/>
        <v>20002:1</v>
      </c>
      <c r="O178">
        <f t="shared" si="10"/>
        <v>6</v>
      </c>
      <c r="P178" t="str">
        <f t="shared" si="11"/>
        <v>20002</v>
      </c>
      <c r="Q178" s="5">
        <v>20002</v>
      </c>
      <c r="R178" t="str">
        <f>VLOOKUP(Q178,[1]命格基础!$A:$B,2,0)</f>
        <v>青龙</v>
      </c>
      <c r="S178">
        <f>VLOOKUP(Q178,[1]命格基础!$A:$C,3,0)</f>
        <v>4</v>
      </c>
    </row>
    <row r="179" spans="8:19" ht="16.5">
      <c r="H179" s="4" t="s">
        <v>231</v>
      </c>
      <c r="K179" s="4" t="s">
        <v>111</v>
      </c>
      <c r="M179">
        <f t="shared" si="8"/>
        <v>2</v>
      </c>
      <c r="N179" t="str">
        <f t="shared" si="9"/>
        <v>20012:1</v>
      </c>
      <c r="O179">
        <f t="shared" si="10"/>
        <v>6</v>
      </c>
      <c r="P179" t="str">
        <f t="shared" si="11"/>
        <v>20012</v>
      </c>
      <c r="Q179" s="5">
        <v>20012</v>
      </c>
      <c r="R179" t="str">
        <f>VLOOKUP(Q179,[1]命格基础!$A:$B,2,0)</f>
        <v>白虎</v>
      </c>
      <c r="S179">
        <f>VLOOKUP(Q179,[1]命格基础!$A:$C,3,0)</f>
        <v>4</v>
      </c>
    </row>
    <row r="180" spans="8:19" ht="16.5">
      <c r="H180" s="4" t="s">
        <v>232</v>
      </c>
      <c r="K180" s="4" t="s">
        <v>112</v>
      </c>
      <c r="M180">
        <f t="shared" si="8"/>
        <v>2</v>
      </c>
      <c r="N180" t="str">
        <f t="shared" si="9"/>
        <v>20022:1</v>
      </c>
      <c r="O180">
        <f t="shared" si="10"/>
        <v>6</v>
      </c>
      <c r="P180" t="str">
        <f t="shared" si="11"/>
        <v>20022</v>
      </c>
      <c r="Q180" s="5">
        <v>20022</v>
      </c>
      <c r="R180" t="str">
        <f>VLOOKUP(Q180,[1]命格基础!$A:$B,2,0)</f>
        <v>朱雀</v>
      </c>
      <c r="S180">
        <f>VLOOKUP(Q180,[1]命格基础!$A:$C,3,0)</f>
        <v>4</v>
      </c>
    </row>
    <row r="181" spans="8:19" ht="16.5">
      <c r="H181" s="4" t="s">
        <v>233</v>
      </c>
      <c r="K181" s="4" t="s">
        <v>113</v>
      </c>
      <c r="M181">
        <f t="shared" si="8"/>
        <v>2</v>
      </c>
      <c r="N181" t="str">
        <f t="shared" si="9"/>
        <v>20032:1</v>
      </c>
      <c r="O181">
        <f t="shared" si="10"/>
        <v>6</v>
      </c>
      <c r="P181" t="str">
        <f t="shared" si="11"/>
        <v>20032</v>
      </c>
      <c r="Q181" s="5">
        <v>20032</v>
      </c>
      <c r="R181" t="str">
        <f>VLOOKUP(Q181,[1]命格基础!$A:$B,2,0)</f>
        <v>玄武</v>
      </c>
      <c r="S181">
        <f>VLOOKUP(Q181,[1]命格基础!$A:$C,3,0)</f>
        <v>4</v>
      </c>
    </row>
    <row r="182" spans="8:19" ht="16.5">
      <c r="H182" s="4" t="s">
        <v>234</v>
      </c>
      <c r="K182" s="4" t="s">
        <v>114</v>
      </c>
      <c r="M182">
        <f t="shared" si="8"/>
        <v>2</v>
      </c>
      <c r="N182" t="str">
        <f t="shared" si="9"/>
        <v>20042:1</v>
      </c>
      <c r="O182">
        <f t="shared" si="10"/>
        <v>6</v>
      </c>
      <c r="P182" t="str">
        <f t="shared" si="11"/>
        <v>20042</v>
      </c>
      <c r="Q182" s="5">
        <v>20042</v>
      </c>
      <c r="R182" t="str">
        <f>VLOOKUP(Q182,[1]命格基础!$A:$B,2,0)</f>
        <v>饕餮</v>
      </c>
      <c r="S182">
        <f>VLOOKUP(Q182,[1]命格基础!$A:$C,3,0)</f>
        <v>4</v>
      </c>
    </row>
    <row r="183" spans="8:19" ht="16.5">
      <c r="H183" s="4" t="s">
        <v>235</v>
      </c>
      <c r="K183" s="4" t="s">
        <v>236</v>
      </c>
      <c r="M183">
        <f t="shared" si="8"/>
        <v>2</v>
      </c>
      <c r="N183" t="str">
        <f t="shared" si="9"/>
        <v>30001:30</v>
      </c>
      <c r="O183">
        <f t="shared" si="10"/>
        <v>6</v>
      </c>
      <c r="P183" t="str">
        <f t="shared" si="11"/>
        <v>30001</v>
      </c>
      <c r="Q183" s="5">
        <v>30001</v>
      </c>
      <c r="R183" t="str">
        <f>VLOOKUP(Q183,[1]命格基础!$A:$B,2,0)</f>
        <v>兽魂经验(小)</v>
      </c>
      <c r="S183">
        <f>VLOOKUP(Q183,[1]命格基础!$A:$C,3,0)</f>
        <v>2</v>
      </c>
    </row>
    <row r="184" spans="8:19" ht="16.5">
      <c r="H184" s="4" t="s">
        <v>237</v>
      </c>
      <c r="K184" s="4" t="s">
        <v>238</v>
      </c>
      <c r="M184">
        <f t="shared" si="8"/>
        <v>2</v>
      </c>
      <c r="N184" t="str">
        <f t="shared" si="9"/>
        <v>30001:28</v>
      </c>
      <c r="O184">
        <f t="shared" si="10"/>
        <v>6</v>
      </c>
      <c r="P184" t="str">
        <f t="shared" si="11"/>
        <v>30001</v>
      </c>
      <c r="Q184" s="5">
        <v>30001</v>
      </c>
      <c r="R184" t="str">
        <f>VLOOKUP(Q184,[1]命格基础!$A:$B,2,0)</f>
        <v>兽魂经验(小)</v>
      </c>
      <c r="S184">
        <f>VLOOKUP(Q184,[1]命格基础!$A:$C,3,0)</f>
        <v>2</v>
      </c>
    </row>
    <row r="185" spans="8:19" ht="16.5">
      <c r="H185" s="4" t="s">
        <v>205</v>
      </c>
      <c r="K185" s="4" t="s">
        <v>206</v>
      </c>
      <c r="M185">
        <f t="shared" si="8"/>
        <v>2</v>
      </c>
      <c r="N185" t="str">
        <f t="shared" si="9"/>
        <v>30001:25</v>
      </c>
      <c r="O185">
        <f t="shared" si="10"/>
        <v>6</v>
      </c>
      <c r="P185" t="str">
        <f t="shared" si="11"/>
        <v>30001</v>
      </c>
      <c r="Q185" s="5">
        <v>30001</v>
      </c>
      <c r="R185" t="str">
        <f>VLOOKUP(Q185,[1]命格基础!$A:$B,2,0)</f>
        <v>兽魂经验(小)</v>
      </c>
      <c r="S185">
        <f>VLOOKUP(Q185,[1]命格基础!$A:$C,3,0)</f>
        <v>2</v>
      </c>
    </row>
    <row r="186" spans="8:19" ht="16.5">
      <c r="H186" s="4" t="s">
        <v>239</v>
      </c>
      <c r="K186" s="4" t="s">
        <v>240</v>
      </c>
      <c r="M186">
        <f t="shared" si="8"/>
        <v>2</v>
      </c>
      <c r="N186" t="str">
        <f t="shared" si="9"/>
        <v>30001:23</v>
      </c>
      <c r="O186">
        <f t="shared" si="10"/>
        <v>6</v>
      </c>
      <c r="P186" t="str">
        <f t="shared" si="11"/>
        <v>30001</v>
      </c>
      <c r="Q186" s="5">
        <v>30001</v>
      </c>
      <c r="R186" t="str">
        <f>VLOOKUP(Q186,[1]命格基础!$A:$B,2,0)</f>
        <v>兽魂经验(小)</v>
      </c>
      <c r="S186">
        <f>VLOOKUP(Q186,[1]命格基础!$A:$C,3,0)</f>
        <v>2</v>
      </c>
    </row>
    <row r="187" spans="8:19" ht="16.5">
      <c r="H187" s="4" t="s">
        <v>179</v>
      </c>
      <c r="K187" s="4" t="s">
        <v>38</v>
      </c>
      <c r="M187">
        <f t="shared" si="8"/>
        <v>2</v>
      </c>
      <c r="N187" t="str">
        <f t="shared" si="9"/>
        <v>30001:20</v>
      </c>
      <c r="O187">
        <f t="shared" si="10"/>
        <v>6</v>
      </c>
      <c r="P187" t="str">
        <f t="shared" si="11"/>
        <v>30001</v>
      </c>
      <c r="Q187" s="5">
        <v>30001</v>
      </c>
      <c r="R187" t="str">
        <f>VLOOKUP(Q187,[1]命格基础!$A:$B,2,0)</f>
        <v>兽魂经验(小)</v>
      </c>
      <c r="S187">
        <f>VLOOKUP(Q187,[1]命格基础!$A:$C,3,0)</f>
        <v>2</v>
      </c>
    </row>
    <row r="188" spans="8:19" ht="16.5">
      <c r="H188" s="4" t="s">
        <v>171</v>
      </c>
      <c r="K188" s="4" t="s">
        <v>95</v>
      </c>
      <c r="M188">
        <f t="shared" si="8"/>
        <v>2</v>
      </c>
      <c r="N188" t="str">
        <f t="shared" si="9"/>
        <v>30002:1</v>
      </c>
      <c r="O188">
        <f t="shared" si="10"/>
        <v>6</v>
      </c>
      <c r="P188" t="str">
        <f t="shared" si="11"/>
        <v>30002</v>
      </c>
      <c r="Q188" s="5">
        <v>30002</v>
      </c>
      <c r="R188" t="str">
        <f>VLOOKUP(Q188,[1]命格基础!$A:$B,2,0)</f>
        <v>兽魂经验(大)</v>
      </c>
      <c r="S188">
        <f>VLOOKUP(Q188,[1]命格基础!$A:$C,3,0)</f>
        <v>4</v>
      </c>
    </row>
    <row r="189" spans="8:19" ht="16.5">
      <c r="H189" s="4" t="s">
        <v>241</v>
      </c>
      <c r="K189" s="4" t="s">
        <v>242</v>
      </c>
      <c r="M189">
        <f t="shared" si="8"/>
        <v>2</v>
      </c>
      <c r="N189" t="str">
        <f t="shared" si="9"/>
        <v>100031:25</v>
      </c>
      <c r="O189">
        <f t="shared" si="10"/>
        <v>7</v>
      </c>
      <c r="P189" t="str">
        <f t="shared" si="11"/>
        <v>100031</v>
      </c>
      <c r="Q189" s="5">
        <v>100031</v>
      </c>
      <c r="R189" t="e">
        <f>VLOOKUP(Q189,[1]命格基础!$A:$B,2,0)</f>
        <v>#N/A</v>
      </c>
      <c r="S189" t="e">
        <f>VLOOKUP(Q189,[1]命格基础!$A:$C,3,0)</f>
        <v>#N/A</v>
      </c>
    </row>
    <row r="190" spans="8:19" ht="16.5">
      <c r="H190" s="4" t="s">
        <v>243</v>
      </c>
      <c r="K190" s="4" t="s">
        <v>244</v>
      </c>
      <c r="M190">
        <f t="shared" si="8"/>
        <v>2</v>
      </c>
      <c r="N190" t="str">
        <f t="shared" si="9"/>
        <v>100031:20</v>
      </c>
      <c r="O190">
        <f t="shared" si="10"/>
        <v>7</v>
      </c>
      <c r="P190" t="str">
        <f t="shared" si="11"/>
        <v>100031</v>
      </c>
      <c r="Q190" s="5">
        <v>100031</v>
      </c>
      <c r="R190" t="e">
        <f>VLOOKUP(Q190,[1]命格基础!$A:$B,2,0)</f>
        <v>#N/A</v>
      </c>
      <c r="S190" t="e">
        <f>VLOOKUP(Q190,[1]命格基础!$A:$C,3,0)</f>
        <v>#N/A</v>
      </c>
    </row>
    <row r="191" spans="8:19" ht="16.5">
      <c r="H191" s="4" t="s">
        <v>188</v>
      </c>
      <c r="K191" s="4" t="s">
        <v>189</v>
      </c>
      <c r="M191">
        <f t="shared" si="8"/>
        <v>2</v>
      </c>
      <c r="N191" t="str">
        <f t="shared" si="9"/>
        <v>100031:15</v>
      </c>
      <c r="O191">
        <f t="shared" si="10"/>
        <v>7</v>
      </c>
      <c r="P191" t="str">
        <f t="shared" si="11"/>
        <v>100031</v>
      </c>
      <c r="Q191" s="5">
        <v>100031</v>
      </c>
      <c r="R191" t="e">
        <f>VLOOKUP(Q191,[1]命格基础!$A:$B,2,0)</f>
        <v>#N/A</v>
      </c>
      <c r="S191" t="e">
        <f>VLOOKUP(Q191,[1]命格基础!$A:$C,3,0)</f>
        <v>#N/A</v>
      </c>
    </row>
    <row r="192" spans="8:19" ht="16.5">
      <c r="H192" s="4" t="s">
        <v>172</v>
      </c>
      <c r="K192" s="4" t="s">
        <v>39</v>
      </c>
      <c r="M192">
        <f t="shared" si="8"/>
        <v>2</v>
      </c>
      <c r="N192" t="str">
        <f t="shared" si="9"/>
        <v>100031:10</v>
      </c>
      <c r="O192">
        <f t="shared" si="10"/>
        <v>7</v>
      </c>
      <c r="P192" t="str">
        <f t="shared" si="11"/>
        <v>100031</v>
      </c>
      <c r="Q192" s="5">
        <v>100031</v>
      </c>
      <c r="R192" t="e">
        <f>VLOOKUP(Q192,[1]命格基础!$A:$B,2,0)</f>
        <v>#N/A</v>
      </c>
      <c r="S192" t="e">
        <f>VLOOKUP(Q192,[1]命格基础!$A:$C,3,0)</f>
        <v>#N/A</v>
      </c>
    </row>
    <row r="193" spans="8:19" ht="16.5">
      <c r="H193" s="4" t="s">
        <v>245</v>
      </c>
      <c r="K193" s="4" t="s">
        <v>246</v>
      </c>
      <c r="M193">
        <f t="shared" si="8"/>
        <v>2</v>
      </c>
      <c r="N193" t="str">
        <f t="shared" si="9"/>
        <v>100053:5</v>
      </c>
      <c r="O193">
        <f t="shared" si="10"/>
        <v>7</v>
      </c>
      <c r="P193" t="str">
        <f t="shared" si="11"/>
        <v>100053</v>
      </c>
      <c r="Q193" s="5">
        <v>100053</v>
      </c>
      <c r="R193" t="e">
        <f>VLOOKUP(Q193,[1]命格基础!$A:$B,2,0)</f>
        <v>#N/A</v>
      </c>
      <c r="S193" t="e">
        <f>VLOOKUP(Q193,[1]命格基础!$A:$C,3,0)</f>
        <v>#N/A</v>
      </c>
    </row>
    <row r="194" spans="8:19" ht="16.5">
      <c r="H194" s="4" t="s">
        <v>247</v>
      </c>
      <c r="K194" s="4" t="s">
        <v>248</v>
      </c>
      <c r="M194">
        <f t="shared" ref="M194:M257" si="12">FIND(":",K194,1)</f>
        <v>2</v>
      </c>
      <c r="N194" t="str">
        <f t="shared" ref="N194:N257" si="13">RIGHT(K194,LEN(K194)-M194)</f>
        <v>100054:5</v>
      </c>
      <c r="O194">
        <f t="shared" ref="O194:O257" si="14">FIND(":",N194,1)</f>
        <v>7</v>
      </c>
      <c r="P194" t="str">
        <f t="shared" ref="P194:P257" si="15">LEFT(N194,O194-1)</f>
        <v>100054</v>
      </c>
      <c r="Q194" s="5">
        <v>100054</v>
      </c>
      <c r="R194" t="e">
        <f>VLOOKUP(Q194,[1]命格基础!$A:$B,2,0)</f>
        <v>#N/A</v>
      </c>
      <c r="S194" t="e">
        <f>VLOOKUP(Q194,[1]命格基础!$A:$C,3,0)</f>
        <v>#N/A</v>
      </c>
    </row>
    <row r="195" spans="8:19" ht="16.5">
      <c r="H195" s="4" t="s">
        <v>145</v>
      </c>
      <c r="K195" s="4" t="s">
        <v>46</v>
      </c>
      <c r="M195">
        <f t="shared" si="12"/>
        <v>2</v>
      </c>
      <c r="N195" t="str">
        <f t="shared" si="13"/>
        <v>10002:1</v>
      </c>
      <c r="O195">
        <f t="shared" si="14"/>
        <v>6</v>
      </c>
      <c r="P195" t="str">
        <f t="shared" si="15"/>
        <v>10002</v>
      </c>
      <c r="Q195" s="5">
        <v>10002</v>
      </c>
      <c r="R195" t="str">
        <f>VLOOKUP(Q195,[1]命格基础!$A:$B,2,0)</f>
        <v>子鼠</v>
      </c>
      <c r="S195">
        <f>VLOOKUP(Q195,[1]命格基础!$A:$C,3,0)</f>
        <v>2</v>
      </c>
    </row>
    <row r="196" spans="8:19" ht="16.5">
      <c r="H196" s="4" t="s">
        <v>146</v>
      </c>
      <c r="K196" s="4" t="s">
        <v>47</v>
      </c>
      <c r="M196">
        <f t="shared" si="12"/>
        <v>2</v>
      </c>
      <c r="N196" t="str">
        <f t="shared" si="13"/>
        <v>10012:1</v>
      </c>
      <c r="O196">
        <f t="shared" si="14"/>
        <v>6</v>
      </c>
      <c r="P196" t="str">
        <f t="shared" si="15"/>
        <v>10012</v>
      </c>
      <c r="Q196" s="5">
        <v>10012</v>
      </c>
      <c r="R196" t="str">
        <f>VLOOKUP(Q196,[1]命格基础!$A:$B,2,0)</f>
        <v>丑牛</v>
      </c>
      <c r="S196">
        <f>VLOOKUP(Q196,[1]命格基础!$A:$C,3,0)</f>
        <v>2</v>
      </c>
    </row>
    <row r="197" spans="8:19" ht="16.5">
      <c r="H197" s="4" t="s">
        <v>147</v>
      </c>
      <c r="K197" s="4" t="s">
        <v>48</v>
      </c>
      <c r="M197">
        <f t="shared" si="12"/>
        <v>2</v>
      </c>
      <c r="N197" t="str">
        <f t="shared" si="13"/>
        <v>10022:1</v>
      </c>
      <c r="O197">
        <f t="shared" si="14"/>
        <v>6</v>
      </c>
      <c r="P197" t="str">
        <f t="shared" si="15"/>
        <v>10022</v>
      </c>
      <c r="Q197" s="5">
        <v>10022</v>
      </c>
      <c r="R197" t="str">
        <f>VLOOKUP(Q197,[1]命格基础!$A:$B,2,0)</f>
        <v>寅虎</v>
      </c>
      <c r="S197">
        <f>VLOOKUP(Q197,[1]命格基础!$A:$C,3,0)</f>
        <v>2</v>
      </c>
    </row>
    <row r="198" spans="8:19" ht="16.5">
      <c r="H198" s="4" t="s">
        <v>148</v>
      </c>
      <c r="K198" s="4" t="s">
        <v>49</v>
      </c>
      <c r="M198">
        <f t="shared" si="12"/>
        <v>2</v>
      </c>
      <c r="N198" t="str">
        <f t="shared" si="13"/>
        <v>10032:1</v>
      </c>
      <c r="O198">
        <f t="shared" si="14"/>
        <v>6</v>
      </c>
      <c r="P198" t="str">
        <f t="shared" si="15"/>
        <v>10032</v>
      </c>
      <c r="Q198" s="5">
        <v>10032</v>
      </c>
      <c r="R198" t="str">
        <f>VLOOKUP(Q198,[1]命格基础!$A:$B,2,0)</f>
        <v>卯兔</v>
      </c>
      <c r="S198">
        <f>VLOOKUP(Q198,[1]命格基础!$A:$C,3,0)</f>
        <v>2</v>
      </c>
    </row>
    <row r="199" spans="8:19" ht="16.5">
      <c r="H199" s="4" t="s">
        <v>149</v>
      </c>
      <c r="K199" s="4" t="s">
        <v>50</v>
      </c>
      <c r="M199">
        <f t="shared" si="12"/>
        <v>2</v>
      </c>
      <c r="N199" t="str">
        <f t="shared" si="13"/>
        <v>10042:1</v>
      </c>
      <c r="O199">
        <f t="shared" si="14"/>
        <v>6</v>
      </c>
      <c r="P199" t="str">
        <f t="shared" si="15"/>
        <v>10042</v>
      </c>
      <c r="Q199" s="5">
        <v>10042</v>
      </c>
      <c r="R199" t="str">
        <f>VLOOKUP(Q199,[1]命格基础!$A:$B,2,0)</f>
        <v>辰龙</v>
      </c>
      <c r="S199">
        <f>VLOOKUP(Q199,[1]命格基础!$A:$C,3,0)</f>
        <v>2</v>
      </c>
    </row>
    <row r="200" spans="8:19" ht="16.5">
      <c r="H200" s="4" t="s">
        <v>150</v>
      </c>
      <c r="K200" s="4" t="s">
        <v>52</v>
      </c>
      <c r="M200">
        <f t="shared" si="12"/>
        <v>2</v>
      </c>
      <c r="N200" t="str">
        <f t="shared" si="13"/>
        <v>10052:1</v>
      </c>
      <c r="O200">
        <f t="shared" si="14"/>
        <v>6</v>
      </c>
      <c r="P200" t="str">
        <f t="shared" si="15"/>
        <v>10052</v>
      </c>
      <c r="Q200" s="5">
        <v>10052</v>
      </c>
      <c r="R200" t="str">
        <f>VLOOKUP(Q200,[1]命格基础!$A:$B,2,0)</f>
        <v>巳蛇</v>
      </c>
      <c r="S200">
        <f>VLOOKUP(Q200,[1]命格基础!$A:$C,3,0)</f>
        <v>2</v>
      </c>
    </row>
    <row r="201" spans="8:19" ht="16.5">
      <c r="H201" s="4" t="s">
        <v>151</v>
      </c>
      <c r="K201" s="4" t="s">
        <v>152</v>
      </c>
      <c r="M201">
        <f t="shared" si="12"/>
        <v>2</v>
      </c>
      <c r="N201" t="str">
        <f t="shared" si="13"/>
        <v>10062:1</v>
      </c>
      <c r="O201">
        <f t="shared" si="14"/>
        <v>6</v>
      </c>
      <c r="P201" t="str">
        <f t="shared" si="15"/>
        <v>10062</v>
      </c>
      <c r="Q201" s="5">
        <v>10062</v>
      </c>
      <c r="R201" t="str">
        <f>VLOOKUP(Q201,[1]命格基础!$A:$B,2,0)</f>
        <v>午马</v>
      </c>
      <c r="S201">
        <f>VLOOKUP(Q201,[1]命格基础!$A:$C,3,0)</f>
        <v>2</v>
      </c>
    </row>
    <row r="202" spans="8:19" ht="16.5">
      <c r="H202" s="4" t="s">
        <v>153</v>
      </c>
      <c r="K202" s="4" t="s">
        <v>54</v>
      </c>
      <c r="M202">
        <f t="shared" si="12"/>
        <v>2</v>
      </c>
      <c r="N202" t="str">
        <f t="shared" si="13"/>
        <v>10072:1</v>
      </c>
      <c r="O202">
        <f t="shared" si="14"/>
        <v>6</v>
      </c>
      <c r="P202" t="str">
        <f t="shared" si="15"/>
        <v>10072</v>
      </c>
      <c r="Q202" s="5">
        <v>10072</v>
      </c>
      <c r="R202" t="str">
        <f>VLOOKUP(Q202,[1]命格基础!$A:$B,2,0)</f>
        <v>未羊</v>
      </c>
      <c r="S202">
        <f>VLOOKUP(Q202,[1]命格基础!$A:$C,3,0)</f>
        <v>2</v>
      </c>
    </row>
    <row r="203" spans="8:19" ht="16.5">
      <c r="H203" s="4" t="s">
        <v>154</v>
      </c>
      <c r="K203" s="4" t="s">
        <v>155</v>
      </c>
      <c r="M203">
        <f t="shared" si="12"/>
        <v>2</v>
      </c>
      <c r="N203" t="str">
        <f t="shared" si="13"/>
        <v>10082:1</v>
      </c>
      <c r="O203">
        <f t="shared" si="14"/>
        <v>6</v>
      </c>
      <c r="P203" t="str">
        <f t="shared" si="15"/>
        <v>10082</v>
      </c>
      <c r="Q203" s="5">
        <v>10082</v>
      </c>
      <c r="R203" t="str">
        <f>VLOOKUP(Q203,[1]命格基础!$A:$B,2,0)</f>
        <v>申猴</v>
      </c>
      <c r="S203">
        <f>VLOOKUP(Q203,[1]命格基础!$A:$C,3,0)</f>
        <v>2</v>
      </c>
    </row>
    <row r="204" spans="8:19" ht="16.5">
      <c r="H204" s="4" t="s">
        <v>156</v>
      </c>
      <c r="K204" s="4" t="s">
        <v>56</v>
      </c>
      <c r="M204">
        <f t="shared" si="12"/>
        <v>2</v>
      </c>
      <c r="N204" t="str">
        <f t="shared" si="13"/>
        <v>10092:1</v>
      </c>
      <c r="O204">
        <f t="shared" si="14"/>
        <v>6</v>
      </c>
      <c r="P204" t="str">
        <f t="shared" si="15"/>
        <v>10092</v>
      </c>
      <c r="Q204" s="5">
        <v>10092</v>
      </c>
      <c r="R204" t="str">
        <f>VLOOKUP(Q204,[1]命格基础!$A:$B,2,0)</f>
        <v>酉鸡</v>
      </c>
      <c r="S204">
        <f>VLOOKUP(Q204,[1]命格基础!$A:$C,3,0)</f>
        <v>2</v>
      </c>
    </row>
    <row r="205" spans="8:19" ht="16.5">
      <c r="H205" s="4" t="s">
        <v>157</v>
      </c>
      <c r="K205" s="4" t="s">
        <v>158</v>
      </c>
      <c r="M205">
        <f t="shared" si="12"/>
        <v>2</v>
      </c>
      <c r="N205" t="str">
        <f t="shared" si="13"/>
        <v>10102:1</v>
      </c>
      <c r="O205">
        <f t="shared" si="14"/>
        <v>6</v>
      </c>
      <c r="P205" t="str">
        <f t="shared" si="15"/>
        <v>10102</v>
      </c>
      <c r="Q205" s="5">
        <v>10102</v>
      </c>
      <c r="R205" t="str">
        <f>VLOOKUP(Q205,[1]命格基础!$A:$B,2,0)</f>
        <v>戌狗</v>
      </c>
      <c r="S205">
        <f>VLOOKUP(Q205,[1]命格基础!$A:$C,3,0)</f>
        <v>2</v>
      </c>
    </row>
    <row r="206" spans="8:19" ht="16.5">
      <c r="H206" s="4" t="s">
        <v>159</v>
      </c>
      <c r="K206" s="4" t="s">
        <v>160</v>
      </c>
      <c r="M206">
        <f t="shared" si="12"/>
        <v>2</v>
      </c>
      <c r="N206" t="str">
        <f t="shared" si="13"/>
        <v>10112:1</v>
      </c>
      <c r="O206">
        <f t="shared" si="14"/>
        <v>6</v>
      </c>
      <c r="P206" t="str">
        <f t="shared" si="15"/>
        <v>10112</v>
      </c>
      <c r="Q206" s="5">
        <v>10112</v>
      </c>
      <c r="R206" t="str">
        <f>VLOOKUP(Q206,[1]命格基础!$A:$B,2,0)</f>
        <v>亥猪</v>
      </c>
      <c r="S206">
        <f>VLOOKUP(Q206,[1]命格基础!$A:$C,3,0)</f>
        <v>2</v>
      </c>
    </row>
    <row r="207" spans="8:19" ht="16.5">
      <c r="H207" s="4" t="s">
        <v>247</v>
      </c>
      <c r="K207" s="4" t="s">
        <v>248</v>
      </c>
      <c r="M207">
        <f t="shared" si="12"/>
        <v>2</v>
      </c>
      <c r="N207" t="str">
        <f t="shared" si="13"/>
        <v>100054:5</v>
      </c>
      <c r="O207">
        <f t="shared" si="14"/>
        <v>7</v>
      </c>
      <c r="P207" t="str">
        <f t="shared" si="15"/>
        <v>100054</v>
      </c>
      <c r="Q207" s="5">
        <v>100054</v>
      </c>
      <c r="R207" t="e">
        <f>VLOOKUP(Q207,[1]命格基础!$A:$B,2,0)</f>
        <v>#N/A</v>
      </c>
      <c r="S207" t="e">
        <f>VLOOKUP(Q207,[1]命格基础!$A:$C,3,0)</f>
        <v>#N/A</v>
      </c>
    </row>
    <row r="208" spans="8:19" ht="16.5">
      <c r="H208" s="4" t="s">
        <v>249</v>
      </c>
      <c r="K208" s="4" t="s">
        <v>250</v>
      </c>
      <c r="M208">
        <f t="shared" si="12"/>
        <v>2</v>
      </c>
      <c r="N208" t="str">
        <f t="shared" si="13"/>
        <v>100055:5</v>
      </c>
      <c r="O208">
        <f t="shared" si="14"/>
        <v>7</v>
      </c>
      <c r="P208" t="str">
        <f t="shared" si="15"/>
        <v>100055</v>
      </c>
      <c r="Q208" s="5">
        <v>100055</v>
      </c>
      <c r="R208" t="e">
        <f>VLOOKUP(Q208,[1]命格基础!$A:$B,2,0)</f>
        <v>#N/A</v>
      </c>
      <c r="S208" t="e">
        <f>VLOOKUP(Q208,[1]命格基础!$A:$C,3,0)</f>
        <v>#N/A</v>
      </c>
    </row>
    <row r="209" spans="8:19" ht="16.5">
      <c r="H209" s="4" t="s">
        <v>145</v>
      </c>
      <c r="K209" s="4" t="s">
        <v>46</v>
      </c>
      <c r="M209">
        <f t="shared" si="12"/>
        <v>2</v>
      </c>
      <c r="N209" t="str">
        <f t="shared" si="13"/>
        <v>10002:1</v>
      </c>
      <c r="O209">
        <f t="shared" si="14"/>
        <v>6</v>
      </c>
      <c r="P209" t="str">
        <f t="shared" si="15"/>
        <v>10002</v>
      </c>
      <c r="Q209" s="5">
        <v>10002</v>
      </c>
      <c r="R209" t="str">
        <f>VLOOKUP(Q209,[1]命格基础!$A:$B,2,0)</f>
        <v>子鼠</v>
      </c>
      <c r="S209">
        <f>VLOOKUP(Q209,[1]命格基础!$A:$C,3,0)</f>
        <v>2</v>
      </c>
    </row>
    <row r="210" spans="8:19" ht="16.5">
      <c r="H210" s="4" t="s">
        <v>146</v>
      </c>
      <c r="K210" s="4" t="s">
        <v>47</v>
      </c>
      <c r="M210">
        <f t="shared" si="12"/>
        <v>2</v>
      </c>
      <c r="N210" t="str">
        <f t="shared" si="13"/>
        <v>10012:1</v>
      </c>
      <c r="O210">
        <f t="shared" si="14"/>
        <v>6</v>
      </c>
      <c r="P210" t="str">
        <f t="shared" si="15"/>
        <v>10012</v>
      </c>
      <c r="Q210" s="5">
        <v>10012</v>
      </c>
      <c r="R210" t="str">
        <f>VLOOKUP(Q210,[1]命格基础!$A:$B,2,0)</f>
        <v>丑牛</v>
      </c>
      <c r="S210">
        <f>VLOOKUP(Q210,[1]命格基础!$A:$C,3,0)</f>
        <v>2</v>
      </c>
    </row>
    <row r="211" spans="8:19" ht="16.5">
      <c r="H211" s="4" t="s">
        <v>147</v>
      </c>
      <c r="K211" s="4" t="s">
        <v>48</v>
      </c>
      <c r="M211">
        <f t="shared" si="12"/>
        <v>2</v>
      </c>
      <c r="N211" t="str">
        <f t="shared" si="13"/>
        <v>10022:1</v>
      </c>
      <c r="O211">
        <f t="shared" si="14"/>
        <v>6</v>
      </c>
      <c r="P211" t="str">
        <f t="shared" si="15"/>
        <v>10022</v>
      </c>
      <c r="Q211" s="5">
        <v>10022</v>
      </c>
      <c r="R211" t="str">
        <f>VLOOKUP(Q211,[1]命格基础!$A:$B,2,0)</f>
        <v>寅虎</v>
      </c>
      <c r="S211">
        <f>VLOOKUP(Q211,[1]命格基础!$A:$C,3,0)</f>
        <v>2</v>
      </c>
    </row>
    <row r="212" spans="8:19" ht="16.5">
      <c r="H212" s="4" t="s">
        <v>148</v>
      </c>
      <c r="K212" s="4" t="s">
        <v>49</v>
      </c>
      <c r="M212">
        <f t="shared" si="12"/>
        <v>2</v>
      </c>
      <c r="N212" t="str">
        <f t="shared" si="13"/>
        <v>10032:1</v>
      </c>
      <c r="O212">
        <f t="shared" si="14"/>
        <v>6</v>
      </c>
      <c r="P212" t="str">
        <f t="shared" si="15"/>
        <v>10032</v>
      </c>
      <c r="Q212" s="5">
        <v>10032</v>
      </c>
      <c r="R212" t="str">
        <f>VLOOKUP(Q212,[1]命格基础!$A:$B,2,0)</f>
        <v>卯兔</v>
      </c>
      <c r="S212">
        <f>VLOOKUP(Q212,[1]命格基础!$A:$C,3,0)</f>
        <v>2</v>
      </c>
    </row>
    <row r="213" spans="8:19" ht="16.5">
      <c r="H213" s="4" t="s">
        <v>149</v>
      </c>
      <c r="K213" s="4" t="s">
        <v>50</v>
      </c>
      <c r="M213">
        <f t="shared" si="12"/>
        <v>2</v>
      </c>
      <c r="N213" t="str">
        <f t="shared" si="13"/>
        <v>10042:1</v>
      </c>
      <c r="O213">
        <f t="shared" si="14"/>
        <v>6</v>
      </c>
      <c r="P213" t="str">
        <f t="shared" si="15"/>
        <v>10042</v>
      </c>
      <c r="Q213" s="5">
        <v>10042</v>
      </c>
      <c r="R213" t="str">
        <f>VLOOKUP(Q213,[1]命格基础!$A:$B,2,0)</f>
        <v>辰龙</v>
      </c>
      <c r="S213">
        <f>VLOOKUP(Q213,[1]命格基础!$A:$C,3,0)</f>
        <v>2</v>
      </c>
    </row>
    <row r="214" spans="8:19" ht="16.5">
      <c r="H214" s="4" t="s">
        <v>150</v>
      </c>
      <c r="K214" s="4" t="s">
        <v>52</v>
      </c>
      <c r="M214">
        <f t="shared" si="12"/>
        <v>2</v>
      </c>
      <c r="N214" t="str">
        <f t="shared" si="13"/>
        <v>10052:1</v>
      </c>
      <c r="O214">
        <f t="shared" si="14"/>
        <v>6</v>
      </c>
      <c r="P214" t="str">
        <f t="shared" si="15"/>
        <v>10052</v>
      </c>
      <c r="Q214" s="5">
        <v>10052</v>
      </c>
      <c r="R214" t="str">
        <f>VLOOKUP(Q214,[1]命格基础!$A:$B,2,0)</f>
        <v>巳蛇</v>
      </c>
      <c r="S214">
        <f>VLOOKUP(Q214,[1]命格基础!$A:$C,3,0)</f>
        <v>2</v>
      </c>
    </row>
    <row r="215" spans="8:19" ht="16.5">
      <c r="H215" s="4" t="s">
        <v>151</v>
      </c>
      <c r="K215" s="4" t="s">
        <v>152</v>
      </c>
      <c r="M215">
        <f t="shared" si="12"/>
        <v>2</v>
      </c>
      <c r="N215" t="str">
        <f t="shared" si="13"/>
        <v>10062:1</v>
      </c>
      <c r="O215">
        <f t="shared" si="14"/>
        <v>6</v>
      </c>
      <c r="P215" t="str">
        <f t="shared" si="15"/>
        <v>10062</v>
      </c>
      <c r="Q215" s="5">
        <v>10062</v>
      </c>
      <c r="R215" t="str">
        <f>VLOOKUP(Q215,[1]命格基础!$A:$B,2,0)</f>
        <v>午马</v>
      </c>
      <c r="S215">
        <f>VLOOKUP(Q215,[1]命格基础!$A:$C,3,0)</f>
        <v>2</v>
      </c>
    </row>
    <row r="216" spans="8:19" ht="16.5">
      <c r="H216" s="4" t="s">
        <v>153</v>
      </c>
      <c r="K216" s="4" t="s">
        <v>54</v>
      </c>
      <c r="M216">
        <f t="shared" si="12"/>
        <v>2</v>
      </c>
      <c r="N216" t="str">
        <f t="shared" si="13"/>
        <v>10072:1</v>
      </c>
      <c r="O216">
        <f t="shared" si="14"/>
        <v>6</v>
      </c>
      <c r="P216" t="str">
        <f t="shared" si="15"/>
        <v>10072</v>
      </c>
      <c r="Q216" s="5">
        <v>10072</v>
      </c>
      <c r="R216" t="str">
        <f>VLOOKUP(Q216,[1]命格基础!$A:$B,2,0)</f>
        <v>未羊</v>
      </c>
      <c r="S216">
        <f>VLOOKUP(Q216,[1]命格基础!$A:$C,3,0)</f>
        <v>2</v>
      </c>
    </row>
    <row r="217" spans="8:19" ht="16.5">
      <c r="H217" s="4" t="s">
        <v>154</v>
      </c>
      <c r="K217" s="4" t="s">
        <v>155</v>
      </c>
      <c r="M217">
        <f t="shared" si="12"/>
        <v>2</v>
      </c>
      <c r="N217" t="str">
        <f t="shared" si="13"/>
        <v>10082:1</v>
      </c>
      <c r="O217">
        <f t="shared" si="14"/>
        <v>6</v>
      </c>
      <c r="P217" t="str">
        <f t="shared" si="15"/>
        <v>10082</v>
      </c>
      <c r="Q217" s="5">
        <v>10082</v>
      </c>
      <c r="R217" t="str">
        <f>VLOOKUP(Q217,[1]命格基础!$A:$B,2,0)</f>
        <v>申猴</v>
      </c>
      <c r="S217">
        <f>VLOOKUP(Q217,[1]命格基础!$A:$C,3,0)</f>
        <v>2</v>
      </c>
    </row>
    <row r="218" spans="8:19" ht="16.5">
      <c r="H218" s="4" t="s">
        <v>156</v>
      </c>
      <c r="K218" s="4" t="s">
        <v>56</v>
      </c>
      <c r="M218">
        <f t="shared" si="12"/>
        <v>2</v>
      </c>
      <c r="N218" t="str">
        <f t="shared" si="13"/>
        <v>10092:1</v>
      </c>
      <c r="O218">
        <f t="shared" si="14"/>
        <v>6</v>
      </c>
      <c r="P218" t="str">
        <f t="shared" si="15"/>
        <v>10092</v>
      </c>
      <c r="Q218" s="5">
        <v>10092</v>
      </c>
      <c r="R218" t="str">
        <f>VLOOKUP(Q218,[1]命格基础!$A:$B,2,0)</f>
        <v>酉鸡</v>
      </c>
      <c r="S218">
        <f>VLOOKUP(Q218,[1]命格基础!$A:$C,3,0)</f>
        <v>2</v>
      </c>
    </row>
    <row r="219" spans="8:19" ht="16.5">
      <c r="H219" s="4" t="s">
        <v>157</v>
      </c>
      <c r="K219" s="4" t="s">
        <v>158</v>
      </c>
      <c r="M219">
        <f t="shared" si="12"/>
        <v>2</v>
      </c>
      <c r="N219" t="str">
        <f t="shared" si="13"/>
        <v>10102:1</v>
      </c>
      <c r="O219">
        <f t="shared" si="14"/>
        <v>6</v>
      </c>
      <c r="P219" t="str">
        <f t="shared" si="15"/>
        <v>10102</v>
      </c>
      <c r="Q219" s="5">
        <v>10102</v>
      </c>
      <c r="R219" t="str">
        <f>VLOOKUP(Q219,[1]命格基础!$A:$B,2,0)</f>
        <v>戌狗</v>
      </c>
      <c r="S219">
        <f>VLOOKUP(Q219,[1]命格基础!$A:$C,3,0)</f>
        <v>2</v>
      </c>
    </row>
    <row r="220" spans="8:19" ht="16.5">
      <c r="H220" s="4" t="s">
        <v>159</v>
      </c>
      <c r="K220" s="4" t="s">
        <v>160</v>
      </c>
      <c r="M220">
        <f t="shared" si="12"/>
        <v>2</v>
      </c>
      <c r="N220" t="str">
        <f t="shared" si="13"/>
        <v>10112:1</v>
      </c>
      <c r="O220">
        <f t="shared" si="14"/>
        <v>6</v>
      </c>
      <c r="P220" t="str">
        <f t="shared" si="15"/>
        <v>10112</v>
      </c>
      <c r="Q220" s="5">
        <v>10112</v>
      </c>
      <c r="R220" t="str">
        <f>VLOOKUP(Q220,[1]命格基础!$A:$B,2,0)</f>
        <v>亥猪</v>
      </c>
      <c r="S220">
        <f>VLOOKUP(Q220,[1]命格基础!$A:$C,3,0)</f>
        <v>2</v>
      </c>
    </row>
    <row r="221" spans="8:19" ht="16.5">
      <c r="H221" s="4" t="s">
        <v>193</v>
      </c>
      <c r="K221" s="4" t="s">
        <v>59</v>
      </c>
      <c r="M221">
        <f t="shared" si="12"/>
        <v>2</v>
      </c>
      <c r="N221" t="str">
        <f t="shared" si="13"/>
        <v>10003:1</v>
      </c>
      <c r="O221">
        <f t="shared" si="14"/>
        <v>6</v>
      </c>
      <c r="P221" t="str">
        <f t="shared" si="15"/>
        <v>10003</v>
      </c>
      <c r="Q221" s="5">
        <v>10003</v>
      </c>
      <c r="R221" t="str">
        <f>VLOOKUP(Q221,[1]命格基础!$A:$B,2,0)</f>
        <v>子鼠</v>
      </c>
      <c r="S221">
        <f>VLOOKUP(Q221,[1]命格基础!$A:$C,3,0)</f>
        <v>3</v>
      </c>
    </row>
    <row r="222" spans="8:19" ht="16.5">
      <c r="H222" s="4" t="s">
        <v>194</v>
      </c>
      <c r="K222" s="4" t="s">
        <v>60</v>
      </c>
      <c r="M222">
        <f t="shared" si="12"/>
        <v>2</v>
      </c>
      <c r="N222" t="str">
        <f t="shared" si="13"/>
        <v>10013:1</v>
      </c>
      <c r="O222">
        <f t="shared" si="14"/>
        <v>6</v>
      </c>
      <c r="P222" t="str">
        <f t="shared" si="15"/>
        <v>10013</v>
      </c>
      <c r="Q222" s="5">
        <v>10013</v>
      </c>
      <c r="R222" t="str">
        <f>VLOOKUP(Q222,[1]命格基础!$A:$B,2,0)</f>
        <v>丑牛</v>
      </c>
      <c r="S222">
        <f>VLOOKUP(Q222,[1]命格基础!$A:$C,3,0)</f>
        <v>3</v>
      </c>
    </row>
    <row r="223" spans="8:19" ht="16.5">
      <c r="H223" s="4" t="s">
        <v>195</v>
      </c>
      <c r="K223" s="4" t="s">
        <v>61</v>
      </c>
      <c r="M223">
        <f t="shared" si="12"/>
        <v>2</v>
      </c>
      <c r="N223" t="str">
        <f t="shared" si="13"/>
        <v>10023:1</v>
      </c>
      <c r="O223">
        <f t="shared" si="14"/>
        <v>6</v>
      </c>
      <c r="P223" t="str">
        <f t="shared" si="15"/>
        <v>10023</v>
      </c>
      <c r="Q223" s="5">
        <v>10023</v>
      </c>
      <c r="R223" t="str">
        <f>VLOOKUP(Q223,[1]命格基础!$A:$B,2,0)</f>
        <v>寅虎</v>
      </c>
      <c r="S223">
        <f>VLOOKUP(Q223,[1]命格基础!$A:$C,3,0)</f>
        <v>3</v>
      </c>
    </row>
    <row r="224" spans="8:19" ht="16.5">
      <c r="H224" s="4" t="s">
        <v>196</v>
      </c>
      <c r="K224" s="4" t="s">
        <v>62</v>
      </c>
      <c r="M224">
        <f t="shared" si="12"/>
        <v>2</v>
      </c>
      <c r="N224" t="str">
        <f t="shared" si="13"/>
        <v>10033:1</v>
      </c>
      <c r="O224">
        <f t="shared" si="14"/>
        <v>6</v>
      </c>
      <c r="P224" t="str">
        <f t="shared" si="15"/>
        <v>10033</v>
      </c>
      <c r="Q224" s="5">
        <v>10033</v>
      </c>
      <c r="R224" t="str">
        <f>VLOOKUP(Q224,[1]命格基础!$A:$B,2,0)</f>
        <v>卯兔</v>
      </c>
      <c r="S224">
        <f>VLOOKUP(Q224,[1]命格基础!$A:$C,3,0)</f>
        <v>3</v>
      </c>
    </row>
    <row r="225" spans="8:19" ht="16.5">
      <c r="H225" s="4" t="s">
        <v>197</v>
      </c>
      <c r="K225" s="4" t="s">
        <v>63</v>
      </c>
      <c r="M225">
        <f t="shared" si="12"/>
        <v>2</v>
      </c>
      <c r="N225" t="str">
        <f t="shared" si="13"/>
        <v>10043:1</v>
      </c>
      <c r="O225">
        <f t="shared" si="14"/>
        <v>6</v>
      </c>
      <c r="P225" t="str">
        <f t="shared" si="15"/>
        <v>10043</v>
      </c>
      <c r="Q225" s="5">
        <v>10043</v>
      </c>
      <c r="R225" t="str">
        <f>VLOOKUP(Q225,[1]命格基础!$A:$B,2,0)</f>
        <v>辰龙</v>
      </c>
      <c r="S225">
        <f>VLOOKUP(Q225,[1]命格基础!$A:$C,3,0)</f>
        <v>3</v>
      </c>
    </row>
    <row r="226" spans="8:19" ht="16.5">
      <c r="H226" s="4" t="s">
        <v>198</v>
      </c>
      <c r="K226" s="4" t="s">
        <v>64</v>
      </c>
      <c r="M226">
        <f t="shared" si="12"/>
        <v>2</v>
      </c>
      <c r="N226" t="str">
        <f t="shared" si="13"/>
        <v>10053:1</v>
      </c>
      <c r="O226">
        <f t="shared" si="14"/>
        <v>6</v>
      </c>
      <c r="P226" t="str">
        <f t="shared" si="15"/>
        <v>10053</v>
      </c>
      <c r="Q226" s="5">
        <v>10053</v>
      </c>
      <c r="R226" t="str">
        <f>VLOOKUP(Q226,[1]命格基础!$A:$B,2,0)</f>
        <v>巳蛇</v>
      </c>
      <c r="S226">
        <f>VLOOKUP(Q226,[1]命格基础!$A:$C,3,0)</f>
        <v>3</v>
      </c>
    </row>
    <row r="227" spans="8:19" ht="16.5">
      <c r="H227" s="4" t="s">
        <v>199</v>
      </c>
      <c r="K227" s="4" t="s">
        <v>65</v>
      </c>
      <c r="M227">
        <f t="shared" si="12"/>
        <v>2</v>
      </c>
      <c r="N227" t="str">
        <f t="shared" si="13"/>
        <v>10063:1</v>
      </c>
      <c r="O227">
        <f t="shared" si="14"/>
        <v>6</v>
      </c>
      <c r="P227" t="str">
        <f t="shared" si="15"/>
        <v>10063</v>
      </c>
      <c r="Q227" s="5">
        <v>10063</v>
      </c>
      <c r="R227" t="str">
        <f>VLOOKUP(Q227,[1]命格基础!$A:$B,2,0)</f>
        <v>午马</v>
      </c>
      <c r="S227">
        <f>VLOOKUP(Q227,[1]命格基础!$A:$C,3,0)</f>
        <v>3</v>
      </c>
    </row>
    <row r="228" spans="8:19" ht="16.5">
      <c r="H228" s="4" t="s">
        <v>200</v>
      </c>
      <c r="K228" s="4" t="s">
        <v>67</v>
      </c>
      <c r="M228">
        <f t="shared" si="12"/>
        <v>2</v>
      </c>
      <c r="N228" t="str">
        <f t="shared" si="13"/>
        <v>10073:1</v>
      </c>
      <c r="O228">
        <f t="shared" si="14"/>
        <v>6</v>
      </c>
      <c r="P228" t="str">
        <f t="shared" si="15"/>
        <v>10073</v>
      </c>
      <c r="Q228" s="5">
        <v>10073</v>
      </c>
      <c r="R228" t="str">
        <f>VLOOKUP(Q228,[1]命格基础!$A:$B,2,0)</f>
        <v>未羊</v>
      </c>
      <c r="S228">
        <f>VLOOKUP(Q228,[1]命格基础!$A:$C,3,0)</f>
        <v>3</v>
      </c>
    </row>
    <row r="229" spans="8:19" ht="16.5">
      <c r="H229" s="4" t="s">
        <v>201</v>
      </c>
      <c r="K229" s="4" t="s">
        <v>68</v>
      </c>
      <c r="M229">
        <f t="shared" si="12"/>
        <v>2</v>
      </c>
      <c r="N229" t="str">
        <f t="shared" si="13"/>
        <v>10083:1</v>
      </c>
      <c r="O229">
        <f t="shared" si="14"/>
        <v>6</v>
      </c>
      <c r="P229" t="str">
        <f t="shared" si="15"/>
        <v>10083</v>
      </c>
      <c r="Q229" s="5">
        <v>10083</v>
      </c>
      <c r="R229" t="str">
        <f>VLOOKUP(Q229,[1]命格基础!$A:$B,2,0)</f>
        <v>申猴</v>
      </c>
      <c r="S229">
        <f>VLOOKUP(Q229,[1]命格基础!$A:$C,3,0)</f>
        <v>3</v>
      </c>
    </row>
    <row r="230" spans="8:19" ht="16.5">
      <c r="H230" s="4" t="s">
        <v>202</v>
      </c>
      <c r="K230" s="4" t="s">
        <v>70</v>
      </c>
      <c r="M230">
        <f t="shared" si="12"/>
        <v>2</v>
      </c>
      <c r="N230" t="str">
        <f t="shared" si="13"/>
        <v>10093:1</v>
      </c>
      <c r="O230">
        <f t="shared" si="14"/>
        <v>6</v>
      </c>
      <c r="P230" t="str">
        <f t="shared" si="15"/>
        <v>10093</v>
      </c>
      <c r="Q230" s="5">
        <v>10093</v>
      </c>
      <c r="R230" t="str">
        <f>VLOOKUP(Q230,[1]命格基础!$A:$B,2,0)</f>
        <v>酉鸡</v>
      </c>
      <c r="S230">
        <f>VLOOKUP(Q230,[1]命格基础!$A:$C,3,0)</f>
        <v>3</v>
      </c>
    </row>
    <row r="231" spans="8:19" ht="16.5">
      <c r="H231" s="4" t="s">
        <v>203</v>
      </c>
      <c r="K231" s="4" t="s">
        <v>71</v>
      </c>
      <c r="M231">
        <f t="shared" si="12"/>
        <v>2</v>
      </c>
      <c r="N231" t="str">
        <f t="shared" si="13"/>
        <v>10103:1</v>
      </c>
      <c r="O231">
        <f t="shared" si="14"/>
        <v>6</v>
      </c>
      <c r="P231" t="str">
        <f t="shared" si="15"/>
        <v>10103</v>
      </c>
      <c r="Q231" s="5">
        <v>10103</v>
      </c>
      <c r="R231" t="str">
        <f>VLOOKUP(Q231,[1]命格基础!$A:$B,2,0)</f>
        <v>戌狗</v>
      </c>
      <c r="S231">
        <f>VLOOKUP(Q231,[1]命格基础!$A:$C,3,0)</f>
        <v>3</v>
      </c>
    </row>
    <row r="232" spans="8:19" ht="16.5">
      <c r="H232" s="4" t="s">
        <v>204</v>
      </c>
      <c r="K232" s="4" t="s">
        <v>73</v>
      </c>
      <c r="M232">
        <f t="shared" si="12"/>
        <v>2</v>
      </c>
      <c r="N232" t="str">
        <f t="shared" si="13"/>
        <v>10113:1</v>
      </c>
      <c r="O232">
        <f t="shared" si="14"/>
        <v>6</v>
      </c>
      <c r="P232" t="str">
        <f t="shared" si="15"/>
        <v>10113</v>
      </c>
      <c r="Q232" s="5">
        <v>10113</v>
      </c>
      <c r="R232" t="str">
        <f>VLOOKUP(Q232,[1]命格基础!$A:$B,2,0)</f>
        <v>亥猪</v>
      </c>
      <c r="S232">
        <f>VLOOKUP(Q232,[1]命格基础!$A:$C,3,0)</f>
        <v>3</v>
      </c>
    </row>
    <row r="233" spans="8:19" ht="16.5">
      <c r="H233" s="4" t="s">
        <v>249</v>
      </c>
      <c r="K233" s="4" t="s">
        <v>250</v>
      </c>
      <c r="M233">
        <f t="shared" si="12"/>
        <v>2</v>
      </c>
      <c r="N233" t="str">
        <f t="shared" si="13"/>
        <v>100055:5</v>
      </c>
      <c r="O233">
        <f t="shared" si="14"/>
        <v>7</v>
      </c>
      <c r="P233" t="str">
        <f t="shared" si="15"/>
        <v>100055</v>
      </c>
      <c r="Q233" s="5">
        <v>100055</v>
      </c>
      <c r="R233" t="e">
        <f>VLOOKUP(Q233,[1]命格基础!$A:$B,2,0)</f>
        <v>#N/A</v>
      </c>
      <c r="S233" t="e">
        <f>VLOOKUP(Q233,[1]命格基础!$A:$C,3,0)</f>
        <v>#N/A</v>
      </c>
    </row>
    <row r="234" spans="8:19" ht="16.5">
      <c r="H234" s="4" t="s">
        <v>251</v>
      </c>
      <c r="K234" s="4" t="s">
        <v>252</v>
      </c>
      <c r="M234">
        <f t="shared" si="12"/>
        <v>2</v>
      </c>
      <c r="N234" t="str">
        <f t="shared" si="13"/>
        <v>100056:5</v>
      </c>
      <c r="O234">
        <f t="shared" si="14"/>
        <v>7</v>
      </c>
      <c r="P234" t="str">
        <f t="shared" si="15"/>
        <v>100056</v>
      </c>
      <c r="Q234" s="5">
        <v>100056</v>
      </c>
      <c r="R234" t="e">
        <f>VLOOKUP(Q234,[1]命格基础!$A:$B,2,0)</f>
        <v>#N/A</v>
      </c>
      <c r="S234" t="e">
        <f>VLOOKUP(Q234,[1]命格基础!$A:$C,3,0)</f>
        <v>#N/A</v>
      </c>
    </row>
    <row r="235" spans="8:19" ht="16.5">
      <c r="H235" s="4" t="s">
        <v>145</v>
      </c>
      <c r="K235" s="4" t="s">
        <v>46</v>
      </c>
      <c r="M235">
        <f t="shared" si="12"/>
        <v>2</v>
      </c>
      <c r="N235" t="str">
        <f t="shared" si="13"/>
        <v>10002:1</v>
      </c>
      <c r="O235">
        <f t="shared" si="14"/>
        <v>6</v>
      </c>
      <c r="P235" t="str">
        <f t="shared" si="15"/>
        <v>10002</v>
      </c>
      <c r="Q235" s="5">
        <v>10002</v>
      </c>
      <c r="R235" t="str">
        <f>VLOOKUP(Q235,[1]命格基础!$A:$B,2,0)</f>
        <v>子鼠</v>
      </c>
      <c r="S235">
        <f>VLOOKUP(Q235,[1]命格基础!$A:$C,3,0)</f>
        <v>2</v>
      </c>
    </row>
    <row r="236" spans="8:19" ht="16.5">
      <c r="H236" s="4" t="s">
        <v>146</v>
      </c>
      <c r="K236" s="4" t="s">
        <v>47</v>
      </c>
      <c r="M236">
        <f t="shared" si="12"/>
        <v>2</v>
      </c>
      <c r="N236" t="str">
        <f t="shared" si="13"/>
        <v>10012:1</v>
      </c>
      <c r="O236">
        <f t="shared" si="14"/>
        <v>6</v>
      </c>
      <c r="P236" t="str">
        <f t="shared" si="15"/>
        <v>10012</v>
      </c>
      <c r="Q236" s="5">
        <v>10012</v>
      </c>
      <c r="R236" t="str">
        <f>VLOOKUP(Q236,[1]命格基础!$A:$B,2,0)</f>
        <v>丑牛</v>
      </c>
      <c r="S236">
        <f>VLOOKUP(Q236,[1]命格基础!$A:$C,3,0)</f>
        <v>2</v>
      </c>
    </row>
    <row r="237" spans="8:19" ht="16.5">
      <c r="H237" s="4" t="s">
        <v>147</v>
      </c>
      <c r="K237" s="4" t="s">
        <v>48</v>
      </c>
      <c r="M237">
        <f t="shared" si="12"/>
        <v>2</v>
      </c>
      <c r="N237" t="str">
        <f t="shared" si="13"/>
        <v>10022:1</v>
      </c>
      <c r="O237">
        <f t="shared" si="14"/>
        <v>6</v>
      </c>
      <c r="P237" t="str">
        <f t="shared" si="15"/>
        <v>10022</v>
      </c>
      <c r="Q237" s="5">
        <v>10022</v>
      </c>
      <c r="R237" t="str">
        <f>VLOOKUP(Q237,[1]命格基础!$A:$B,2,0)</f>
        <v>寅虎</v>
      </c>
      <c r="S237">
        <f>VLOOKUP(Q237,[1]命格基础!$A:$C,3,0)</f>
        <v>2</v>
      </c>
    </row>
    <row r="238" spans="8:19" ht="16.5">
      <c r="H238" s="4" t="s">
        <v>148</v>
      </c>
      <c r="K238" s="4" t="s">
        <v>49</v>
      </c>
      <c r="M238">
        <f t="shared" si="12"/>
        <v>2</v>
      </c>
      <c r="N238" t="str">
        <f t="shared" si="13"/>
        <v>10032:1</v>
      </c>
      <c r="O238">
        <f t="shared" si="14"/>
        <v>6</v>
      </c>
      <c r="P238" t="str">
        <f t="shared" si="15"/>
        <v>10032</v>
      </c>
      <c r="Q238" s="5">
        <v>10032</v>
      </c>
      <c r="R238" t="str">
        <f>VLOOKUP(Q238,[1]命格基础!$A:$B,2,0)</f>
        <v>卯兔</v>
      </c>
      <c r="S238">
        <f>VLOOKUP(Q238,[1]命格基础!$A:$C,3,0)</f>
        <v>2</v>
      </c>
    </row>
    <row r="239" spans="8:19" ht="16.5">
      <c r="H239" s="4" t="s">
        <v>149</v>
      </c>
      <c r="K239" s="4" t="s">
        <v>50</v>
      </c>
      <c r="M239">
        <f t="shared" si="12"/>
        <v>2</v>
      </c>
      <c r="N239" t="str">
        <f t="shared" si="13"/>
        <v>10042:1</v>
      </c>
      <c r="O239">
        <f t="shared" si="14"/>
        <v>6</v>
      </c>
      <c r="P239" t="str">
        <f t="shared" si="15"/>
        <v>10042</v>
      </c>
      <c r="Q239" s="5">
        <v>10042</v>
      </c>
      <c r="R239" t="str">
        <f>VLOOKUP(Q239,[1]命格基础!$A:$B,2,0)</f>
        <v>辰龙</v>
      </c>
      <c r="S239">
        <f>VLOOKUP(Q239,[1]命格基础!$A:$C,3,0)</f>
        <v>2</v>
      </c>
    </row>
    <row r="240" spans="8:19" ht="16.5">
      <c r="H240" s="4" t="s">
        <v>150</v>
      </c>
      <c r="K240" s="4" t="s">
        <v>52</v>
      </c>
      <c r="M240">
        <f t="shared" si="12"/>
        <v>2</v>
      </c>
      <c r="N240" t="str">
        <f t="shared" si="13"/>
        <v>10052:1</v>
      </c>
      <c r="O240">
        <f t="shared" si="14"/>
        <v>6</v>
      </c>
      <c r="P240" t="str">
        <f t="shared" si="15"/>
        <v>10052</v>
      </c>
      <c r="Q240" s="5">
        <v>10052</v>
      </c>
      <c r="R240" t="str">
        <f>VLOOKUP(Q240,[1]命格基础!$A:$B,2,0)</f>
        <v>巳蛇</v>
      </c>
      <c r="S240">
        <f>VLOOKUP(Q240,[1]命格基础!$A:$C,3,0)</f>
        <v>2</v>
      </c>
    </row>
    <row r="241" spans="8:19" ht="16.5">
      <c r="H241" s="4" t="s">
        <v>151</v>
      </c>
      <c r="K241" s="4" t="s">
        <v>152</v>
      </c>
      <c r="M241">
        <f t="shared" si="12"/>
        <v>2</v>
      </c>
      <c r="N241" t="str">
        <f t="shared" si="13"/>
        <v>10062:1</v>
      </c>
      <c r="O241">
        <f t="shared" si="14"/>
        <v>6</v>
      </c>
      <c r="P241" t="str">
        <f t="shared" si="15"/>
        <v>10062</v>
      </c>
      <c r="Q241" s="5">
        <v>10062</v>
      </c>
      <c r="R241" t="str">
        <f>VLOOKUP(Q241,[1]命格基础!$A:$B,2,0)</f>
        <v>午马</v>
      </c>
      <c r="S241">
        <f>VLOOKUP(Q241,[1]命格基础!$A:$C,3,0)</f>
        <v>2</v>
      </c>
    </row>
    <row r="242" spans="8:19" ht="16.5">
      <c r="H242" s="4" t="s">
        <v>153</v>
      </c>
      <c r="K242" s="4" t="s">
        <v>54</v>
      </c>
      <c r="M242">
        <f t="shared" si="12"/>
        <v>2</v>
      </c>
      <c r="N242" t="str">
        <f t="shared" si="13"/>
        <v>10072:1</v>
      </c>
      <c r="O242">
        <f t="shared" si="14"/>
        <v>6</v>
      </c>
      <c r="P242" t="str">
        <f t="shared" si="15"/>
        <v>10072</v>
      </c>
      <c r="Q242" s="5">
        <v>10072</v>
      </c>
      <c r="R242" t="str">
        <f>VLOOKUP(Q242,[1]命格基础!$A:$B,2,0)</f>
        <v>未羊</v>
      </c>
      <c r="S242">
        <f>VLOOKUP(Q242,[1]命格基础!$A:$C,3,0)</f>
        <v>2</v>
      </c>
    </row>
    <row r="243" spans="8:19" ht="16.5">
      <c r="H243" s="4" t="s">
        <v>154</v>
      </c>
      <c r="K243" s="4" t="s">
        <v>155</v>
      </c>
      <c r="M243">
        <f t="shared" si="12"/>
        <v>2</v>
      </c>
      <c r="N243" t="str">
        <f t="shared" si="13"/>
        <v>10082:1</v>
      </c>
      <c r="O243">
        <f t="shared" si="14"/>
        <v>6</v>
      </c>
      <c r="P243" t="str">
        <f t="shared" si="15"/>
        <v>10082</v>
      </c>
      <c r="Q243" s="5">
        <v>10082</v>
      </c>
      <c r="R243" t="str">
        <f>VLOOKUP(Q243,[1]命格基础!$A:$B,2,0)</f>
        <v>申猴</v>
      </c>
      <c r="S243">
        <f>VLOOKUP(Q243,[1]命格基础!$A:$C,3,0)</f>
        <v>2</v>
      </c>
    </row>
    <row r="244" spans="8:19" ht="16.5">
      <c r="H244" s="4" t="s">
        <v>156</v>
      </c>
      <c r="K244" s="4" t="s">
        <v>56</v>
      </c>
      <c r="M244">
        <f t="shared" si="12"/>
        <v>2</v>
      </c>
      <c r="N244" t="str">
        <f t="shared" si="13"/>
        <v>10092:1</v>
      </c>
      <c r="O244">
        <f t="shared" si="14"/>
        <v>6</v>
      </c>
      <c r="P244" t="str">
        <f t="shared" si="15"/>
        <v>10092</v>
      </c>
      <c r="Q244" s="5">
        <v>10092</v>
      </c>
      <c r="R244" t="str">
        <f>VLOOKUP(Q244,[1]命格基础!$A:$B,2,0)</f>
        <v>酉鸡</v>
      </c>
      <c r="S244">
        <f>VLOOKUP(Q244,[1]命格基础!$A:$C,3,0)</f>
        <v>2</v>
      </c>
    </row>
    <row r="245" spans="8:19" ht="16.5">
      <c r="H245" s="4" t="s">
        <v>157</v>
      </c>
      <c r="K245" s="4" t="s">
        <v>158</v>
      </c>
      <c r="M245">
        <f t="shared" si="12"/>
        <v>2</v>
      </c>
      <c r="N245" t="str">
        <f t="shared" si="13"/>
        <v>10102:1</v>
      </c>
      <c r="O245">
        <f t="shared" si="14"/>
        <v>6</v>
      </c>
      <c r="P245" t="str">
        <f t="shared" si="15"/>
        <v>10102</v>
      </c>
      <c r="Q245" s="5">
        <v>10102</v>
      </c>
      <c r="R245" t="str">
        <f>VLOOKUP(Q245,[1]命格基础!$A:$B,2,0)</f>
        <v>戌狗</v>
      </c>
      <c r="S245">
        <f>VLOOKUP(Q245,[1]命格基础!$A:$C,3,0)</f>
        <v>2</v>
      </c>
    </row>
    <row r="246" spans="8:19" ht="16.5">
      <c r="H246" s="4" t="s">
        <v>159</v>
      </c>
      <c r="K246" s="4" t="s">
        <v>160</v>
      </c>
      <c r="M246">
        <f t="shared" si="12"/>
        <v>2</v>
      </c>
      <c r="N246" t="str">
        <f t="shared" si="13"/>
        <v>10112:1</v>
      </c>
      <c r="O246">
        <f t="shared" si="14"/>
        <v>6</v>
      </c>
      <c r="P246" t="str">
        <f t="shared" si="15"/>
        <v>10112</v>
      </c>
      <c r="Q246" s="5">
        <v>10112</v>
      </c>
      <c r="R246" t="str">
        <f>VLOOKUP(Q246,[1]命格基础!$A:$B,2,0)</f>
        <v>亥猪</v>
      </c>
      <c r="S246">
        <f>VLOOKUP(Q246,[1]命格基础!$A:$C,3,0)</f>
        <v>2</v>
      </c>
    </row>
    <row r="247" spans="8:19" ht="16.5">
      <c r="H247" s="4" t="s">
        <v>193</v>
      </c>
      <c r="K247" s="4" t="s">
        <v>59</v>
      </c>
      <c r="M247">
        <f t="shared" si="12"/>
        <v>2</v>
      </c>
      <c r="N247" t="str">
        <f t="shared" si="13"/>
        <v>10003:1</v>
      </c>
      <c r="O247">
        <f t="shared" si="14"/>
        <v>6</v>
      </c>
      <c r="P247" t="str">
        <f t="shared" si="15"/>
        <v>10003</v>
      </c>
      <c r="Q247" s="5">
        <v>10003</v>
      </c>
      <c r="R247" t="str">
        <f>VLOOKUP(Q247,[1]命格基础!$A:$B,2,0)</f>
        <v>子鼠</v>
      </c>
      <c r="S247">
        <f>VLOOKUP(Q247,[1]命格基础!$A:$C,3,0)</f>
        <v>3</v>
      </c>
    </row>
    <row r="248" spans="8:19" ht="16.5">
      <c r="H248" s="4" t="s">
        <v>194</v>
      </c>
      <c r="K248" s="4" t="s">
        <v>60</v>
      </c>
      <c r="M248">
        <f t="shared" si="12"/>
        <v>2</v>
      </c>
      <c r="N248" t="str">
        <f t="shared" si="13"/>
        <v>10013:1</v>
      </c>
      <c r="O248">
        <f t="shared" si="14"/>
        <v>6</v>
      </c>
      <c r="P248" t="str">
        <f t="shared" si="15"/>
        <v>10013</v>
      </c>
      <c r="Q248" s="5">
        <v>10013</v>
      </c>
      <c r="R248" t="str">
        <f>VLOOKUP(Q248,[1]命格基础!$A:$B,2,0)</f>
        <v>丑牛</v>
      </c>
      <c r="S248">
        <f>VLOOKUP(Q248,[1]命格基础!$A:$C,3,0)</f>
        <v>3</v>
      </c>
    </row>
    <row r="249" spans="8:19" ht="16.5">
      <c r="H249" s="4" t="s">
        <v>195</v>
      </c>
      <c r="K249" s="4" t="s">
        <v>61</v>
      </c>
      <c r="M249">
        <f t="shared" si="12"/>
        <v>2</v>
      </c>
      <c r="N249" t="str">
        <f t="shared" si="13"/>
        <v>10023:1</v>
      </c>
      <c r="O249">
        <f t="shared" si="14"/>
        <v>6</v>
      </c>
      <c r="P249" t="str">
        <f t="shared" si="15"/>
        <v>10023</v>
      </c>
      <c r="Q249" s="5">
        <v>10023</v>
      </c>
      <c r="R249" t="str">
        <f>VLOOKUP(Q249,[1]命格基础!$A:$B,2,0)</f>
        <v>寅虎</v>
      </c>
      <c r="S249">
        <f>VLOOKUP(Q249,[1]命格基础!$A:$C,3,0)</f>
        <v>3</v>
      </c>
    </row>
    <row r="250" spans="8:19" ht="16.5">
      <c r="H250" s="4" t="s">
        <v>196</v>
      </c>
      <c r="K250" s="4" t="s">
        <v>62</v>
      </c>
      <c r="M250">
        <f t="shared" si="12"/>
        <v>2</v>
      </c>
      <c r="N250" t="str">
        <f t="shared" si="13"/>
        <v>10033:1</v>
      </c>
      <c r="O250">
        <f t="shared" si="14"/>
        <v>6</v>
      </c>
      <c r="P250" t="str">
        <f t="shared" si="15"/>
        <v>10033</v>
      </c>
      <c r="Q250" s="5">
        <v>10033</v>
      </c>
      <c r="R250" t="str">
        <f>VLOOKUP(Q250,[1]命格基础!$A:$B,2,0)</f>
        <v>卯兔</v>
      </c>
      <c r="S250">
        <f>VLOOKUP(Q250,[1]命格基础!$A:$C,3,0)</f>
        <v>3</v>
      </c>
    </row>
    <row r="251" spans="8:19" ht="16.5">
      <c r="H251" s="4" t="s">
        <v>197</v>
      </c>
      <c r="K251" s="4" t="s">
        <v>63</v>
      </c>
      <c r="M251">
        <f t="shared" si="12"/>
        <v>2</v>
      </c>
      <c r="N251" t="str">
        <f t="shared" si="13"/>
        <v>10043:1</v>
      </c>
      <c r="O251">
        <f t="shared" si="14"/>
        <v>6</v>
      </c>
      <c r="P251" t="str">
        <f t="shared" si="15"/>
        <v>10043</v>
      </c>
      <c r="Q251" s="5">
        <v>10043</v>
      </c>
      <c r="R251" t="str">
        <f>VLOOKUP(Q251,[1]命格基础!$A:$B,2,0)</f>
        <v>辰龙</v>
      </c>
      <c r="S251">
        <f>VLOOKUP(Q251,[1]命格基础!$A:$C,3,0)</f>
        <v>3</v>
      </c>
    </row>
    <row r="252" spans="8:19" ht="16.5">
      <c r="H252" s="4" t="s">
        <v>198</v>
      </c>
      <c r="K252" s="4" t="s">
        <v>64</v>
      </c>
      <c r="M252">
        <f t="shared" si="12"/>
        <v>2</v>
      </c>
      <c r="N252" t="str">
        <f t="shared" si="13"/>
        <v>10053:1</v>
      </c>
      <c r="O252">
        <f t="shared" si="14"/>
        <v>6</v>
      </c>
      <c r="P252" t="str">
        <f t="shared" si="15"/>
        <v>10053</v>
      </c>
      <c r="Q252" s="5">
        <v>10053</v>
      </c>
      <c r="R252" t="str">
        <f>VLOOKUP(Q252,[1]命格基础!$A:$B,2,0)</f>
        <v>巳蛇</v>
      </c>
      <c r="S252">
        <f>VLOOKUP(Q252,[1]命格基础!$A:$C,3,0)</f>
        <v>3</v>
      </c>
    </row>
    <row r="253" spans="8:19" ht="16.5">
      <c r="H253" s="4" t="s">
        <v>199</v>
      </c>
      <c r="K253" s="4" t="s">
        <v>65</v>
      </c>
      <c r="M253">
        <f t="shared" si="12"/>
        <v>2</v>
      </c>
      <c r="N253" t="str">
        <f t="shared" si="13"/>
        <v>10063:1</v>
      </c>
      <c r="O253">
        <f t="shared" si="14"/>
        <v>6</v>
      </c>
      <c r="P253" t="str">
        <f t="shared" si="15"/>
        <v>10063</v>
      </c>
      <c r="Q253" s="5">
        <v>10063</v>
      </c>
      <c r="R253" t="str">
        <f>VLOOKUP(Q253,[1]命格基础!$A:$B,2,0)</f>
        <v>午马</v>
      </c>
      <c r="S253">
        <f>VLOOKUP(Q253,[1]命格基础!$A:$C,3,0)</f>
        <v>3</v>
      </c>
    </row>
    <row r="254" spans="8:19" ht="16.5">
      <c r="H254" s="4" t="s">
        <v>200</v>
      </c>
      <c r="K254" s="4" t="s">
        <v>67</v>
      </c>
      <c r="M254">
        <f t="shared" si="12"/>
        <v>2</v>
      </c>
      <c r="N254" t="str">
        <f t="shared" si="13"/>
        <v>10073:1</v>
      </c>
      <c r="O254">
        <f t="shared" si="14"/>
        <v>6</v>
      </c>
      <c r="P254" t="str">
        <f t="shared" si="15"/>
        <v>10073</v>
      </c>
      <c r="Q254" s="5">
        <v>10073</v>
      </c>
      <c r="R254" t="str">
        <f>VLOOKUP(Q254,[1]命格基础!$A:$B,2,0)</f>
        <v>未羊</v>
      </c>
      <c r="S254">
        <f>VLOOKUP(Q254,[1]命格基础!$A:$C,3,0)</f>
        <v>3</v>
      </c>
    </row>
    <row r="255" spans="8:19" ht="16.5">
      <c r="H255" s="4" t="s">
        <v>201</v>
      </c>
      <c r="K255" s="4" t="s">
        <v>68</v>
      </c>
      <c r="M255">
        <f t="shared" si="12"/>
        <v>2</v>
      </c>
      <c r="N255" t="str">
        <f t="shared" si="13"/>
        <v>10083:1</v>
      </c>
      <c r="O255">
        <f t="shared" si="14"/>
        <v>6</v>
      </c>
      <c r="P255" t="str">
        <f t="shared" si="15"/>
        <v>10083</v>
      </c>
      <c r="Q255" s="5">
        <v>10083</v>
      </c>
      <c r="R255" t="str">
        <f>VLOOKUP(Q255,[1]命格基础!$A:$B,2,0)</f>
        <v>申猴</v>
      </c>
      <c r="S255">
        <f>VLOOKUP(Q255,[1]命格基础!$A:$C,3,0)</f>
        <v>3</v>
      </c>
    </row>
    <row r="256" spans="8:19" ht="16.5">
      <c r="H256" s="4" t="s">
        <v>202</v>
      </c>
      <c r="K256" s="4" t="s">
        <v>70</v>
      </c>
      <c r="M256">
        <f t="shared" si="12"/>
        <v>2</v>
      </c>
      <c r="N256" t="str">
        <f t="shared" si="13"/>
        <v>10093:1</v>
      </c>
      <c r="O256">
        <f t="shared" si="14"/>
        <v>6</v>
      </c>
      <c r="P256" t="str">
        <f t="shared" si="15"/>
        <v>10093</v>
      </c>
      <c r="Q256" s="5">
        <v>10093</v>
      </c>
      <c r="R256" t="str">
        <f>VLOOKUP(Q256,[1]命格基础!$A:$B,2,0)</f>
        <v>酉鸡</v>
      </c>
      <c r="S256">
        <f>VLOOKUP(Q256,[1]命格基础!$A:$C,3,0)</f>
        <v>3</v>
      </c>
    </row>
    <row r="257" spans="8:19" ht="16.5">
      <c r="H257" s="4" t="s">
        <v>203</v>
      </c>
      <c r="K257" s="4" t="s">
        <v>71</v>
      </c>
      <c r="M257">
        <f t="shared" si="12"/>
        <v>2</v>
      </c>
      <c r="N257" t="str">
        <f t="shared" si="13"/>
        <v>10103:1</v>
      </c>
      <c r="O257">
        <f t="shared" si="14"/>
        <v>6</v>
      </c>
      <c r="P257" t="str">
        <f t="shared" si="15"/>
        <v>10103</v>
      </c>
      <c r="Q257" s="5">
        <v>10103</v>
      </c>
      <c r="R257" t="str">
        <f>VLOOKUP(Q257,[1]命格基础!$A:$B,2,0)</f>
        <v>戌狗</v>
      </c>
      <c r="S257">
        <f>VLOOKUP(Q257,[1]命格基础!$A:$C,3,0)</f>
        <v>3</v>
      </c>
    </row>
    <row r="258" spans="8:19" ht="16.5">
      <c r="H258" s="4" t="s">
        <v>204</v>
      </c>
      <c r="K258" s="4" t="s">
        <v>73</v>
      </c>
      <c r="M258">
        <f t="shared" ref="M258:M271" si="16">FIND(":",K258,1)</f>
        <v>2</v>
      </c>
      <c r="N258" t="str">
        <f t="shared" ref="N258:N271" si="17">RIGHT(K258,LEN(K258)-M258)</f>
        <v>10113:1</v>
      </c>
      <c r="O258">
        <f t="shared" ref="O258:O271" si="18">FIND(":",N258,1)</f>
        <v>6</v>
      </c>
      <c r="P258" t="str">
        <f t="shared" ref="P258:P271" si="19">LEFT(N258,O258-1)</f>
        <v>10113</v>
      </c>
      <c r="Q258" s="5">
        <v>10113</v>
      </c>
      <c r="R258" t="str">
        <f>VLOOKUP(Q258,[1]命格基础!$A:$B,2,0)</f>
        <v>亥猪</v>
      </c>
      <c r="S258">
        <f>VLOOKUP(Q258,[1]命格基础!$A:$C,3,0)</f>
        <v>3</v>
      </c>
    </row>
    <row r="259" spans="8:19" ht="16.5">
      <c r="H259" s="4" t="s">
        <v>213</v>
      </c>
      <c r="K259" s="4" t="s">
        <v>98</v>
      </c>
      <c r="M259">
        <f t="shared" si="16"/>
        <v>2</v>
      </c>
      <c r="N259" t="str">
        <f t="shared" si="17"/>
        <v>10004:1</v>
      </c>
      <c r="O259">
        <f t="shared" si="18"/>
        <v>6</v>
      </c>
      <c r="P259" t="str">
        <f t="shared" si="19"/>
        <v>10004</v>
      </c>
      <c r="Q259" s="5">
        <v>10004</v>
      </c>
      <c r="R259" t="str">
        <f>VLOOKUP(Q259,[1]命格基础!$A:$B,2,0)</f>
        <v>子鼠</v>
      </c>
      <c r="S259">
        <f>VLOOKUP(Q259,[1]命格基础!$A:$C,3,0)</f>
        <v>4</v>
      </c>
    </row>
    <row r="260" spans="8:19" ht="16.5">
      <c r="H260" s="4" t="s">
        <v>214</v>
      </c>
      <c r="K260" s="4" t="s">
        <v>99</v>
      </c>
      <c r="M260">
        <f t="shared" si="16"/>
        <v>2</v>
      </c>
      <c r="N260" t="str">
        <f t="shared" si="17"/>
        <v>10014:1</v>
      </c>
      <c r="O260">
        <f t="shared" si="18"/>
        <v>6</v>
      </c>
      <c r="P260" t="str">
        <f t="shared" si="19"/>
        <v>10014</v>
      </c>
      <c r="Q260" s="5">
        <v>10014</v>
      </c>
      <c r="R260" t="str">
        <f>VLOOKUP(Q260,[1]命格基础!$A:$B,2,0)</f>
        <v>丑牛</v>
      </c>
      <c r="S260">
        <f>VLOOKUP(Q260,[1]命格基础!$A:$C,3,0)</f>
        <v>4</v>
      </c>
    </row>
    <row r="261" spans="8:19" ht="16.5">
      <c r="H261" s="4" t="s">
        <v>215</v>
      </c>
      <c r="K261" s="4" t="s">
        <v>100</v>
      </c>
      <c r="M261">
        <f t="shared" si="16"/>
        <v>2</v>
      </c>
      <c r="N261" t="str">
        <f t="shared" si="17"/>
        <v>10024:1</v>
      </c>
      <c r="O261">
        <f t="shared" si="18"/>
        <v>6</v>
      </c>
      <c r="P261" t="str">
        <f t="shared" si="19"/>
        <v>10024</v>
      </c>
      <c r="Q261" s="5">
        <v>10024</v>
      </c>
      <c r="R261" t="str">
        <f>VLOOKUP(Q261,[1]命格基础!$A:$B,2,0)</f>
        <v>寅虎</v>
      </c>
      <c r="S261">
        <f>VLOOKUP(Q261,[1]命格基础!$A:$C,3,0)</f>
        <v>4</v>
      </c>
    </row>
    <row r="262" spans="8:19" ht="16.5">
      <c r="H262" s="4" t="s">
        <v>216</v>
      </c>
      <c r="K262" s="4" t="s">
        <v>101</v>
      </c>
      <c r="M262">
        <f t="shared" si="16"/>
        <v>2</v>
      </c>
      <c r="N262" t="str">
        <f t="shared" si="17"/>
        <v>10034:1</v>
      </c>
      <c r="O262">
        <f t="shared" si="18"/>
        <v>6</v>
      </c>
      <c r="P262" t="str">
        <f t="shared" si="19"/>
        <v>10034</v>
      </c>
      <c r="Q262" s="5">
        <v>10034</v>
      </c>
      <c r="R262" t="str">
        <f>VLOOKUP(Q262,[1]命格基础!$A:$B,2,0)</f>
        <v>卯兔</v>
      </c>
      <c r="S262">
        <f>VLOOKUP(Q262,[1]命格基础!$A:$C,3,0)</f>
        <v>4</v>
      </c>
    </row>
    <row r="263" spans="8:19" ht="16.5">
      <c r="H263" s="4" t="s">
        <v>217</v>
      </c>
      <c r="K263" s="4" t="s">
        <v>102</v>
      </c>
      <c r="M263">
        <f t="shared" si="16"/>
        <v>2</v>
      </c>
      <c r="N263" t="str">
        <f t="shared" si="17"/>
        <v>10044:1</v>
      </c>
      <c r="O263">
        <f t="shared" si="18"/>
        <v>6</v>
      </c>
      <c r="P263" t="str">
        <f t="shared" si="19"/>
        <v>10044</v>
      </c>
      <c r="Q263" s="5">
        <v>10044</v>
      </c>
      <c r="R263" t="str">
        <f>VLOOKUP(Q263,[1]命格基础!$A:$B,2,0)</f>
        <v>辰龙</v>
      </c>
      <c r="S263">
        <f>VLOOKUP(Q263,[1]命格基础!$A:$C,3,0)</f>
        <v>4</v>
      </c>
    </row>
    <row r="264" spans="8:19" ht="16.5">
      <c r="H264" s="4" t="s">
        <v>218</v>
      </c>
      <c r="K264" s="4" t="s">
        <v>103</v>
      </c>
      <c r="M264">
        <f t="shared" si="16"/>
        <v>2</v>
      </c>
      <c r="N264" t="str">
        <f t="shared" si="17"/>
        <v>10054:1</v>
      </c>
      <c r="O264">
        <f t="shared" si="18"/>
        <v>6</v>
      </c>
      <c r="P264" t="str">
        <f t="shared" si="19"/>
        <v>10054</v>
      </c>
      <c r="Q264" s="5">
        <v>10054</v>
      </c>
      <c r="R264" t="str">
        <f>VLOOKUP(Q264,[1]命格基础!$A:$B,2,0)</f>
        <v>巳蛇</v>
      </c>
      <c r="S264">
        <f>VLOOKUP(Q264,[1]命格基础!$A:$C,3,0)</f>
        <v>4</v>
      </c>
    </row>
    <row r="265" spans="8:19" ht="16.5">
      <c r="H265" s="4" t="s">
        <v>219</v>
      </c>
      <c r="K265" s="4" t="s">
        <v>104</v>
      </c>
      <c r="M265">
        <f t="shared" si="16"/>
        <v>2</v>
      </c>
      <c r="N265" t="str">
        <f t="shared" si="17"/>
        <v>10064:1</v>
      </c>
      <c r="O265">
        <f t="shared" si="18"/>
        <v>6</v>
      </c>
      <c r="P265" t="str">
        <f t="shared" si="19"/>
        <v>10064</v>
      </c>
      <c r="Q265" s="5">
        <v>10064</v>
      </c>
      <c r="R265" t="str">
        <f>VLOOKUP(Q265,[1]命格基础!$A:$B,2,0)</f>
        <v>午马</v>
      </c>
      <c r="S265">
        <f>VLOOKUP(Q265,[1]命格基础!$A:$C,3,0)</f>
        <v>4</v>
      </c>
    </row>
    <row r="266" spans="8:19" ht="16.5">
      <c r="H266" s="4" t="s">
        <v>220</v>
      </c>
      <c r="K266" s="4" t="s">
        <v>105</v>
      </c>
      <c r="M266">
        <f t="shared" si="16"/>
        <v>2</v>
      </c>
      <c r="N266" t="str">
        <f t="shared" si="17"/>
        <v>10074:1</v>
      </c>
      <c r="O266">
        <f t="shared" si="18"/>
        <v>6</v>
      </c>
      <c r="P266" t="str">
        <f t="shared" si="19"/>
        <v>10074</v>
      </c>
      <c r="Q266" s="5">
        <v>10074</v>
      </c>
      <c r="R266" t="str">
        <f>VLOOKUP(Q266,[1]命格基础!$A:$B,2,0)</f>
        <v>未羊</v>
      </c>
      <c r="S266">
        <f>VLOOKUP(Q266,[1]命格基础!$A:$C,3,0)</f>
        <v>4</v>
      </c>
    </row>
    <row r="267" spans="8:19" ht="16.5">
      <c r="H267" s="4" t="s">
        <v>221</v>
      </c>
      <c r="K267" s="4" t="s">
        <v>106</v>
      </c>
      <c r="M267">
        <f t="shared" si="16"/>
        <v>2</v>
      </c>
      <c r="N267" t="str">
        <f t="shared" si="17"/>
        <v>10084:1</v>
      </c>
      <c r="O267">
        <f t="shared" si="18"/>
        <v>6</v>
      </c>
      <c r="P267" t="str">
        <f t="shared" si="19"/>
        <v>10084</v>
      </c>
      <c r="Q267" s="5">
        <v>10084</v>
      </c>
      <c r="R267" t="str">
        <f>VLOOKUP(Q267,[1]命格基础!$A:$B,2,0)</f>
        <v>申猴</v>
      </c>
      <c r="S267">
        <f>VLOOKUP(Q267,[1]命格基础!$A:$C,3,0)</f>
        <v>4</v>
      </c>
    </row>
    <row r="268" spans="8:19" ht="16.5">
      <c r="H268" s="4" t="s">
        <v>222</v>
      </c>
      <c r="K268" s="4" t="s">
        <v>107</v>
      </c>
      <c r="M268">
        <f t="shared" si="16"/>
        <v>2</v>
      </c>
      <c r="N268" t="str">
        <f t="shared" si="17"/>
        <v>10094:1</v>
      </c>
      <c r="O268">
        <f t="shared" si="18"/>
        <v>6</v>
      </c>
      <c r="P268" t="str">
        <f t="shared" si="19"/>
        <v>10094</v>
      </c>
      <c r="Q268" s="5">
        <v>10094</v>
      </c>
      <c r="R268" t="str">
        <f>VLOOKUP(Q268,[1]命格基础!$A:$B,2,0)</f>
        <v>酉鸡</v>
      </c>
      <c r="S268">
        <f>VLOOKUP(Q268,[1]命格基础!$A:$C,3,0)</f>
        <v>4</v>
      </c>
    </row>
    <row r="269" spans="8:19" ht="16.5">
      <c r="H269" s="4" t="s">
        <v>223</v>
      </c>
      <c r="K269" s="4" t="s">
        <v>108</v>
      </c>
      <c r="M269">
        <f t="shared" si="16"/>
        <v>2</v>
      </c>
      <c r="N269" t="str">
        <f t="shared" si="17"/>
        <v>10104:1</v>
      </c>
      <c r="O269">
        <f t="shared" si="18"/>
        <v>6</v>
      </c>
      <c r="P269" t="str">
        <f t="shared" si="19"/>
        <v>10104</v>
      </c>
      <c r="Q269" s="5">
        <v>10104</v>
      </c>
      <c r="R269" t="str">
        <f>VLOOKUP(Q269,[1]命格基础!$A:$B,2,0)</f>
        <v>戌狗</v>
      </c>
      <c r="S269">
        <f>VLOOKUP(Q269,[1]命格基础!$A:$C,3,0)</f>
        <v>4</v>
      </c>
    </row>
    <row r="270" spans="8:19" ht="16.5">
      <c r="H270" s="4" t="s">
        <v>224</v>
      </c>
      <c r="K270" s="4" t="s">
        <v>109</v>
      </c>
      <c r="M270">
        <f t="shared" si="16"/>
        <v>2</v>
      </c>
      <c r="N270" t="str">
        <f t="shared" si="17"/>
        <v>10114:1</v>
      </c>
      <c r="O270">
        <f t="shared" si="18"/>
        <v>6</v>
      </c>
      <c r="P270" t="str">
        <f t="shared" si="19"/>
        <v>10114</v>
      </c>
      <c r="Q270" s="5">
        <v>10114</v>
      </c>
      <c r="R270" t="str">
        <f>VLOOKUP(Q270,[1]命格基础!$A:$B,2,0)</f>
        <v>亥猪</v>
      </c>
      <c r="S270">
        <f>VLOOKUP(Q270,[1]命格基础!$A:$C,3,0)</f>
        <v>4</v>
      </c>
    </row>
    <row r="271" spans="8:19" ht="16.5">
      <c r="H271" s="4" t="s">
        <v>125</v>
      </c>
      <c r="K271" s="4" t="s">
        <v>26</v>
      </c>
      <c r="M271">
        <f t="shared" si="16"/>
        <v>2</v>
      </c>
      <c r="N271" t="str">
        <f t="shared" si="17"/>
        <v>10001:1</v>
      </c>
      <c r="O271">
        <f t="shared" si="18"/>
        <v>6</v>
      </c>
      <c r="P271" t="str">
        <f t="shared" si="19"/>
        <v>10001</v>
      </c>
      <c r="Q271" s="5">
        <v>10001</v>
      </c>
      <c r="R271" t="str">
        <f>VLOOKUP(Q271,[1]命格基础!$A:$B,2,0)</f>
        <v>子鼠</v>
      </c>
      <c r="S271">
        <f>VLOOKUP(Q271,[1]命格基础!$A:$C,3,0)</f>
        <v>1</v>
      </c>
    </row>
  </sheetData>
  <conditionalFormatting sqref="A1">
    <cfRule type="duplicateValues" dxfId="7" priority="6"/>
    <cfRule type="duplicateValues" dxfId="6" priority="7"/>
  </conditionalFormatting>
  <conditionalFormatting sqref="A2">
    <cfRule type="duplicateValues" dxfId="5" priority="1"/>
    <cfRule type="duplicateValues" dxfId="4" priority="2"/>
  </conditionalFormatting>
  <conditionalFormatting sqref="A1 A3">
    <cfRule type="duplicateValues" dxfId="3" priority="8"/>
    <cfRule type="duplicateValues" priority="9"/>
    <cfRule type="duplicateValues" dxfId="2" priority="10"/>
  </conditionalFormatting>
  <conditionalFormatting sqref="A2 A4">
    <cfRule type="duplicateValues" dxfId="1" priority="3"/>
    <cfRule type="duplicateValues" priority="4"/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命格祈祷基础</vt:lpstr>
      <vt:lpstr>命格雕像变更</vt:lpstr>
      <vt:lpstr>命格祈祷奖励</vt:lpstr>
      <vt:lpstr>命格祈祷作弊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2022-09-27T17:25:28Z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6514698AF21F4C799A84177059CC1AC9</vt:lpwstr>
  </property>
</Properties>
</file>