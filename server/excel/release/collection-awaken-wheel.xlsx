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藏品觉醒配置" sheetId="1" r:id="rId1"/>
    <sheet name="藏品兑换商店限制" sheetId="2" r:id="rId2"/>
    <sheet name="藏品概率配置" sheetId="3" r:id="rId3"/>
    <sheet name="藏品兑换商城" sheetId="4" r:id="rId4"/>
    <sheet name="超级大奖奖池" sheetId="5" r:id="rId5"/>
  </sheets>
  <calcPr calcId="144525"/>
</workbook>
</file>

<file path=xl/calcChain.xml><?xml version="1.0" encoding="utf-8"?>
<calcChain xmlns="http://schemas.openxmlformats.org/spreadsheetml/2006/main">
  <c r="G15" i="3" l="1"/>
  <c r="G14" i="3"/>
  <c r="G13" i="3"/>
  <c r="G12" i="3"/>
  <c r="G11" i="3"/>
  <c r="G10" i="3"/>
  <c r="G9" i="3"/>
  <c r="G8" i="3"/>
  <c r="G7" i="3"/>
  <c r="G6" i="3"/>
  <c r="G5" i="3"/>
  <c r="G4" i="3"/>
  <c r="G3" i="3"/>
  <c r="F3" i="3"/>
  <c r="G2" i="3"/>
</calcChain>
</file>

<file path=xl/comments1.xml><?xml version="1.0" encoding="utf-8"?>
<comments xmlns="http://schemas.openxmlformats.org/spreadsheetml/2006/main">
  <authors>
    <author>Administrator</author>
  </authors>
  <commentLis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循环商城基础ID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1.代表走权重
2.代表走循环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欺骗值为X，大于X才会有概率抽出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位置1永远是超级大奖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1RMB 23个琉璃球</t>
        </r>
      </text>
    </comment>
  </commentList>
</comments>
</file>

<file path=xl/sharedStrings.xml><?xml version="1.0" encoding="utf-8"?>
<sst xmlns="http://schemas.openxmlformats.org/spreadsheetml/2006/main" count="161" uniqueCount="119">
  <si>
    <t>活动ID</t>
  </si>
  <si>
    <t>活动名称</t>
  </si>
  <si>
    <t>开启天数</t>
  </si>
  <si>
    <t>开启时间</t>
  </si>
  <si>
    <t>结束天数</t>
  </si>
  <si>
    <t>结束时间</t>
  </si>
  <si>
    <t>最小持续天数</t>
  </si>
  <si>
    <t>转盘奖励分组</t>
  </si>
  <si>
    <t>奖励预览</t>
  </si>
  <si>
    <t>消耗道具</t>
  </si>
  <si>
    <t>充值礼包ID</t>
  </si>
  <si>
    <t>轮次上限</t>
  </si>
  <si>
    <t>超级大奖策略</t>
  </si>
  <si>
    <t>欺骗值</t>
  </si>
  <si>
    <t>00:00:00</t>
  </si>
  <si>
    <t>23:59:59</t>
  </si>
  <si>
    <t>3:100500:1#3:500056:1#3:100022:150</t>
  </si>
  <si>
    <t>3:590010:1</t>
  </si>
  <si>
    <t>商店ID</t>
  </si>
  <si>
    <t>抽奖限制次数</t>
  </si>
  <si>
    <t>预览奖励</t>
  </si>
  <si>
    <t>ID</t>
  </si>
  <si>
    <t>奖励</t>
  </si>
  <si>
    <t>初始权重</t>
  </si>
  <si>
    <t>分组</t>
  </si>
  <si>
    <t>3:590009:30</t>
  </si>
  <si>
    <t>3:590009:150</t>
  </si>
  <si>
    <t>3:590009:500</t>
  </si>
  <si>
    <t>3:590009:700</t>
  </si>
  <si>
    <t>3:590009:50</t>
  </si>
  <si>
    <t>3:590009:120</t>
  </si>
  <si>
    <t>3:590009:80</t>
  </si>
  <si>
    <t>3:590009:200</t>
  </si>
  <si>
    <t>3:590009:300</t>
  </si>
  <si>
    <t>3:590009:180</t>
  </si>
  <si>
    <t>3:590009:250</t>
  </si>
  <si>
    <t>3:590009:400</t>
  </si>
  <si>
    <t>3:590009:1000</t>
  </si>
  <si>
    <t>限购</t>
  </si>
  <si>
    <t>消耗</t>
  </si>
  <si>
    <t>*备注</t>
  </si>
  <si>
    <t>3:100501:1</t>
  </si>
  <si>
    <t>3:590009:15000</t>
  </si>
  <si>
    <t>三族中型珍藏*1</t>
  </si>
  <si>
    <t>3:500009:1</t>
  </si>
  <si>
    <t>3:590009:4500</t>
  </si>
  <si>
    <t>三族英雄自选*1</t>
  </si>
  <si>
    <t>4:606008:50</t>
  </si>
  <si>
    <t>3:590009:1500</t>
  </si>
  <si>
    <t>5星人族碎片*50</t>
  </si>
  <si>
    <t>4:606009:50</t>
  </si>
  <si>
    <t>5星仙族碎片*50</t>
  </si>
  <si>
    <t>4:606010:50</t>
  </si>
  <si>
    <t>5星妖族碎片*50</t>
  </si>
  <si>
    <t>3:100001:1000</t>
  </si>
  <si>
    <t>进阶石*1000</t>
  </si>
  <si>
    <t>0:1:500</t>
  </si>
  <si>
    <t>3:590009:1200</t>
  </si>
  <si>
    <t>元宝*500</t>
  </si>
  <si>
    <t>3:100022:1</t>
  </si>
  <si>
    <t>3:590009:100</t>
  </si>
  <si>
    <t>高级点将券*1</t>
  </si>
  <si>
    <t>0:0:50000</t>
  </si>
  <si>
    <t>3:590009:20</t>
  </si>
  <si>
    <t>金币*50000</t>
  </si>
  <si>
    <t>3:590009:14000</t>
  </si>
  <si>
    <t>3:200117:1</t>
  </si>
  <si>
    <t>3:590009:12000</t>
  </si>
  <si>
    <t>龙王·应龙蛋*1</t>
  </si>
  <si>
    <t>3:590009:3000</t>
  </si>
  <si>
    <t>3:1000011:1</t>
  </si>
  <si>
    <t>5星人族英魂*1</t>
  </si>
  <si>
    <t>3:1000012:1</t>
  </si>
  <si>
    <t>5星仙族英魂*1</t>
  </si>
  <si>
    <t>3:1000013:1</t>
  </si>
  <si>
    <t>5星妖族英魂*1</t>
  </si>
  <si>
    <t>3:590009:800</t>
  </si>
  <si>
    <t>3:590005:1</t>
  </si>
  <si>
    <t>强化石自选盒*1</t>
  </si>
  <si>
    <t>3:100502:1</t>
  </si>
  <si>
    <t>3:590009:45000</t>
  </si>
  <si>
    <t>三族大型珍藏*1</t>
  </si>
  <si>
    <t>3:590009:13000</t>
  </si>
  <si>
    <t>3:100233:1</t>
  </si>
  <si>
    <t>3:590009:62000</t>
  </si>
  <si>
    <t>五族大型珍藏*1</t>
  </si>
  <si>
    <t>3:100232:1</t>
  </si>
  <si>
    <t>3:590009:20000</t>
  </si>
  <si>
    <t>五族中型珍藏*1</t>
  </si>
  <si>
    <t>3:100231:1</t>
  </si>
  <si>
    <t>五族小型珍藏*1</t>
  </si>
  <si>
    <t>3:590004:1</t>
  </si>
  <si>
    <t>3:590009:11000</t>
  </si>
  <si>
    <t>龙王自选*1</t>
  </si>
  <si>
    <t>3:590007:1</t>
  </si>
  <si>
    <t>3:590009:8000</t>
  </si>
  <si>
    <t>经典皮肤自选*1</t>
  </si>
  <si>
    <t>3:560003:1</t>
  </si>
  <si>
    <t>3:590009:6000</t>
  </si>
  <si>
    <t>无双龙雀礼盒*1</t>
  </si>
  <si>
    <t>3:590009:2000</t>
  </si>
  <si>
    <t>3:1000010:1</t>
  </si>
  <si>
    <t>5星通用英魂*1</t>
  </si>
  <si>
    <t>3:100214:12</t>
  </si>
  <si>
    <t>陨铁精华*12</t>
  </si>
  <si>
    <t>3:100025:1</t>
  </si>
  <si>
    <t>命签*1</t>
  </si>
  <si>
    <t>3:30002:1</t>
  </si>
  <si>
    <t>兽魂经验(大)*1</t>
  </si>
  <si>
    <t>3:100252:10</t>
  </si>
  <si>
    <t>3:590009:600</t>
  </si>
  <si>
    <t>兽灵精华*10</t>
  </si>
  <si>
    <t>权重</t>
  </si>
  <si>
    <t>复制奖励</t>
  </si>
  <si>
    <t>增长初始权重</t>
  </si>
  <si>
    <t>3:100500:1</t>
  </si>
  <si>
    <t>3:500056:1</t>
  </si>
  <si>
    <t>3:100022:150</t>
  </si>
  <si>
    <t>Tàng phẩm thức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</si>
</sst>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name val="宋体"/>
      <charset val="134"/>
    </font>
    <font>
      <sz val="11"/>
      <color theme="1"/>
      <name val="Calibri"/>
      <family val="2"/>
      <scheme val="minor"/>
    </font>
    <font>
      <sz val="11"/>
      <color rgb="FF000000"/>
      <name val="黑体"/>
      <charset val="134"/>
    </font>
    <font>
      <sz val="11"/>
      <color theme="1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10" fontId="0" fillId="0" borderId="0" xfId="0" applyNumberFormat="1">
      <alignment vertical="center"/>
    </xf>
    <xf numFmtId="0" fontId="0" fillId="5" borderId="0" xfId="0" applyFill="1">
      <alignment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12"/>
  <sheetViews>
    <sheetView tabSelected="1" workbookViewId="0">
      <selection activeCell="D7" sqref="D7"/>
    </sheetView>
  </sheetViews>
  <sheetFormatPr defaultColWidth="9" defaultRowHeight="14.25"/>
  <cols>
    <col min="2" max="2" width="9.375" customWidth="1"/>
    <col min="3" max="3" width="12.875" customWidth="1"/>
    <col min="4" max="8" width="25.625" customWidth="1"/>
    <col min="9" max="9" width="38.25" customWidth="1"/>
    <col min="10" max="10" width="11.5" customWidth="1"/>
    <col min="11" max="11" width="14.625" customWidth="1"/>
    <col min="12" max="13" width="13.75" customWidth="1"/>
  </cols>
  <sheetData>
    <row r="1" spans="1:14" ht="16.5">
      <c r="A1" s="4" t="s">
        <v>0</v>
      </c>
      <c r="B1" s="4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4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.5">
      <c r="A2">
        <v>3</v>
      </c>
      <c r="B2" t="s">
        <v>118</v>
      </c>
      <c r="C2" s="14">
        <v>0</v>
      </c>
      <c r="D2" s="14" t="s">
        <v>14</v>
      </c>
      <c r="E2" s="14">
        <v>0</v>
      </c>
      <c r="F2" s="14" t="s">
        <v>15</v>
      </c>
      <c r="G2" s="15">
        <v>7</v>
      </c>
      <c r="H2" s="15">
        <v>1</v>
      </c>
      <c r="I2" t="s">
        <v>16</v>
      </c>
      <c r="J2" t="s">
        <v>17</v>
      </c>
      <c r="K2">
        <v>100001</v>
      </c>
      <c r="L2">
        <v>100</v>
      </c>
      <c r="M2">
        <v>2</v>
      </c>
      <c r="N2">
        <v>80</v>
      </c>
    </row>
    <row r="4" spans="1:14" ht="15">
      <c r="I4" s="2"/>
    </row>
    <row r="5" spans="1:14" ht="15">
      <c r="I5" s="2"/>
    </row>
    <row r="6" spans="1:14">
      <c r="I6" s="3"/>
    </row>
    <row r="12" spans="1:14">
      <c r="E12" s="16"/>
    </row>
  </sheetData>
  <pageMargins left="0.75" right="0.75" top="1" bottom="1" header="0.51180555555555596" footer="0.51180555555555596"/>
  <pageSetup paperSize="9" orientation="portrait"/>
  <headerFooter scaleWithDoc="0"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4"/>
  <sheetViews>
    <sheetView workbookViewId="0">
      <selection activeCell="B3" sqref="B3"/>
    </sheetView>
  </sheetViews>
  <sheetFormatPr defaultColWidth="9" defaultRowHeight="14.25"/>
  <cols>
    <col min="2" max="2" width="13.75" customWidth="1"/>
    <col min="4" max="5" width="11.5"/>
  </cols>
  <sheetData>
    <row r="1" spans="1:3">
      <c r="A1" t="s">
        <v>18</v>
      </c>
      <c r="B1" t="s">
        <v>19</v>
      </c>
      <c r="C1" t="s">
        <v>20</v>
      </c>
    </row>
    <row r="2" spans="1:3">
      <c r="A2">
        <v>1</v>
      </c>
      <c r="B2">
        <v>0</v>
      </c>
    </row>
    <row r="3" spans="1:3">
      <c r="A3">
        <v>2</v>
      </c>
      <c r="B3">
        <v>188</v>
      </c>
    </row>
    <row r="4" spans="1:3">
      <c r="A4">
        <v>3</v>
      </c>
      <c r="B4">
        <v>388</v>
      </c>
    </row>
  </sheetData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G15"/>
  <sheetViews>
    <sheetView workbookViewId="0">
      <selection activeCell="G32" sqref="G32"/>
    </sheetView>
  </sheetViews>
  <sheetFormatPr defaultColWidth="9" defaultRowHeight="14.25"/>
  <cols>
    <col min="2" max="2" width="18.375" customWidth="1"/>
    <col min="3" max="3" width="14" customWidth="1"/>
    <col min="4" max="4" width="12.625"/>
    <col min="7" max="7" width="12.625"/>
    <col min="11" max="12" width="14.875" customWidth="1"/>
  </cols>
  <sheetData>
    <row r="1" spans="1:7" ht="15">
      <c r="A1" s="4" t="s">
        <v>21</v>
      </c>
      <c r="B1" s="1" t="s">
        <v>22</v>
      </c>
      <c r="C1" s="9" t="s">
        <v>23</v>
      </c>
      <c r="D1" s="4" t="s">
        <v>24</v>
      </c>
    </row>
    <row r="2" spans="1:7" ht="15">
      <c r="A2">
        <v>1</v>
      </c>
      <c r="C2" s="9">
        <v>10</v>
      </c>
      <c r="D2">
        <v>1</v>
      </c>
      <c r="G2" s="10">
        <f>C2/$F$3</f>
        <v>9.8473658296405696E-4</v>
      </c>
    </row>
    <row r="3" spans="1:7" ht="15">
      <c r="A3">
        <v>2</v>
      </c>
      <c r="B3" t="s">
        <v>25</v>
      </c>
      <c r="C3" s="9">
        <v>2000</v>
      </c>
      <c r="D3" s="11">
        <v>1</v>
      </c>
      <c r="F3">
        <f>SUM(C3:C22)</f>
        <v>10155</v>
      </c>
      <c r="G3" s="10">
        <f>C3/$F$3</f>
        <v>0.19694731659281101</v>
      </c>
    </row>
    <row r="4" spans="1:7" ht="15">
      <c r="A4">
        <v>3</v>
      </c>
      <c r="B4" t="s">
        <v>26</v>
      </c>
      <c r="C4" s="9">
        <v>1400</v>
      </c>
      <c r="D4" s="11">
        <v>1</v>
      </c>
      <c r="G4" s="10">
        <f t="shared" ref="G4:G15" si="0">C4/$F$3</f>
        <v>0.137863121614968</v>
      </c>
    </row>
    <row r="5" spans="1:7" ht="15">
      <c r="A5">
        <v>4</v>
      </c>
      <c r="B5" t="s">
        <v>27</v>
      </c>
      <c r="C5" s="9">
        <v>25</v>
      </c>
      <c r="D5" s="11">
        <v>1</v>
      </c>
      <c r="G5" s="10">
        <f t="shared" si="0"/>
        <v>2.4618414574101399E-3</v>
      </c>
    </row>
    <row r="6" spans="1:7" ht="15">
      <c r="A6">
        <v>5</v>
      </c>
      <c r="B6" t="s">
        <v>28</v>
      </c>
      <c r="C6" s="9">
        <v>15</v>
      </c>
      <c r="D6" s="11">
        <v>1</v>
      </c>
      <c r="G6" s="10">
        <f t="shared" si="0"/>
        <v>1.4771048744460901E-3</v>
      </c>
    </row>
    <row r="7" spans="1:7" ht="15">
      <c r="A7">
        <v>6</v>
      </c>
      <c r="B7" t="s">
        <v>29</v>
      </c>
      <c r="C7" s="9">
        <v>2000</v>
      </c>
      <c r="D7" s="11">
        <v>1</v>
      </c>
      <c r="G7" s="10">
        <f t="shared" si="0"/>
        <v>0.19694731659281101</v>
      </c>
    </row>
    <row r="8" spans="1:7" ht="15">
      <c r="A8">
        <v>7</v>
      </c>
      <c r="B8" t="s">
        <v>30</v>
      </c>
      <c r="C8" s="9">
        <v>1500</v>
      </c>
      <c r="D8" s="11">
        <v>1</v>
      </c>
      <c r="G8" s="10">
        <f t="shared" si="0"/>
        <v>0.14771048744460899</v>
      </c>
    </row>
    <row r="9" spans="1:7" ht="15">
      <c r="A9">
        <v>8</v>
      </c>
      <c r="B9" t="s">
        <v>31</v>
      </c>
      <c r="C9" s="9">
        <v>1600</v>
      </c>
      <c r="D9" s="11">
        <v>1</v>
      </c>
      <c r="G9" s="10">
        <f t="shared" si="0"/>
        <v>0.15755785327424901</v>
      </c>
    </row>
    <row r="10" spans="1:7" ht="15">
      <c r="A10">
        <v>9</v>
      </c>
      <c r="B10" t="s">
        <v>32</v>
      </c>
      <c r="C10" s="9">
        <v>350</v>
      </c>
      <c r="D10" s="11">
        <v>1</v>
      </c>
      <c r="G10" s="10">
        <f t="shared" si="0"/>
        <v>3.4465780403742E-2</v>
      </c>
    </row>
    <row r="11" spans="1:7" ht="15">
      <c r="A11">
        <v>10</v>
      </c>
      <c r="B11" t="s">
        <v>33</v>
      </c>
      <c r="C11" s="9">
        <v>90</v>
      </c>
      <c r="D11" s="11">
        <v>1</v>
      </c>
      <c r="G11" s="10">
        <f t="shared" si="0"/>
        <v>8.8626292466765094E-3</v>
      </c>
    </row>
    <row r="12" spans="1:7" ht="15">
      <c r="A12">
        <v>11</v>
      </c>
      <c r="B12" t="s">
        <v>34</v>
      </c>
      <c r="C12" s="9">
        <v>1000</v>
      </c>
      <c r="D12" s="11">
        <v>1</v>
      </c>
      <c r="G12" s="10">
        <f t="shared" si="0"/>
        <v>9.8473658296405697E-2</v>
      </c>
    </row>
    <row r="13" spans="1:7" ht="15">
      <c r="A13">
        <v>12</v>
      </c>
      <c r="B13" t="s">
        <v>35</v>
      </c>
      <c r="C13" s="9">
        <v>130</v>
      </c>
      <c r="D13" s="11">
        <v>1</v>
      </c>
      <c r="G13" s="10">
        <f t="shared" si="0"/>
        <v>1.28015755785327E-2</v>
      </c>
    </row>
    <row r="14" spans="1:7" ht="15">
      <c r="A14">
        <v>13</v>
      </c>
      <c r="B14" t="s">
        <v>36</v>
      </c>
      <c r="C14" s="9">
        <v>35</v>
      </c>
      <c r="D14" s="11">
        <v>1</v>
      </c>
      <c r="G14" s="10">
        <f t="shared" si="0"/>
        <v>3.4465780403742001E-3</v>
      </c>
    </row>
    <row r="15" spans="1:7" ht="15">
      <c r="A15">
        <v>14</v>
      </c>
      <c r="B15" t="s">
        <v>37</v>
      </c>
      <c r="C15" s="9">
        <v>10</v>
      </c>
      <c r="D15" s="11">
        <v>1</v>
      </c>
      <c r="G15" s="10">
        <f t="shared" si="0"/>
        <v>9.8473658296405696E-4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F36"/>
  <sheetViews>
    <sheetView workbookViewId="0">
      <selection activeCell="E28" sqref="E28"/>
    </sheetView>
  </sheetViews>
  <sheetFormatPr defaultColWidth="9" defaultRowHeight="14.25"/>
  <cols>
    <col min="1" max="2" width="10.625" customWidth="1"/>
    <col min="3" max="3" width="19" customWidth="1"/>
    <col min="4" max="4" width="7.25" customWidth="1"/>
    <col min="5" max="5" width="30" customWidth="1"/>
    <col min="6" max="6" width="15.25" customWidth="1"/>
    <col min="8" max="8" width="12.625"/>
  </cols>
  <sheetData>
    <row r="1" spans="1:6" ht="15">
      <c r="A1" s="4" t="s">
        <v>21</v>
      </c>
      <c r="B1" s="5" t="s">
        <v>18</v>
      </c>
      <c r="C1" s="2" t="s">
        <v>22</v>
      </c>
      <c r="D1" s="4" t="s">
        <v>38</v>
      </c>
      <c r="E1" s="4" t="s">
        <v>39</v>
      </c>
      <c r="F1" s="4" t="s">
        <v>40</v>
      </c>
    </row>
    <row r="2" spans="1:6" ht="15">
      <c r="A2" s="6">
        <v>1</v>
      </c>
      <c r="B2" s="6">
        <v>1</v>
      </c>
      <c r="C2" s="6" t="s">
        <v>41</v>
      </c>
      <c r="D2" s="6">
        <v>3</v>
      </c>
      <c r="E2" s="6" t="s">
        <v>42</v>
      </c>
      <c r="F2" s="6" t="s">
        <v>43</v>
      </c>
    </row>
    <row r="3" spans="1:6" ht="15">
      <c r="A3" s="6">
        <v>2</v>
      </c>
      <c r="B3" s="6">
        <v>1</v>
      </c>
      <c r="C3" s="6" t="s">
        <v>44</v>
      </c>
      <c r="D3" s="6">
        <v>1</v>
      </c>
      <c r="E3" s="6" t="s">
        <v>45</v>
      </c>
      <c r="F3" s="6" t="s">
        <v>46</v>
      </c>
    </row>
    <row r="4" spans="1:6" ht="15">
      <c r="A4" s="6">
        <v>3</v>
      </c>
      <c r="B4" s="6">
        <v>1</v>
      </c>
      <c r="C4" s="6" t="s">
        <v>47</v>
      </c>
      <c r="D4" s="6">
        <v>3</v>
      </c>
      <c r="E4" s="6" t="s">
        <v>48</v>
      </c>
      <c r="F4" s="6" t="s">
        <v>49</v>
      </c>
    </row>
    <row r="5" spans="1:6" ht="15">
      <c r="A5" s="6">
        <v>4</v>
      </c>
      <c r="B5" s="6">
        <v>1</v>
      </c>
      <c r="C5" s="6" t="s">
        <v>50</v>
      </c>
      <c r="D5" s="6">
        <v>3</v>
      </c>
      <c r="E5" s="6" t="s">
        <v>48</v>
      </c>
      <c r="F5" s="6" t="s">
        <v>51</v>
      </c>
    </row>
    <row r="6" spans="1:6" ht="15">
      <c r="A6" s="6">
        <v>5</v>
      </c>
      <c r="B6" s="6">
        <v>1</v>
      </c>
      <c r="C6" s="6" t="s">
        <v>52</v>
      </c>
      <c r="D6" s="6">
        <v>3</v>
      </c>
      <c r="E6" s="6" t="s">
        <v>48</v>
      </c>
      <c r="F6" s="6" t="s">
        <v>53</v>
      </c>
    </row>
    <row r="7" spans="1:6" ht="15">
      <c r="A7" s="6">
        <v>6</v>
      </c>
      <c r="B7" s="6">
        <v>1</v>
      </c>
      <c r="C7" s="6" t="s">
        <v>54</v>
      </c>
      <c r="D7" s="6">
        <v>20</v>
      </c>
      <c r="E7" s="6" t="s">
        <v>37</v>
      </c>
      <c r="F7" s="6" t="s">
        <v>55</v>
      </c>
    </row>
    <row r="8" spans="1:6" ht="15">
      <c r="A8" s="6">
        <v>7</v>
      </c>
      <c r="B8" s="6">
        <v>1</v>
      </c>
      <c r="C8" s="6" t="s">
        <v>56</v>
      </c>
      <c r="D8" s="6">
        <v>2</v>
      </c>
      <c r="E8" s="6" t="s">
        <v>57</v>
      </c>
      <c r="F8" s="6" t="s">
        <v>58</v>
      </c>
    </row>
    <row r="9" spans="1:6" ht="15">
      <c r="A9" s="6">
        <v>8</v>
      </c>
      <c r="B9" s="6">
        <v>1</v>
      </c>
      <c r="C9" s="6" t="s">
        <v>59</v>
      </c>
      <c r="D9" s="6">
        <v>40</v>
      </c>
      <c r="E9" s="6" t="s">
        <v>60</v>
      </c>
      <c r="F9" s="6" t="s">
        <v>61</v>
      </c>
    </row>
    <row r="10" spans="1:6" ht="15">
      <c r="A10" s="6">
        <v>9</v>
      </c>
      <c r="B10" s="6">
        <v>1</v>
      </c>
      <c r="C10" s="6" t="s">
        <v>62</v>
      </c>
      <c r="D10" s="6">
        <v>500</v>
      </c>
      <c r="E10" s="6" t="s">
        <v>63</v>
      </c>
      <c r="F10" s="6" t="s">
        <v>64</v>
      </c>
    </row>
    <row r="11" spans="1:6" ht="15">
      <c r="A11" s="7">
        <v>10</v>
      </c>
      <c r="B11" s="7">
        <v>2</v>
      </c>
      <c r="C11" s="7" t="s">
        <v>41</v>
      </c>
      <c r="D11" s="7">
        <v>6</v>
      </c>
      <c r="E11" s="7" t="s">
        <v>65</v>
      </c>
      <c r="F11" s="7" t="s">
        <v>43</v>
      </c>
    </row>
    <row r="12" spans="1:6" ht="15">
      <c r="A12" s="7">
        <v>11</v>
      </c>
      <c r="B12" s="7">
        <v>2</v>
      </c>
      <c r="C12" s="7" t="s">
        <v>66</v>
      </c>
      <c r="D12" s="7">
        <v>1</v>
      </c>
      <c r="E12" s="7" t="s">
        <v>67</v>
      </c>
      <c r="F12" s="7" t="s">
        <v>68</v>
      </c>
    </row>
    <row r="13" spans="1:6" ht="15">
      <c r="A13" s="7">
        <v>12</v>
      </c>
      <c r="B13" s="7">
        <v>2</v>
      </c>
      <c r="C13" s="7" t="s">
        <v>44</v>
      </c>
      <c r="D13" s="7">
        <v>2</v>
      </c>
      <c r="E13" s="7" t="s">
        <v>69</v>
      </c>
      <c r="F13" s="7" t="s">
        <v>46</v>
      </c>
    </row>
    <row r="14" spans="1:6" ht="15">
      <c r="A14" s="7">
        <v>13</v>
      </c>
      <c r="B14" s="7">
        <v>2</v>
      </c>
      <c r="C14" s="7" t="s">
        <v>70</v>
      </c>
      <c r="D14" s="7">
        <v>5</v>
      </c>
      <c r="E14" s="7" t="s">
        <v>37</v>
      </c>
      <c r="F14" s="7" t="s">
        <v>71</v>
      </c>
    </row>
    <row r="15" spans="1:6" ht="15">
      <c r="A15" s="7">
        <v>14</v>
      </c>
      <c r="B15" s="7">
        <v>2</v>
      </c>
      <c r="C15" s="7" t="s">
        <v>72</v>
      </c>
      <c r="D15" s="7">
        <v>5</v>
      </c>
      <c r="E15" s="7" t="s">
        <v>37</v>
      </c>
      <c r="F15" s="7" t="s">
        <v>73</v>
      </c>
    </row>
    <row r="16" spans="1:6" ht="15">
      <c r="A16" s="7">
        <v>15</v>
      </c>
      <c r="B16" s="7">
        <v>2</v>
      </c>
      <c r="C16" s="7" t="s">
        <v>74</v>
      </c>
      <c r="D16" s="7">
        <v>5</v>
      </c>
      <c r="E16" s="7" t="s">
        <v>37</v>
      </c>
      <c r="F16" s="7" t="s">
        <v>75</v>
      </c>
    </row>
    <row r="17" spans="1:6" ht="15">
      <c r="A17" s="7">
        <v>16</v>
      </c>
      <c r="B17" s="7">
        <v>2</v>
      </c>
      <c r="C17" s="7" t="s">
        <v>47</v>
      </c>
      <c r="D17" s="7">
        <v>5</v>
      </c>
      <c r="E17" s="7" t="s">
        <v>37</v>
      </c>
      <c r="F17" s="7" t="s">
        <v>49</v>
      </c>
    </row>
    <row r="18" spans="1:6" ht="15">
      <c r="A18" s="7">
        <v>17</v>
      </c>
      <c r="B18" s="7">
        <v>2</v>
      </c>
      <c r="C18" s="7" t="s">
        <v>50</v>
      </c>
      <c r="D18" s="7">
        <v>5</v>
      </c>
      <c r="E18" s="7" t="s">
        <v>37</v>
      </c>
      <c r="F18" s="7" t="s">
        <v>51</v>
      </c>
    </row>
    <row r="19" spans="1:6" ht="15">
      <c r="A19" s="7">
        <v>18</v>
      </c>
      <c r="B19" s="7">
        <v>2</v>
      </c>
      <c r="C19" s="7" t="s">
        <v>52</v>
      </c>
      <c r="D19" s="7">
        <v>5</v>
      </c>
      <c r="E19" s="7" t="s">
        <v>37</v>
      </c>
      <c r="F19" s="7" t="s">
        <v>53</v>
      </c>
    </row>
    <row r="20" spans="1:6" ht="15">
      <c r="A20" s="7">
        <v>19</v>
      </c>
      <c r="B20" s="7">
        <v>2</v>
      </c>
      <c r="C20" s="7" t="s">
        <v>56</v>
      </c>
      <c r="D20" s="7">
        <v>5</v>
      </c>
      <c r="E20" s="7" t="s">
        <v>76</v>
      </c>
      <c r="F20" s="7" t="s">
        <v>58</v>
      </c>
    </row>
    <row r="21" spans="1:6" ht="15">
      <c r="A21" s="7">
        <v>20</v>
      </c>
      <c r="B21" s="7">
        <v>2</v>
      </c>
      <c r="C21" s="7" t="s">
        <v>59</v>
      </c>
      <c r="D21" s="7">
        <v>80</v>
      </c>
      <c r="E21" s="7" t="s">
        <v>31</v>
      </c>
      <c r="F21" s="7" t="s">
        <v>61</v>
      </c>
    </row>
    <row r="22" spans="1:6" ht="15">
      <c r="A22" s="7">
        <v>21</v>
      </c>
      <c r="B22" s="7">
        <v>2</v>
      </c>
      <c r="C22" s="7" t="s">
        <v>77</v>
      </c>
      <c r="D22" s="7">
        <v>25</v>
      </c>
      <c r="E22" s="7" t="s">
        <v>29</v>
      </c>
      <c r="F22" s="7" t="s">
        <v>78</v>
      </c>
    </row>
    <row r="23" spans="1:6" ht="15">
      <c r="A23" s="8">
        <v>22</v>
      </c>
      <c r="B23" s="8">
        <v>3</v>
      </c>
      <c r="C23" s="8" t="s">
        <v>79</v>
      </c>
      <c r="D23" s="8">
        <v>3</v>
      </c>
      <c r="E23" s="8" t="s">
        <v>80</v>
      </c>
      <c r="F23" s="8" t="s">
        <v>81</v>
      </c>
    </row>
    <row r="24" spans="1:6" ht="15">
      <c r="A24" s="8">
        <v>23</v>
      </c>
      <c r="B24" s="8">
        <v>3</v>
      </c>
      <c r="C24" s="8" t="s">
        <v>41</v>
      </c>
      <c r="D24" s="8">
        <v>6</v>
      </c>
      <c r="E24" s="8" t="s">
        <v>82</v>
      </c>
      <c r="F24" s="8" t="s">
        <v>43</v>
      </c>
    </row>
    <row r="25" spans="1:6" ht="15">
      <c r="A25" s="8">
        <v>24</v>
      </c>
      <c r="B25" s="8">
        <v>3</v>
      </c>
      <c r="C25" s="8" t="s">
        <v>83</v>
      </c>
      <c r="D25" s="8">
        <v>1</v>
      </c>
      <c r="E25" s="8" t="s">
        <v>84</v>
      </c>
      <c r="F25" s="8" t="s">
        <v>85</v>
      </c>
    </row>
    <row r="26" spans="1:6" ht="15">
      <c r="A26" s="8">
        <v>25</v>
      </c>
      <c r="B26" s="8">
        <v>3</v>
      </c>
      <c r="C26" s="8" t="s">
        <v>86</v>
      </c>
      <c r="D26" s="8">
        <v>3</v>
      </c>
      <c r="E26" s="8" t="s">
        <v>87</v>
      </c>
      <c r="F26" s="8" t="s">
        <v>88</v>
      </c>
    </row>
    <row r="27" spans="1:6" ht="15">
      <c r="A27" s="8">
        <v>26</v>
      </c>
      <c r="B27" s="8">
        <v>3</v>
      </c>
      <c r="C27" s="8" t="s">
        <v>89</v>
      </c>
      <c r="D27" s="8">
        <v>6</v>
      </c>
      <c r="E27" s="8" t="s">
        <v>67</v>
      </c>
      <c r="F27" s="8" t="s">
        <v>90</v>
      </c>
    </row>
    <row r="28" spans="1:6" ht="15">
      <c r="A28" s="8">
        <v>27</v>
      </c>
      <c r="B28" s="8">
        <v>3</v>
      </c>
      <c r="C28" s="8" t="s">
        <v>91</v>
      </c>
      <c r="D28" s="8">
        <v>3</v>
      </c>
      <c r="E28" s="8" t="s">
        <v>92</v>
      </c>
      <c r="F28" s="8" t="s">
        <v>93</v>
      </c>
    </row>
    <row r="29" spans="1:6" ht="15">
      <c r="A29" s="8">
        <v>28</v>
      </c>
      <c r="B29" s="8">
        <v>3</v>
      </c>
      <c r="C29" s="8" t="s">
        <v>94</v>
      </c>
      <c r="D29" s="8">
        <v>2</v>
      </c>
      <c r="E29" s="8" t="s">
        <v>95</v>
      </c>
      <c r="F29" s="8" t="s">
        <v>96</v>
      </c>
    </row>
    <row r="30" spans="1:6" ht="15">
      <c r="A30" s="8">
        <v>29</v>
      </c>
      <c r="B30" s="8">
        <v>3</v>
      </c>
      <c r="C30" s="8" t="s">
        <v>97</v>
      </c>
      <c r="D30" s="8">
        <v>3</v>
      </c>
      <c r="E30" s="8" t="s">
        <v>98</v>
      </c>
      <c r="F30" s="8" t="s">
        <v>99</v>
      </c>
    </row>
    <row r="31" spans="1:6" ht="15">
      <c r="A31" s="8">
        <v>30</v>
      </c>
      <c r="B31" s="8">
        <v>3</v>
      </c>
      <c r="C31" s="8" t="s">
        <v>44</v>
      </c>
      <c r="D31" s="8">
        <v>3</v>
      </c>
      <c r="E31" s="8" t="s">
        <v>100</v>
      </c>
      <c r="F31" s="8" t="s">
        <v>46</v>
      </c>
    </row>
    <row r="32" spans="1:6" ht="15">
      <c r="A32" s="8">
        <v>31</v>
      </c>
      <c r="B32" s="8">
        <v>3</v>
      </c>
      <c r="C32" s="8" t="s">
        <v>101</v>
      </c>
      <c r="D32" s="8">
        <v>5</v>
      </c>
      <c r="E32" s="8" t="s">
        <v>48</v>
      </c>
      <c r="F32" s="8" t="s">
        <v>102</v>
      </c>
    </row>
    <row r="33" spans="1:6" ht="15">
      <c r="A33" s="8">
        <v>32</v>
      </c>
      <c r="B33" s="8">
        <v>3</v>
      </c>
      <c r="C33" s="8" t="s">
        <v>103</v>
      </c>
      <c r="D33" s="8">
        <v>20</v>
      </c>
      <c r="E33" s="8" t="s">
        <v>48</v>
      </c>
      <c r="F33" s="8" t="s">
        <v>104</v>
      </c>
    </row>
    <row r="34" spans="1:6" ht="15">
      <c r="A34" s="8">
        <v>33</v>
      </c>
      <c r="B34" s="8">
        <v>3</v>
      </c>
      <c r="C34" s="8" t="s">
        <v>105</v>
      </c>
      <c r="D34" s="8">
        <v>50</v>
      </c>
      <c r="E34" s="8" t="s">
        <v>37</v>
      </c>
      <c r="F34" s="8" t="s">
        <v>106</v>
      </c>
    </row>
    <row r="35" spans="1:6" ht="15">
      <c r="A35" s="8">
        <v>34</v>
      </c>
      <c r="B35" s="8">
        <v>3</v>
      </c>
      <c r="C35" s="8" t="s">
        <v>107</v>
      </c>
      <c r="D35" s="8">
        <v>30</v>
      </c>
      <c r="E35" s="8" t="s">
        <v>48</v>
      </c>
      <c r="F35" s="8" t="s">
        <v>108</v>
      </c>
    </row>
    <row r="36" spans="1:6" ht="15">
      <c r="A36" s="8">
        <v>35</v>
      </c>
      <c r="B36" s="8">
        <v>3</v>
      </c>
      <c r="C36" s="8" t="s">
        <v>109</v>
      </c>
      <c r="D36" s="8">
        <v>45</v>
      </c>
      <c r="E36" s="8" t="s">
        <v>110</v>
      </c>
      <c r="F36" s="8" t="s">
        <v>111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"/>
  <sheetViews>
    <sheetView workbookViewId="0">
      <selection activeCell="D9" sqref="D9"/>
    </sheetView>
  </sheetViews>
  <sheetFormatPr defaultColWidth="9" defaultRowHeight="14.25"/>
  <cols>
    <col min="2" max="2" width="12.375" customWidth="1"/>
    <col min="4" max="4" width="12.375" customWidth="1"/>
    <col min="5" max="5" width="13.75" customWidth="1"/>
  </cols>
  <sheetData>
    <row r="1" spans="1:5" ht="15">
      <c r="A1" t="s">
        <v>21</v>
      </c>
      <c r="B1" s="1" t="s">
        <v>22</v>
      </c>
      <c r="C1" t="s">
        <v>112</v>
      </c>
      <c r="D1" t="s">
        <v>113</v>
      </c>
      <c r="E1" t="s">
        <v>114</v>
      </c>
    </row>
    <row r="2" spans="1:5" ht="15">
      <c r="A2">
        <v>1</v>
      </c>
      <c r="B2" s="2" t="s">
        <v>115</v>
      </c>
      <c r="C2">
        <v>10</v>
      </c>
      <c r="D2" s="2" t="s">
        <v>115</v>
      </c>
      <c r="E2">
        <v>4</v>
      </c>
    </row>
    <row r="3" spans="1:5">
      <c r="A3">
        <v>2</v>
      </c>
      <c r="B3" s="3" t="s">
        <v>116</v>
      </c>
      <c r="C3">
        <v>10</v>
      </c>
      <c r="D3" s="3" t="s">
        <v>116</v>
      </c>
      <c r="E3">
        <v>4</v>
      </c>
    </row>
    <row r="4" spans="1:5" ht="15">
      <c r="A4">
        <v>3</v>
      </c>
      <c r="B4" s="2" t="s">
        <v>117</v>
      </c>
      <c r="C4">
        <v>10</v>
      </c>
      <c r="D4" s="2" t="s">
        <v>117</v>
      </c>
      <c r="E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藏品觉醒配置</vt:lpstr>
      <vt:lpstr>藏品兑换商店限制</vt:lpstr>
      <vt:lpstr>藏品概率配置</vt:lpstr>
      <vt:lpstr>藏品兑换商城</vt:lpstr>
      <vt:lpstr>超级大奖奖池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2016-12-02T08:54:00Z</dcterms:created>
  <dcterms:modified xsi:type="dcterms:W3CDTF">2022-10-05T15:12:54Z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CC5328B5AD79473B98DCF8067486B57B</vt:lpwstr>
  </property>
</Properties>
</file>