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 tabRatio="809" activeTab="6"/>
  </bookViews>
  <sheets>
    <sheet name="任务库" sheetId="1" r:id="rId1"/>
    <sheet name="永久历史" sheetId="2" r:id="rId2"/>
    <sheet name="主线任务" sheetId="10" r:id="rId3"/>
    <sheet name="日常任务" sheetId="4" r:id="rId4"/>
    <sheet name="日常任务宝箱" sheetId="6" r:id="rId5"/>
    <sheet name="周常任务" sheetId="12" r:id="rId6"/>
    <sheet name="周常任务宝箱" sheetId="13" r:id="rId7"/>
    <sheet name="成就" sheetId="5" r:id="rId8"/>
    <sheet name="历练" sheetId="7" r:id="rId9"/>
    <sheet name="Sheet缺少的事件类型" sheetId="8" r:id="rId10"/>
    <sheet name="Sheet1" sheetId="11" r:id="rId11"/>
    <sheet name="Sheet4" sheetId="14" r:id="rId12"/>
  </sheets>
  <definedNames>
    <definedName name="_xlnm._FilterDatabase" localSheetId="0" hidden="1">任务库!$B$1:$B$1503</definedName>
    <definedName name="_xlnm._FilterDatabase" localSheetId="2" hidden="1">主线任务!$A$1:$D$81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Windows 用户</author>
  </authors>
  <commentList>
    <comment ref="A450" authorId="0">
      <text>
        <r>
          <rPr>
            <b/>
            <sz val="9"/>
            <rFont val="SimSun"/>
            <charset val="134"/>
          </rPr>
          <t>Windows 用户:</t>
        </r>
        <r>
          <rPr>
            <sz val="9"/>
            <rFont val="SimSun"/>
            <charset val="134"/>
          </rPr>
          <t xml:space="preserve">
暂时不用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B1" authorId="0">
      <text>
        <r>
          <rPr>
            <b/>
            <sz val="9"/>
            <rFont val="SimSun"/>
            <charset val="134"/>
          </rPr>
          <t>user:</t>
        </r>
        <r>
          <rPr>
            <sz val="9"/>
            <rFont val="SimSun"/>
            <charset val="134"/>
          </rPr>
          <t xml:space="preserve">
1.PVP相关
2.副本相关
3.特殊</t>
        </r>
      </text>
    </comment>
  </commentList>
</comments>
</file>

<file path=xl/sharedStrings.xml><?xml version="1.0" encoding="utf-8"?>
<sst xmlns="http://schemas.openxmlformats.org/spreadsheetml/2006/main" count="4865" uniqueCount="2170">
  <si>
    <t>ID</t>
  </si>
  <si>
    <t>历史事件类型</t>
  </si>
  <si>
    <t>任务名称</t>
  </si>
  <si>
    <t>任务描述</t>
  </si>
  <si>
    <t>只展示完成与否情况</t>
  </si>
  <si>
    <t>行为ID</t>
  </si>
  <si>
    <t>目标值</t>
  </si>
  <si>
    <t>初始值</t>
  </si>
  <si>
    <t>事件参数</t>
  </si>
  <si>
    <t>持续时间类型</t>
  </si>
  <si>
    <t>*说明持续时间类型</t>
  </si>
  <si>
    <t>*时间开始</t>
  </si>
  <si>
    <t>*时间结束</t>
  </si>
  <si>
    <t>检测值</t>
  </si>
  <si>
    <t>*说明一下检测值</t>
  </si>
  <si>
    <t>检测操作</t>
  </si>
  <si>
    <t>*说明一下检测操作</t>
  </si>
  <si>
    <t>奖励</t>
  </si>
  <si>
    <t>Tên 1</t>
  </si>
  <si>
    <t>Miêu tả 1</t>
  </si>
  <si>
    <t>枚举如下：</t>
  </si>
  <si>
    <t>是指通过数据的哪一部分</t>
  </si>
  <si>
    <t>是指如何判断数据</t>
  </si>
  <si>
    <t>0:1:100#0:2:100</t>
  </si>
  <si>
    <t>Tên 2</t>
  </si>
  <si>
    <t>Miêu tả 2</t>
  </si>
  <si>
    <t>0：永久</t>
  </si>
  <si>
    <t>去检测任务已完成</t>
  </si>
  <si>
    <t>与任务要求的数据</t>
  </si>
  <si>
    <t>0:1:100#0:2:101</t>
  </si>
  <si>
    <t>Tên 3</t>
  </si>
  <si>
    <t>Miêu tả 3</t>
  </si>
  <si>
    <t>1：每日（0点清空数据）</t>
  </si>
  <si>
    <t>相满足</t>
  </si>
  <si>
    <t>0:1:100#0:2:102</t>
  </si>
  <si>
    <t>Tên 4</t>
  </si>
  <si>
    <t>Miêu tả 4</t>
  </si>
  <si>
    <t>2：每周（周一0点清空数据）</t>
  </si>
  <si>
    <t>0：以当前值进行比较</t>
  </si>
  <si>
    <t>0:1:100#0:2:103</t>
  </si>
  <si>
    <t>Tên 5</t>
  </si>
  <si>
    <t>Miêu tả 5</t>
  </si>
  <si>
    <t>3：每月（1号0点清空数据）</t>
  </si>
  <si>
    <t>1：以最小值进行比较</t>
  </si>
  <si>
    <t>0：检测值=目标值</t>
  </si>
  <si>
    <t>0:1:100#0:2:104</t>
  </si>
  <si>
    <t>Tên 6</t>
  </si>
  <si>
    <t>Miêu tả 6</t>
  </si>
  <si>
    <t>4：一段时间（只接收这段时间的数据）</t>
  </si>
  <si>
    <t>2：以最大值进行比较</t>
  </si>
  <si>
    <t>1：检测值&lt;=目标值</t>
  </si>
  <si>
    <t>0:1:100#0:2:105</t>
  </si>
  <si>
    <t>Tên 7</t>
  </si>
  <si>
    <t>Miêu tả 7</t>
  </si>
  <si>
    <t>默认使用永久历史</t>
  </si>
  <si>
    <t>2：检测值&gt;=目标值</t>
  </si>
  <si>
    <t>0:1:100#0:2:106</t>
  </si>
  <si>
    <t>Tên 8</t>
  </si>
  <si>
    <t>Miêu tả 8</t>
  </si>
  <si>
    <t>很多时候用当前值也行用最大值也行</t>
  </si>
  <si>
    <t>什么时候会用到1呢？</t>
  </si>
  <si>
    <t>0:1:100#0:2:107</t>
  </si>
  <si>
    <t>Tên 9</t>
  </si>
  <si>
    <t>Miêu tả 9</t>
  </si>
  <si>
    <t>这是正常的</t>
  </si>
  <si>
    <t>比如3回合内通关</t>
  </si>
  <si>
    <t>0:1:100#0:2:108</t>
  </si>
  <si>
    <t>Tên 10</t>
  </si>
  <si>
    <t>Miêu tả 10</t>
  </si>
  <si>
    <t>0:1:100#0:2:200</t>
  </si>
  <si>
    <t>Tên 11</t>
  </si>
  <si>
    <t>Miêu tả 11</t>
  </si>
  <si>
    <t>0:1:100#0:2:292</t>
  </si>
  <si>
    <t>Tên 12</t>
  </si>
  <si>
    <t>Miêu tả 12</t>
  </si>
  <si>
    <t>0:1:100#0:2:384</t>
  </si>
  <si>
    <t>Tên 13</t>
  </si>
  <si>
    <t>Miêu tả 13</t>
  </si>
  <si>
    <t>0:1:100#0:15:10</t>
  </si>
  <si>
    <t>Tên 14</t>
  </si>
  <si>
    <t>Miêu tả 14</t>
  </si>
  <si>
    <t>0:1:100#0:15:15</t>
  </si>
  <si>
    <t>Tên 15</t>
  </si>
  <si>
    <t>Miêu tả 15</t>
  </si>
  <si>
    <t>Tên 16</t>
  </si>
  <si>
    <t>Miêu tả 16</t>
  </si>
  <si>
    <t>Tên 17</t>
  </si>
  <si>
    <t>Miêu tả 17</t>
  </si>
  <si>
    <t>Tên 18</t>
  </si>
  <si>
    <t>Miêu tả 18</t>
  </si>
  <si>
    <t>0:1:100#0:15:25</t>
  </si>
  <si>
    <t>Tên 19</t>
  </si>
  <si>
    <t>Miêu tả 19</t>
  </si>
  <si>
    <t>0:1:100#0:15:20</t>
  </si>
  <si>
    <t>Tên 20</t>
  </si>
  <si>
    <t>Miêu tả 20</t>
  </si>
  <si>
    <t>0:1:100#0:15:30</t>
  </si>
  <si>
    <t>Tên 21</t>
  </si>
  <si>
    <t>Miêu tả 21</t>
  </si>
  <si>
    <t>Tên 22</t>
  </si>
  <si>
    <t>Miêu tả 22</t>
  </si>
  <si>
    <t>0:1:100#0:15:5</t>
  </si>
  <si>
    <t>Tên 23</t>
  </si>
  <si>
    <t>Miêu tả 23</t>
  </si>
  <si>
    <t>Tên 24</t>
  </si>
  <si>
    <t>Miêu tả 24</t>
  </si>
  <si>
    <t>2019-09-11 00:00:00</t>
  </si>
  <si>
    <t>2019-09-11 12:00:00</t>
  </si>
  <si>
    <t>Thường ngày Đăng nhập</t>
  </si>
  <si>
    <t>Hôm nay Đăng nhập 1 Lần trò chơi</t>
  </si>
  <si>
    <t>0:15:5#0:1:20</t>
  </si>
  <si>
    <t>Hữu nghị hỗ tặng</t>
  </si>
  <si>
    <t>Đưa tặng hảo hữu hữu nghị điểm 5 Lần</t>
  </si>
  <si>
    <t>0:15:5#0:5:100</t>
  </si>
  <si>
    <t>Anh hùng triệu hoán</t>
  </si>
  <si>
    <t>Tiến hành 3 Lần anh hùng triệu hoán</t>
  </si>
  <si>
    <t>0:15:10#0:1:20</t>
  </si>
  <si>
    <t>guild phó bản</t>
  </si>
  <si>
    <t>Khiêu chiến guild phó bản 3 Lần</t>
  </si>
  <si>
    <t>0:15:15#0:12:50</t>
  </si>
  <si>
    <t>guild hiến cho</t>
  </si>
  <si>
    <t>Tiến hành 1 Lần guild hiến cho</t>
  </si>
  <si>
    <t>0:15:10#3:100021:1</t>
  </si>
  <si>
    <t>Viêm Đế Thí Luyện</t>
  </si>
  <si>
    <t>Khiêu chiến 1 Lần Viêm Đế Thí Luyện</t>
  </si>
  <si>
    <t>0:15:10#3:100005:1</t>
  </si>
  <si>
    <t>thưởng thiện phạt ác</t>
  </si>
  <si>
    <t>Xác nhận ba thưởng thiện phạt ác</t>
  </si>
  <si>
    <t>0:15:10#0:0:40000</t>
  </si>
  <si>
    <t>Thường ngày phó bản</t>
  </si>
  <si>
    <t>Khiêu chiến 2 Ngày kế tiếp thường phó bản</t>
  </si>
  <si>
    <t>Võ lâm luận kiếm</t>
  </si>
  <si>
    <t>Võ lâm luận kiếm thắng lợi 3 Lần</t>
  </si>
  <si>
    <t>0:15:15#0:0:30000</t>
  </si>
  <si>
    <t>thông thiên tháp</t>
  </si>
  <si>
    <t>Khiêu chiến thông thiên tháp 3 Lần</t>
  </si>
  <si>
    <t>0:15:10#3:100001:20</t>
  </si>
  <si>
    <t>Đấu trường</t>
  </si>
  <si>
    <t>Tham dự 3 Lần tham gia võ đài</t>
  </si>
  <si>
    <t>0:15:15#3:100023:2</t>
  </si>
  <si>
    <t>Nhanh chóng tác chiến</t>
  </si>
  <si>
    <t>Nhanh chóng tác chiến 3 Lần</t>
  </si>
  <si>
    <t>0:15:15#0:1:30</t>
  </si>
  <si>
    <t>Nhanh chóng tác chiến 1 Lần</t>
  </si>
  <si>
    <t>0:15:15#0:1:50</t>
  </si>
  <si>
    <t>Nhân vật chính đẳng cấp</t>
  </si>
  <si>
    <t>Nhân vật chính đẳng cấp đạt tới 30 Cấp</t>
  </si>
  <si>
    <t>0:0:50000#0:1:500</t>
  </si>
  <si>
    <t>Nhân vật chính đẳng cấp đạt tới 40 Cấp</t>
  </si>
  <si>
    <t>Nhân vật chính đẳng cấp đạt tới 50 Cấp</t>
  </si>
  <si>
    <t>Nhân vật chính đẳng cấp đạt tới 60 Cấp</t>
  </si>
  <si>
    <t>Nhân vật chính đẳng cấp đạt tới 70 Cấp</t>
  </si>
  <si>
    <t>Nhân vật chính đẳng cấp đạt tới 80 Cấp</t>
  </si>
  <si>
    <t>Nhân vật chính đẳng cấp đạt tới 90 Cấp</t>
  </si>
  <si>
    <t>Nhân vật chính đẳng cấp đạt tới 100 Cấp</t>
  </si>
  <si>
    <t>Nhân vật chính đẳng cấp đạt tới 120 Cấp</t>
  </si>
  <si>
    <t>Nhân vật chính đẳng cấp đạt tới 140 Cấp</t>
  </si>
  <si>
    <t>Nhân vật chính đẳng cấp đạt tới 160 Cấp</t>
  </si>
  <si>
    <t>Nhân vật chính đẳng cấp đạt tới 180 Cấp</t>
  </si>
  <si>
    <t>Nhân vật chính đẳng cấp đạt tới 200 Cấp</t>
  </si>
  <si>
    <t>Nhân vật chính đẳng cấp đạt tới 5 Cấp</t>
  </si>
  <si>
    <t>Nhân vật chính đẳng cấp đạt tới 10 Cấp</t>
  </si>
  <si>
    <t>Nhân vật chính đẳng cấp đạt tới 15 Cấp</t>
  </si>
  <si>
    <t>Nhân vật chính đẳng cấp đạt tới 20 Cấp</t>
  </si>
  <si>
    <t>Anh hùng thăng cấp Ⅰ</t>
  </si>
  <si>
    <t>Trước mắt có được một 30 Cấp anh hùng</t>
  </si>
  <si>
    <t>0:0:50000#0:1:100</t>
  </si>
  <si>
    <t>Trước mắt có được ba 40 Cấp anh hùng</t>
  </si>
  <si>
    <t>Trước mắt có được năm 40 Cấp anh hùng</t>
  </si>
  <si>
    <t>Trước mắt có được ba 50 Cấp anh hùng</t>
  </si>
  <si>
    <t>Trước mắt có được năm 50 Cấp anh hùng</t>
  </si>
  <si>
    <t>Trước mắt có được ba 60 Cấp anh hùng</t>
  </si>
  <si>
    <t>Trước mắt có được năm 60 Cấp anh hùng</t>
  </si>
  <si>
    <t>Trước mắt có được ba 80 Cấp anh hùng</t>
  </si>
  <si>
    <t>Trước mắt có được năm 80 Cấp anh hùng</t>
  </si>
  <si>
    <t>Trước mắt có được ba 100 Cấp anh hùng</t>
  </si>
  <si>
    <t>Trước mắt có được năm 100 Cấp anh hùng</t>
  </si>
  <si>
    <t>Anh hùng thăng cấp Ⅱ</t>
  </si>
  <si>
    <t>Tính gộp lại thu hoạch được ba 145 Cấp anh hùng</t>
  </si>
  <si>
    <t>Tính gộp lại thu hoạch được năm 145 Cấp anh hùng</t>
  </si>
  <si>
    <t>Tính gộp lại thu hoạch được ba 165 Cấp anh hùng</t>
  </si>
  <si>
    <t>Tính gộp lại thu hoạch được năm 165 Cấp anh hùng</t>
  </si>
  <si>
    <t>Tính gộp lại thu hoạch được ba 185 Cấp anh hùng</t>
  </si>
  <si>
    <t>Tính gộp lại thu hoạch được năm 185 Cấp anh hùng</t>
  </si>
  <si>
    <t>Tính gộp lại thu hoạch được ba 205 Cấp anh hùng</t>
  </si>
  <si>
    <t>Tính gộp lại thu hoạch được năm 205 Cấp anh hùng</t>
  </si>
  <si>
    <t>Tính gộp lại thu hoạch được ba 255 Cấp anh hùng</t>
  </si>
  <si>
    <t>Tính gộp lại thu hoạch được năm 255 Cấp anh hùng</t>
  </si>
  <si>
    <t>Thu thập 4 Tinh anh hùng</t>
  </si>
  <si>
    <t>Trước mắt có được một 4 Tinh anh hùng</t>
  </si>
  <si>
    <t>Trước mắt có được ba 4 Tinh anh hùng</t>
  </si>
  <si>
    <t>Trước mắt có được năm 4 Tinh anh hùng</t>
  </si>
  <si>
    <t>Trước mắt có được tám 4 Tinh anh hùng</t>
  </si>
  <si>
    <t>Trước mắt có được mười 4 Tinh anh hùng</t>
  </si>
  <si>
    <t>Thu thập 5 sao anh hùng</t>
  </si>
  <si>
    <t>Trước mắt có được một 5 sao anh hùng</t>
  </si>
  <si>
    <t>Trước mắt có được ba 5 sao anh hùng</t>
  </si>
  <si>
    <t>Trước mắt có được năm 5 sao anh hùng</t>
  </si>
  <si>
    <t>Trước mắt có được tám 5 sao anh hùng</t>
  </si>
  <si>
    <t>Trước mắt có được mười 5 sao anh hùng</t>
  </si>
  <si>
    <t>Thu thập 6 sao anh hùng</t>
  </si>
  <si>
    <t>Tính gộp lại thu hoạch được một 6 sao anh hùng</t>
  </si>
  <si>
    <t>Tính gộp lại thu hoạch được ba 6 sao anh hùng</t>
  </si>
  <si>
    <t>Tính gộp lại thu hoạch được năm 6 sao anh hùng</t>
  </si>
  <si>
    <t>Tính gộp lại thu hoạch được tám 6 sao anh hùng</t>
  </si>
  <si>
    <t>Tính gộp lại thu hoạch được mười 6 sao anh hùng</t>
  </si>
  <si>
    <t>Tiến hành 1 Lần anh hùng triệu hoán</t>
  </si>
  <si>
    <t>0:15:10#0:1:30</t>
  </si>
  <si>
    <t>Cao cấp triệu hoán</t>
  </si>
  <si>
    <t>Tiến hành 10 Lần cao cấp triệu hoán</t>
  </si>
  <si>
    <t>Tiến hành 20 Lần cao cấp triệu hoán</t>
  </si>
  <si>
    <t>Tiến hành 30 Lần cao cấp triệu hoán</t>
  </si>
  <si>
    <t>Tiến hành 40 Lần cao cấp triệu hoán</t>
  </si>
  <si>
    <t>Tiến hành 50 Lần cao cấp triệu hoán</t>
  </si>
  <si>
    <t>Tiến hành 60 Lần cao cấp triệu hoán</t>
  </si>
  <si>
    <t>Tiến hành 70 Lần cao cấp triệu hoán</t>
  </si>
  <si>
    <t>Tiến hành 80 Lần cao cấp triệu hoán</t>
  </si>
  <si>
    <t>Tiến hành 90 Lần cao cấp triệu hoán</t>
  </si>
  <si>
    <t>Tiến hành 100 Lần cao cấp triệu hoán</t>
  </si>
  <si>
    <t>Lại tiến hành 1 Lần anh hùng triệu hoán</t>
  </si>
  <si>
    <t>0:0:50000</t>
  </si>
  <si>
    <t>vào quán rượu chiêu mộ</t>
  </si>
  <si>
    <t>Tiến hành 10 Lần mời rượu</t>
  </si>
  <si>
    <t>Tiến hành 20 Lần mời rượu</t>
  </si>
  <si>
    <t>Tiến hành 30 Lần mời rượu</t>
  </si>
  <si>
    <t>Tiến hành 40 Lần mời rượu</t>
  </si>
  <si>
    <t>Tiến hành 50 Lần mời rượu</t>
  </si>
  <si>
    <t>Tiến hành 60 Lần mời rượu</t>
  </si>
  <si>
    <t>Tiến hành 70 Lần mời rượu</t>
  </si>
  <si>
    <t>Tiến hành 80 Lần mời rượu</t>
  </si>
  <si>
    <t>Tiến hành 90 Lần mời rượu</t>
  </si>
  <si>
    <t>Tiến hành 100 Lần mời rượu</t>
  </si>
  <si>
    <t>Anh hùng phân giải</t>
  </si>
  <si>
    <t>Tính gộp lại phân giải 10 Anh hùng</t>
  </si>
  <si>
    <t>Tính gộp lại phân giải 20 Anh hùng</t>
  </si>
  <si>
    <t>Tính gộp lại phân giải 30 Anh hùng</t>
  </si>
  <si>
    <t>Tính gộp lại phân giải 40 Anh hùng</t>
  </si>
  <si>
    <t>Tính gộp lại phân giải 50 Anh hùng</t>
  </si>
  <si>
    <t>Tính gộp lại phân giải 60 Anh hùng</t>
  </si>
  <si>
    <t>Tính gộp lại phân giải 70 Anh hùng</t>
  </si>
  <si>
    <t>Tính gộp lại phân giải 80 Anh hùng</t>
  </si>
  <si>
    <t>Tính gộp lại phân giải 90 Anh hùng</t>
  </si>
  <si>
    <t>Tính gộp lại phân giải 100 Anh hùng</t>
  </si>
  <si>
    <t>Tăng thêm hảo hữu</t>
  </si>
  <si>
    <t>Tính gộp lại có được một hảo hữu</t>
  </si>
  <si>
    <t>0:0:50000#0:1:100#3:100002:4</t>
  </si>
  <si>
    <t>Tính gộp lại có được 20 Cái hảo hữu</t>
  </si>
  <si>
    <t>Tính gộp lại có được 30 Cái hảo hữu</t>
  </si>
  <si>
    <t>Tính gộp lại có được 40 Cái hảo hữu</t>
  </si>
  <si>
    <t>Tính gộp lại có được 50 Cái hảo hữu</t>
  </si>
  <si>
    <t>Trang bị thu thập Ⅰ</t>
  </si>
  <si>
    <t>Tính gộp lại thu hoạch được 4 Kiện tử sắc phẩm chất trang bị</t>
  </si>
  <si>
    <t>Tính gộp lại thu hoạch được 8 Kiện tử sắc phẩm chất trang bị</t>
  </si>
  <si>
    <t>Tính gộp lại thu hoạch được 12 Kiện tử sắc phẩm chất trang bị</t>
  </si>
  <si>
    <t>Tính gộp lại thu hoạch được 16 Kiện tử sắc phẩm chất trang bị</t>
  </si>
  <si>
    <t>Tính gộp lại thu hoạch được 20 Kiện tử sắc phẩm chất trang bị</t>
  </si>
  <si>
    <t>Trang bị thu thập Ⅱ</t>
  </si>
  <si>
    <t>Tính gộp lại thu hoạch được 4 Kiện màu cam phẩm chất trang bị</t>
  </si>
  <si>
    <t>Tính gộp lại thu hoạch được 8 Kiện màu cam phẩm chất trang bị</t>
  </si>
  <si>
    <t>Tính gộp lại thu hoạch được 12 Kiện màu cam phẩm chất trang bị</t>
  </si>
  <si>
    <t>Tính gộp lại thu hoạch được 16 Kiện màu cam phẩm chất trang bị</t>
  </si>
  <si>
    <t>Tính gộp lại thu hoạch được 20 Kiện màu cam phẩm chất trang bị</t>
  </si>
  <si>
    <t>Trang bị thu thập Ⅲ</t>
  </si>
  <si>
    <t>Tính gộp lại thu hoạch được 4 trang bị đỏ</t>
  </si>
  <si>
    <t>Tính gộp lại thu hoạch được 8 trang bị đỏ</t>
  </si>
  <si>
    <t>Tính gộp lại thu hoạch được 12 trang bị đỏ</t>
  </si>
  <si>
    <t>Tính gộp lại thu hoạch được 16 trang bị đỏ</t>
  </si>
  <si>
    <t>Tính gộp lại thu hoạch được 20 trang bị đỏ</t>
  </si>
  <si>
    <t>hợp thiên phú</t>
  </si>
  <si>
    <t>Tiến hành 1 Lần hợp thiên phú</t>
  </si>
  <si>
    <t>Tiến hành 5 Lần hợp thiên phú</t>
  </si>
  <si>
    <t>Tiến hành 10 Lần hợp thiên phú</t>
  </si>
  <si>
    <t>Tiến hành 30 Lần hợp thiên phú</t>
  </si>
  <si>
    <t>Tiến hành 50 Lần hợp thiên phú</t>
  </si>
  <si>
    <t>Tiến hành 70 Lần hợp thiên phú</t>
  </si>
  <si>
    <t>Tiến hành 100 Lần hợp thiên phú</t>
  </si>
  <si>
    <t>Đấu trường điểm tích lũy</t>
  </si>
  <si>
    <t>Đấu trường lịch sử tối cao điểm tích lũy đạt tới 1100 Phân</t>
  </si>
  <si>
    <t>0:0:50000#3:100002:10</t>
  </si>
  <si>
    <t>Đấu trường lịch sử tối cao điểm tích lũy đạt tới 1300 Phân</t>
  </si>
  <si>
    <t>Đấu trường lịch sử tối cao điểm tích lũy đạt tới 1500 Phân</t>
  </si>
  <si>
    <t>Đấu trường lịch sử tối cao điểm tích lũy đạt tới 1800 Phân</t>
  </si>
  <si>
    <t>Đấu trường lịch sử tối cao điểm tích lũy đạt tới 2000 Phân</t>
  </si>
  <si>
    <t>Đấu trường lịch sử tối cao điểm tích lũy đạt tới 2200 Phân</t>
  </si>
  <si>
    <t>Đấu trường lịch sử tối cao điểm tích lũy đạt tới 2400 Phân</t>
  </si>
  <si>
    <t>Đấu trường lịch sử tối cao điểm tích lũy đạt tới 2600 Phân</t>
  </si>
  <si>
    <t>Đấu trường lịch sử tối cao điểm tích lũy đạt tới 2800 Phân</t>
  </si>
  <si>
    <t>Đấu trường lịch sử tối cao điểm tích lũy đạt tới 3000 Phân</t>
  </si>
  <si>
    <t>Đấu trường xếp hạng</t>
  </si>
  <si>
    <t>Đấu trường mỗi ngày kết toán lúc bảng xếp hạng tiến vào trước 50 Tên</t>
  </si>
  <si>
    <t>Đấu trường mỗi ngày kết toán lúc bảng xếp hạng tiến vào trước 30 Tên</t>
  </si>
  <si>
    <t>Đấu trường mỗi ngày kết toán lúc bảng xếp hạng tiến vào trước 10 Tên</t>
  </si>
  <si>
    <t>Đấu trường mỗi ngày kết toán lúc bảng xếp hạng tiến vào trước 3 Tên</t>
  </si>
  <si>
    <t>Đấu trường mỗi ngày kết toán lúc bảng xếp hạng tiến vào trước 2 Tên</t>
  </si>
  <si>
    <t>Đấu trường mỗi ngày kết toán lúc xếp hạng thứ 1 Tên</t>
  </si>
  <si>
    <t>Tính gộp lại khiêu chiến 10 Ngày kế tiếp thường phó bản</t>
  </si>
  <si>
    <t>Tính gộp lại khiêu chiến 30 Ngày kế tiếp thường phó bản</t>
  </si>
  <si>
    <t>Tính gộp lại khiêu chiến 50 Ngày kế tiếp thường phó bản</t>
  </si>
  <si>
    <t>Tính gộp lại khiêu chiến 80 Ngày kế tiếp thường phó bản</t>
  </si>
  <si>
    <t>Tính gộp lại khiêu chiến 100 Ngày kế tiếp thường phó bản</t>
  </si>
  <si>
    <t>Tính gộp lại khiêu chiến 200 Ngày kế tiếp thường phó bản</t>
  </si>
  <si>
    <t>thưởng thiện phạt ác Ⅰ</t>
  </si>
  <si>
    <t>Tính gộp lại xác nhận 10 Lần tử sắc phẩm chất nhiệm vụ</t>
  </si>
  <si>
    <t>0:0:50000#3:100008:10</t>
  </si>
  <si>
    <t>Tính gộp lại xác nhận 30 Lần tử sắc phẩm chất nhiệm vụ</t>
  </si>
  <si>
    <t>Tính gộp lại xác nhận 50 Lần tử sắc phẩm chất nhiệm vụ</t>
  </si>
  <si>
    <t>Tính gộp lại xác nhận 70 Lần tử sắc phẩm chất nhiệm vụ</t>
  </si>
  <si>
    <t>Tính gộp lại xác nhận 100 Lần tử sắc phẩm chất nhiệm vụ</t>
  </si>
  <si>
    <t>thưởng thiện phạt ác Ⅱ</t>
  </si>
  <si>
    <t>Tính gộp lại xác nhận 5 Lần màu cam phẩm chất nhiệm vụ</t>
  </si>
  <si>
    <t>Tính gộp lại xác nhận 15 Lần màu cam phẩm chất nhiệm vụ</t>
  </si>
  <si>
    <t>Tính gộp lại xác nhận 30 Lần màu cam phẩm chất nhiệm vụ</t>
  </si>
  <si>
    <t>Tính gộp lại xác nhận 50 Lần màu cam phẩm chất nhiệm vụ</t>
  </si>
  <si>
    <t>Tính gộp lại xác nhận 75 Lần màu cam phẩm chất nhiệm vụ</t>
  </si>
  <si>
    <t>Tính gộp lại xác nhận 100 Lần màu cam phẩm chất nhiệm vụ</t>
  </si>
  <si>
    <t>thưởng thiện phạt ác Ⅲ</t>
  </si>
  <si>
    <t>Tính gộp lại xác nhận 5 Lần màu đỏ phẩm chất nhiệm vụ</t>
  </si>
  <si>
    <t>Tính gộp lại xác nhận 15 Lần màu đỏ phẩm chất nhiệm vụ</t>
  </si>
  <si>
    <t>Tính gộp lại xác nhận 30 Lần màu đỏ phẩm chất nhiệm vụ</t>
  </si>
  <si>
    <t>Tính gộp lại xác nhận 50 Lần màu đỏ phẩm chất nhiệm vụ</t>
  </si>
  <si>
    <t>Tính gộp lại xác nhận 75 Lần màu đỏ phẩm chất nhiệm vụ</t>
  </si>
  <si>
    <t>Tính gộp lại xác nhận 100 Lần màu đỏ phẩm chất nhiệm vụ</t>
  </si>
  <si>
    <t>Võ lâm luận kiếm ( Tùy ý độ khó ) Lịch sử tối cao thông quan đạt tới 5 Quan</t>
  </si>
  <si>
    <t>Võ lâm luận kiếm ( Tùy ý độ khó ) Lịch sử tối cao thông quan đạt tới 8 Quan</t>
  </si>
  <si>
    <t>Võ lâm luận kiếm ( Tùy ý độ khó ) Lịch sử tối cao thông quan đạt tới 10 Quan</t>
  </si>
  <si>
    <t>Võ lâm luận kiếm ( Tùy ý độ khó ) Lịch sử tối cao thông quan đạt tới 12 Quan</t>
  </si>
  <si>
    <t>Võ lâm luận kiếm ( Tùy ý độ khó ) Lịch sử tối cao thông quan đạt tới 15 Quan</t>
  </si>
  <si>
    <t>Sáng tạo hoặc gia nhập guild</t>
  </si>
  <si>
    <t>Khiêu chiến guild phó bản</t>
  </si>
  <si>
    <t>Tính gộp lại khiêu chiến 1 Lần guild phó bản</t>
  </si>
  <si>
    <t>0:0:50000#0:12:100</t>
  </si>
  <si>
    <t>Tính gộp lại khiêu chiến 2 Lần guild phó bản</t>
  </si>
  <si>
    <t>Tính gộp lại khiêu chiến 10 Lần guild phó bản</t>
  </si>
  <si>
    <t>Tính gộp lại khiêu chiến 30 Lần guild phó bản</t>
  </si>
  <si>
    <t>Tính gộp lại khiêu chiến 50 Lần guild phó bản</t>
  </si>
  <si>
    <t>Tính gộp lại khiêu chiến 80 Lần guild phó bản</t>
  </si>
  <si>
    <t>Tính gộp lại khiêu chiến 100 Lần guild phó bản</t>
  </si>
  <si>
    <t>Đánh giết guild phó bản Boss</t>
  </si>
  <si>
    <t>Tính gộp lại đánh giết 1 Lần guild phó bản Boss</t>
  </si>
  <si>
    <t>Tính gộp lại đánh giết 3 Lần guild phó bản Boss</t>
  </si>
  <si>
    <t>Tính gộp lại đánh giết 5 Lần guild phó bản Boss</t>
  </si>
  <si>
    <t>Tính gộp lại đánh giết 10 Lần guild phó bản Boss</t>
  </si>
  <si>
    <t>Tính gộp lại đánh giết 20 Lần guild phó bản Boss</t>
  </si>
  <si>
    <t>Thu thập 9 sao anh hùng</t>
  </si>
  <si>
    <t>Trước mắt có được một 9 sao anh hùng</t>
  </si>
  <si>
    <t>2:19000315:1#2:19000415:1</t>
  </si>
  <si>
    <t>Thu thập 10 sao anh hùng</t>
  </si>
  <si>
    <t>Trước mắt có được một 10 sao anh hùng</t>
  </si>
  <si>
    <t>2:19000115:1#2:19000215:1</t>
  </si>
  <si>
    <t>Mặc thần binh</t>
  </si>
  <si>
    <t>Mặc 1 Món thần binh</t>
  </si>
  <si>
    <t>3:100022:1</t>
  </si>
  <si>
    <t>Nhanh chóng áp chế Ⅰ</t>
  </si>
  <si>
    <t>Tại PVP Chiến đấu bên trong, 8 Hiệp nội chiến thắng chiến lực cao hơn đối thủ của mình 5 Lần</t>
  </si>
  <si>
    <t>Nhanh chóng áp chế Ⅱ</t>
  </si>
  <si>
    <t>Tại PVP Chiến đấu bên trong, 7 Hiệp nội chiến thắng chiến lực cao hơn đối thủ của mình 4 Lần</t>
  </si>
  <si>
    <t>Nhanh chóng áp chế Ⅲ</t>
  </si>
  <si>
    <t>Tại PVP Chiến đấu bên trong, 6 Hiệp nội chiến thắng chiến lực cao hơn đối thủ của mình 3 Lần</t>
  </si>
  <si>
    <t>Lấy yếu thắng mạnh Ⅰ</t>
  </si>
  <si>
    <t>Tại PVP Chiến đấu bên trong, chiến thắng chiến lực cao hơn tự thân 10 Vạn đối thủ 20 Lần</t>
  </si>
  <si>
    <t>Lấy yếu thắng mạnh Ⅱ</t>
  </si>
  <si>
    <t>Tại PVP Chiến đấu bên trong, chiến thắng chiến lực cao hơn tự thân 20 Vạn đối thủ 15 Lần</t>
  </si>
  <si>
    <t>Lấy yếu thắng mạnh Ⅲ</t>
  </si>
  <si>
    <t>Tại PVP Chiến đấu bên trong, chiến thắng chiến lực cao hơn tự thân 30 Vạn đối thủ 10 Lần</t>
  </si>
  <si>
    <t>Toàn thắng</t>
  </si>
  <si>
    <t>Tại PVP Chiến đấu bên trong, đầy máu đủ quân số chiến thắng chiến lực cao hơn tự thân đối thủ 10 Lần</t>
  </si>
  <si>
    <t>thần binh đánh giết</t>
  </si>
  <si>
    <t>Tại PVP Chiến đấu bên trong, sử dụng thần binh tính gộp lại đánh giết địch quân anh hùng 100 Lần</t>
  </si>
  <si>
    <t>thần binh khống chế</t>
  </si>
  <si>
    <t>Tại PVP Chiến đấu bên trong, sử dụng Hạo Thiên Chùy tính gộp lại mê muội 200 Cái địch quân anh hùng</t>
  </si>
  <si>
    <t>Đại cứu tinh</t>
  </si>
  <si>
    <t>Tại đơn trận PVP Chiến đấu bên trong sử dụng kỹ năng chủ động phục sinh phe mình anh hùng 3 Lần</t>
  </si>
  <si>
    <t>Diệu thủ hồi xuân</t>
  </si>
  <si>
    <t>Tại đơn trận PVP Chiến đấu bên trong tổng trị liệu lượng đạt tới 500 Vạn</t>
  </si>
  <si>
    <t>thông thiên tháp Ⅰ</t>
  </si>
  <si>
    <t>thông thiên tháp đạt cao nhất 200</t>
  </si>
  <si>
    <t>thông thiên tháp Ⅱ</t>
  </si>
  <si>
    <t>thông thiên tháp đạt cao nhất 400</t>
  </si>
  <si>
    <t>thông thiên tháp Ⅲ</t>
  </si>
  <si>
    <t>thông thiên tháp đạt cao nhất 600</t>
  </si>
  <si>
    <t>thông thiên tháp 10</t>
  </si>
  <si>
    <t>thông thiên tháp đạt cao nhất 10</t>
  </si>
  <si>
    <t>thông thiên tháp 20</t>
  </si>
  <si>
    <t>thông thiên tháp đạt cao nhất 20</t>
  </si>
  <si>
    <t>Viêm Đế Thí Luyện Ⅰ</t>
  </si>
  <si>
    <t>Viêm Đế Thí Luyện đạt cao nhất 150</t>
  </si>
  <si>
    <t>Viêm Đế Thí Luyện Ⅱ</t>
  </si>
  <si>
    <t>Viêm Đế Thí Luyện đạt cao nhất 350</t>
  </si>
  <si>
    <t>Viêm Đế Thí Luyện Ⅲ</t>
  </si>
  <si>
    <t>Viêm Đế Thí Luyện đạt cao nhất 500</t>
  </si>
  <si>
    <t>Võ lâm luận kiếm · Phổ thông</t>
  </si>
  <si>
    <t>Hoàn chỉnh thông quan 5 Lần phổ thông độ khó Võ lâm luận kiếm</t>
  </si>
  <si>
    <t>Võ lâm luận kiếm · Khó khăn</t>
  </si>
  <si>
    <t>Hoàn chỉnh thông quan 5 Lần khó khăn độ khó Võ lâm luận kiếm</t>
  </si>
  <si>
    <t>Võ lâm luận kiếm · Ác mộng</t>
  </si>
  <si>
    <t>Hoàn chỉnh thông quan 5 Lần ác mộng độ khó Võ lâm luận kiếm</t>
  </si>
  <si>
    <t>Thí luyện Ⅰ</t>
  </si>
  <si>
    <t>Tùy ý 1 Loại Thí luyện đạt cao nhất 5</t>
  </si>
  <si>
    <t>Thí luyện Ⅱ</t>
  </si>
  <si>
    <t>Tùy ý 1 Loại Thí luyện đạt cao nhất 8</t>
  </si>
  <si>
    <t>Thí luyện Ⅲ</t>
  </si>
  <si>
    <t>Tùy ý 1 Loại Thí luyện đạt cao nhất 10</t>
  </si>
  <si>
    <t>Thí luyện xếp hạng Ⅰ</t>
  </si>
  <si>
    <t>Tính gộp lại tiến vào Thí luyện bảng xếp hạng trước 10 Tên 3 Lần</t>
  </si>
  <si>
    <t>Thí luyện xếp hạng Ⅱ</t>
  </si>
  <si>
    <t>Tính gộp lại tiến vào Thí luyện bảng xếp hạng trước 3 Tên 3 Lần</t>
  </si>
  <si>
    <t>Chiến lực đột phá</t>
  </si>
  <si>
    <t>Sức chiến đấu cao nhất đạt tới 4 Vạn</t>
  </si>
  <si>
    <t>3:100025:1#0:1:100</t>
  </si>
  <si>
    <t>Chiến lực đột phá Ⅰ</t>
  </si>
  <si>
    <t>Sức chiến đấu cao nhất đạt tới 50 Vạn</t>
  </si>
  <si>
    <t>Chiến lực đột phá Ⅱ</t>
  </si>
  <si>
    <t>Sức chiến đấu cao nhất đạt tới 100 Vạn</t>
  </si>
  <si>
    <t>Chiến lực đột phá Ⅲ</t>
  </si>
  <si>
    <t>Sức chiến đấu cao nhất đạt tới 200 Vạn</t>
  </si>
  <si>
    <t>Chiến lực đột phá x</t>
  </si>
  <si>
    <t>Sức chiến đấu cao nhất đạt tới 10 Vạn</t>
  </si>
  <si>
    <t>Chiến lực đột phá x1</t>
  </si>
  <si>
    <t>Sức chiến đấu cao nhất đạt tới 20 Vạn</t>
  </si>
  <si>
    <t>Sức chiến đấu cao nhất đạt tới 15 Vạn</t>
  </si>
  <si>
    <t>Cứu cực thể anh hùng</t>
  </si>
  <si>
    <t>Trước mắt có được năm 10 sao anh hùng</t>
  </si>
  <si>
    <t>Cứu cực thể · Tân binh</t>
  </si>
  <si>
    <t>Tính gộp lại thu hoạch được một 10 sao Tân binh anh hùng</t>
  </si>
  <si>
    <t>Cứu cực thể · Hải tặc</t>
  </si>
  <si>
    <t>Tính gộp lại thu hoạch được một 10 sao Hải tặc anh hùng</t>
  </si>
  <si>
    <t>Cứu cực thể · Dũng sĩ</t>
  </si>
  <si>
    <t>Tính gộp lại thu hoạch được một 10 sao Dũng sĩ anh hùng</t>
  </si>
  <si>
    <t>Cứu cực thể · Hải quân</t>
  </si>
  <si>
    <t>Tính gộp lại thu hoạch được một 10 sao Hải quân anh hùng</t>
  </si>
  <si>
    <t>Cứu cực thể · Ngũ hoàng</t>
  </si>
  <si>
    <t>Tính gộp lại thu hoạch được một 10 sao Ngũ hoàng anh hùng</t>
  </si>
  <si>
    <t>Thiên phú lĩnh ngộ Ⅰ</t>
  </si>
  <si>
    <t>Tính gộp lại lĩnh ngộ mười sơ cấp thiên phú</t>
  </si>
  <si>
    <t>Thiên phú lĩnh ngộ Ⅱ</t>
  </si>
  <si>
    <t>Tính gộp lại lĩnh ngộ mười trung cấp thiên phú</t>
  </si>
  <si>
    <t>Thiên phú lĩnh ngộ Ⅲ</t>
  </si>
  <si>
    <t>Tính gộp lại lĩnh ngộ mười cao cấp thiên phú</t>
  </si>
  <si>
    <t>Độc thương tinh thông Ⅰ</t>
  </si>
  <si>
    <t>Đơn cuộc chiến đấu tính gộp lại tạo thành 150 Vạn điểm trúng độc tổn thương</t>
  </si>
  <si>
    <t>Độc thương tinh thông Ⅱ</t>
  </si>
  <si>
    <t>Đơn cuộc chiến đấu tính gộp lại tạo thành 200 Vạn điểm trúng độc tổn thương</t>
  </si>
  <si>
    <t>Độc thương tinh thông Ⅲ</t>
  </si>
  <si>
    <t>Đơn cuộc chiến đấu tính gộp lại tạo thành 300 Vạn điểm trúng độc tổn thương</t>
  </si>
  <si>
    <t>Thiêu đốt tinh thông Ⅰ</t>
  </si>
  <si>
    <t>Đơn cuộc chiến đấu tính gộp lại tạo thành 150 Vạn điểm thiêu đốt tổn thương</t>
  </si>
  <si>
    <t>Thiêu đốt tinh thông Ⅱ</t>
  </si>
  <si>
    <t>Đơn cuộc chiến đấu tính gộp lại tạo thành 200 Vạn điểm thiêu đốt tổn thương</t>
  </si>
  <si>
    <t>Thiêu đốt tinh thông Ⅲ</t>
  </si>
  <si>
    <t>Đơn cuộc chiến đấu tính gộp lại tạo thành 300 Vạn điểm thiêu đốt tổn thương</t>
  </si>
  <si>
    <t>Chảy máu tinh thông Ⅰ</t>
  </si>
  <si>
    <t>Đơn cuộc chiến đấu tính gộp lại tạo thành 150 Vạn điểm chảy máu tổn thương</t>
  </si>
  <si>
    <t>Chảy máu tinh thông Ⅱ</t>
  </si>
  <si>
    <t>Đơn cuộc chiến đấu tính gộp lại tạo thành 200 Vạn điểm chảy máu tổn thương</t>
  </si>
  <si>
    <t>Chảy máu tinh thông Ⅲ</t>
  </si>
  <si>
    <t>Đơn cuộc chiến đấu tính gộp lại tạo thành 300 Vạn điểm chảy máu tổn thương</t>
  </si>
  <si>
    <t>Hỏa lực chuyển vận Ⅰ</t>
  </si>
  <si>
    <t>Đơn trận guild phó bản chiến đấu bên trong tính gộp lại tạo thành 150 Vạn điểm tổn thương</t>
  </si>
  <si>
    <t>Hỏa lực chuyển vận Ⅱ</t>
  </si>
  <si>
    <t>Đơn trận guild phó bản chiến đấu bên trong tính gộp lại tạo thành 200 Vạn điểm tổn thương</t>
  </si>
  <si>
    <t>Hỏa lực chuyển vận Ⅲ</t>
  </si>
  <si>
    <t>Đơn trận guild phó bản chiến đấu bên trong tính gộp lại tạo thành 300 Vạn điểm tổn thương</t>
  </si>
  <si>
    <t>Thiên phú đại sư Ⅰ</t>
  </si>
  <si>
    <t>Tính gộp lại thu hoạch được một Thiên phú đỏ</t>
  </si>
  <si>
    <t>Thiên phú đại sư Ⅱ</t>
  </si>
  <si>
    <t>Tính gộp lại thu hoạch được năm Thiên phú đỏ</t>
  </si>
  <si>
    <t>Thiên phú đại sư Ⅲ</t>
  </si>
  <si>
    <t>Tính gộp lại thu hoạch được mười Thiên phú đỏ</t>
  </si>
  <si>
    <t>Nội dung chính tuyến</t>
  </si>
  <si>
    <t>Thông quan chủ tuyến thứ 10 Quan</t>
  </si>
  <si>
    <t>Anh hùng thăng cấp</t>
  </si>
  <si>
    <t>1 Anh hùng đạt tới 30 Cấp</t>
  </si>
  <si>
    <t>Cao cấp triệu hoán 1 Lần</t>
  </si>
  <si>
    <t>Thông quan chủ tuyến thứ 16 Quan</t>
  </si>
  <si>
    <t>0:1:50</t>
  </si>
  <si>
    <t>Xác nhận thưởng thiện phạt ác</t>
  </si>
  <si>
    <t>Xác nhận 1 Lần thưởng thiện phạt ác</t>
  </si>
  <si>
    <t>Thông quan chủ tuyến thứ 20 Quan</t>
  </si>
  <si>
    <t>Tàng bảo các</t>
  </si>
  <si>
    <t>Tàng bảo các bên trong hối đoái 3 Lần</t>
  </si>
  <si>
    <t>Thông quan chủ tuyến thứ 30 Quan</t>
  </si>
  <si>
    <t>Nhân vật chính đẳng cấp đạt tới 18 Cấp</t>
  </si>
  <si>
    <t>Thông quan thông thiên tháp 10 Tầng</t>
  </si>
  <si>
    <t>May mắn tầm bảo</t>
  </si>
  <si>
    <t>Tiến hành 1 Lần may mắn tầm bảo</t>
  </si>
  <si>
    <t>Thông quan chủ tuyến thứ 40 Quan</t>
  </si>
  <si>
    <t>Nhân vật chính đẳng cấp đạt tới 25 Cấp</t>
  </si>
  <si>
    <t>Sức chiến đấu cao nhất đạt tới 5 Vạn</t>
  </si>
  <si>
    <t>Anh hùng hợp thành</t>
  </si>
  <si>
    <t>Hợp thành một 5 sao anh hùng</t>
  </si>
  <si>
    <t>Đặc quyền cửa hàng</t>
  </si>
  <si>
    <t>Mở ra đặc quyền cửa hàng</t>
  </si>
  <si>
    <t>Nhận lấy 5 sao toái phiến</t>
  </si>
  <si>
    <t>Nhận lấy 5 sao anh hùng mảnh vỡ</t>
  </si>
  <si>
    <t>Đạo cụ cửa hàng</t>
  </si>
  <si>
    <t>Mở ra đạo cụ cửa hàng</t>
  </si>
  <si>
    <t>Thông quan chủ tuyến thứ 1 Quan</t>
  </si>
  <si>
    <t>0:0:1000000#0:1:100000#3:999999:2000000#3:100022:1000#1:500801:1#1:401601:1#1:401801:1</t>
  </si>
  <si>
    <t>Thông quan chủ tuyến thứ 2 Quan</t>
  </si>
  <si>
    <t>Thông quan chủ tuyến thứ 3 Quan</t>
  </si>
  <si>
    <t>Thông quan chủ tuyến thứ 4 Quan</t>
  </si>
  <si>
    <t>0:4:50000</t>
  </si>
  <si>
    <t>Thông quan chủ tuyến thứ 6 Quan</t>
  </si>
  <si>
    <t>Thông quan chủ tuyến thứ 8 Quan</t>
  </si>
  <si>
    <t>0:0:50000#0:4:1000</t>
  </si>
  <si>
    <t>Thông quan chủ tuyến thứ 12 Quan</t>
  </si>
  <si>
    <t>Thông quan chủ tuyến thứ 15 Quan</t>
  </si>
  <si>
    <t>0:0:50000#0:4:2000</t>
  </si>
  <si>
    <t>0:0:50000#0:4:3000</t>
  </si>
  <si>
    <t>Thông quan chủ tuyến thứ 18 Quan</t>
  </si>
  <si>
    <t>0:0:50000#0:4:5000</t>
  </si>
  <si>
    <t>0:0:50000#0:4:10000</t>
  </si>
  <si>
    <t>Thông quan chủ tuyến thứ 25 Quan</t>
  </si>
  <si>
    <t>0:0:50000#0:4:20000</t>
  </si>
  <si>
    <t>0:0:50000#0:4:30000</t>
  </si>
  <si>
    <t>Thông quan chủ tuyến thứ 35 Quan</t>
  </si>
  <si>
    <t>0:0:50000#0:4:40000</t>
  </si>
  <si>
    <t>0:0:50000#3:100005:1#0:4:50000</t>
  </si>
  <si>
    <t>Thông quan chủ tuyến thứ 50 Quan</t>
  </si>
  <si>
    <t>0:0:50000#0:4:50000</t>
  </si>
  <si>
    <t>Thông quan chủ tuyến thứ 60 Quan</t>
  </si>
  <si>
    <t>0:0:50000#3:100025:1#0:4:50000</t>
  </si>
  <si>
    <t>Thông quan chủ tuyến thứ 70 Quan</t>
  </si>
  <si>
    <t>Thông quan chủ tuyến thứ 80 Quan</t>
  </si>
  <si>
    <t>Thông quan chủ tuyến thứ 90 Quan</t>
  </si>
  <si>
    <t>Thông quan chủ tuyến thứ 100 Quan</t>
  </si>
  <si>
    <t>Thông quan chủ tuyến thứ 105 Quan</t>
  </si>
  <si>
    <t>Thông quan chủ tuyến thứ 110 Quan</t>
  </si>
  <si>
    <t>Thông quan chủ tuyến thứ 115 Quan</t>
  </si>
  <si>
    <t>Thông quan chủ tuyến thứ 120 Quan</t>
  </si>
  <si>
    <t>Thông quan chủ tuyến thứ 125 Quan</t>
  </si>
  <si>
    <t>Thông quan chủ tuyến thứ 130 Quan</t>
  </si>
  <si>
    <t>Thông quan chủ tuyến thứ 135 Quan</t>
  </si>
  <si>
    <t>Thông quan chủ tuyến thứ 140 Quan</t>
  </si>
  <si>
    <t>Thông quan chủ tuyến thứ 145 Quan</t>
  </si>
  <si>
    <t>Thông quan chủ tuyến thứ 150 Quan</t>
  </si>
  <si>
    <t>Thông quan chủ tuyến thứ 155 Quan</t>
  </si>
  <si>
    <t>Thông quan chủ tuyến thứ 160 Quan</t>
  </si>
  <si>
    <t>Thông quan chủ tuyến thứ 9 Quan</t>
  </si>
  <si>
    <t>Thông quan chủ tuyến thứ 14 Quan</t>
  </si>
  <si>
    <t>Thông quan chủ tuyến thứ 5 Quan</t>
  </si>
  <si>
    <t>Liên tuyến anh hùng</t>
  </si>
  <si>
    <t>Thông quan liên tuyến anh hùng thứ 1 Quan</t>
  </si>
  <si>
    <t>Thông quan liên tuyến anh hùng thứ 2 Quan</t>
  </si>
  <si>
    <t>Thông quan liên tuyến anh hùng thứ 3 Quan</t>
  </si>
  <si>
    <t>Thông quan liên tuyến anh hùng thứ 4 Quan</t>
  </si>
  <si>
    <t>Thông quan liên tuyến anh hùng thứ 5 Quan</t>
  </si>
  <si>
    <t>Thông quan liên tuyến anh hùng thứ 6 Quan</t>
  </si>
  <si>
    <t>Thông quan liên tuyến anh hùng thứ 7 Quan</t>
  </si>
  <si>
    <t>Thông quan liên tuyến anh hùng thứ 8 Quan</t>
  </si>
  <si>
    <t>Thông quan liên tuyến anh hùng thứ 9 Quan</t>
  </si>
  <si>
    <t>Thông quan liên tuyến anh hùng thứ 10 Quan</t>
  </si>
  <si>
    <t>Kích hoạt thần binh 1</t>
  </si>
  <si>
    <t>Kích hoạt thần binh sunny</t>
  </si>
  <si>
    <t>Kích hoạt thần binh 2</t>
  </si>
  <si>
    <t>Kích hoạt thần binh Oro Jackson</t>
  </si>
  <si>
    <t>Kích hoạt thần binh 3</t>
  </si>
  <si>
    <t>Kích hoạt thần binh Kuja</t>
  </si>
  <si>
    <t>Kích hoạt thần binh 4</t>
  </si>
  <si>
    <t>Kích hoạt thần binh Fisher tiger</t>
  </si>
  <si>
    <t>Kích hoạt thần binh 5</t>
  </si>
  <si>
    <t>Kích hoạt thần binh Red force</t>
  </si>
  <si>
    <t>1 Anh hùng đạt tới 10 Cấp</t>
  </si>
  <si>
    <t>2 Anh hùng đạt tới 30 Cấp</t>
  </si>
  <si>
    <t>1 Anh hùng đạt tới 40 Cấp</t>
  </si>
  <si>
    <t>2 Anh hùng đạt tới 40 Cấp</t>
  </si>
  <si>
    <t>1 Anh hùng đạt tới 50 Cấp</t>
  </si>
  <si>
    <t>2 Anh hùng đạt tới 50 Cấp</t>
  </si>
  <si>
    <t>1 Anh hùng đạt tới 60 Cấp</t>
  </si>
  <si>
    <t>2 Anh hùng đạt tới 60 Cấp</t>
  </si>
  <si>
    <t>Mặc trang bị</t>
  </si>
  <si>
    <t>Mặc 1 Lần trang bị</t>
  </si>
  <si>
    <t>Hợp thành một 3 Tinh anh hùng</t>
  </si>
  <si>
    <t>Hợp thành một 4 Tinh anh hùng</t>
  </si>
  <si>
    <t>Anh hùng thu hoạch được</t>
  </si>
  <si>
    <t>Hợp thành / Thu hoạch được một 5 sao anh hùng</t>
  </si>
  <si>
    <t>Anh hùng thăng tinh</t>
  </si>
  <si>
    <t>Trước mắt có được 2 Cái 4 Tinh anh hùng</t>
  </si>
  <si>
    <t>Trước mắt có được 2 Cái 5 sao anh hùng</t>
  </si>
  <si>
    <t>Trước mắt có được một 6 sao anh hùng</t>
  </si>
  <si>
    <t>Khiêu chiến kim tệ phó bản</t>
  </si>
  <si>
    <t>Khiêu chiến 1 Lần kim tệ phó bản</t>
  </si>
  <si>
    <t>Khiêu chiến kinh nghiệm phó bản</t>
  </si>
  <si>
    <t>Khiêu chiến 1 Lần kinh nghiệm phó bản</t>
  </si>
  <si>
    <t>Khiêu chiến 1 Lần Võ lâm luận kiếm</t>
  </si>
  <si>
    <t>Khiêu chiến 1 Lần thông thiên tháp</t>
  </si>
  <si>
    <t>3:100005:1</t>
  </si>
  <si>
    <t>Trang bị hợp thành</t>
  </si>
  <si>
    <t>Hợp thành 1 Lần trang bị</t>
  </si>
  <si>
    <t>Hợp thành 1 Lần trang bị _ Nhiệm vụ hàng ngày</t>
  </si>
  <si>
    <t>0:15:15#0:0:50000</t>
  </si>
  <si>
    <t>0:4:20000#3:100001:200</t>
  </si>
  <si>
    <t>Khiêu chiến 1 Lần Đấu trường</t>
  </si>
  <si>
    <t>Quán rượu tiến hành 1 Lần mời rượu</t>
  </si>
  <si>
    <t>Tàng bảo các bên trong hối đoái 1 Lần</t>
  </si>
  <si>
    <t>Thông quan ban thưởng</t>
  </si>
  <si>
    <t>Nhận lấy một lần thông quan ban thưởng</t>
  </si>
  <si>
    <t>3:100021:1</t>
  </si>
  <si>
    <t>Ra trận</t>
  </si>
  <si>
    <t>Ra trận một cái mới anh hùng</t>
  </si>
  <si>
    <t>Hạn lúc hoạt động - Bò tháp khiêu chiến</t>
  </si>
  <si>
    <t>Thành công khiêu chiến thông thiên tháp 10 Lần</t>
  </si>
  <si>
    <t>4:602018:5#3:100005:1#0:4:50000#3:100029:10#0:1:1000</t>
  </si>
  <si>
    <t>Thành công khiêu chiến thông thiên tháp 20 Lần</t>
  </si>
  <si>
    <t>Thành công khiêu chiến thông thiên tháp 30 Lần</t>
  </si>
  <si>
    <t>Thành công khiêu chiến thông thiên tháp 40 Lần</t>
  </si>
  <si>
    <t xml:space="preserve"> </t>
  </si>
  <si>
    <t>4:602018:5#3:100005:2#0:4:100000#3:100029:10#0:1:1000</t>
  </si>
  <si>
    <t>Thành công khiêu chiến thông thiên tháp 50 Lần</t>
  </si>
  <si>
    <t>4:602018:5#3:100005:3#0:4:100000#3:100029:10#0:1:1000</t>
  </si>
  <si>
    <t>Thành công khiêu chiến thông thiên tháp 60 Lần</t>
  </si>
  <si>
    <t>4:602018:5#3:100005:4#0:4:100000#3:100029:10#0:1:1000</t>
  </si>
  <si>
    <t>Thành công khiêu chiến thông thiên tháp 70 Lần</t>
  </si>
  <si>
    <t>4:602018:5#3:100005:5#0:4:150000#3:100029:10#0:1:1000</t>
  </si>
  <si>
    <t>Thành công khiêu chiến thông thiên tháp 80 Lần</t>
  </si>
  <si>
    <t>4:602018:5#3:100005:6#0:4:150000#3:100029:10#0:1:1000</t>
  </si>
  <si>
    <t>Thành công khiêu chiến thông thiên tháp 90 Lần</t>
  </si>
  <si>
    <t>4:602018:5#3:100005:7#0:4:150000#3:100029:10#0:1:1000</t>
  </si>
  <si>
    <t>Thành công khiêu chiến thông thiên tháp 100 Lần</t>
  </si>
  <si>
    <t>Thành công khiêu chiến thông thiên tháp 5 Lần</t>
  </si>
  <si>
    <t>4:601021:5#3:100005:1#0:4:50000#3:100029:10#0:1:1000</t>
  </si>
  <si>
    <t>Thành công khiêu chiến thông thiên tháp 15 Lần</t>
  </si>
  <si>
    <t>4:601021:5#3:100005:2#0:4:50000#3:100029:10#0:1:1000</t>
  </si>
  <si>
    <t>4:601021:5#3:100005:3#0:4:100000#3:100029:10#0:1:1000</t>
  </si>
  <si>
    <t>Thành công khiêu chiến thông thiên tháp 25 Lần</t>
  </si>
  <si>
    <t>4:601021:5#3:100005:4#0:4:100000#3:100029:10#0:1:1000</t>
  </si>
  <si>
    <t>4:601021:5#3:100005:5#0:4:100000#3:100029:10#0:1:1000</t>
  </si>
  <si>
    <t>Thành công khiêu chiến thông thiên tháp 32 Lần</t>
  </si>
  <si>
    <t>4:601021:10#3:100005:6#0:4:150000#3:100029:10#0:1:1000</t>
  </si>
  <si>
    <t>Thành công khiêu chiến thông thiên tháp 35 Lần</t>
  </si>
  <si>
    <t>4:601021:10#3:100005:7#0:4:150000#3:100029:10#0:1:1000</t>
  </si>
  <si>
    <t>Hạn lúc hoạt động - Đánh dấu hảo lễ</t>
  </si>
  <si>
    <t>Điểm danh 1 ngày</t>
  </si>
  <si>
    <t>3:100022:2</t>
  </si>
  <si>
    <t>Điểm danh 2 ngày</t>
  </si>
  <si>
    <t>3:100004:200</t>
  </si>
  <si>
    <t>Điểm danh 3 ngày</t>
  </si>
  <si>
    <t>Điểm danh 4 ngày</t>
  </si>
  <si>
    <t>3:100002:50</t>
  </si>
  <si>
    <t>Điểm danh 5 ngày</t>
  </si>
  <si>
    <t>Điểm danh 6 ngày</t>
  </si>
  <si>
    <t>3:100005:2</t>
  </si>
  <si>
    <t>Điểm danh 7 ngày</t>
  </si>
  <si>
    <t>0:1:500</t>
  </si>
  <si>
    <t>Hạn lúc hoạt động - Thăng tinh hào lễ</t>
  </si>
  <si>
    <t>Thăng cấp tùy ý anh hùng đến 6 sao</t>
  </si>
  <si>
    <t>5:3:1#3:100004:500#3:100029:10#0:1:1000</t>
  </si>
  <si>
    <t>Thăng cấp tùy ý anh hùng đến 7 sao</t>
  </si>
  <si>
    <t>3:100001:1000#3:100029:10#0:1:1000</t>
  </si>
  <si>
    <t>Thăng cấp tùy ý anh hùng đến 8 sao</t>
  </si>
  <si>
    <t>0:4:5000000#0:0:5000000#3:100029:10#0:1:1000</t>
  </si>
  <si>
    <t>Thăng cấp tùy ý anh hùng đến 9 sao</t>
  </si>
  <si>
    <t>2:19000111:1#2:19000211:1#2:19000311:1#2:19000411:1</t>
  </si>
  <si>
    <t>Thăng cấp tùy ý anh hùng đến 10 sao</t>
  </si>
  <si>
    <t>5:4:1#3:100029:10#0:1:1000</t>
  </si>
  <si>
    <t>Nhận lấy một lần thành tựu ban thưởng</t>
  </si>
  <si>
    <t>Cây bồ đề tưới nước 1 Lần</t>
  </si>
  <si>
    <t>Điểm danh 2 Trời</t>
  </si>
  <si>
    <t>3:100022:10</t>
  </si>
  <si>
    <t>Anh hùng thăng giai</t>
  </si>
  <si>
    <t>Anh hùng tiến giai</t>
  </si>
  <si>
    <t>Thăng cấp Hằng Nga đến 6 sao</t>
  </si>
  <si>
    <t>Bảy ngày mục tiêu ngày đầu tiên</t>
  </si>
  <si>
    <t>Đăng nhập trò chơi</t>
  </si>
  <si>
    <t>0:1:100#3:100001:100</t>
  </si>
  <si>
    <t>Bảy ngày mục tiêu ngày thứ hai</t>
  </si>
  <si>
    <t>0:1:150#3:100022:1</t>
  </si>
  <si>
    <t>Bảy ngày mục tiêu ngày thứ ba</t>
  </si>
  <si>
    <t>0:1:200#3:100023:5</t>
  </si>
  <si>
    <t>Bảy ngày mục tiêu ngày thứ tư</t>
  </si>
  <si>
    <t>0:1:250#3:100027:1</t>
  </si>
  <si>
    <t>Bảy ngày mục tiêu ngày thứ năm</t>
  </si>
  <si>
    <t>0:1:300#2:19000107:1</t>
  </si>
  <si>
    <t>Bảy ngày mục tiêu ngày thứ sáu</t>
  </si>
  <si>
    <t>0:1:350#3:100005:5</t>
  </si>
  <si>
    <t>Bảy ngày mục tiêu ngày thứ bảy</t>
  </si>
  <si>
    <t>0:1:400#4:606002:50</t>
  </si>
  <si>
    <t>0:1:500#3:100001:500</t>
  </si>
  <si>
    <t>0:1:1000#3:100004:1000</t>
  </si>
  <si>
    <t>0:1:1500#4:606002:50</t>
  </si>
  <si>
    <t>0:1:2000#3:100025:1</t>
  </si>
  <si>
    <t>Sức chiến đấu cao nhất đạt tới 25 Vạn</t>
  </si>
  <si>
    <t>0:1:3000#3:100004:1000</t>
  </si>
  <si>
    <t>Sức chiến đấu cao nhất đạt tới 30 Vạn</t>
  </si>
  <si>
    <t>0:1:4000#3:100024:500</t>
  </si>
  <si>
    <t>Sức chiến đấu cao nhất đạt tới 35 Vạn</t>
  </si>
  <si>
    <t>0:1:5000#4:603016:50</t>
  </si>
  <si>
    <t>0:0:20000#3:100001:30</t>
  </si>
  <si>
    <t>0:0:30000#3:100001:30</t>
  </si>
  <si>
    <t>0:0:50000#3:100001:30</t>
  </si>
  <si>
    <t>0:0:80000#3:100001:50</t>
  </si>
  <si>
    <t>0:0:100000#3:100001:50</t>
  </si>
  <si>
    <t>0:0:100000#3:100001:100</t>
  </si>
  <si>
    <t>0:0:20000#3:100027:2</t>
  </si>
  <si>
    <t>Nhanh chóng tác chiến 5 Lần</t>
  </si>
  <si>
    <t>0:0:30000#3:100027:2</t>
  </si>
  <si>
    <t>Nhanh chóng tác chiến 8 Lần</t>
  </si>
  <si>
    <t>0:0:50000#3:100027:2</t>
  </si>
  <si>
    <t>Nhanh chóng tác chiến 10 Lần</t>
  </si>
  <si>
    <t>0:0:80000#3:100027:4</t>
  </si>
  <si>
    <t>Nhanh chóng tác chiến 12 Lần</t>
  </si>
  <si>
    <t>0:0:100000#3:100027:2</t>
  </si>
  <si>
    <t>Nhanh chóng tác chiến 15 Lần</t>
  </si>
  <si>
    <t>thông thiên tháp đạt cao nhất 10 Tầng</t>
  </si>
  <si>
    <t>0:0:20000#3:100023:2</t>
  </si>
  <si>
    <t>thông thiên tháp đạt cao nhất 15 Tầng</t>
  </si>
  <si>
    <t>0:0:30000#3:100023:2</t>
  </si>
  <si>
    <t>thông thiên tháp đạt cao nhất 20 Tầng</t>
  </si>
  <si>
    <t>0:0:50000#5:2:1</t>
  </si>
  <si>
    <t>thông thiên tháp đạt cao nhất 30 Tầng</t>
  </si>
  <si>
    <t>0:0:80000#3:100023:2</t>
  </si>
  <si>
    <t>thông thiên tháp đạt cao nhất 40 Tầng</t>
  </si>
  <si>
    <t>0:0:100000#3:100023:2</t>
  </si>
  <si>
    <t>thông thiên tháp đạt cao nhất 50 Tầng</t>
  </si>
  <si>
    <t>0:0:100000#5:3:1</t>
  </si>
  <si>
    <t>Tiến hành 10 Lần anh hùng triệu hoán</t>
  </si>
  <si>
    <t>0:0:20000#3:100001:50</t>
  </si>
  <si>
    <t>Tiến hành 20 Lần anh hùng triệu hoán</t>
  </si>
  <si>
    <t>0:0:30000#3:100004:80</t>
  </si>
  <si>
    <t>Tiến hành 5 Lần cao cấp triệu hoán</t>
  </si>
  <si>
    <t>0:0:50000#3:100001:80</t>
  </si>
  <si>
    <t>0:0:80000#3:100004:100</t>
  </si>
  <si>
    <t>0:0:100000#3:100001:150</t>
  </si>
  <si>
    <t>0:0:100000#3:100004:200</t>
  </si>
  <si>
    <t>Tham dự 5 Lần tham gia võ đài</t>
  </si>
  <si>
    <t>Tham dự 10 Lần tham gia võ đài</t>
  </si>
  <si>
    <t>0:0:30000#3:100005:1</t>
  </si>
  <si>
    <t>Tham dự 15 Lần tham gia võ đài</t>
  </si>
  <si>
    <t>0:0:50000#3:100023:3</t>
  </si>
  <si>
    <t>Tham dự 20 Lần tham gia võ đài</t>
  </si>
  <si>
    <t>0:0:80000#3:100005:2</t>
  </si>
  <si>
    <t>Tham dự 30 Lần tham gia võ đài</t>
  </si>
  <si>
    <t>0:0:100000#3:100023:5</t>
  </si>
  <si>
    <t>Tham dự 40 Lần tham gia võ đài</t>
  </si>
  <si>
    <t>0:0:100000#3:100005:2</t>
  </si>
  <si>
    <t>Thu hoạch được một 5 sao anh hùng</t>
  </si>
  <si>
    <t>Thu hoạch được 2 Cái 5 sao anh hùng</t>
  </si>
  <si>
    <t>0:0:30000#3:100027:3</t>
  </si>
  <si>
    <t>Thu hoạch được ba 5 sao anh hùng</t>
  </si>
  <si>
    <t>0:0:50000#3:100027:4</t>
  </si>
  <si>
    <t>Thu hoạch được 4 Cái 5 sao anh hùng</t>
  </si>
  <si>
    <t>0:0:80000#3:100027:5</t>
  </si>
  <si>
    <t>Thu hoạch được một 6 sao anh hùng</t>
  </si>
  <si>
    <t>0:0:100000#3:100027:6</t>
  </si>
  <si>
    <t>Thu hoạch được 2 Cái 6 sao anh hùng</t>
  </si>
  <si>
    <t>0:0:100000#3:100027:8</t>
  </si>
  <si>
    <t>Xác nhận mười thưởng thiện phạt ác</t>
  </si>
  <si>
    <t>Xác nhận 20 lần thưởng thiện phạt ác</t>
  </si>
  <si>
    <t>Xác nhận 30 lần thưởng thiện phạt ác</t>
  </si>
  <si>
    <t>Xác nhận 40 lần thưởng thiện phạt ác</t>
  </si>
  <si>
    <t>Tính gộp lại xác nhận 5 Lần tử sắc phẩm chất nhiệm vụ</t>
  </si>
  <si>
    <t>Đổi mới 5 Lần thưởng thiện phạt ác</t>
  </si>
  <si>
    <t>0:0:20000#3:100002:5</t>
  </si>
  <si>
    <t>Đổi mới 10 Lần thưởng thiện phạt ác</t>
  </si>
  <si>
    <t>0:0:30000#3:100002:10</t>
  </si>
  <si>
    <t>Đổi mới 15 Lần thưởng thiện phạt ác</t>
  </si>
  <si>
    <t>Đổi mới 20 Lần thưởng thiện phạt ác</t>
  </si>
  <si>
    <t>0:0:80000#3:100002:10</t>
  </si>
  <si>
    <t>Đổi mới 30 Lần thưởng thiện phạt ác</t>
  </si>
  <si>
    <t>0:0:100000#3:100002:15</t>
  </si>
  <si>
    <t>Đổi mới 40 Lần thưởng thiện phạt ác</t>
  </si>
  <si>
    <t>Kích hoạt Bỉ Ngạn Hoa</t>
  </si>
  <si>
    <t>0:0:20000#3:100002:10</t>
  </si>
  <si>
    <t>Kích hoạt Hạo Thiên Chùy</t>
  </si>
  <si>
    <t>Đẳng cấp thần binh đạt tới 2 Cấp</t>
  </si>
  <si>
    <t>0:0:50000#3:100002:15</t>
  </si>
  <si>
    <t>Đẳng cấp thần binh đạt tới 3 Cấp</t>
  </si>
  <si>
    <t>0:0:80000#3:100002:15</t>
  </si>
  <si>
    <t>Đẳng cấp thần binh đạt tới 4 Cấp</t>
  </si>
  <si>
    <t>0:0:100000#4:606001:50</t>
  </si>
  <si>
    <t>Đẳng cấp thần binh đạt tới 5 Cấp</t>
  </si>
  <si>
    <t>0:0:20000#4:606001:5</t>
  </si>
  <si>
    <t>0:0:30000#4:606001:5</t>
  </si>
  <si>
    <t>0:0:50000#4:606001:10</t>
  </si>
  <si>
    <t>0:0:80000#4:606001:10</t>
  </si>
  <si>
    <t>Nhân vật chính đẳng cấp đạt tới 45 Cấp</t>
  </si>
  <si>
    <t>0:0:100000#4:606001:15</t>
  </si>
  <si>
    <t>Nhân vật chính đẳng cấp đạt tới 55 Cấp</t>
  </si>
  <si>
    <t>Viêm Đế Thí Luyện đạt cao nhất 10 Quan</t>
  </si>
  <si>
    <t>0:0:20000#3:100005:2</t>
  </si>
  <si>
    <t>Viêm Đế Thí Luyện đạt cao nhất 20 Quan</t>
  </si>
  <si>
    <t>0:0:30000#3:100005:2</t>
  </si>
  <si>
    <t>Viêm Đế Thí Luyện đạt cao nhất 30 Quan</t>
  </si>
  <si>
    <t>0:0:50000#3:100005:2</t>
  </si>
  <si>
    <t>Viêm Đế Thí Luyện đạt cao nhất 40 Quan</t>
  </si>
  <si>
    <t>0:0:80000#3:100005:3</t>
  </si>
  <si>
    <t>Viêm Đế Thí Luyện đạt cao nhất 50 Quan</t>
  </si>
  <si>
    <t>0:0:100000#3:100005:3</t>
  </si>
  <si>
    <t>Viêm Đế Thí Luyện phái ra 1 Lần anh hùng</t>
  </si>
  <si>
    <t>Tiến hành 5 Lần may mắn tầm bảo</t>
  </si>
  <si>
    <t>0:0:20000#3:100005:1</t>
  </si>
  <si>
    <t>Tiến hành 10 Lần may mắn tầm bảo</t>
  </si>
  <si>
    <t>0:0:30000#3:100021:3</t>
  </si>
  <si>
    <t>Tiến hành 15 Lần may mắn tầm bảo</t>
  </si>
  <si>
    <t>Tiến hành 20 Lần may mắn tầm bảo</t>
  </si>
  <si>
    <t>0:0:80000#3:100021:3</t>
  </si>
  <si>
    <t>Tiến hành 25 Lần may mắn tầm bảo</t>
  </si>
  <si>
    <t>0:0:100000#3:100022:1</t>
  </si>
  <si>
    <t>Tiến hành 30 Lần may mắn tầm bảo</t>
  </si>
  <si>
    <t>0:0:100000#3:100022:2</t>
  </si>
  <si>
    <t>Đấu trường chiến thắng 3 Lần</t>
  </si>
  <si>
    <t>0:0:20000#3:100024:10</t>
  </si>
  <si>
    <t>Đấu trường chiến thắng 5 Lần</t>
  </si>
  <si>
    <t>0:0:30000#3:100024:10</t>
  </si>
  <si>
    <t>Đấu trường chiến thắng 8 Lần</t>
  </si>
  <si>
    <t>0:0:50000#3:100024:15</t>
  </si>
  <si>
    <t>Đấu trường chiến thắng 10 Lần</t>
  </si>
  <si>
    <t>0:0:80000#3:100024:15</t>
  </si>
  <si>
    <t>Đấu trường chiến thắng 15 Lần</t>
  </si>
  <si>
    <t>0:0:100000#3:100024:20</t>
  </si>
  <si>
    <t>Đấu trường chiến thắng 20 Lần</t>
  </si>
  <si>
    <t>Trước mắt có được năm 30 Cấp anh hùng</t>
  </si>
  <si>
    <t>Trước mắt có được một 100 Cấp anh hùng</t>
  </si>
  <si>
    <t>Trước mắt có được một 120 Cấp anh hùng</t>
  </si>
  <si>
    <t>0:0:50000#3:100024:10</t>
  </si>
  <si>
    <t>0:0:80000#4:606001:5</t>
  </si>
  <si>
    <t>Trước mắt có được 2 Cái 6 sao anh hùng</t>
  </si>
  <si>
    <t>Đưa tặng hảo hữu hữu nghị điểm 1 Lần</t>
  </si>
  <si>
    <t>0:1:100</t>
  </si>
  <si>
    <t>Đưa tặng hảo hữu hữu nghị điểm 2 Lần</t>
  </si>
  <si>
    <t>0:1:200</t>
  </si>
  <si>
    <t>Đưa tặng hảo hữu hữu nghị điểm 3 Lần</t>
  </si>
  <si>
    <t>0:1:300</t>
  </si>
  <si>
    <t>Đưa tặng hảo hữu hữu nghị điểm 4 Lần</t>
  </si>
  <si>
    <t>0:1:400</t>
  </si>
  <si>
    <t>Đưa tặng hảo hữu hữu nghị điểm 6 Lần</t>
  </si>
  <si>
    <t>0:1:600</t>
  </si>
  <si>
    <t>Đưa tặng hảo hữu hữu nghị điểm 7 Lần</t>
  </si>
  <si>
    <t>0:1:700</t>
  </si>
  <si>
    <t>Cẩm nang chi mê ngày đầu tiên</t>
  </si>
  <si>
    <t>3:100202:10</t>
  </si>
  <si>
    <t>Tử sắc thưởng thiện phạt ác 1 Lần</t>
  </si>
  <si>
    <t>Nhanh chóng tác chiến 4 Lần</t>
  </si>
  <si>
    <t>Quán rượu xem bên trong mời rượu 1 Lần</t>
  </si>
  <si>
    <t>Cẩm nang chi mê ngày thứ hai</t>
  </si>
  <si>
    <t>Thông quan càn quét thông thiên tháp 1 Lần</t>
  </si>
  <si>
    <t>Tiêu hao 500 Nguyên bảo</t>
  </si>
  <si>
    <t>Cẩm nang chi mê ngày thứ ba</t>
  </si>
  <si>
    <t>Cẩm nang chi mê ngày thứ tư</t>
  </si>
  <si>
    <t>Cẩm nang chi mê ngày thứ năm</t>
  </si>
  <si>
    <t>Thông quan càn quét thông thiên tháp 3 Lần</t>
  </si>
  <si>
    <t>Cao cấp triệu hoán 3 Lần</t>
  </si>
  <si>
    <t>Cẩm nang chi mê ngày thứ sáu</t>
  </si>
  <si>
    <t>Cẩm nang chi mê ngày thứ bảy</t>
  </si>
  <si>
    <t>Tích nạp đạt</t>
  </si>
  <si>
    <t>Tích nạp đạt 100 VNĐ</t>
  </si>
  <si>
    <t>0:1:200#3:100002:50</t>
  </si>
  <si>
    <t>Tích nạp đạt 200 VNĐ</t>
  </si>
  <si>
    <t>0:1:400#3:100022:3</t>
  </si>
  <si>
    <t>Tích nạp đạt 500 VNĐ</t>
  </si>
  <si>
    <t>0:1:1000#3:100025:1</t>
  </si>
  <si>
    <t>Tích nạp đạt 1000 VNĐ</t>
  </si>
  <si>
    <t>0:1:2000#4:606002:50</t>
  </si>
  <si>
    <t>Tích nạp đạt 2000 VNĐ</t>
  </si>
  <si>
    <t>0:1:3000#3:100004:5000</t>
  </si>
  <si>
    <t>Tích nạp đạt 3000 VNĐ</t>
  </si>
  <si>
    <t>0:1:5000#3:500009:1</t>
  </si>
  <si>
    <t>Tích nạp đạt 5000 VNĐ</t>
  </si>
  <si>
    <t>0:1:8000#3:500010:1</t>
  </si>
  <si>
    <t>Công lao sổ ghi chép ngày đầu tiên</t>
  </si>
  <si>
    <t>3:100203:10</t>
  </si>
  <si>
    <t>Xác nhận 1 Lần tử sắc phẩm chất thưởng thiện phạt ác</t>
  </si>
  <si>
    <t>Công lao sổ ghi chép ngày thứ hai</t>
  </si>
  <si>
    <t>Công lao sổ ghi chép ngày thứ ba</t>
  </si>
  <si>
    <t>Công lao sổ ghi chép ngày thứ tư</t>
  </si>
  <si>
    <t>Công lao sổ ghi chép ngày thứ năm</t>
  </si>
  <si>
    <t>Công lao sổ ghi chép ngày thứ sáu</t>
  </si>
  <si>
    <t>Công lao sổ ghi chép ngày thứ bảy</t>
  </si>
  <si>
    <t>0:1:400#3:100059:20</t>
  </si>
  <si>
    <t>0:1:1000#3:100059:40</t>
  </si>
  <si>
    <t>0:1:2000#6:30002:1</t>
  </si>
  <si>
    <t>Dạo chơi tiên cảnh ngày đầu tiên</t>
  </si>
  <si>
    <t>3:100204:10</t>
  </si>
  <si>
    <t>Dạo chơi tiên cảnh ngày thứ hai</t>
  </si>
  <si>
    <t>Dạo chơi tiên cảnh ngày thứ ba</t>
  </si>
  <si>
    <t>Dạo chơi tiên cảnh ngày thứ tư</t>
  </si>
  <si>
    <t>Dạo chơi tiên cảnh ngày thứ năm</t>
  </si>
  <si>
    <t>Dạo chơi tiên cảnh ngày thứ sáu</t>
  </si>
  <si>
    <t>Dạo chơi tiên cảnh ngày thứ bảy</t>
  </si>
  <si>
    <t>Hạn lúc hoạt động - Viêm Đế Thí Luyện</t>
  </si>
  <si>
    <t>4:602024:5#3:100005:1#0:4:50000#3:100029:10#0:1:1000</t>
  </si>
  <si>
    <t>Viêm Đế Thí Luyện đạt cao nhất 70 Quan</t>
  </si>
  <si>
    <t>Viêm Đế Thí Luyện đạt cao nhất 90 Quan</t>
  </si>
  <si>
    <t>4:602024:5#3:100005:2#0:4:100000#3:100029:10#0:1:1000</t>
  </si>
  <si>
    <t>Viêm Đế Thí Luyện đạt cao nhất 110 Quan</t>
  </si>
  <si>
    <t>4:602024:5#3:100005:3#0:4:100000#3:100029:10#0:1:1000</t>
  </si>
  <si>
    <t>Viêm Đế Thí Luyện đạt cao nhất 130 Quan</t>
  </si>
  <si>
    <t>4:602024:5#3:100005:4#0:4:100000#3:100029:10#0:1:1000</t>
  </si>
  <si>
    <t>Viêm Đế Thí Luyện đạt cao nhất 140 Quan</t>
  </si>
  <si>
    <t>4:602024:10#3:100005:5#0:4:150000#3:100029:10#0:1:1000</t>
  </si>
  <si>
    <t>Viêm Đế Thí Luyện đạt cao nhất 150 Quan</t>
  </si>
  <si>
    <t>4:602024:10#3:100005:6#0:4:150000#3:100029:10#0:1:1000</t>
  </si>
  <si>
    <t>Hạn lúc hoạt động - Võ lâm luận kiếm</t>
  </si>
  <si>
    <t>4:602015:5#3:100005:1#0:4:50000#3:100029:10#0:1:1000</t>
  </si>
  <si>
    <t>Võ lâm luận kiếm thắng lợi 5 Lần</t>
  </si>
  <si>
    <t>Võ lâm luận kiếm thắng lợi 8 Lần</t>
  </si>
  <si>
    <t>Võ lâm luận kiếm thắng lợi 10 Lần</t>
  </si>
  <si>
    <t>4:602015:5#3:100005:2#0:4:100000#3:100029:10#0:1:1000</t>
  </si>
  <si>
    <t>Võ lâm luận kiếm thắng lợi 12 Lần</t>
  </si>
  <si>
    <t>4:602015:5#3:100005:3#0:4:100000#3:100029:10#0:1:1000</t>
  </si>
  <si>
    <t>Võ lâm luận kiếm thắng lợi 15 Lần</t>
  </si>
  <si>
    <t>4:602015:5#3:100005:4#0:4:100000#3:100029:10#0:1:1000</t>
  </si>
  <si>
    <t>Võ lâm luận kiếm thắng lợi 20 Lần</t>
  </si>
  <si>
    <t>4:602015:10#3:100005:5#0:4:150000#3:100029:10#0:1:1000</t>
  </si>
  <si>
    <t>Võ lâm luận kiếm thắng lợi 25 Lần</t>
  </si>
  <si>
    <t>4:602015:10#3:100005:6#0:4:150000#3:100029:10#0:1:1000</t>
  </si>
  <si>
    <t>Hạn lúc hoạt động - Thiên phú đúc lại</t>
  </si>
  <si>
    <t>Thiên phú đúc lại 3 Lần</t>
  </si>
  <si>
    <t>4:601018:10#3:100005:1#0:4:100000#3:100029:10#0:1:1000</t>
  </si>
  <si>
    <t>Thiên phú đúc lại 5 Lần</t>
  </si>
  <si>
    <t>4:601018:10#3:100005:2#0:4:100000#3:100029:10#0:1:1000</t>
  </si>
  <si>
    <t>Thiên phú đúc lại 8 Lần</t>
  </si>
  <si>
    <t>4:601018:10#3:100005:3#0:4:150000#3:100029:10#0:1:1000</t>
  </si>
  <si>
    <t>Thiên phú đúc lại 10 Lần</t>
  </si>
  <si>
    <t>4:601018:10#3:100005:4#0:4:150000#3:100029:10#0:1:1000</t>
  </si>
  <si>
    <t>Thiên phú đúc lại 15 Lần</t>
  </si>
  <si>
    <t>4:601018:10#3:100005:5#0:4:200000#3:100029:10#0:1:1000</t>
  </si>
  <si>
    <t>Hạn lúc hoạt động - thưởng thiện phạt ác</t>
  </si>
  <si>
    <t>Xác nhận 10 lần thưởng thiện phạt ác</t>
  </si>
  <si>
    <t>4:603017:5#3:100005:1#0:4:50000#3:100029:10#0:1:1000</t>
  </si>
  <si>
    <t>4:603017:5#3:100005:2#0:4:100000#3:100029:10#0:1:1000</t>
  </si>
  <si>
    <t>Xác nhận 50 lần thưởng thiện phạt ác</t>
  </si>
  <si>
    <t>4:603017:5#3:100005:3#0:4:100000#3:100029:10#0:1:1000</t>
  </si>
  <si>
    <t>Xác nhận 60 lần thưởng thiện phạt ác</t>
  </si>
  <si>
    <t>4:603017:5#3:100005:4#0:4:100000#3:100029:10#0:1:1000</t>
  </si>
  <si>
    <t>Xác nhận 70 lần thưởng thiện phạt ác</t>
  </si>
  <si>
    <t>4:603017:10#3:100005:5#0:4:150000#3:100029:10#0:1:1000</t>
  </si>
  <si>
    <t>Xác nhận 80 lần thưởng thiện phạt ác</t>
  </si>
  <si>
    <t>4:603017:10#3:100005:6#0:4:150000#3:100029:10#0:1:1000</t>
  </si>
  <si>
    <t>Hạn lúc hoạt động - Đấu trường</t>
  </si>
  <si>
    <t>4:603022:5#3:100005:1#0:4:50000#3:100029:10#0:1:1000</t>
  </si>
  <si>
    <t>4:603022:5#3:100005:2#0:4:100000#3:100029:10#0:1:1000</t>
  </si>
  <si>
    <t>4:603022:5#3:100005:3#0:4:100000#3:100029:10#0:1:1000</t>
  </si>
  <si>
    <t>4:603022:5#3:100005:4#0:4:100000#3:100029:10#0:1:1000</t>
  </si>
  <si>
    <t>Tham dự 50 Lần tham gia võ đài</t>
  </si>
  <si>
    <t>4:603022:10#3:100005:5#0:4:150000#3:100029:10#0:1:1000</t>
  </si>
  <si>
    <t>Tham dự 60 Lần tham gia võ đài</t>
  </si>
  <si>
    <t>4:603022:10#3:100005:6#0:4:150000#3:100029:10#0:1:1000</t>
  </si>
  <si>
    <t>Hạn lúc hoạt động - Nhanh chóng tác chiến</t>
  </si>
  <si>
    <t>4:602020:5#3:100005:6#0:4:150000#3:100029:10#0:1:1000</t>
  </si>
  <si>
    <t>Nhanh chóng tác chiến 6 Lần</t>
  </si>
  <si>
    <t>Nhanh chóng tác chiến 9 Lần</t>
  </si>
  <si>
    <t>Nhanh chóng tác chiến 18 Lần</t>
  </si>
  <si>
    <t>Nhanh chóng tác chiến 21 Lần</t>
  </si>
  <si>
    <t>Nhanh chóng tác chiến 24 Lần</t>
  </si>
  <si>
    <t>Nhanh chóng tác chiến 26 Lần</t>
  </si>
  <si>
    <t>Nhanh chóng tác chiến 28 Lần</t>
  </si>
  <si>
    <t>Hạn lúc hoạt động - Hạn lúc tích nạp</t>
  </si>
  <si>
    <t>Tích nạp đạt 50k VNĐ</t>
  </si>
  <si>
    <t>3:500015:30#3:100001:5000#0:0:1500000#3:500061:3</t>
  </si>
  <si>
    <t>Tích nạp đạt 100k VNĐ</t>
  </si>
  <si>
    <t>3:500015:30#3:100036:2000#0:0:1500000#3:500061:3</t>
  </si>
  <si>
    <t>Tích nạp đạt 500k VNĐ</t>
  </si>
  <si>
    <t>3:500015:100#3:100004:5000#3:100098:1000#0:0:5000000#3:500061:5</t>
  </si>
  <si>
    <t>Tích nạp đạt 1m VNĐ</t>
  </si>
  <si>
    <t>3:500193:50#3:500015:150#3:100258:20#0:0:8000000#0:4:800000</t>
  </si>
  <si>
    <t>Tích nạp đạt 1m5 VNĐ</t>
  </si>
  <si>
    <t>3:590004:1#3:100342:2000#3:100019:2000#3:400103:2</t>
  </si>
  <si>
    <t>Tích nạp đạt 2m VNĐ</t>
  </si>
  <si>
    <t>3:500193:100#3:500015:200#3:100258:30#3:500061:30</t>
  </si>
  <si>
    <t>Tích nạp đạt 2m5 VNĐ</t>
  </si>
  <si>
    <t>3:100342:2000#3:580001:1#3:100252:2000#3:100253:2000</t>
  </si>
  <si>
    <t>Tích nạp đạt 3m VNĐ</t>
  </si>
  <si>
    <t>3:100342:2000#3:400103:3#3:500087:10000#3:100255:50</t>
  </si>
  <si>
    <t>Tích nạp đạt 3m5 VNĐ</t>
  </si>
  <si>
    <t>3:500193:200#3:500015:400#3:100258:40#3:500061:30</t>
  </si>
  <si>
    <t>Tích nạp đạt 4m VNĐ</t>
  </si>
  <si>
    <t>3:100342:2000#3:590004:1#3:100019:2000#3:400203:5</t>
  </si>
  <si>
    <t>Tích nạp đạt 4m5 VNĐ</t>
  </si>
  <si>
    <t>3:100342:2000#3:500087:10000#3:100252:2000#3:100253:2000</t>
  </si>
  <si>
    <t>Tích nạp đạt 5m VNĐ</t>
  </si>
  <si>
    <t>3:500193:200#3:500015:500#3:100258:50#3:500061:50</t>
  </si>
  <si>
    <t>Tích nạp đạt 5m5 VNĐ</t>
  </si>
  <si>
    <t>3:100342:2000#3:100019:2000#3:580001:1#3:100255:50</t>
  </si>
  <si>
    <t>Tích nạp đạt 6m VNĐ</t>
  </si>
  <si>
    <t>Tích nạp đạt 6m5 VNĐ</t>
  </si>
  <si>
    <t>3:500193:300#3:500015:500#3:100258:50#3:500061:50</t>
  </si>
  <si>
    <t>Tích nạp đạt 7m VNĐ</t>
  </si>
  <si>
    <t>3:100342:2000#3:590006:2#3:590004:1#3:1000022:1</t>
  </si>
  <si>
    <t>Tích nạp đạt 7m5 VNĐ</t>
  </si>
  <si>
    <t>Tích nạp đạt 8m VNĐ</t>
  </si>
  <si>
    <t>3:500193:400#3:500015:500#3:100258:50#3:500061:50</t>
  </si>
  <si>
    <t>Tích nạp đạt 9m VNĐ</t>
  </si>
  <si>
    <t>3:100342:4000#3:590006:2#3:590004:1#3:1000022:2</t>
  </si>
  <si>
    <t>Tích nạp đạt 10m VNĐ</t>
  </si>
  <si>
    <t>3:100342:4000#3:500087:10000#3:100252:2000#3:100253:2000</t>
  </si>
  <si>
    <t>Tích nạp đạt 11m VNĐ</t>
  </si>
  <si>
    <t>3:500193:600#3:500015:500#3:100258:60#3:500061:50</t>
  </si>
  <si>
    <t>Tích nạp đạt 12m VNĐ</t>
  </si>
  <si>
    <t>3:100342:4000#3:590006:4#3:590004:1#3:1000022:3</t>
  </si>
  <si>
    <t>Tích nạp đạt 13m VNĐ</t>
  </si>
  <si>
    <t>Tích nạp đạt 14m VNĐ</t>
  </si>
  <si>
    <t>3:500193:700#3:500015:500#3:100258:60#3:500061:50</t>
  </si>
  <si>
    <t>Tích nạp đạt 16m VNĐ</t>
  </si>
  <si>
    <t>3:100342:8000#3:500087:10000#3:100252:3000#3:100253:3000</t>
  </si>
  <si>
    <t>Tích nạp đạt 18m VNĐ</t>
  </si>
  <si>
    <t>3:500193:700#3:500015:500#3:100258:100#3:500061:50</t>
  </si>
  <si>
    <t>Tích nạp đạt 20m VNĐ</t>
  </si>
  <si>
    <t>3:100342:8000#3:500087:10000#3:100252:4000#3:100253:4000</t>
  </si>
  <si>
    <t>Tích nạp đạt 22m VNĐ</t>
  </si>
  <si>
    <t>Tích nạp đạt 24m VNĐ</t>
  </si>
  <si>
    <t>Tích nạp đạt 26m VNĐ</t>
  </si>
  <si>
    <t>Tích nạp đạt 28m VNĐ</t>
  </si>
  <si>
    <t>Tích nạp đạt 30m VNĐ</t>
  </si>
  <si>
    <t>0:1:1000#3:400008:1</t>
  </si>
  <si>
    <t>0:1:2000#5:4:1#3:100004:5000</t>
  </si>
  <si>
    <t>0:1:4000#3:400015:1#3:100031:1000</t>
  </si>
  <si>
    <t>0:1:6000#4:606002:100#3:1000010:1#0:4:5000000</t>
  </si>
  <si>
    <t>0:1:10000#4:606002:150#3:1000010:1#0:0:5000000</t>
  </si>
  <si>
    <t>Tích nạp đạt 7000 VNĐ</t>
  </si>
  <si>
    <t>0:1:14000#4:606002:150#3:1000010:2#0:4:10000000</t>
  </si>
  <si>
    <t>Tích nạp đạt 10000 VNĐ</t>
  </si>
  <si>
    <t>0:1:20000#3:400018:1#3:100031:1000#6:30002:5</t>
  </si>
  <si>
    <t>Mỗi ngày tích nạp</t>
  </si>
  <si>
    <t>Tích nạp đạt 10k VNĐ</t>
  </si>
  <si>
    <t>5:5:1#3:100001:5000#0:0:500000#0:4:50000</t>
  </si>
  <si>
    <t>5:5:1#3:100036:1000#0:0:500000#0:4:100000</t>
  </si>
  <si>
    <t>3:500024:1#3:100004:5000#0:0:1000000#0:4:200000</t>
  </si>
  <si>
    <t>Tích nạp đạt 200k VNĐ</t>
  </si>
  <si>
    <t>3:500193:20#3:500015:50#3:100258:10#0:0:2000000#0:4:400000</t>
  </si>
  <si>
    <t>Tích nạp đạt 400k VNĐ</t>
  </si>
  <si>
    <t>3:590004:1#3:100252:1000#3:100253:1000#0:4:600000</t>
  </si>
  <si>
    <t>Tích nạp đạt 600k VNĐ</t>
  </si>
  <si>
    <t>3:500193:50#3:500015:100#3:100258:20#0:0:8000000#0:4:800000</t>
  </si>
  <si>
    <t>Tích nạp đạt 800k VNĐ</t>
  </si>
  <si>
    <t>3:500087:10000#3:100019:2000#0:0:10000000#0:4:1000000</t>
  </si>
  <si>
    <t>3:500193:100#3:500015:150#3:100258:30#3:500061:30</t>
  </si>
  <si>
    <t>3:500193:200#3:500015:200#3:100258:40#3:500061:30</t>
  </si>
  <si>
    <t>3:590004:1#3:100252:2000#3:100253:2000#3:100255:50</t>
  </si>
  <si>
    <t>3:500193:200#3:500015:300#3:100258:50#3:500061:50</t>
  </si>
  <si>
    <t>3:590004:1#3:100252:5000#3:100253:5000#3:100255:120</t>
  </si>
  <si>
    <t>3:500193:300#3:500015:350#3:100258:50#3:500061:50</t>
  </si>
  <si>
    <t>3:500193:600#3:500015:600#3:100258:60#3:500061:50</t>
  </si>
  <si>
    <t>3:500087:10000#3:100252:5000#3:100253:5000#3:100255:120</t>
  </si>
  <si>
    <t>Tích nạp đạt 15m VNĐ</t>
  </si>
  <si>
    <t>3:500193:700#3:500015:600#3:100258:60#3:500061:50</t>
  </si>
  <si>
    <t>Hôm nay cũng muốn nguyên khí tràn đầy</t>
  </si>
  <si>
    <t>Đăng nhập võ lâm ngũ bá một lần</t>
  </si>
  <si>
    <t>3:100208:30</t>
  </si>
  <si>
    <t>Mỗi một lần thí luyện đều sẽ mạnh lên</t>
  </si>
  <si>
    <t>Tham gia 1 Lần Viêm Đế Thí Luyện</t>
  </si>
  <si>
    <t>3:100208:60</t>
  </si>
  <si>
    <t>Thổ hào chứng minh</t>
  </si>
  <si>
    <t>Thu hoạch được 500 Nguyên bảo</t>
  </si>
  <si>
    <t>Cường giả lịch luyện</t>
  </si>
  <si>
    <t>tham gia võ đài thắng lợi 5 Lần</t>
  </si>
  <si>
    <t>Chúng ta guild không thể chiến thắng!</t>
  </si>
  <si>
    <t>guild phó bản khiêu chiến 4 Lần</t>
  </si>
  <si>
    <t>Đồ đằng chi lực</t>
  </si>
  <si>
    <t>Thí luyện thắng lợi hoặc càn quét 8 Lần</t>
  </si>
  <si>
    <t>Thường ngày sinh động</t>
  </si>
  <si>
    <t>Sinh động độ tính gộp lại đạt tới 100</t>
  </si>
  <si>
    <t>Nữ thần may mắn chiếu cố</t>
  </si>
  <si>
    <t>3:100208:230</t>
  </si>
  <si>
    <t>Anh hùng chính là lực lượng</t>
  </si>
  <si>
    <t>Cao cấp triệu hoán 30 Lần</t>
  </si>
  <si>
    <t>Tiến hành 3 Lần mời rượu</t>
  </si>
  <si>
    <t>Nắm giữ đồ đằng lực lượng</t>
  </si>
  <si>
    <t>Thí luyện thắng lợi hoặc càn quét 50 Lần</t>
  </si>
  <si>
    <t>Nhanh chóng đại tác chiến</t>
  </si>
  <si>
    <t>Tính gộp lại nhanh chóng tác chiến 21 Lần</t>
  </si>
  <si>
    <t>Treo thưởng đạt nhân</t>
  </si>
  <si>
    <t>Sơn Hải giới bí văn</t>
  </si>
  <si>
    <t>Ngọc cầu nguyện 30 Lần</t>
  </si>
  <si>
    <t>Tùy ý nạp tiền</t>
  </si>
  <si>
    <t>Nạp tiền tùy ý</t>
  </si>
  <si>
    <t>3:100208:250</t>
  </si>
  <si>
    <t>Sửa đá thành vàng</t>
  </si>
  <si>
    <t>Tính gộp lại đổi tiền xu 10 Lần</t>
  </si>
  <si>
    <t>4:602021:5#3:100005:1#0:4:50000#3:100029:10#0:1:1000</t>
  </si>
  <si>
    <t>Tính gộp lại đổi tiền xu 20 Lần</t>
  </si>
  <si>
    <t>Tính gộp lại đổi tiền xu 30 Lần</t>
  </si>
  <si>
    <t>Tính gộp lại đổi tiền xu 40 Lần</t>
  </si>
  <si>
    <t>4:602021:5#3:100005:2#0:4:100000#3:100029:10#0:1:1000</t>
  </si>
  <si>
    <t>Tính gộp lại đổi tiền xu 50 Lần</t>
  </si>
  <si>
    <t>4:602021:5#3:100005:3#0:4:100000#3:100029:10#0:1:1000</t>
  </si>
  <si>
    <t>Tính gộp lại đổi tiền xu 60 Lần</t>
  </si>
  <si>
    <t>4:602021:5#3:100005:4#0:4:100000#3:100029:10#0:1:1000</t>
  </si>
  <si>
    <t>Tính gộp lại đổi tiền xu 70 Lần</t>
  </si>
  <si>
    <t>4:602021:5#3:100005:5#0:4:150000#3:100029:10#0:1:1000</t>
  </si>
  <si>
    <t>Tính gộp lại đổi tiền xu 80 Lần</t>
  </si>
  <si>
    <t>4:602021:5#3:100005:6#0:4:150000#3:100029:10#0:1:1000</t>
  </si>
  <si>
    <t>Tính gộp lại đổi tiền xu 90 Lần</t>
  </si>
  <si>
    <t>4:602021:5#3:100005:6#0:4:200000#3:100029:10#0:1:1000</t>
  </si>
  <si>
    <t>Tính gộp lại đổi tiền xu 100 Lần</t>
  </si>
  <si>
    <t>vào quán rượu chiêu mộ 1 Lần</t>
  </si>
  <si>
    <t>0:17:10</t>
  </si>
  <si>
    <t>Cao cấp tầm bảo 1 Lần</t>
  </si>
  <si>
    <t>hợp thiên phú 3 Lần</t>
  </si>
  <si>
    <t>Tàng bảo các hối đoái 15 Lần</t>
  </si>
  <si>
    <t>Bản phục tam giới tranh bá cạnh đoán 4 Lần</t>
  </si>
  <si>
    <t>Thăng cấp đẳng cấp thần binh 1 Lần</t>
  </si>
  <si>
    <t>Thiên phú đúc lại 1 Lần</t>
  </si>
  <si>
    <t>Ngọc tẩy luyện 1 Lần</t>
  </si>
  <si>
    <t>Thí luyện khiêu chiến thắng lợi 2 Lần</t>
  </si>
  <si>
    <t>Ngọc cầu nguyện 3 Lần</t>
  </si>
  <si>
    <t>Chia sẻ trò chơi 3 Lần</t>
  </si>
  <si>
    <t>Đánh dấu tính gộp lại 5 Lần</t>
  </si>
  <si>
    <t>Điểm danh 5 Lần</t>
  </si>
  <si>
    <t>Thí luyện khiêu chiến thành công 15 Lần</t>
  </si>
  <si>
    <t>Hạn lúc hoạt động - Ngọc cầu nguyện</t>
  </si>
  <si>
    <t>Tính gộp lại tùy ý rút hồn ngọc 10 Lần</t>
  </si>
  <si>
    <t>4:601014:5#3:100005:1#0:4:50000#3:100029:10#0:1:1000</t>
  </si>
  <si>
    <t>Tính gộp lại tùy ý rút hồn ngọc 20 Lần</t>
  </si>
  <si>
    <t>Tính gộp lại tùy ý rút hồn ngọc 30 Lần</t>
  </si>
  <si>
    <t>Tính gộp lại tùy ý rút hồn ngọc 40 Lần</t>
  </si>
  <si>
    <t>4:601014:5#3:100005:2#0:4:100000#3:100029:10#0:1:1000</t>
  </si>
  <si>
    <t>Tính gộp lại tùy ý rút hồn ngọc 50 Lần</t>
  </si>
  <si>
    <t>4:601014:5#3:100005:3#0:4:100000#3:100029:10#0:1:1000</t>
  </si>
  <si>
    <t>Tính gộp lại tùy ý rút hồn ngọc 60 Lần</t>
  </si>
  <si>
    <t>4:601014:5#3:100005:4#0:4:100000#3:100029:10#0:1:1000</t>
  </si>
  <si>
    <t>Tính gộp lại tùy ý rút hồn ngọc 70 Lần</t>
  </si>
  <si>
    <t>4:601014:5#3:100005:5#0:4:150000#3:100029:10#0:1:1000</t>
  </si>
  <si>
    <t>Tính gộp lại tùy ý rút hồn ngọc 80 Lần</t>
  </si>
  <si>
    <t>4:601014:5#3:100005:6#0:4:150000#3:100029:10#0:1:1000</t>
  </si>
  <si>
    <t>Tính gộp lại tùy ý rút hồn ngọc 90 Lần</t>
  </si>
  <si>
    <t>4:601014:5#3:100005:7#0:4:200000#3:100029:10#0:1:1000</t>
  </si>
  <si>
    <t>Tính gộp lại tùy ý rút hồn ngọc 100 Lần</t>
  </si>
  <si>
    <t>4:601014:5#3:100005:8#0:4:200000#3:100029:10#0:1:1000</t>
  </si>
  <si>
    <t>Thăng cấp tùy ý anh hùng đến 11 sao</t>
  </si>
  <si>
    <t>3:400015:1#3:100046:1#3:100029:10#0:1:1000</t>
  </si>
  <si>
    <t>0:4:1000000#0:0:1000000#3:100029:10#0:1:1000</t>
  </si>
  <si>
    <t>0:4:3000000#0:0:3000000#3:100029:10#0:1:1000</t>
  </si>
  <si>
    <t>Thăng cấp tùy ý anh hùng đến 10 sao trở lên</t>
  </si>
  <si>
    <t>5:4:1#3:100046:1#3:100029:10#0:1:1000</t>
  </si>
  <si>
    <t>Thăng cấp Megallan đến 6 sao</t>
  </si>
  <si>
    <t>5:3:1#3:100004:3000#3:500011:1#3:100029:10#0:1:1000</t>
  </si>
  <si>
    <t>Thăng cấp Megallan đến 7 sao</t>
  </si>
  <si>
    <t>3:100001:1000#3:500011:1#3:100029:10#0:1:1000</t>
  </si>
  <si>
    <t>Thăng cấp Megallan đến 8 sao</t>
  </si>
  <si>
    <t>0:4:5000000#0:0:5000000#3:500011:1#3:100029:10#0:1:1000</t>
  </si>
  <si>
    <t>Thăng cấp Megallan đến 9 sao</t>
  </si>
  <si>
    <t>2:19000112:1#2:19000212:1#2:19000312:1#2:19000412:1</t>
  </si>
  <si>
    <t>Thăng cấp Megallan đến 10 sao</t>
  </si>
  <si>
    <t>5:4:1#3:100004:10000#3:500011:1#3:100029:10#0:1:1000</t>
  </si>
  <si>
    <t>Thăng cấp Mihaw đến 6 sao</t>
  </si>
  <si>
    <t>Thăng cấp Mihaw đến 7 sao</t>
  </si>
  <si>
    <t>Thăng cấp Mihaw đến 8 sao</t>
  </si>
  <si>
    <t>Thăng cấp Mihaw đến 9 sao</t>
  </si>
  <si>
    <t>Thăng cấp Mihaw đến 10 sao</t>
  </si>
  <si>
    <t>Thăng cấp Lucci đến 6 sao</t>
  </si>
  <si>
    <t>Thăng cấp Lucci đến 7 sao</t>
  </si>
  <si>
    <t>Thăng cấp Lucci đến 8 sao</t>
  </si>
  <si>
    <t>Thăng cấp Lucci đến 9 sao</t>
  </si>
  <si>
    <t>Thăng cấp Lucci đến 10 sao</t>
  </si>
  <si>
    <t>Thăng cấp Perospero đến 6 sao</t>
  </si>
  <si>
    <t>Thăng cấp Perospero đến 7 sao</t>
  </si>
  <si>
    <t>3:100001:1000#3:500011:1#3:100029:10#0:1:1000#3:100029:10#0:1:1000</t>
  </si>
  <si>
    <t>Thăng cấp Perospero đến 8 sao</t>
  </si>
  <si>
    <t>Thăng cấp Perospero đến 9 sao</t>
  </si>
  <si>
    <t>Thăng cấp Perospero đến 10 sao</t>
  </si>
  <si>
    <t>Thăng cấp Buggy đến 6 sao</t>
  </si>
  <si>
    <t>Thăng cấp Buggy đến 7 sao</t>
  </si>
  <si>
    <t>Thăng cấp Buggy đến 8 sao</t>
  </si>
  <si>
    <t>Thăng cấp Buggy đến 9 sao</t>
  </si>
  <si>
    <t>Thăng cấp Buggy đến 10 sao</t>
  </si>
  <si>
    <t>Thăng cấp Marco đến 6 sao</t>
  </si>
  <si>
    <t>Thăng cấp Marco đến 7 sao</t>
  </si>
  <si>
    <t>Thăng cấp Marco đến 8 sao</t>
  </si>
  <si>
    <t>Thăng cấp Marco đến 9 sao</t>
  </si>
  <si>
    <t>Thăng cấp Marco đến 10 sao</t>
  </si>
  <si>
    <t>5:4:1#3:100004:10000#3:500011:1</t>
  </si>
  <si>
    <t>Thăng cấp S.Rozo đến 6 sao</t>
  </si>
  <si>
    <t>5:3:1#3:100004:3000#3:500011:1</t>
  </si>
  <si>
    <t>Thăng cấp S.Rozo đến 7 sao</t>
  </si>
  <si>
    <t>3:100001:1000#3:500011:1</t>
  </si>
  <si>
    <t>Thăng cấp S.Rozo đến 8 sao</t>
  </si>
  <si>
    <t>0:4:5000000#0:0:5000000#3:500011:1</t>
  </si>
  <si>
    <t>Thăng cấp S.Rozo đến 9 sao</t>
  </si>
  <si>
    <t>Thăng cấp S.Rozo đến 10 sao</t>
  </si>
  <si>
    <t>Thăng cấp Inazuma đến 6 sao</t>
  </si>
  <si>
    <t>Thăng cấp Inazuma đến 7 sao</t>
  </si>
  <si>
    <t>Thăng cấp Inazuma đến 8 sao</t>
  </si>
  <si>
    <t>Thăng cấp Inazuma đến 9 sao</t>
  </si>
  <si>
    <t>Thăng cấp Inazuma đến 10 sao</t>
  </si>
  <si>
    <t>Thăng cấp Vinsmoke Reiju đến 6 sao</t>
  </si>
  <si>
    <t>Thăng cấp Vinsmoke Reiju đến 7 sao</t>
  </si>
  <si>
    <t>Thăng cấp Vinsmoke Reiju đến 8 sao</t>
  </si>
  <si>
    <t>Thăng cấp Vinsmoke Reiju đến 9 sao</t>
  </si>
  <si>
    <t>Thăng cấp Vinsmoke Reiju đến 10 sao</t>
  </si>
  <si>
    <t>Thăng cấp Big Mom đến 6 sao</t>
  </si>
  <si>
    <t>Thăng cấp Big Mom đến 7 sao</t>
  </si>
  <si>
    <t>Thăng cấp Big Mom đến 8 sao</t>
  </si>
  <si>
    <t>Thăng cấp Big Mom đến 9 sao</t>
  </si>
  <si>
    <t>Thăng cấp Big Mom đến 10 sao</t>
  </si>
  <si>
    <t>Thăng cấp Sabo đến 6 sao</t>
  </si>
  <si>
    <t>Thăng cấp Sabo đến 7 sao</t>
  </si>
  <si>
    <t>Thăng cấp Sabo đến 8 sao</t>
  </si>
  <si>
    <t>Thăng cấp Sabo đến 9 sao</t>
  </si>
  <si>
    <t>Thăng cấp Sabo đến 10 sao</t>
  </si>
  <si>
    <t>Thăng cấp Vergo Tiễn đến 6 sao</t>
  </si>
  <si>
    <t>Thăng cấp Vergo Tiễn đến 7 sao</t>
  </si>
  <si>
    <t>Thăng cấp Vergo Tiễn đến 8 sao</t>
  </si>
  <si>
    <t>Thăng cấp Vergo Tiễn đến 9 sao</t>
  </si>
  <si>
    <t>Thăng cấp Vergo Tiễn đến 10 sao</t>
  </si>
  <si>
    <t>Thăng cấp Sengoku đến 6 sao</t>
  </si>
  <si>
    <t>Thăng cấp Sengoku đến 7 sao</t>
  </si>
  <si>
    <t>Thăng cấp Sengoku đến 8 sao</t>
  </si>
  <si>
    <t>Thăng cấp Sengoku đến 9 sao</t>
  </si>
  <si>
    <t>Thăng cấp Sengoku đến 10 sao</t>
  </si>
  <si>
    <t>Thăng cấp Tsuru đến 6 sao</t>
  </si>
  <si>
    <t>Thăng cấp Tsuru đến 7 sao</t>
  </si>
  <si>
    <t>Thăng cấp Tsuru đến 8 sao</t>
  </si>
  <si>
    <t>Thăng cấp Tsuru đến 9 sao</t>
  </si>
  <si>
    <t>Thăng cấp Tsuru đến 10 sao</t>
  </si>
  <si>
    <t>Thăng cấp Tsuru đến 11 sao</t>
  </si>
  <si>
    <t>3:500013:1#3:100022:10#3:100001:1000</t>
  </si>
  <si>
    <t>天级兽魂随机*1,高级点将券*10,进阶石*1000</t>
  </si>
  <si>
    <t>Thăng cấp Tsuru đến 12 sao</t>
  </si>
  <si>
    <t>3:100050:10#3:100022:20#0:0:10000000</t>
  </si>
  <si>
    <t>灌魔之瓶·仙*10,高级点将券*20,金币*10000000</t>
  </si>
  <si>
    <t>Thăng cấp Tsuru đến 13 sao</t>
  </si>
  <si>
    <t>7:45000101:1#6:30002:15#3:100050:10</t>
  </si>
  <si>
    <t>宝莲灯*1,兽魂经验(大)*15,灌魔之瓶·仙*10</t>
  </si>
  <si>
    <t>Thăng cấp Black Beard đến 6 sao</t>
  </si>
  <si>
    <t>Thăng cấp Black Beard đến 7 sao</t>
  </si>
  <si>
    <t>Thăng cấp Black Beard đến 8 sao</t>
  </si>
  <si>
    <t>Thăng cấp Black Beard đến 9 sao</t>
  </si>
  <si>
    <t>Thăng cấp Black Beard đến 10 sao</t>
  </si>
  <si>
    <t>Thăng cấp Lệnh Hồ Xung đến 6 sao</t>
  </si>
  <si>
    <t>Thăng cấp Lệnh Hồ Xung đến 7 sao</t>
  </si>
  <si>
    <t>Thăng cấp Lệnh Hồ Xung đến 8 sao</t>
  </si>
  <si>
    <t>Thăng cấp Lệnh Hồ Xung đến 9 sao</t>
  </si>
  <si>
    <t>Thăng cấp Lệnh Hồ Xung đến 10 sao</t>
  </si>
  <si>
    <t>Thăng cấp Lệnh Hồ Xung đến 11 sao</t>
  </si>
  <si>
    <r>
      <rPr>
        <sz val="11"/>
        <color theme="1"/>
        <rFont val="Calibri"/>
        <charset val="134"/>
        <scheme val="minor"/>
      </rPr>
      <t>3:100216:10000</t>
    </r>
    <r>
      <rPr>
        <sz val="11"/>
        <color theme="1"/>
        <rFont val="Calibri"/>
        <charset val="134"/>
        <scheme val="minor"/>
      </rPr>
      <t>#</t>
    </r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100022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10</t>
    </r>
    <r>
      <rPr>
        <sz val="11"/>
        <color theme="1"/>
        <rFont val="Calibri"/>
        <charset val="134"/>
        <scheme val="minor"/>
      </rPr>
      <t>#3</t>
    </r>
    <r>
      <rPr>
        <sz val="11"/>
        <color theme="1"/>
        <rFont val="Calibri"/>
        <charset val="134"/>
        <scheme val="minor"/>
      </rPr>
      <t>:100001:1000</t>
    </r>
  </si>
  <si>
    <t>Thăng cấp Lệnh Hồ Xung đến 12 Tinh</t>
  </si>
  <si>
    <r>
      <rPr>
        <sz val="11"/>
        <color theme="1"/>
        <rFont val="Calibri"/>
        <charset val="134"/>
        <scheme val="minor"/>
      </rPr>
      <t>3:500015:15</t>
    </r>
    <r>
      <rPr>
        <sz val="11"/>
        <color theme="1"/>
        <rFont val="Calibri"/>
        <charset val="134"/>
        <scheme val="minor"/>
      </rPr>
      <t>#</t>
    </r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100022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20</t>
    </r>
    <r>
      <rPr>
        <sz val="11"/>
        <color theme="1"/>
        <rFont val="Calibri"/>
        <charset val="134"/>
        <scheme val="minor"/>
      </rPr>
      <t>#</t>
    </r>
    <r>
      <rPr>
        <sz val="11"/>
        <color theme="1"/>
        <rFont val="Calibri"/>
        <charset val="134"/>
        <scheme val="minor"/>
      </rPr>
      <t>0:0:10000000</t>
    </r>
  </si>
  <si>
    <t>Thăng cấp Lệnh Hồ Xung đến 13 Tinh</t>
  </si>
  <si>
    <r>
      <rPr>
        <sz val="11"/>
        <color theme="1"/>
        <rFont val="Calibri"/>
        <charset val="134"/>
        <scheme val="minor"/>
      </rPr>
      <t>3:100098:2000</t>
    </r>
    <r>
      <rPr>
        <sz val="11"/>
        <color theme="1"/>
        <rFont val="Calibri"/>
        <charset val="134"/>
        <scheme val="minor"/>
      </rPr>
      <t>#</t>
    </r>
    <r>
      <rPr>
        <sz val="11"/>
        <color theme="1"/>
        <rFont val="Calibri"/>
        <charset val="134"/>
        <scheme val="minor"/>
      </rPr>
      <t>0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0</t>
    </r>
    <r>
      <rPr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>20000000</t>
    </r>
    <r>
      <rPr>
        <sz val="11"/>
        <color theme="1"/>
        <rFont val="Calibri"/>
        <charset val="134"/>
        <scheme val="minor"/>
      </rPr>
      <t>#</t>
    </r>
    <r>
      <rPr>
        <sz val="11"/>
        <color theme="1"/>
        <rFont val="Calibri"/>
        <charset val="134"/>
        <scheme val="minor"/>
      </rPr>
      <t>0:4:20000000</t>
    </r>
  </si>
  <si>
    <t>Thăng cấp Chu Bá Thông đến 6 sao</t>
  </si>
  <si>
    <t>Thăng cấp Chu Bá Thông đến 7 sao</t>
  </si>
  <si>
    <t>Thăng cấp Chu Bá Thông đến 8 sao</t>
  </si>
  <si>
    <t>Thăng cấp Chu Bá Thông đến 9 sao</t>
  </si>
  <si>
    <t>Thăng cấp Chu Bá Thông đến 10 sao</t>
  </si>
  <si>
    <t>Thăng cấp Chu Bá Thông đến 11 sao</t>
  </si>
  <si>
    <t>Thăng cấp Chu Bá Thông đến 12 sao</t>
  </si>
  <si>
    <t>3:500015:10#3:100022:20#0:0:10000000</t>
  </si>
  <si>
    <t>Thăng cấp Chu Bá Thông đến 13 sao</t>
  </si>
  <si>
    <t>7:52000101:1#6:30002:15#3:500015:10</t>
  </si>
  <si>
    <t>Thăng cấp Tử Sam Long Vương đến 6 sao</t>
  </si>
  <si>
    <t>Thăng cấp Tử Sam Long Vương đến 7 sao</t>
  </si>
  <si>
    <t>Thăng cấp Tử Sam Long Vương đến 8 sao</t>
  </si>
  <si>
    <t>Thăng cấp Tử Sam Long Vương đến 9 sao</t>
  </si>
  <si>
    <t>Thăng cấp Tử Sam Long Vương đến 10 sao</t>
  </si>
  <si>
    <t>Thăng cấp Tử Sam Long Vương đến 11 sao</t>
  </si>
  <si>
    <t>Thăng cấp Tử Sam Long Vương đến 12 sao</t>
  </si>
  <si>
    <t>Thăng cấp Tử Sam Long Vương đến 13 sao</t>
  </si>
  <si>
    <t>Thăng cấp Đông Phương Bất Bại đến 6 sao</t>
  </si>
  <si>
    <t>Thăng cấp Đông Phương Bất Bại đến 7 sao</t>
  </si>
  <si>
    <t>Thăng cấp Đông Phương Bất Bại đến 8 sao</t>
  </si>
  <si>
    <t>Thăng cấp Đông Phương Bất Bại đến 9 sao</t>
  </si>
  <si>
    <t>Thăng cấp Đông Phương Bất Bại đến 10 sao</t>
  </si>
  <si>
    <t>Thăng cấp Đông Phương Bất Bại đến 11 sao</t>
  </si>
  <si>
    <t>Thăng cấp Đông Phương Bất Bại đến 12 sao</t>
  </si>
  <si>
    <t>Thăng cấp Đông Phương Bất Bại đến 13 sao</t>
  </si>
  <si>
    <t>7:54000101:1#6:30002:15#3:500015:10</t>
  </si>
  <si>
    <t>Thăng cấp Dương Quá đến 6 sao</t>
  </si>
  <si>
    <t>Thăng cấp Dương Quá đến 7 sao</t>
  </si>
  <si>
    <t>Thăng cấp Dương Quá đến 8 sao</t>
  </si>
  <si>
    <t>Thăng cấp Dương Quá đến 9 sao</t>
  </si>
  <si>
    <t>Thăng cấp Dương Quá đến 10 sao</t>
  </si>
  <si>
    <t>Thăng cấp Dương Quá đến 11 sao</t>
  </si>
  <si>
    <t>Thăng cấp Dương Quá đến 12 sao</t>
  </si>
  <si>
    <t>Thăng cấp Dương Quá đến 13 sao</t>
  </si>
  <si>
    <t>Thăng cấp Đạt Ma Tổ Sư đến 6 sao</t>
  </si>
  <si>
    <t>Thăng cấp Đạt Ma Tổ Sư đến 7 sao</t>
  </si>
  <si>
    <t>Thăng cấp Đạt Ma Tổ Sư đến 8 sao</t>
  </si>
  <si>
    <t>Thăng cấp Đạt Ma Tổ Sư đến 9 sao</t>
  </si>
  <si>
    <t>Thăng cấp Đạt Ma Tổ Sư đến 10 sao</t>
  </si>
  <si>
    <t>Thăng cấp Đạt Ma Tổ Sư đến 11 sao</t>
  </si>
  <si>
    <t>Thăng cấp Đạt Ma Tổ Sư đến 12 sao</t>
  </si>
  <si>
    <t>Thăng cấp Đạt Ma Tổ Sư đến 13 sao</t>
  </si>
  <si>
    <t>Thăng cấp Hoàng Sam Nữ Tử đến 6 sao</t>
  </si>
  <si>
    <t>Thăng cấp Hoàng Sam Nữ Tử đến 7 sao</t>
  </si>
  <si>
    <t>Thăng cấp Hoàng Sam Nữ Tử đến 8 sao</t>
  </si>
  <si>
    <t>Thăng cấp Hoàng Sam Nữ Tử đến 9 sao</t>
  </si>
  <si>
    <t>Thăng cấp Hoàng Sam Nữ Tử đến 10 sao</t>
  </si>
  <si>
    <t>Thăng cấp Hoàng Sam Nữ Tử đến 11 sao</t>
  </si>
  <si>
    <t>Thăng cấp Hoàng Sam Nữ Tử đến 12 sao</t>
  </si>
  <si>
    <t>Thăng cấp Hoàng Sam Nữ Tử đến 13 sao</t>
  </si>
  <si>
    <t>7:55000101:1#6:30002:15#3:500015:10</t>
  </si>
  <si>
    <t>Thăng cấp Trương Tam Phong đến 6 sao</t>
  </si>
  <si>
    <t>白泽印*1,鎏金粉*3000,篆印自选礼包*1</t>
  </si>
  <si>
    <t>Thăng cấp Trương Tam Phong đến 7 sao</t>
  </si>
  <si>
    <t>进阶石*1000,篆印自选礼包*1</t>
  </si>
  <si>
    <t>Thăng cấp Trương Tam Phong đến 8 sao</t>
  </si>
  <si>
    <t>英雄经验*5000000,金币*5000000,篆印自选礼包*1</t>
  </si>
  <si>
    <t>Thăng cấp Trương Tam Phong đến 9 sao</t>
  </si>
  <si>
    <t>湛卢长剑*1,湛卢战甲*1,湛卢战盔*1,湛卢战靴*1</t>
  </si>
  <si>
    <t>Thăng cấp Trương Tam Phong đến 10 sao</t>
  </si>
  <si>
    <t>3:800049:1#5:4:1#3:100004:10000#3:500011:1</t>
  </si>
  <si>
    <t>玄武印*1,鎏金粉*10000,篆印自选礼包*1</t>
  </si>
  <si>
    <t>Thăng cấp Trương Tam Phong đến 11 sao</t>
  </si>
  <si>
    <t>Thăng cấp Trương Tam Phong đến 12 sao</t>
  </si>
  <si>
    <t>灌魔之瓶·混沌*10,高级点将券*20,金币*10000000</t>
  </si>
  <si>
    <t>Thăng cấp Trương Tam Phong đến 13 sao</t>
  </si>
  <si>
    <t>7:58000101:1#6:30002:15#3:500015:10</t>
  </si>
  <si>
    <t>混沌水晶*1,兽魂经验(大)*15,灌魔之瓶·混沌*10</t>
  </si>
  <si>
    <t>Thăng cấp Trần Viên Viên đến 6 sao</t>
  </si>
  <si>
    <t>Thăng cấp Trần Viên Viên đến 7 sao</t>
  </si>
  <si>
    <t>Thăng cấp Trần Viên Viên đến 8 sao</t>
  </si>
  <si>
    <t>Thăng cấp Trần Viên Viên đến 9 sao</t>
  </si>
  <si>
    <t>Thăng cấp Trần Viên Viên đến 10 sao</t>
  </si>
  <si>
    <t>Thăng cấp Trần Viên Viên đến 11 sao</t>
  </si>
  <si>
    <t>Thăng cấp Trần Viên Viên đến 12 sao</t>
  </si>
  <si>
    <t>3:100047:10#3:100022:20#0:0:10000000</t>
  </si>
  <si>
    <t>灌魔之瓶·人*10,高级点将券*20,金币*10000000</t>
  </si>
  <si>
    <t>Thăng cấp Trần Viên Viên đến 13 sao</t>
  </si>
  <si>
    <t>7:57000101:1#6:30002:15#3:100047:10</t>
  </si>
  <si>
    <t>开山斧*1,兽魂经验(大)*15,灌魔之瓶·人*10</t>
  </si>
  <si>
    <t>Thăng cấp Yamato đến 6 sao</t>
  </si>
  <si>
    <t>Thăng cấp Yamato đến 7 sao</t>
  </si>
  <si>
    <t>Thăng cấp Yamato đến 8 sao</t>
  </si>
  <si>
    <t>Thăng cấp Yamato đến 9 sao</t>
  </si>
  <si>
    <t>Thăng cấp Yamato đến 10 sao</t>
  </si>
  <si>
    <t>7:91000101:1#5:4:1#3:100004:10000#3:500011:1</t>
  </si>
  <si>
    <t>Thăng cấp Yamato đến 11 sao</t>
  </si>
  <si>
    <t>Thăng cấp Yamato đến 12 sao</t>
  </si>
  <si>
    <t>Thăng cấp Yamato đến 13 sao</t>
  </si>
  <si>
    <t>7:91000101:1#6:30002:15#3:500015:10</t>
  </si>
  <si>
    <t>Thăng cấp Oden đến 6 sao</t>
  </si>
  <si>
    <t>Thăng cấp Oden đến 7 sao</t>
  </si>
  <si>
    <t>Thăng cấp Oden đến 8 sao</t>
  </si>
  <si>
    <t>Thăng cấp Oden đến 9 sao</t>
  </si>
  <si>
    <t>Thăng cấp Oden đến 10 sao</t>
  </si>
  <si>
    <t>7:67000101:1#5:4:1#3:100004:10000#3:500011:1</t>
  </si>
  <si>
    <t>Thăng cấp Oden đến 11 sao</t>
  </si>
  <si>
    <t>Thăng cấp Oden đến 12 sao</t>
  </si>
  <si>
    <t>Thăng cấp Oden đến 13 sao</t>
  </si>
  <si>
    <t>7:67000101:1#6:30002:15#3:500015:10</t>
  </si>
  <si>
    <t>Thăng cấp Kiếm Ma đến 6 sao</t>
  </si>
  <si>
    <t>Thăng cấp Kiếm Ma đến 7 sao</t>
  </si>
  <si>
    <t>Thăng cấp Kiếm Ma đến 8 sao</t>
  </si>
  <si>
    <t>Thăng cấp Kiếm Ma đến 9 sao</t>
  </si>
  <si>
    <t>Thăng cấp Kiếm Ma đến 10 sao</t>
  </si>
  <si>
    <t>7:65000101:1#5:4:1#3:100004:10000#3:500011:1</t>
  </si>
  <si>
    <t>Thăng cấp Kiếm Ma đến 11 sao</t>
  </si>
  <si>
    <t>Thăng cấp Kiếm Ma đến 12 sao</t>
  </si>
  <si>
    <t>Thăng cấp Kiếm Ma đến 13 sao</t>
  </si>
  <si>
    <t>7:65000101:1#6:30002:15#3:500015:10</t>
  </si>
  <si>
    <t>3:100022:2#3:100004:200</t>
  </si>
  <si>
    <t>Một ngày mới bắt đầu lạc</t>
  </si>
  <si>
    <t>Đăng nhập võ lâm ngũ bá 1 Lần</t>
  </si>
  <si>
    <t>3:590028:30</t>
  </si>
  <si>
    <t>Cùng đám tiểu đồng bạn chơi đùa đi</t>
  </si>
  <si>
    <t>3:590028:50</t>
  </si>
  <si>
    <t>Cố gắng công việc đem tiền kiếm</t>
  </si>
  <si>
    <t>Cùng một chỗ lớn mạnh chúng ta guild</t>
  </si>
  <si>
    <t>Bò một lát tháp thử một chút đi</t>
  </si>
  <si>
    <t>Thông quan càn quét thông thiên tháp 4 Lần</t>
  </si>
  <si>
    <t>Ta là tác chiến nhỏ đạt nhân</t>
  </si>
  <si>
    <t>Trang bị có thể tăng thực lực lên a</t>
  </si>
  <si>
    <t>Có thần binh sẽ mạnh lên</t>
  </si>
  <si>
    <t>3:590028:220</t>
  </si>
  <si>
    <t>Triệu hoán tiểu đồng bọn lạc</t>
  </si>
  <si>
    <t>Cái này giống như ngọc tỉ</t>
  </si>
  <si>
    <t>Thiên phú đúc lại 20 Lần</t>
  </si>
  <si>
    <t>Thật nhiều bảo bối a</t>
  </si>
  <si>
    <t>Tàng bảo các bên trong hối đoái 20 Lần</t>
  </si>
  <si>
    <t>Tiến hành Ngọc tẩy luyện</t>
  </si>
  <si>
    <t>Ngọc tẩy luyện 20 Lần</t>
  </si>
  <si>
    <t>Nhìn xem Thí luyện bí mật</t>
  </si>
  <si>
    <t>Thí luyện khiêu chiến thắng lợi 14 Lần</t>
  </si>
  <si>
    <t>Tiến hành Ngọc cầu nguyện</t>
  </si>
  <si>
    <t>Thiên phú nhưng hợp thành a</t>
  </si>
  <si>
    <t>Tiến hành 7 Lần hợp thiên phú</t>
  </si>
  <si>
    <t>Thích hợp tiêu phí</t>
  </si>
  <si>
    <t>3:590028:250</t>
  </si>
  <si>
    <t>Hợp phục nhiệm vụ</t>
  </si>
  <si>
    <t>0:5:100</t>
  </si>
  <si>
    <t>0:12:50</t>
  </si>
  <si>
    <t>3:100027:2</t>
  </si>
  <si>
    <t>0:4:100000</t>
  </si>
  <si>
    <t>0:0:100000</t>
  </si>
  <si>
    <t>3:100001:200</t>
  </si>
  <si>
    <t>3:100023:2</t>
  </si>
  <si>
    <t>3:100031:10</t>
  </si>
  <si>
    <t>3:100059:5</t>
  </si>
  <si>
    <t>Càng nhiều càng tốt</t>
  </si>
  <si>
    <t>Tiến hành 100 Lần cao cấp chiêu mộ</t>
  </si>
  <si>
    <t>4:606002:50#3:500015:5#4:608007:1#0:0:1000000#0:04:1000000</t>
  </si>
  <si>
    <t>Tiến hành 200 Lần cao cấp chiêu mộ</t>
  </si>
  <si>
    <t>3:1000011:2#3:500015:5#4:608007:1#0:0:1500000#0:04:1500000</t>
  </si>
  <si>
    <t>Tiến hành 300 Lần cao cấp chiêu mộ</t>
  </si>
  <si>
    <t>3:1000012:2#3:500015:5#4:608007:1#0:0:2000000#0:04:2000000</t>
  </si>
  <si>
    <t>Tiến hành 400 Lần cao cấp chiêu mộ</t>
  </si>
  <si>
    <t>3:1000013:2#3:500015:5#4:608007:2#0:0:2500000#0:04:2500000</t>
  </si>
  <si>
    <t>Tiến hành 500 Lần cao cấp chiêu mộ</t>
  </si>
  <si>
    <t>3:1000014:2#3:500015:5#4:608007:2#0:0:3000000#0:04:3000000</t>
  </si>
  <si>
    <t>Tiến hành 600 Lần cao cấp chiêu mộ</t>
  </si>
  <si>
    <t>3:1000015:2#3:500015:5#4:608007:2#0:0:3500000#0:04:3500000</t>
  </si>
  <si>
    <t>Tiến hành 800 Lần cao cấp chiêu mộ</t>
  </si>
  <si>
    <t>3:1000010:4#3:500015:10#4:608007:2#0:0:400000#0:04:4000000</t>
  </si>
  <si>
    <t>Tiến hành 1000 Lần cao cấp chiêu mộ</t>
  </si>
  <si>
    <t>3:1000010:4#3:500015:10#4:608007:2#0:0:4500000#0:04:4500000</t>
  </si>
  <si>
    <t>Tiến hành 2500 Lần cao cấp chiêu mộ</t>
  </si>
  <si>
    <t>3:500026:1#3:500015:10#3:100216:20000#4:608007:2#0:0:5000000#0:04:5000000</t>
  </si>
  <si>
    <t>Tiến hành 5000 Lần cao cấp chiêu mộ</t>
  </si>
  <si>
    <t>3:500026:1#3:500015:10#3:100216:20000#4:608007:15#0:0:10000000#0:04:10000000</t>
  </si>
  <si>
    <t>Tiến hành 7500 Lần cao cấp chiêu mộ</t>
  </si>
  <si>
    <t>3:500026:1#3:500015:10#3:100216:20000#4:608007:20#0:0:15000000#0:04:15000000</t>
  </si>
  <si>
    <t>Tiến hành 10000 Lần cao cấp chiêu mộ</t>
  </si>
  <si>
    <t>3:100257:40#3:500015:20#3:100216:20000#4:608007:20#0:0:20000000#0:04:20000000</t>
  </si>
  <si>
    <t>Tiến hành 12500 Lần cao cấp chiêu mộ</t>
  </si>
  <si>
    <t>3:100302:1#3:500015:20#3:100216:20000#4:608007:25#0:0:25000000#0:04:25000000</t>
  </si>
  <si>
    <t>Tiến hành 15000 Lần cao cấp chiêu mộ</t>
  </si>
  <si>
    <t>3:100303:1#3:500015:20#3:100216:20000#4:608007:30#0:0:30000000#0:04:30000000</t>
  </si>
  <si>
    <t>Tiến hành 17500 Lần cao cấp chiêu mộ</t>
  </si>
  <si>
    <t>3:100304:1#3:500015:20#3:100216:20000#4:608007:40#0:0:35000000#0:04:35000000</t>
  </si>
  <si>
    <t>Tiến hành 20000 Lần cao cấp chiêu mộ</t>
  </si>
  <si>
    <t>3:500193:1#3:500015:20#3:100216:20000#4:608007:50#0:0:40000000#0:04:40000000</t>
  </si>
  <si>
    <t>4:606008:50#3:1000011:1</t>
  </si>
  <si>
    <t>4:606009:50#3:1000012:1</t>
  </si>
  <si>
    <t>4:606010:50#3:1000013:1</t>
  </si>
  <si>
    <t>4:606011:50#3:1000014:1</t>
  </si>
  <si>
    <t>4:606012:50#3:1000015:1</t>
  </si>
  <si>
    <t>5:5:1#3:100004:10000</t>
  </si>
  <si>
    <t>Mặt trời chiếu trên không</t>
  </si>
  <si>
    <t>3:200074:30</t>
  </si>
  <si>
    <t>Cho cây tưới nước lạc</t>
  </si>
  <si>
    <t>3:200074:50</t>
  </si>
  <si>
    <t>Phát hiện bảo bối</t>
  </si>
  <si>
    <t>Thử một chút thân thủ</t>
  </si>
  <si>
    <t>Không ngừng khiêu chiến</t>
  </si>
  <si>
    <t>Hối đoái đồ ăn vặt</t>
  </si>
  <si>
    <t>Tàng bảo các hối đoái 1 Lần</t>
  </si>
  <si>
    <t>3:200074:220</t>
  </si>
  <si>
    <t>Xoát xoát Thiên phú</t>
  </si>
  <si>
    <t>Thiên phú đúc lại 30 Lần</t>
  </si>
  <si>
    <t>Thí luyện thắng lợi hoặc càn quét 20 Lần</t>
  </si>
  <si>
    <t>Thông quan càn quét thông thiên tháp 20 Lần</t>
  </si>
  <si>
    <t>Tiến hành 7 Lần guild hiến cho</t>
  </si>
  <si>
    <t>Hợp thành 7 Lần trang bị</t>
  </si>
  <si>
    <t>3:200074:250</t>
  </si>
  <si>
    <t>3:200193:30</t>
  </si>
  <si>
    <t>3:200193:50</t>
  </si>
  <si>
    <t>3:200193:220</t>
  </si>
  <si>
    <t>3:200193:250</t>
  </si>
  <si>
    <t>3:590026:180</t>
  </si>
  <si>
    <t>3:590026:300</t>
  </si>
  <si>
    <t>3:590026:660</t>
  </si>
  <si>
    <t>3:590026:750</t>
  </si>
  <si>
    <t>3:100242:1</t>
  </si>
  <si>
    <t>3:100271:1</t>
  </si>
  <si>
    <t>Ngọc cầu nguyện 50 Lần</t>
  </si>
  <si>
    <t>Thường ngày tiêu phí</t>
  </si>
  <si>
    <t>Mỗi ngày tiêu hao nguyên bảo 2000</t>
  </si>
  <si>
    <t>Mỗi ngày tặng bảo</t>
  </si>
  <si>
    <t>3:100510:1</t>
  </si>
  <si>
    <t>Thu hoạch được 2000 Nguyên bảo</t>
  </si>
  <si>
    <t>Ngọc tẩy luyện 5 Lần</t>
  </si>
  <si>
    <t>3:100261:1</t>
  </si>
  <si>
    <r>
      <rPr>
        <sz val="11"/>
        <color theme="1"/>
        <rFont val="Calibri"/>
        <charset val="134"/>
        <scheme val="minor"/>
      </rPr>
      <t>3:100292</t>
    </r>
    <r>
      <rPr>
        <sz val="11"/>
        <color theme="1"/>
        <rFont val="Calibri"/>
        <charset val="134"/>
        <scheme val="minor"/>
      </rPr>
      <t>:1</t>
    </r>
  </si>
  <si>
    <t>3:200048:30</t>
  </si>
  <si>
    <t>3:200048:60</t>
  </si>
  <si>
    <t>3:200048:230</t>
  </si>
  <si>
    <t>3:200048:250</t>
  </si>
  <si>
    <t>Võ Đài</t>
  </si>
  <si>
    <t>Tại giải đấu cạnh đoán chính xác 1 Lần</t>
  </si>
  <si>
    <t>3:100298:5</t>
  </si>
  <si>
    <t>Tại giải đấu cạnh đoán chính xác 3 Lần</t>
  </si>
  <si>
    <t>Tại giải đấu cạnh đoán chính xác 5 Lần</t>
  </si>
  <si>
    <t>Tại giải đấu cạnh đoán chính xác 8 Lần</t>
  </si>
  <si>
    <t>Tại giải đấu cạnh đoán chính xác 12 Lần</t>
  </si>
  <si>
    <t>3:100298:10</t>
  </si>
  <si>
    <t>Tại giải đấu chiến thắng 5 Lần</t>
  </si>
  <si>
    <t>Tại giải đấu chiến thắng 10 Lần</t>
  </si>
  <si>
    <t>Tại giải đấu chiến thắng 15 Lần</t>
  </si>
  <si>
    <t>Tại giải đấu chiến thắng 20 Lần</t>
  </si>
  <si>
    <t>Tại giải đấu chiến thắng 25 Lần</t>
  </si>
  <si>
    <t>3:100298:15</t>
  </si>
  <si>
    <t>Tại giải đấu chiến thắng 30 Lần</t>
  </si>
  <si>
    <t>3:100298:25</t>
  </si>
  <si>
    <t>3:200063:20</t>
  </si>
  <si>
    <t>3:200063:30</t>
  </si>
  <si>
    <t>3:200063:50</t>
  </si>
  <si>
    <t>3:200063:100</t>
  </si>
  <si>
    <t>3:200064:30</t>
  </si>
  <si>
    <t>3:200064:40</t>
  </si>
  <si>
    <t>3:200064:50</t>
  </si>
  <si>
    <t>3:200064:100</t>
  </si>
  <si>
    <t>Mới tới</t>
  </si>
  <si>
    <t>Thông quan anh hùng thí luyện chương 1:</t>
  </si>
  <si>
    <t>3:200064:500</t>
  </si>
  <si>
    <t>Ta nghĩ ta sẽ chơi</t>
  </si>
  <si>
    <t>Thông quan anh hùng thí luyện Chương 02:</t>
  </si>
  <si>
    <t>Đã hiểu rõ tại tâm</t>
  </si>
  <si>
    <t>Thông quan anh hùng thí luyện chương 3:</t>
  </si>
  <si>
    <t>Lô hỏa thuần thanh</t>
  </si>
  <si>
    <t>Thông quan anh hùng thí luyện Chương 04:</t>
  </si>
  <si>
    <t>Không hắn, trăm hay không bằng tay quen</t>
  </si>
  <si>
    <t>Thông quan anh hùng thí luyện Chương 05:</t>
  </si>
  <si>
    <t>0:4:20000</t>
  </si>
  <si>
    <t>2:19000102:1#2:19000202:1#2:19000302:1#2:19000402:1#</t>
  </si>
  <si>
    <t>4:603014:25</t>
  </si>
  <si>
    <t>3:500095:1</t>
  </si>
  <si>
    <t>3:100212:30</t>
  </si>
  <si>
    <t>3:100045:5</t>
  </si>
  <si>
    <t>3:200192:30</t>
  </si>
  <si>
    <t>3:100044:10</t>
  </si>
  <si>
    <t>Nhân vật chính đẳng cấp đạt tới 110 Cấp</t>
  </si>
  <si>
    <t>3:100025:5</t>
  </si>
  <si>
    <t>Nhân vật chính đẳng cấp đạt tới 130 Cấp</t>
  </si>
  <si>
    <t>3:100006:10</t>
  </si>
  <si>
    <t>3:100022:20</t>
  </si>
  <si>
    <t>Nhân vật chính đẳng cấp đạt tới 150 Cấp</t>
  </si>
  <si>
    <t>4:606002:50</t>
  </si>
  <si>
    <t>Nhân vật chính đẳng cấp đạt tới 155 Cấp</t>
  </si>
  <si>
    <t>Nhân vật chính đẳng cấp đạt tới 165 Cấp</t>
  </si>
  <si>
    <t>Nhân vật chính đẳng cấp đạt tới 170 Cấp</t>
  </si>
  <si>
    <t>Nhân vật chính đẳng cấp đạt tới 175 Cấp</t>
  </si>
  <si>
    <t>Nhân vật chính đẳng cấp đạt tới 185 Cấp</t>
  </si>
  <si>
    <t>Nhân vật chính đẳng cấp đạt tới 190 Cấp</t>
  </si>
  <si>
    <t>Nhân vật chính đẳng cấp đạt tới 195 Cấp</t>
  </si>
  <si>
    <t>3:500010:1</t>
  </si>
  <si>
    <t>Kích hoạt một 6 sao duyên phận anh hùng</t>
  </si>
  <si>
    <t>Kích hoạt ba 6 sao duyên phận anh hùng</t>
  </si>
  <si>
    <t>3:100022:6</t>
  </si>
  <si>
    <t>Kích hoạt năm 6 sao duyên phận anh hùng</t>
  </si>
  <si>
    <t>Thu hoạch được một 8 sao anh hùng</t>
  </si>
  <si>
    <t>Thu hoạch được ba 8 sao anh hùng</t>
  </si>
  <si>
    <t>3:100001:600</t>
  </si>
  <si>
    <t>Thu hoạch được năm 8 sao anh hùng</t>
  </si>
  <si>
    <t>3:100001:1000</t>
  </si>
  <si>
    <t>Thu hoạch được 1 trang bị đỏ</t>
  </si>
  <si>
    <t>3:100212:10</t>
  </si>
  <si>
    <t>Thu hoạch được 2 trang bị đỏ</t>
  </si>
  <si>
    <t>3:100212:20</t>
  </si>
  <si>
    <t>Thu hoạch được 3 trang bị đỏ</t>
  </si>
  <si>
    <t>Tiến hành 4 Lần ấn chú trang bị</t>
  </si>
  <si>
    <t>3:400036:10</t>
  </si>
  <si>
    <t>Tiến hành 20 Lần ấn chú trang bị</t>
  </si>
  <si>
    <t>3:400037:20</t>
  </si>
  <si>
    <t>Tiến hành 100 Lần ấn chú trang bị</t>
  </si>
  <si>
    <t>3:400038:30</t>
  </si>
  <si>
    <t>Đem 1 chuyên môn thần khí tăng đến 10 sao</t>
  </si>
  <si>
    <t>3:100216:1000</t>
  </si>
  <si>
    <t>Đem 2 chuyên môn thần khí tăng đến 10 sao</t>
  </si>
  <si>
    <t>3:100216:2000</t>
  </si>
  <si>
    <t>Đem 3 chuyên môn thần khí tăng đến 10 sao</t>
  </si>
  <si>
    <t>3:100216:5000</t>
  </si>
  <si>
    <t>Thu hoạch được 1 Kiện thần trang</t>
  </si>
  <si>
    <t>3:100305:1000</t>
  </si>
  <si>
    <t>Thu hoạch được 2 Kiện thần trang</t>
  </si>
  <si>
    <t>3:100305:2000</t>
  </si>
  <si>
    <t>Thu hoạch được 3 Kiện thần trang</t>
  </si>
  <si>
    <t>3:100305:3000</t>
  </si>
  <si>
    <t>Thu hoạch được một Thiên phú đỏ</t>
  </si>
  <si>
    <t>3:100004:2000</t>
  </si>
  <si>
    <t>Thu hoạch được ba Thiên phú đỏ</t>
  </si>
  <si>
    <t>3:100004:4000</t>
  </si>
  <si>
    <t>Thu hoạch được năm Thiên phú đỏ</t>
  </si>
  <si>
    <t>3:100004:6000</t>
  </si>
  <si>
    <t>Thu hoạch được một cao cấp thiên phú</t>
  </si>
  <si>
    <t>3:500011:1</t>
  </si>
  <si>
    <t>Mặc ba cao cấp thiên phú</t>
  </si>
  <si>
    <t>Mặc năm cao cấp thiên phú</t>
  </si>
  <si>
    <t>Thu hoạch được một Ngọc thiên cấp</t>
  </si>
  <si>
    <t>3:100036:200</t>
  </si>
  <si>
    <t>Thu hoạch được 2 Cái Ngọc thiên cấp</t>
  </si>
  <si>
    <t>3:100036:300</t>
  </si>
  <si>
    <t>Thu hoạch được ba Ngọc thiên cấp</t>
  </si>
  <si>
    <t>3:100036:400</t>
  </si>
  <si>
    <t>Tướng có trang bị  11 sao tướng phụ</t>
  </si>
  <si>
    <t xml:space="preserve">Tướng có trang bị  1 tướng phụ 11 sao </t>
  </si>
  <si>
    <t>3:1000010:1</t>
  </si>
  <si>
    <t>Tướng có trang bị  2 Cái 11 sao tướng phụ</t>
  </si>
  <si>
    <t>Tướng có trang bị  2 tướng phụ 11 sao</t>
  </si>
  <si>
    <t>Tướng có trang bị  ba 11 sao tướng phụ</t>
  </si>
  <si>
    <t xml:space="preserve">Tướng có trang bị  ba tướng phụ 11 sao </t>
  </si>
  <si>
    <t>Thần binh tăng đến 5 Cấp</t>
  </si>
  <si>
    <t>Thần binh tăng đến 8 Cấp</t>
  </si>
  <si>
    <t>3:100002:100</t>
  </si>
  <si>
    <t>Thần binh tăng đến 10 Cấp</t>
  </si>
  <si>
    <t>3:100002:150</t>
  </si>
  <si>
    <t>một Thẻ tướng có thể đến 5 Cấp</t>
  </si>
  <si>
    <t>3:500019:1</t>
  </si>
  <si>
    <t>2 Cái Thẻ tướng có thể đến 5 Cấp</t>
  </si>
  <si>
    <t>ba Thẻ tướng có thể đến 5 Cấp</t>
  </si>
  <si>
    <t>Vượt ải chủ tuyến đạt tới thứ 100 Quan</t>
  </si>
  <si>
    <t>0:4:1000000</t>
  </si>
  <si>
    <t>Vượt ải chủ tuyến đạt tới thứ 300 Quan</t>
  </si>
  <si>
    <t>0:4:2000000</t>
  </si>
  <si>
    <t>Vượt ải chủ tuyến đạt tới thứ 500 Quan</t>
  </si>
  <si>
    <t>0:4:5000000</t>
  </si>
  <si>
    <t>Tham dự 15 Lần Đấu trường so tài</t>
  </si>
  <si>
    <t>3:100023:15</t>
  </si>
  <si>
    <t>Tham dự 40 Lần Đấu trường so tài</t>
  </si>
  <si>
    <t>3:100023:40</t>
  </si>
  <si>
    <t>Tham dự 100 Lần Đấu trường so tài</t>
  </si>
  <si>
    <t>3:100023:100</t>
  </si>
  <si>
    <t>Thí luyện khiêu chiến đến thứ 3 Chương</t>
  </si>
  <si>
    <t>3:30002:2</t>
  </si>
  <si>
    <t>Thí luyện khiêu chiến đến thứ 6 Chương</t>
  </si>
  <si>
    <t>3:30002:3</t>
  </si>
  <si>
    <t>Thí luyện khiêu chiến đến thứ 12 Chương</t>
  </si>
  <si>
    <t>3:30002:5</t>
  </si>
  <si>
    <t>Khiêu chiến 20 Lần Thí luyện</t>
  </si>
  <si>
    <t>3:100018:10</t>
  </si>
  <si>
    <t>Khiêu chiến 50 Lần Thí luyện</t>
  </si>
  <si>
    <t>3:100018:20</t>
  </si>
  <si>
    <t>Khiêu chiến 100 Lần Thí luyện</t>
  </si>
  <si>
    <t>3:100018:30</t>
  </si>
  <si>
    <t>Đem một bảo bảo bồi dưỡng đến 5 Cấp</t>
  </si>
  <si>
    <t>3:100252:20</t>
  </si>
  <si>
    <t>Đem 2 Cái bảo bảo bồi dưỡng đến 5 Cấp</t>
  </si>
  <si>
    <t>3:100252:40</t>
  </si>
  <si>
    <t>Đem năm bảo bảo bồi dưỡng đến 5 Cấp</t>
  </si>
  <si>
    <t>3:100252:60</t>
  </si>
  <si>
    <t>Đem tùy ý nữ hiệp quách tương thăng đến 2 Tinh</t>
  </si>
  <si>
    <t>3:200101:10</t>
  </si>
  <si>
    <t>Đem tùy ý nữ hiệp quách tương thăng đến 3 Tinh</t>
  </si>
  <si>
    <t>3:200101:20</t>
  </si>
  <si>
    <t>Đem tùy ý nữ hiệp quách tương thăng đến 5 sao</t>
  </si>
  <si>
    <t>3:200101:40</t>
  </si>
  <si>
    <t>Tham dự 5 Lần Tranh Bá liên SV</t>
  </si>
  <si>
    <t>0:18:1000</t>
  </si>
  <si>
    <t>Tham dự 15 Lần Tranh Bá liên SV</t>
  </si>
  <si>
    <t>0:18:3000</t>
  </si>
  <si>
    <t>Tham dự 30 Lần Tranh Bá liên SV</t>
  </si>
  <si>
    <t>0:18:5000</t>
  </si>
  <si>
    <t>Thành công chiếm lĩnh 1 Lần Thu thập bảo thạch ở di tích tầm bảo</t>
  </si>
  <si>
    <t>3:100215:1000</t>
  </si>
  <si>
    <t>Thành công chiếm lĩnh 5 Lần Thu thập bảo thạch ở di tích tầm bảo</t>
  </si>
  <si>
    <t>3:100215:2000</t>
  </si>
  <si>
    <t>Thành công chiếm lĩnh 20 Lần Thu thập bảo thạch ở di tích tầm bảo</t>
  </si>
  <si>
    <t>3:100215:5000</t>
  </si>
  <si>
    <t>Tham dự 1 Lần Tranh bá liên sv</t>
  </si>
  <si>
    <t>0:20:1000</t>
  </si>
  <si>
    <t>Tham dự 5 Lần Tranh bá liên sv</t>
  </si>
  <si>
    <t>0:20:2000</t>
  </si>
  <si>
    <t>Tham dự 10 Lần Tranh bá liên sv</t>
  </si>
  <si>
    <t>0:20:5000</t>
  </si>
  <si>
    <t>Tham dự 1 Lần Võ lâm minh chủ</t>
  </si>
  <si>
    <t>0:0:1000000</t>
  </si>
  <si>
    <t>Tham dự 10 Lần Võ lâm minh chủ</t>
  </si>
  <si>
    <t>0:0:2000000</t>
  </si>
  <si>
    <t>Tham dự 20 Lần Võ lâm minh chủ</t>
  </si>
  <si>
    <t>0:0:5000000</t>
  </si>
  <si>
    <t>Tham dự 1 Lần Boss liên SV</t>
  </si>
  <si>
    <t>Tham dự 3 Lần Boss liên SV</t>
  </si>
  <si>
    <t>0:1:150</t>
  </si>
  <si>
    <t>Tham dự 6 Lần Boss liên SV</t>
  </si>
  <si>
    <t>Thường ngày phó bản thông quan tùy ý ác mộng 1 Độ khó</t>
  </si>
  <si>
    <t>Thường ngày phó bản thông quan tùy ý Địa Ngục 1 Độ khó</t>
  </si>
  <si>
    <t>Viêm Đế Thí Luyện đạt tới 100 Quan</t>
  </si>
  <si>
    <t>Viêm Đế Thí Luyện đạt tới 300 Quan</t>
  </si>
  <si>
    <t>Thông quan 1 Lần Võ lâm luận kiếm khó khăn độ khó</t>
  </si>
  <si>
    <t>Thông quan 1 Lần Võ lâm luận kiếm Địa Ngục độ khó</t>
  </si>
  <si>
    <t>Thông quan 1 Lần Đào hoa đảo</t>
  </si>
  <si>
    <t>Thông quan 3 Lần Đào hoa đảo</t>
  </si>
  <si>
    <t>Thông quan 10 Lần Đào hoa đảo</t>
  </si>
  <si>
    <t>0:1:1000</t>
  </si>
  <si>
    <t>Gia nhập hoặc sáng tạo một guild</t>
  </si>
  <si>
    <t>Tham dự 1 Lần guild phó bản</t>
  </si>
  <si>
    <t>0:12:300</t>
  </si>
  <si>
    <t>Tham dự 40 Lần guild phó bản</t>
  </si>
  <si>
    <t>0:12:600</t>
  </si>
  <si>
    <t>Tham dự 100 Lần guild phó bản</t>
  </si>
  <si>
    <t>0:12:3000</t>
  </si>
  <si>
    <t>Tham dự 1 Lần guild chiến</t>
  </si>
  <si>
    <t>Tham dự 6 Lần guild chiến</t>
  </si>
  <si>
    <t>Tham dự 12 Lần guild chiến</t>
  </si>
  <si>
    <t>thông thiên tháp đạt tới 100 Tầng</t>
  </si>
  <si>
    <t>thông thiên tháp đạt tới 200 Tầng</t>
  </si>
  <si>
    <t>thông thiên tháp đạt tới 500 Tầng</t>
  </si>
  <si>
    <t>Tiến hành 10 Lần vào quán rượu chiêu mộ</t>
  </si>
  <si>
    <t>Tiến hành 50 Lần vào quán rượu chiêu mộ</t>
  </si>
  <si>
    <t>4:606002:100</t>
  </si>
  <si>
    <t>Tiến hành 100 Lần vào quán rượu chiêu mộ</t>
  </si>
  <si>
    <t>4:606002:200</t>
  </si>
  <si>
    <t>Tiến hành 50 Lần cao cấp chiêu mộ</t>
  </si>
  <si>
    <t>VIP Trong Thương Thành mua tùy ý đạo cụ ( nguyên bảo hoặc trả tiền )1 Lần</t>
  </si>
  <si>
    <t>VIP Trong Thương Thành mua tùy ý đạo cụ ( nguyên bảo hoặc trả tiền )3 Lần</t>
  </si>
  <si>
    <t>VIP Trong Thương Thành mua tùy ý đạo cụ ( nguyên bảo hoặc trả tiền )10 Lần</t>
  </si>
  <si>
    <t>VIP Đẳng cấp đạt tới 2 Cấp hoặc trở lên</t>
  </si>
  <si>
    <t>VIP Đẳng cấp đạt tới 5 Cấp hoặc trở lên</t>
  </si>
  <si>
    <t>0:1:2000</t>
  </si>
  <si>
    <t>Hổ oa kẹo mềm ngọt đến tâm</t>
  </si>
  <si>
    <t>3:590020:10</t>
  </si>
  <si>
    <t>Tài chi niên thú đến gây sự 1 Vòng</t>
  </si>
  <si>
    <t>Hoạt động kỳ đánh bại tùy ý tài chi niên thú đạt tới 2 Chỉ</t>
  </si>
  <si>
    <t>3:590020:3</t>
  </si>
  <si>
    <t>Tài chi niên thú đến gây sự 2 Vòng</t>
  </si>
  <si>
    <t>Hoạt động kỳ đánh bại tùy ý tài chi niên thú đạt tới 4 Chỉ</t>
  </si>
  <si>
    <t>3:590024:5</t>
  </si>
  <si>
    <t>Tài chi niên thú đến gây sự 3 Vòng</t>
  </si>
  <si>
    <t>Hoạt động kỳ đánh bại tùy ý tài chi niên thú đạt tới 6 Chỉ</t>
  </si>
  <si>
    <t>Tài chi niên thú đến gây sự 4 Vòng</t>
  </si>
  <si>
    <t>Hoạt động kỳ đánh bại tùy ý tài chi niên thú đạt tới 10 Chỉ</t>
  </si>
  <si>
    <t>Tài chi niên thú đến gây sự 5 Vòng</t>
  </si>
  <si>
    <t>Hoạt động kỳ đánh bại tùy ý tài chi niên thú đạt tới 15 Chỉ</t>
  </si>
  <si>
    <t>Tài chi niên thú đến gây sự 6 Vòng</t>
  </si>
  <si>
    <t>Hoạt động kỳ đánh bại tùy ý tài chi niên thú đạt tới 20 Chỉ</t>
  </si>
  <si>
    <t>Tài chi niên thú đến gây sự 7 Vòng</t>
  </si>
  <si>
    <t>Hoạt động kỳ đánh bại tùy ý tài chi niên thú đạt tới 30 Chỉ</t>
  </si>
  <si>
    <t>Tài chi niên thú đến gây sự 8 Vòng</t>
  </si>
  <si>
    <t>Hoạt động kỳ đánh bại tùy ý tài chi niên thú đạt tới 40 Chỉ</t>
  </si>
  <si>
    <t>Tài chi niên thú đến gây sự 9 Vòng</t>
  </si>
  <si>
    <t>Hoạt động kỳ đánh bại tùy ý tài chi niên thú đạt tới 60 Chỉ</t>
  </si>
  <si>
    <t>Tài chi niên thú đến gây sự 10 Vòng</t>
  </si>
  <si>
    <t>Hoạt động kỳ đánh bại tùy ý tài chi niên thú đạt tới 80 Chỉ</t>
  </si>
  <si>
    <t>3:590024:10</t>
  </si>
  <si>
    <t>Tài chi niên thú đến gây sự 11 Vòng</t>
  </si>
  <si>
    <t>Hoạt động kỳ đánh bại tùy ý tài chi niên thú đạt tới 100 Chỉ</t>
  </si>
  <si>
    <t>Tài chi niên thú đến gây sự 12 Vòng</t>
  </si>
  <si>
    <t>Hoạt động kỳ đánh bại tùy ý tài chi niên thú đạt tới 150 Chỉ</t>
  </si>
  <si>
    <t>Tài chi niên thú đến gây sự 13 Vòng</t>
  </si>
  <si>
    <t>Hoạt động kỳ đánh bại tùy ý tài chi niên thú đạt tới 200 Chỉ</t>
  </si>
  <si>
    <t>Ma chi niên thú đùa ác 1 Vòng</t>
  </si>
  <si>
    <t>Hoạt động kỳ đánh bại tùy ý ma chi niên thú đạt tới 2 Chỉ</t>
  </si>
  <si>
    <t>Ma chi niên thú đùa ác 2 Vòng</t>
  </si>
  <si>
    <t>Hoạt động kỳ đánh bại tùy ý ma chi niên thú đạt tới 4 Chỉ</t>
  </si>
  <si>
    <t>Ma chi niên thú đùa ác 3 Vòng</t>
  </si>
  <si>
    <t>Hoạt động kỳ đánh bại tùy ý ma chi niên thú đạt tới 6 Chỉ</t>
  </si>
  <si>
    <t>Ma chi niên thú đùa ác 4 Vòng</t>
  </si>
  <si>
    <t>Hoạt động kỳ đánh bại tùy ý ma chi niên thú đạt tới 10 Chỉ</t>
  </si>
  <si>
    <t>Ma chi niên thú đùa ác 5 Vòng</t>
  </si>
  <si>
    <t>Hoạt động kỳ đánh bại tùy ý ma chi niên thú đạt tới 15 Chỉ</t>
  </si>
  <si>
    <t>Ma chi niên thú đùa ác 6 Vòng</t>
  </si>
  <si>
    <t>Hoạt động kỳ đánh bại tùy ý ma chi niên thú đạt tới 20 Chỉ</t>
  </si>
  <si>
    <t>Ma chi niên thú đùa ác 7 Vòng</t>
  </si>
  <si>
    <t>Hoạt động kỳ đánh bại tùy ý ma chi niên thú đạt tới 30 Chỉ</t>
  </si>
  <si>
    <t>Ma chi niên thú đùa ác 8 Vòng</t>
  </si>
  <si>
    <t>Hoạt động kỳ đánh bại tùy ý ma chi niên thú đạt tới 40 Chỉ</t>
  </si>
  <si>
    <t>Ma chi niên thú đùa ác 9 Vòng</t>
  </si>
  <si>
    <t>Hoạt động kỳ đánh bại tùy ý ma chi niên thú đạt tới 60 Chỉ</t>
  </si>
  <si>
    <t>Ma chi niên thú đùa ác 10 Vòng</t>
  </si>
  <si>
    <t>Hoạt động kỳ đánh bại tùy ý ma chi niên thú đạt tới 80 Chỉ</t>
  </si>
  <si>
    <t>Ma chi niên thú đùa ác 11 Vòng</t>
  </si>
  <si>
    <t>Hoạt động kỳ đánh bại tùy ý ma chi niên thú đạt tới 100 Chỉ</t>
  </si>
  <si>
    <t>Ma chi niên thú đùa ác 12 Vòng</t>
  </si>
  <si>
    <t>Hoạt động kỳ đánh bại tùy ý ma chi niên thú đạt tới 150 Chỉ</t>
  </si>
  <si>
    <t>Ma chi niên thú đùa ác 13 Vòng</t>
  </si>
  <si>
    <t>Hoạt động kỳ đánh bại tùy ý ma chi niên thú đạt tới 200 Chỉ</t>
  </si>
  <si>
    <t>Viêm chi niên thú tiểu khả ái 1 Vòng</t>
  </si>
  <si>
    <t>Hoạt động kỳ đánh bại tùy ý viêm chi niên thú đạt tới 3 Chỉ</t>
  </si>
  <si>
    <t>3:590021:1</t>
  </si>
  <si>
    <t>Viêm chi niên thú tiểu khả ái 2 Vòng</t>
  </si>
  <si>
    <t>Hoạt động kỳ đánh bại tùy ý viêm chi niên thú đạt tới 6 Chỉ</t>
  </si>
  <si>
    <t>Viêm chi niên thú tiểu khả ái 3 Vòng</t>
  </si>
  <si>
    <t>Hoạt động kỳ đánh bại tùy ý viêm chi niên thú đạt tới 9 Chỉ</t>
  </si>
  <si>
    <t>Viêm chi niên thú tiểu khả ái 4 Vòng</t>
  </si>
  <si>
    <t>Hoạt động kỳ đánh bại tùy ý viêm chi niên thú đạt tới 15 Chỉ</t>
  </si>
  <si>
    <t>Viêm chi niên thú tiểu khả ái 5 Vòng</t>
  </si>
  <si>
    <t>Hoạt động kỳ đánh bại tùy ý viêm chi niên thú đạt tới 30 Chỉ</t>
  </si>
  <si>
    <t>Viêm chi niên thú tiểu khả ái 6 Vòng</t>
  </si>
  <si>
    <t>Hoạt động kỳ đánh bại tùy ý viêm chi niên thú đạt tới 45 Chỉ</t>
  </si>
  <si>
    <t>Viêm chi niên thú tiểu khả ái 7 Vòng</t>
  </si>
  <si>
    <t>Hoạt động kỳ đánh bại tùy ý viêm chi niên thú đạt tới 75 Chỉ</t>
  </si>
  <si>
    <t>Viêm chi niên thú tiểu khả ái 8 Vòng</t>
  </si>
  <si>
    <t>Hoạt động kỳ đánh bại tùy ý viêm chi niên thú đạt tới 125 Chỉ</t>
  </si>
  <si>
    <t>Viêm chi niên thú tiểu khả ái 9 Vòng</t>
  </si>
  <si>
    <t>Hoạt động kỳ đánh bại tùy ý viêm chi niên thú đạt tới 190 Chỉ</t>
  </si>
  <si>
    <t>Viêm chi niên thú tiểu khả ái 10 Vòng</t>
  </si>
  <si>
    <t>Hoạt động kỳ đánh bại tùy ý viêm chi niên thú đạt tới 250 Chỉ</t>
  </si>
  <si>
    <t>Khu ma tu luyện 1 Vòng</t>
  </si>
  <si>
    <t>Mỗi ngày đánh bại tùy ý năm thú đạt tới 5 Chỉ</t>
  </si>
  <si>
    <t>Khu ma tu luyện 2 Vòng</t>
  </si>
  <si>
    <t>Mỗi ngày đánh bại tùy ý năm thú đạt tới 20 Chỉ</t>
  </si>
  <si>
    <t>Khu ma tu luyện 3 Vòng</t>
  </si>
  <si>
    <t>Mỗi ngày đánh bại tùy ý năm thú đạt tới 30 Chỉ</t>
  </si>
  <si>
    <t>Khu ma tu luyện 4 Vòng</t>
  </si>
  <si>
    <t>Mỗi ngày đánh bại tùy ý năm thú đạt tới 50 Chỉ</t>
  </si>
  <si>
    <t>Khu ma tu luyện 5 Vòng</t>
  </si>
  <si>
    <t>Mỗi ngày đánh bại tùy ý năm thú đạt tới 100 Chỉ</t>
  </si>
  <si>
    <t>0:1:1500</t>
  </si>
  <si>
    <t>Độ khó khiêu chiến 1 Vòng</t>
  </si>
  <si>
    <t>Mỗi ngày đánh bại tùy ý lục sắc năm thú 5 Chỉ</t>
  </si>
  <si>
    <t>3:590022:10</t>
  </si>
  <si>
    <t>Độ khó khiêu chiến 2 Vòng</t>
  </si>
  <si>
    <t>Mỗi ngày đánh bại tùy ý màu lam năm thú 5 Chỉ</t>
  </si>
  <si>
    <t>3:590022:30</t>
  </si>
  <si>
    <t>Độ khó khiêu chiến 3 Vòng</t>
  </si>
  <si>
    <t>Mỗi ngày đánh bại tùy ý tử sắc năm thú 5 Chỉ</t>
  </si>
  <si>
    <t>3:590022:100</t>
  </si>
  <si>
    <t>Độ khó khiêu chiến 4 Vòng</t>
  </si>
  <si>
    <t>Mỗi ngày đánh bại tùy ý màu cam năm thú 5 Chỉ</t>
  </si>
  <si>
    <t>3:590022:200</t>
  </si>
  <si>
    <t>Độ khó khiêu chiến 5 Vòng</t>
  </si>
  <si>
    <t>Mỗi ngày đánh bại tùy ý màu đỏ năm thú 5 Chỉ</t>
  </si>
  <si>
    <t>Thường ngày tiêu phí 1 Vòng</t>
  </si>
  <si>
    <t>Mỗi ngày tiêu hao 100 Nguyên bảo</t>
  </si>
  <si>
    <t>Thường ngày tiêu phí 2 Vòng</t>
  </si>
  <si>
    <t>Mỗi ngày tiêu hao nguyên bảo 600</t>
  </si>
  <si>
    <t>Thường ngày tiêu phí 3 Vòng</t>
  </si>
  <si>
    <t>Mỗi ngày tiêu hao nguyên bảo 1500</t>
  </si>
  <si>
    <t>Thường ngày tiêu phí 4 Vòng</t>
  </si>
  <si>
    <t>Mỗi ngày tiêu hao nguyên bảo 4000</t>
  </si>
  <si>
    <t>Thường ngày tiêu phí 5 Vòng</t>
  </si>
  <si>
    <t>Mỗi ngày tiêu hao nguyên bảo 10000</t>
  </si>
  <si>
    <t>Thường ngày tiêu phí 6 Vòng</t>
  </si>
  <si>
    <t>Mỗi ngày tiêu hao nguyên bảo 20000</t>
  </si>
  <si>
    <t>Kẹo mềm tiệc tùng 1 Vòng</t>
  </si>
  <si>
    <t>Mỗi ngày đổi mới năm thú số lần đạt tới 10 Lần</t>
  </si>
  <si>
    <t>Kẹo mềm tiệc tùng 2 Vòng</t>
  </si>
  <si>
    <t>Mỗi ngày đổi mới năm thú số lần đạt tới 30 Lần</t>
  </si>
  <si>
    <t>Kẹo mềm tiệc tùng 3 Vòng</t>
  </si>
  <si>
    <t>Mỗi ngày đổi mới năm thú số lần đạt tới 50 Lần</t>
  </si>
  <si>
    <t>Kẹo mềm tiệc tùng 4 Vòng</t>
  </si>
  <si>
    <t>Mỗi ngày đổi mới năm thú số lần đạt tới 100 Lần</t>
  </si>
  <si>
    <t>Kẹo mềm tiệc tùng 5 Vòng</t>
  </si>
  <si>
    <t>Mỗi ngày đổi mới năm thú số lần đạt tới 200 Lần</t>
  </si>
  <si>
    <t>0:1:4000</t>
  </si>
  <si>
    <t>Hạn lúc hoạt động - bảo bảo bồi dưỡng</t>
  </si>
  <si>
    <t>Bồi dưỡng bảo bảo 10 Lần</t>
  </si>
  <si>
    <t>4:601023:5#0:0:150000#4:606002:5#3:100029:10#0:1:1000</t>
  </si>
  <si>
    <t>Bồi dưỡng bảo bảo 30 Lần</t>
  </si>
  <si>
    <t>Bồi dưỡng bảo bảo 60 Lần</t>
  </si>
  <si>
    <t>Bồi dưỡng bảo bảo 90 Lần</t>
  </si>
  <si>
    <t>Bồi dưỡng bảo bảo 120 Lần</t>
  </si>
  <si>
    <t>Bồi dưỡng bảo bảo 150 Lần</t>
  </si>
  <si>
    <t>4:601023:5#0:0:150000#4:606002:10#3:100029:10#0:1:1000</t>
  </si>
  <si>
    <t>Bồi dưỡng bảo bảo 180 Lần</t>
  </si>
  <si>
    <t>4:601023:5#0:0:150000#4:606002:15#3:100029:10#0:1:1000</t>
  </si>
  <si>
    <t>Bồi dưỡng bảo bảo 210 Lần</t>
  </si>
  <si>
    <t>Bồi dưỡng bảo bảo 240 Lần</t>
  </si>
  <si>
    <t>Bồi dưỡng bảo bảo 300 Lần</t>
  </si>
  <si>
    <t>4:601023:5#0:0:150000#4:606002:20#3:100029:10#0:1:1000</t>
  </si>
  <si>
    <t>Hạn lúc hoạt động - Trang bị tăng lên</t>
  </si>
  <si>
    <t>Tại Tàng bảo các mua trang bị 1 Lần</t>
  </si>
  <si>
    <t>3:100029:10#0:1:1000#3:100284:2</t>
  </si>
  <si>
    <t>Tại Tàng bảo các mua trang bị 4 Lần</t>
  </si>
  <si>
    <t>Tại Tàng bảo các mua trang bị 8 Lần</t>
  </si>
  <si>
    <t>Tại Tàng bảo các mua trang bị 12 Lần</t>
  </si>
  <si>
    <t>Tại Tàng bảo các mua trang bị 16 Lần</t>
  </si>
  <si>
    <t>Tại Tàng bảo các mua trang bị 20 Lần</t>
  </si>
  <si>
    <t>3:100029:10#0:1:1000#3:100284:4#3:400032:1</t>
  </si>
  <si>
    <t>Tại Tàng bảo các mua trang bị 25 Lần</t>
  </si>
  <si>
    <t>Tại Tàng bảo các mua trang bị 30 Lần</t>
  </si>
  <si>
    <t>Tại Tàng bảo các mua trang bị 35 Lần</t>
  </si>
  <si>
    <t>Tại Tàng bảo các mua trang bị 40 Lần</t>
  </si>
  <si>
    <t>Hạn lúc hoạt động - Trang bị hợp thành</t>
  </si>
  <si>
    <t>Trang bị hợp thành 1 Lần</t>
  </si>
  <si>
    <t>4:601023:50#0:0:150000#4:606002:5#3:100029:10#0:1:1000</t>
  </si>
  <si>
    <t>Trang bị hợp thành 5 Lần</t>
  </si>
  <si>
    <t>Trang bị hợp thành 10 Lần</t>
  </si>
  <si>
    <t>Trang bị hợp thành 15 Lần</t>
  </si>
  <si>
    <t>Trang bị hợp thành 20 Lần</t>
  </si>
  <si>
    <t>Trang bị hợp thành 25 Lần</t>
  </si>
  <si>
    <t>4:601023:50#0:0:150000#4:606002:10#3:100029:10#0:1:1000</t>
  </si>
  <si>
    <t>Trang bị hợp thành 30 Lần</t>
  </si>
  <si>
    <t>4:601023:50#0:0:150000#4:606002:15#3:100029:10#0:1:1000</t>
  </si>
  <si>
    <t>Trang bị hợp thành 35 Lần</t>
  </si>
  <si>
    <t>Trang bị hợp thành 40 Lần</t>
  </si>
  <si>
    <t>Trang bị hợp thành 45 Lần</t>
  </si>
  <si>
    <t>4:601023:50#0:0:150000#4:606002:20#3:100029:10#0:1:1000</t>
  </si>
  <si>
    <t>Hạn lúc hoạt động - Anh hùng hiến tế</t>
  </si>
  <si>
    <t>Anh hùng hiến tế 10 Lần</t>
  </si>
  <si>
    <t>0:1:50#3:100284:2#3:100029:10#0:1:1000</t>
  </si>
  <si>
    <t>Anh hùng hiến tế 20 Lần</t>
  </si>
  <si>
    <t>Anh hùng hiến tế 30 Lần</t>
  </si>
  <si>
    <t>Anh hùng hiến tế 40 Lần</t>
  </si>
  <si>
    <t>Anh hùng hiến tế 50 Lần</t>
  </si>
  <si>
    <t>Anh hùng hiến tế 70 Lần</t>
  </si>
  <si>
    <t>0:1:100#3:100284:4#3:400032:1#3:100029:10#0:1:1000</t>
  </si>
  <si>
    <t>Anh hùng hiến tế 90 Lần</t>
  </si>
  <si>
    <t>Anh hùng hiến tế 110 Lần</t>
  </si>
  <si>
    <t>Anh hùng hiến tế 130 Lần</t>
  </si>
  <si>
    <t>Anh hùng hiến tế 150 Lần</t>
  </si>
  <si>
    <t>Hạn lúc hoạt động - guild đối chiến</t>
  </si>
  <si>
    <t>Tham gia guild chiến 1 Lần</t>
  </si>
  <si>
    <t>Tham gia guild chiến 2 Lần</t>
  </si>
  <si>
    <t>Tham gia guild chiến 3 Lần</t>
  </si>
  <si>
    <t>Tham gia guild chiến 4 Lần</t>
  </si>
  <si>
    <t>Tham gia guild chiến 5 Lần</t>
  </si>
  <si>
    <t>Tham gia guild chiến 6 Lần</t>
  </si>
  <si>
    <t>Tham gia guild chiến 7 Lần</t>
  </si>
  <si>
    <t>Tham gia guild chiến 8 Lần</t>
  </si>
  <si>
    <t>Tham gia guild chiến 9 Lần</t>
  </si>
  <si>
    <t>Tham gia guild chiến 10 Lần</t>
  </si>
  <si>
    <t>Hạn lúc hoạt động - Cao cấp tầm bảo</t>
  </si>
  <si>
    <t>Cao cấp tầm bảo 10 Lần</t>
  </si>
  <si>
    <t>3:100029:10#0:1:1000#3:200192:5</t>
  </si>
  <si>
    <t>Cao cấp tầm bảo 20 Lần</t>
  </si>
  <si>
    <t>Cao cấp tầm bảo 30 Lần</t>
  </si>
  <si>
    <t>Cao cấp tầm bảo 40 Lần</t>
  </si>
  <si>
    <t>Cao cấp tầm bảo 50 Lần</t>
  </si>
  <si>
    <t>Cao cấp tầm bảo 80 Lần</t>
  </si>
  <si>
    <t>3:100029:10#0:1:1000#3:200192:5#3:200191:10</t>
  </si>
  <si>
    <t>Cao cấp tầm bảo 100 Lần</t>
  </si>
  <si>
    <t>Cao cấp tầm bảo 130 Lần</t>
  </si>
  <si>
    <t>3:100029:10#0:1:1000#3:200192:10#3:200191:10</t>
  </si>
  <si>
    <t>Cao cấp tầm bảo 160 Lần</t>
  </si>
  <si>
    <t>Cao cấp tầm bảo 230 Lần</t>
  </si>
  <si>
    <t>3:100029:10#0:1:1000#3:200192:15#3:200191:10</t>
  </si>
  <si>
    <t>Hạn lúc hoạt động - thiên phú tăng lên</t>
  </si>
  <si>
    <t>Tại kỹ năng cửa hàng mua 3 Lần thiên phú</t>
  </si>
  <si>
    <t>3:100004:500#3:100029:10#0:1:1000</t>
  </si>
  <si>
    <t>Tại kỹ năng cửa hàng mua 6 Lần thiên phú</t>
  </si>
  <si>
    <t>Tại kỹ năng cửa hàng mua 12 Lần thiên phú</t>
  </si>
  <si>
    <t>Tại kỹ năng cửa hàng mua 15 Lần thiên phú</t>
  </si>
  <si>
    <t>3:100004:1000#3:100029:10#0:1:1000</t>
  </si>
  <si>
    <t>Tại kỹ năng cửa hàng mua 25 Lần thiên phú</t>
  </si>
  <si>
    <t>Tại kỹ năng cửa hàng mua 35 Lần thiên phú</t>
  </si>
  <si>
    <t>3:400017:1#3:100004:1000#3:100029:10#0:1:1000</t>
  </si>
  <si>
    <t>Tại kỹ năng cửa hàng mua 45 Lần thiên phú</t>
  </si>
  <si>
    <t>Tại kỹ năng cửa hàng mua 55 Lần thiên phú</t>
  </si>
  <si>
    <t>Tại kỹ năng cửa hàng mua 65 Lần thiên phú</t>
  </si>
  <si>
    <t>3:500011:1#3:100004:1500#3:590008:1#3:100029:10#0:1:1000</t>
  </si>
  <si>
    <t>Tại kỹ năng cửa hàng mua 75 Lần thiên phú</t>
  </si>
  <si>
    <t>3:500011:1#3:100004:3000#3:590008:1#3:100029:10#0:1:1000</t>
  </si>
  <si>
    <t>Hạn lúc hoạt động - Anh hùng tập kết</t>
  </si>
  <si>
    <t>Thu hoạch được 5 sao anh hùng ba ( Giới hạn mảnh vỡ hợp thành hoặc điểm tướng )</t>
  </si>
  <si>
    <t>0:1:50#4:606008:25#3:100029:10#0:1:1000</t>
  </si>
  <si>
    <t>Thu hoạch được 5 sao anh hùng 6 Cái ( Giới hạn mảnh vỡ hợp thành hoặc điểm tướng )</t>
  </si>
  <si>
    <t>Thu hoạch được 5 sao anh hùng 1năm ( Giới hạn mảnh vỡ hợp thành hoặc điểm tướng )</t>
  </si>
  <si>
    <t>0:1:50#4:606009:25#3:100029:10#0:1:1000</t>
  </si>
  <si>
    <t>Thu hoạch được 5 sao anh hùng 30 Cái ( Giới hạn mảnh vỡ hợp thành hoặc điểm tướng )</t>
  </si>
  <si>
    <t>Thu hoạch được 5 sao anh hùng 50 Cái ( Giới hạn mảnh vỡ hợp thành hoặc điểm tướng )</t>
  </si>
  <si>
    <t>0:1:50#4:606010:25#3:100029:10#0:1:1000</t>
  </si>
  <si>
    <t>Thu hoạch được 5 sao anh hùng 70 Cái ( Giới hạn mảnh vỡ hợp thành hoặc điểm tướng )</t>
  </si>
  <si>
    <t>Thu hoạch được 5 sao anh hùng 90 Cái ( Giới hạn mảnh vỡ hợp thành hoặc điểm tướng )</t>
  </si>
  <si>
    <t>0:1:50#4:606002:25#4:606015:25#3:100029:10#0:1:1000</t>
  </si>
  <si>
    <t>Thu hoạch được 5 sao anh hùng 120 Cái ( Giới hạn mảnh vỡ hợp thành hoặc điểm tướng )</t>
  </si>
  <si>
    <t>Thu hoạch được 5 sao anh hùng 150 Cái ( Giới hạn mảnh vỡ hợp thành hoặc điểm tướng )</t>
  </si>
  <si>
    <t>0:1:50#4:606002:50#4:606015:25#3:100029:10#0:1:1000</t>
  </si>
  <si>
    <t>Thu hoạch được 5 sao anh hùng 180 Cái ( Giới hạn mảnh vỡ hợp thành hoặc điểm tướng )</t>
  </si>
  <si>
    <t>Hạn lúc hoạt động - Đánh lôi đài liên server</t>
  </si>
  <si>
    <t>Đánh lôi đài liên server thi đấu tham dự 10 Lần</t>
  </si>
  <si>
    <t>3:100001:100#3:100217:15#3:100029:10#0:1:1000</t>
  </si>
  <si>
    <t>Đánh lôi đài liên server thi đấu tham dự 20 Lần</t>
  </si>
  <si>
    <t>Đánh lôi đài liên server thi đấu tham dự 30 Lần</t>
  </si>
  <si>
    <t>Đánh lôi đài liên server thi đấu tham dự 50 Lần</t>
  </si>
  <si>
    <t>3:100001:200#3:100217:15#3:100029:10#0:1:1000</t>
  </si>
  <si>
    <t>Đánh lôi đài liên server thi đấu tham dự 60 Lần</t>
  </si>
  <si>
    <t>Đánh lôi đài liên server thi đấu tham dự 70 Lần</t>
  </si>
  <si>
    <t>3:100001:200#3:100217:25#3:100029:10#0:1:1000</t>
  </si>
  <si>
    <t>Đánh lôi đài liên server thi đấu tham dự 80 Lần</t>
  </si>
  <si>
    <t>3:100001:300#3:100217:25#3:100212:10#3:100029:10#0:1:1000</t>
  </si>
  <si>
    <t>Đánh lôi đài liên server thi đấu tham dự 100 Lần</t>
  </si>
  <si>
    <t>3:100001:300#3:100217:25#3:100212:15#3:100029:10#0:1:1000</t>
  </si>
  <si>
    <t>Đánh lôi đài liên server thi đấu tham dự 120 Lần</t>
  </si>
  <si>
    <t>3:100001:300#3:100217:25#3:100212:20#3:100029:10#0:1:1000</t>
  </si>
  <si>
    <t>Đánh lôi đài liên server thi đấu tham dự 150 Lần</t>
  </si>
  <si>
    <t>3:100001:300#3:100217:25#3:100212:25#3:100029:10#0:1:1000</t>
  </si>
  <si>
    <t>这代表什么</t>
  </si>
  <si>
    <t>事件类型</t>
  </si>
  <si>
    <t>重要说明</t>
  </si>
  <si>
    <t>Đăng nhập trò chơi số lần</t>
  </si>
  <si>
    <t>在实质内容层面：事件类型+参数构成唯一主键，因此，事件类型+参数，要具有唯一性</t>
  </si>
  <si>
    <t>Nhân vật chính mạo hiểm đẳng cấp</t>
  </si>
  <si>
    <t>[ Tính gộp lại ] Đưa tặng hảo hữu hữu nghị điểm số lần</t>
  </si>
  <si>
    <t>[ Tính gộp lại ] Anh hùng triệu hoán số lần</t>
  </si>
  <si>
    <t>[ Tính gộp lại ] Hợp thành 6 Tinh anh hùng số lượng</t>
  </si>
  <si>
    <t>[ Tính gộp lại ] Hợp thành 8 Tinh anh hùng số lượng</t>
  </si>
  <si>
    <t>n Anh hùng đạt tới 30 Cấp</t>
  </si>
  <si>
    <t>n Anh hùng đạt tới 40 Cấp</t>
  </si>
  <si>
    <t>n Anh hùng đạt tới 50 Cấp</t>
  </si>
  <si>
    <t>n Anh hùng đạt tới 60 Cấp</t>
  </si>
  <si>
    <t>n Anh hùng đạt tới 80 Cấp</t>
  </si>
  <si>
    <t>n Anh hùng đạt tới 100 Cấp</t>
  </si>
  <si>
    <t>n Anh hùng đạt tới 145 Cấp</t>
  </si>
  <si>
    <t>n Anh hùng đạt tới 165 Cấp</t>
  </si>
  <si>
    <t>n Anh hùng đạt tới 185 Cấp</t>
  </si>
  <si>
    <t>n Anh hùng đạt tới 205 Cấp</t>
  </si>
  <si>
    <t>n Anh hùng đạt tới 235 Cấp</t>
  </si>
  <si>
    <t>Có được n Cái 4 Tinh anh hùng ( Ủng hộ lặp lại anh hùng )</t>
  </si>
  <si>
    <t>Có được n Cái 5 Tinh anh hùng ( Ủng hộ lặp lại anh hùng )</t>
  </si>
  <si>
    <t>Tính gộp lại thu hoạch được n Cái 6 Tinh anh hùng ( Ủng hộ lặp lại anh hùng )</t>
  </si>
  <si>
    <t>[ Tính gộp lại ] Phổ thông triệu hoán anh hùng số lần</t>
  </si>
  <si>
    <t>[ Tính gộp lại ] Cao cấp triệu hoán anh hùng số lần</t>
  </si>
  <si>
    <t>[ Tính gộp lại ] Hiểu số mệnh con người xem đoán xâm số lần</t>
  </si>
  <si>
    <t>[ Tính gộp lại ] Anh hùng phân giải số lượng</t>
  </si>
  <si>
    <t>Có được hảo hữu số lượng</t>
  </si>
  <si>
    <t>Có được n Kiện tử sắc phẩm chất trang bị</t>
  </si>
  <si>
    <t>Có được n Kiện màu cam phẩm chất trang bị</t>
  </si>
  <si>
    <t>Có được n Kiện màu đỏ phẩm chất trang bị</t>
  </si>
  <si>
    <t>Tính gộp lại tiến hành n Lần tỉ ấn hợp thành</t>
  </si>
  <si>
    <t>Diễn võ trường điểm tích lũy đạt tới n</t>
  </si>
  <si>
    <t>Diễn võ trường xếp hạng</t>
  </si>
  <si>
    <t>Khiêu chiến thường ngày phó bản số lần</t>
  </si>
  <si>
    <t>[ Tính gộp lại ] Xác nhận x Lần tử sắc phẩm chất chạy thương nhiệm vụ</t>
  </si>
  <si>
    <t>[ Tính gộp lại ] Xác nhận x Lần màu cam phẩm chất chạy thương nhiệm vụ</t>
  </si>
  <si>
    <t>[ Tính gộp lại ] Xác nhận x Lần màu đỏ phẩm chất chạy thương nhiệm vụ</t>
  </si>
  <si>
    <t>Côn Luân bí cảnh ( Tùy ý độ khó ) Thắng lợi n Lần</t>
  </si>
  <si>
    <t>Sáng tạo hoặc gia nhập tiên minh</t>
  </si>
  <si>
    <t>[ Tính gộp lại ] Khiêu chiến n Lần tiên minh phó bản</t>
  </si>
  <si>
    <t>Tại PVP Chiến đấu bên trong, 8 Hiệp nội chiến thắng chiến lực cao hơn đối thủ của mình n Lần</t>
  </si>
  <si>
    <t>Tại PVP Chiến đấu bên trong, 7 Hiệp nội chiến thắng chiến lực cao hơn đối thủ của mình n Lần</t>
  </si>
  <si>
    <t>Tại PVP Chiến đấu bên trong, 6 Hiệp nội chiến thắng chiến lực cao hơn đối thủ của mình n Lần</t>
  </si>
  <si>
    <t>Tại PVP Chiến đấu bên trong, chiến thắng chiến lực cao hơn tự thân 10 Vạn đối thủ n Lần</t>
  </si>
  <si>
    <t>Tại PVP Chiến đấu bên trong, chiến thắng chiến lực cao hơn tự thân 20 Vạn đối thủ n Lần</t>
  </si>
  <si>
    <t>Tại PVP Chiến đấu bên trong, chiến thắng chiến lực cao hơn tự thân 30 Vạn đối thủ n Lần</t>
  </si>
  <si>
    <t>Tại PVP Chiến đấu bên trong, đầy máu đủ quân số chiến thắng chiến lực cao hơn tự thân đối thủ n Lần</t>
  </si>
  <si>
    <t>Tại PVP Chiến đấu bên trong, sử dụng pháp bảo tính gộp lại đánh giết địch quân anh hùng n Lần</t>
  </si>
  <si>
    <t>Tại PVP Chiến đấu bên trong, sử dụng 【 Chùy 】 Pháp bảo tính gộp lại mê muội n Cái địch quân anh hùng</t>
  </si>
  <si>
    <t>Tại đơn trận PVP Chiến đấu bên trong sử dụng kỹ năng chủ động phục sinh phe mình anh hùng n Lần</t>
  </si>
  <si>
    <t>Tại đơn trận PVP Chiến đấu bên trong tổng trị liệu lượng đạt tới n</t>
  </si>
  <si>
    <t>Vô tận luân hồi lịch sử tối cao thông quan số đạt tới n</t>
  </si>
  <si>
    <t>Tùy ý 1 Loại đồ đằng Thánh Điện lịch sử tối cao thông quan số đạt tới n</t>
  </si>
  <si>
    <t>Tính gộp lại tiến vào đồ đằng Thánh Điện bảng xếp hạng trước 10 Tên n Lần</t>
  </si>
  <si>
    <t>Tính gộp lại tiến vào đồ đằng Thánh Điện bảng xếp hạng trước 3 Tên n Lần</t>
  </si>
  <si>
    <t>Nhân vật chính chiến lực</t>
  </si>
  <si>
    <t>Trước mắt có được n Cái khác biệt 10 Tinh anh hùng ( Không hỗ trợ lặp lại anh hùng )</t>
  </si>
  <si>
    <t>Tính gộp lại thu hoạch được n Cái khác biệt 10 Tinh nhân tộc anh hùng ( Không hỗ trợ lặp lại anh hùng )</t>
  </si>
  <si>
    <t>Tính gộp lại thu hoạch được n Cái khác biệt 10 Tinh Tiên Tộc anh hùng ( Không hỗ trợ lặp lại anh hùng )</t>
  </si>
  <si>
    <t>Tính gộp lại thu hoạch được n Cái khác biệt 10 Tinh yêu tộc anh hùng ( Không hỗ trợ lặp lại anh hùng )</t>
  </si>
  <si>
    <t>Tính gộp lại thu hoạch được n Cái khác biệt 10 Tinh Thần tộc anh hùng ( Không hỗ trợ lặp lại anh hùng )</t>
  </si>
  <si>
    <t>Tính gộp lại thu hoạch được n Cái khác biệt 10 Tinh ma tộc anh hùng ( Không hỗ trợ lặp lại anh hùng )</t>
  </si>
  <si>
    <t>Tính gộp lại lĩnh ngộ n Cái sơ cấp thiên phú</t>
  </si>
  <si>
    <t>Tính gộp lại lĩnh ngộ n Cái trung cấp thiên phú</t>
  </si>
  <si>
    <t>Tính gộp lại lĩnh ngộ n Cái cao cấp thiên phú</t>
  </si>
  <si>
    <t>Đơn cuộc chiến đấu tính gộp lại tạo thành n Điểm trúng độc thương hại</t>
  </si>
  <si>
    <t>Đơn cuộc chiến đấu tính gộp lại tạo thành n Điểm thiêu đốt tổn thương</t>
  </si>
  <si>
    <t>Đơn cuộc chiến đấu tính gộp lại tạo thành n Điểm chảy máu tổn thương</t>
  </si>
  <si>
    <t>Đơn trận tiên minh phó bản chiến đấu bên trong tính gộp lại tạo thành n Điểm thương tổn</t>
  </si>
  <si>
    <t>Tính gộp lại thu hoạch được n Cái màu đỏ phẩm chất tỉ ấn</t>
  </si>
  <si>
    <t>Linh Lung Tháp lịch sử tối cao thông quan số đạt tới n</t>
  </si>
  <si>
    <t>Hoàn chỉnh thông quan n Lần phổ thông độ khó Côn Luân bí cảnh phó bản</t>
  </si>
  <si>
    <t>Hoàn chỉnh thông quan n Lần khó khăn độ khó Côn Luân bí cảnh phó bản</t>
  </si>
  <si>
    <t>Hoàn chỉnh thông quan n Lần ác mộng độ khó Côn Luân bí cảnh phó bản</t>
  </si>
  <si>
    <t>Kích hoạt pháp bảo 1</t>
  </si>
  <si>
    <t>Kích hoạt pháp bảo 2</t>
  </si>
  <si>
    <t>Kích hoạt pháp bảo 3</t>
  </si>
  <si>
    <t>Kích hoạt pháp bảo 4</t>
  </si>
  <si>
    <t>Kích hoạt pháp bảo 5</t>
  </si>
  <si>
    <t>Có được n Cái 9 Tinh anh hùng ( Ủng hộ lặp lại anh hùng )</t>
  </si>
  <si>
    <t>Có được n Cái 10 Tinh anh hùng ( Ủng hộ lặp lại anh hùng )</t>
  </si>
  <si>
    <t>Đánh giết n Cái tiên minh phó bản</t>
  </si>
  <si>
    <t>Xác nhận 1 Lần treo thưởng nhiệm vụ</t>
  </si>
  <si>
    <t>Khiêu chiến 1 Lần diễn võ trường</t>
  </si>
  <si>
    <t>Khiêu chiến 1 Lần Linh Lung Tháp</t>
  </si>
  <si>
    <t>Khiêu chiến 1 Lần vô tận luân hồi</t>
  </si>
  <si>
    <t>Khiêu chiến 1 Lần Côn Luân bí cảnh</t>
  </si>
  <si>
    <t>Tính gộp lại đánh dấu 2 Trời</t>
  </si>
  <si>
    <t>Côn Luân bí cảnh ( Tùy ý độ khó ) Lịch sử tối cao thông quan quan số</t>
  </si>
  <si>
    <t>Tiến hành n Lần may mắn tầm bảo</t>
  </si>
  <si>
    <t>Thông quan chủ tuyến đến n Quan</t>
  </si>
  <si>
    <t>Tiến hành n Lần tiên minh hiến cho</t>
  </si>
  <si>
    <t>Đổi mới n Lần treo thưởng nhiệm vụ</t>
  </si>
  <si>
    <t>Đẳng cấp pháp bảo đạt tới 2 Cấp</t>
  </si>
  <si>
    <t>Đẳng cấp pháp bảo đạt tới 3 Cấp</t>
  </si>
  <si>
    <t>Đẳng cấp pháp bảo đạt tới 4 Cấp</t>
  </si>
  <si>
    <t>Đẳng cấp pháp bảo đạt tới 5 Cấp</t>
  </si>
  <si>
    <t>Diễn võ trường chiến thắng n Lần</t>
  </si>
  <si>
    <t>Vô tận luân hồi phái ra 1 Lần anh hùng</t>
  </si>
  <si>
    <t>Trước mắt có được 1 Cái 99 Cấp anh hùng</t>
  </si>
  <si>
    <t>Trước mắt có được 1 Cái 120 Cấp anh hùng</t>
  </si>
  <si>
    <t>Trước mắt có được n Cái 6 Tinh anh hùng</t>
  </si>
  <si>
    <t>Tính gộp lại thu hoạch được 3 Cái 145 Cấp anh hùng</t>
  </si>
  <si>
    <t>Tính gộp lại thu hoạch được 5 Cái 165 Cấp anh hùng</t>
  </si>
  <si>
    <t>Tính gộp lại thu hoạch được 3 Cái 185 Cấp anh hùng</t>
  </si>
  <si>
    <t>Tính gộp lại thu hoạch được 5 Cái 205 Cấp anh hùng</t>
  </si>
  <si>
    <t>Tính gộp lại thu hoạch được 3 Cái 255 Cấp anh hùng</t>
  </si>
  <si>
    <t>[ Tính gộp lại hợp thành 5 Tinh anh hùng số lượng</t>
  </si>
  <si>
    <t>Côn Luân bí cảnh thắng lợi 3 Lần</t>
  </si>
  <si>
    <t>Tính gộp lại thu hoạch được Nguyên bảo</t>
  </si>
  <si>
    <t>Tính gộp lại thú hồn cầu nguyện số lần ( Không chỉ định loại hình )</t>
  </si>
  <si>
    <t>Tưới nước</t>
  </si>
  <si>
    <t>Mặc Thần khí</t>
  </si>
  <si>
    <t>Tính gộp lại thu hoạch được một bộ nhân tộc anh hùng 5 Tinh đồ giám</t>
  </si>
  <si>
    <t>Tính gộp lại thu hoạch được một bộ Tiên Tộc anh hùng 5 Tinh đồ giám</t>
  </si>
  <si>
    <t>Tính gộp lại thu hoạch được một bộ yêu tộc anh hùng 5 Tinh đồ giám</t>
  </si>
  <si>
    <t>Tính gộp lại thu hoạch được một bộ Thần tộc anh hùng 5 Tinh đồ giám</t>
  </si>
  <si>
    <t>Tính gộp lại thu hoạch được một bộ ma tộc anh hùng 5 Tinh đồ giám</t>
  </si>
  <si>
    <t>Lần đầu hợp thành thu hoạch được vũ khí đỏ 1 Tinh</t>
  </si>
  <si>
    <t>Lần đầu hợp thành thu hoạch được vũ khí đỏ 2 Tinh</t>
  </si>
  <si>
    <t>Lần đầu hợp thành thu hoạch được vũ khí đỏ 3 Tinh</t>
  </si>
  <si>
    <t>Lần đầu hợp thành thu hoạch được vũ khí đỏ 4 Tinh</t>
  </si>
  <si>
    <t>Lần đầu hợp thành thu hoạch được vũ khí đỏ 5 Tinh</t>
  </si>
  <si>
    <t>Lần đầu hợp thành thu hoạch được quần áo đỏ 1 Tinh</t>
  </si>
  <si>
    <t>Lần đầu hợp thành thu hoạch được quần áo đỏ 2 Tinh</t>
  </si>
  <si>
    <t>Lần đầu hợp thành thu hoạch được quần áo đỏ 3 Tinh</t>
  </si>
  <si>
    <t>Lần đầu hợp thành thu hoạch được quần áo đỏ 4 Tinh</t>
  </si>
  <si>
    <t>Lần đầu hợp thành thu hoạch được quần áo đỏ 5 Tinh</t>
  </si>
  <si>
    <t>Lần đầu hợp thành thu hoạch được giày đỏ 1 Tinh</t>
  </si>
  <si>
    <t>Lần đầu hợp thành thu hoạch được giày đỏ 2 Tinh</t>
  </si>
  <si>
    <t>Lần đầu hợp thành thu hoạch được giày đỏ 3 Tinh</t>
  </si>
  <si>
    <t>Lần đầu hợp thành thu hoạch được giày đỏ 4 Tinh</t>
  </si>
  <si>
    <t>Lần đầu hợp thành thu hoạch được giày đỏ 5 Tinh</t>
  </si>
  <si>
    <t>Lần đầu hợp thành thu hoạch được mũ đỏ 1 Tinh</t>
  </si>
  <si>
    <t>Lần đầu hợp thành thu hoạch được mũ đỏ 2 Tinh</t>
  </si>
  <si>
    <t>Lần đầu hợp thành thu hoạch được mũ đỏ 3 Tinh</t>
  </si>
  <si>
    <t>Lần đầu hợp thành thu hoạch được mũ đỏ 4 Tinh</t>
  </si>
  <si>
    <t>Lần đầu hợp thành thu hoạch được mũ đỏ 5 Tinh</t>
  </si>
  <si>
    <t>Linh Lung Tháp số tầng 30</t>
  </si>
  <si>
    <t>Linh Lung Tháp số tầng 50</t>
  </si>
  <si>
    <t>Linh Lung Tháp số tầng 70</t>
  </si>
  <si>
    <t>Linh Lung Tháp số tầng 90</t>
  </si>
  <si>
    <t>Linh Lung Tháp số tầng 110</t>
  </si>
  <si>
    <t>Linh Lung Tháp số tầng 130</t>
  </si>
  <si>
    <t>Linh Lung Tháp số tầng 150</t>
  </si>
  <si>
    <t>Linh Lung Tháp số tầng 170</t>
  </si>
  <si>
    <t>Linh Lung Tháp số tầng 190</t>
  </si>
  <si>
    <t>Linh Lung Tháp số tầng 210</t>
  </si>
  <si>
    <t>Linh Lung Tháp số tầng 230</t>
  </si>
  <si>
    <t>Linh Lung Tháp số tầng 250</t>
  </si>
  <si>
    <t>Linh Lung Tháp số tầng 270</t>
  </si>
  <si>
    <t>Linh Lung Tháp số tầng 290</t>
  </si>
  <si>
    <t>Linh Lung Tháp số tầng 310</t>
  </si>
  <si>
    <t>Linh Lung Tháp số tầng 330</t>
  </si>
  <si>
    <t>Linh Lung Tháp số tầng 360</t>
  </si>
  <si>
    <t>Linh Lung Tháp số tầng 400</t>
  </si>
  <si>
    <t>Nhận lấy 5 Tinh anh hùng mảnh vỡ</t>
  </si>
  <si>
    <t>Liên tuyến anh hùng thông quan chỉ định cửa ải</t>
  </si>
  <si>
    <t>任务ID</t>
  </si>
  <si>
    <t>下一个任务ID</t>
  </si>
  <si>
    <t>*任务内容备注</t>
  </si>
  <si>
    <t>引导ID</t>
  </si>
  <si>
    <t>接取任务后是否出现引导手指</t>
  </si>
  <si>
    <t>功能ID</t>
  </si>
  <si>
    <t>排序ID</t>
  </si>
  <si>
    <t>*名称(备注)</t>
  </si>
  <si>
    <t>宝箱ID</t>
  </si>
  <si>
    <t>活跃度</t>
  </si>
  <si>
    <t>0:1:20000#0:16:10000#3:500015:1#0:0:10000#0:4:10000#0:3:10000000</t>
  </si>
  <si>
    <t>0:1:20000#0:16:10000#3:500015:1#0:0:20000#0:4:20000#0:3:20000000</t>
  </si>
  <si>
    <t>0:1:30000#0:16:10000#3:500015:1#0:0:50000#0:4:50000#0:3:30000000#3:500198:75</t>
  </si>
  <si>
    <t>0:1:30000#0:16:20000#3:500015:2#0:0:100000#0:4:100000#0:3:40000000#3:500198:125</t>
  </si>
  <si>
    <t>知命观解签1次</t>
  </si>
  <si>
    <t>高级寻宝1次</t>
  </si>
  <si>
    <t>玺印合成3次</t>
  </si>
  <si>
    <t>藏宝阁兑换15次</t>
  </si>
  <si>
    <t>本服冠军赛竞猜4次</t>
  </si>
  <si>
    <t>升级法宝等级1次</t>
  </si>
  <si>
    <t>玺印重铸1次</t>
  </si>
  <si>
    <t>兽魂洗炼1次</t>
  </si>
  <si>
    <t>山海经挑战胜利2次</t>
  </si>
  <si>
    <t>兽魂祈祷3次</t>
  </si>
  <si>
    <t>累计签到5次</t>
  </si>
  <si>
    <t>充值任意金额</t>
  </si>
  <si>
    <t>图腾圣殿挑战成功15次</t>
  </si>
  <si>
    <t>3:100001:200#3:1000001:1#0:1:20000#0:3:5000000</t>
  </si>
  <si>
    <t>3:100003:1#3:100342:100#3:100030:10000#0:1:30000#0:3:10000000#3:500198:100</t>
  </si>
  <si>
    <t>0:1:50000#3:500015:2#3:100004:500#0:3:15000000#3:500198:200</t>
  </si>
  <si>
    <t>3:100022:2#3:100342:200#3:100001:200#0:1:100000#0:3:20000000#3:500198:500</t>
  </si>
  <si>
    <t>分组</t>
  </si>
  <si>
    <t>次序</t>
  </si>
  <si>
    <t>*备注</t>
  </si>
  <si>
    <t>分类</t>
  </si>
  <si>
    <t>通天塔</t>
  </si>
  <si>
    <t>通天塔历史最高通关数达到X关</t>
  </si>
  <si>
    <t>远征</t>
  </si>
  <si>
    <t>累计通关X次难度N的远征副本（打完全部关卡算1次通关）</t>
  </si>
  <si>
    <t>累计中毒伤害</t>
  </si>
  <si>
    <t>单场战斗累计造成X点中毒伤害（PVP，PVE战斗都算，好友切磋不算）</t>
  </si>
  <si>
    <t>累计灼烧伤害</t>
  </si>
  <si>
    <t>单场战斗累计造成X点灼烧伤害（PVP，PVE战斗都算，好友切磋不算）</t>
  </si>
  <si>
    <t>累计流血伤害</t>
  </si>
  <si>
    <t>单场战斗累计造成X点流血伤害（PVP，PVE战斗都算，好友切磋不算）</t>
  </si>
  <si>
    <t>公会Boss</t>
  </si>
  <si>
    <t>公会Boss副本中，单场战斗累计造成X点伤害</t>
  </si>
  <si>
    <t>符文收集</t>
  </si>
  <si>
    <t>累计获得X个N级符文</t>
  </si>
  <si>
    <t>主线任务缺少的事件类型</t>
  </si>
  <si>
    <t>藏宝阁</t>
  </si>
  <si>
    <t>藏宝阁中兑换1次商品</t>
  </si>
  <si>
    <t>Nạp tiền nhiệm vụ</t>
  </si>
  <si>
    <t>Tích nạp 100 Nguyên</t>
  </si>
  <si>
    <t>Tích nạp 200 Nguyên</t>
  </si>
  <si>
    <t>Tích nạp 500 Nguyên</t>
  </si>
  <si>
    <t>0:1:1000#3:100006:1</t>
  </si>
  <si>
    <t>Tích nạp 1000 Nguyên</t>
  </si>
  <si>
    <t>Tích nạp 2000 Nguyên</t>
  </si>
  <si>
    <t>Tích nạp 3000 Nguyên</t>
  </si>
  <si>
    <t>0:1:5000#3:400008:1</t>
  </si>
  <si>
    <t>Tích nạp 5000 Nguyên</t>
  </si>
  <si>
    <t>0:1:8000#4:606002:50</t>
  </si>
  <si>
    <t>#</t>
  </si>
  <si>
    <t>3:500017:2#3:100001:1000#0:0:500000#0:4:50000</t>
  </si>
  <si>
    <t>5:4:1#3:100036:300#0:0:500000#0:4:100000</t>
  </si>
  <si>
    <t>3:1000010:1#3:100004:5000#0:0:1000000#0:4:200000</t>
  </si>
  <si>
    <t>3:1000010:2#3:100252:200#0:0:2000000#0:4:400000</t>
  </si>
  <si>
    <t>3:500023:2#3:590001:9#0:0:4000000#0:4:600000</t>
  </si>
  <si>
    <t>5:4:3#3:200101:500#0:0:8000000#0:4:800000</t>
  </si>
  <si>
    <t>3:500024:3#3:1000010:5#0:0:10000000#0:4:1000000</t>
  </si>
  <si>
    <t>3:500026:1#3:1000010:6#3:100216:5000#3:500014:1</t>
  </si>
  <si>
    <t>3:200101:500#3:200191:500#3:1000010:7#3:100031:10000#3:100098:6000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</si>
</sst>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theme="1"/>
      <name val="微软雅黑"/>
      <charset val="134"/>
    </font>
    <font>
      <b/>
      <sz val="11"/>
      <color rgb="FFFA7D00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SimSun"/>
      <charset val="134"/>
    </font>
    <font>
      <sz val="9"/>
      <name val="SimSun"/>
      <charset val="134"/>
    </font>
  </fonts>
  <fills count="48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82909634693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7" tint="0.39982299264503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9" borderId="1" applyNumberFormat="0" applyAlignment="0" applyProtection="0">
      <alignment vertical="center"/>
    </xf>
    <xf numFmtId="0" fontId="18" fillId="3" borderId="6" applyNumberFormat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19" fillId="3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32">
    <xf numFmtId="0" fontId="0" fillId="0" borderId="0" xfId="0"/>
    <xf numFmtId="0" fontId="0" fillId="2" borderId="0" xfId="0" applyFont="1" applyFill="1"/>
    <xf numFmtId="0" fontId="1" fillId="2" borderId="0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2" fillId="3" borderId="1" xfId="18" applyAlignment="1">
      <alignment horizontal="center" vertical="center"/>
    </xf>
    <xf numFmtId="0" fontId="2" fillId="3" borderId="1" xfId="18" applyAlignment="1"/>
    <xf numFmtId="0" fontId="2" fillId="3" borderId="2" xfId="18" applyBorder="1" applyAlignment="1"/>
    <xf numFmtId="0" fontId="3" fillId="4" borderId="0" xfId="0" applyFont="1" applyFill="1"/>
    <xf numFmtId="0" fontId="4" fillId="0" borderId="0" xfId="0" applyFont="1" applyFill="1"/>
    <xf numFmtId="0" fontId="4" fillId="0" borderId="0" xfId="0" applyFont="1" applyFill="1" applyBorder="1" applyAlignment="1">
      <alignment horizontal="center" vertical="center"/>
    </xf>
    <xf numFmtId="0" fontId="4" fillId="0" borderId="0" xfId="18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18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Border="1" applyAlignment="1">
      <alignment horizontal="center" vertical="center"/>
    </xf>
    <xf numFmtId="0" fontId="5" fillId="5" borderId="0" xfId="22" applyAlignment="1"/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NumberFormat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7" borderId="0" xfId="0" applyFill="1"/>
    <xf numFmtId="0" fontId="0" fillId="4" borderId="0" xfId="0" applyFill="1"/>
    <xf numFmtId="0" fontId="0" fillId="0" borderId="0" xfId="0" applyFill="1"/>
    <xf numFmtId="0" fontId="0" fillId="8" borderId="0" xfId="0" applyFill="1"/>
    <xf numFmtId="0" fontId="0" fillId="0" borderId="0" xfId="0" applyAlignment="1"/>
    <xf numFmtId="0" fontId="3" fillId="4" borderId="0" xfId="0" applyFont="1" applyFill="1" applyAlignment="1"/>
    <xf numFmtId="0" fontId="0" fillId="9" borderId="0" xfId="0" applyFill="1"/>
    <xf numFmtId="0" fontId="0" fillId="2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9" borderId="0" xfId="0" applyFill="1" applyAlignment="1"/>
    <xf numFmtId="0" fontId="0" fillId="13" borderId="0" xfId="0" applyFill="1" applyAlignment="1"/>
    <xf numFmtId="0" fontId="0" fillId="11" borderId="0" xfId="0" applyFill="1" applyAlignment="1"/>
    <xf numFmtId="0" fontId="0" fillId="14" borderId="0" xfId="0" applyFill="1"/>
    <xf numFmtId="0" fontId="0" fillId="14" borderId="0" xfId="0" applyFill="1" applyAlignmen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3" borderId="0" xfId="0" applyFill="1"/>
    <xf numFmtId="0" fontId="0" fillId="9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21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49" fontId="0" fillId="7" borderId="0" xfId="0" applyNumberFormat="1" applyFill="1"/>
    <xf numFmtId="0" fontId="0" fillId="4" borderId="0" xfId="0" applyFill="1" applyAlignment="1"/>
    <xf numFmtId="0" fontId="0" fillId="0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/>
    <xf numFmtId="49" fontId="0" fillId="0" borderId="0" xfId="0" applyNumberFormat="1"/>
    <xf numFmtId="35" fontId="0" fillId="0" borderId="0" xfId="0" applyNumberFormat="1" applyFont="1"/>
    <xf numFmtId="0" fontId="0" fillId="0" borderId="0" xfId="0" applyFont="1" applyAlignment="1"/>
    <xf numFmtId="0" fontId="0" fillId="4" borderId="0" xfId="0" applyFont="1" applyFill="1"/>
    <xf numFmtId="0" fontId="0" fillId="2" borderId="0" xfId="0" applyFont="1" applyFill="1" applyAlignment="1">
      <alignment horizontal="left"/>
    </xf>
    <xf numFmtId="0" fontId="0" fillId="9" borderId="0" xfId="0" applyFill="1" applyAlignment="1">
      <alignment horizontal="center" vertical="center"/>
    </xf>
    <xf numFmtId="0" fontId="0" fillId="9" borderId="0" xfId="0" applyFont="1" applyFill="1" applyAlignment="1"/>
    <xf numFmtId="0" fontId="0" fillId="2" borderId="0" xfId="0" applyFill="1" applyAlignment="1">
      <alignment horizontal="center" vertical="center"/>
    </xf>
    <xf numFmtId="0" fontId="0" fillId="2" borderId="0" xfId="0" applyFont="1" applyFill="1" applyAlignment="1"/>
    <xf numFmtId="0" fontId="0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10" borderId="0" xfId="0" applyFill="1" applyAlignment="1">
      <alignment horizontal="center" vertical="center"/>
    </xf>
    <xf numFmtId="0" fontId="0" fillId="10" borderId="0" xfId="0" applyFill="1" applyAlignment="1"/>
    <xf numFmtId="49" fontId="0" fillId="0" borderId="0" xfId="0" applyNumberFormat="1" applyFont="1"/>
    <xf numFmtId="0" fontId="0" fillId="10" borderId="0" xfId="0" applyFont="1" applyFill="1"/>
    <xf numFmtId="0" fontId="0" fillId="11" borderId="0" xfId="0" applyFill="1" applyAlignment="1">
      <alignment horizontal="center" vertical="center"/>
    </xf>
    <xf numFmtId="0" fontId="0" fillId="4" borderId="0" xfId="0" applyFont="1" applyFill="1" applyAlignment="1"/>
    <xf numFmtId="0" fontId="0" fillId="10" borderId="0" xfId="0" applyFont="1" applyFill="1" applyAlignment="1"/>
    <xf numFmtId="0" fontId="6" fillId="4" borderId="0" xfId="0" applyFont="1" applyFill="1" applyAlignment="1">
      <alignment horizontal="center"/>
    </xf>
    <xf numFmtId="0" fontId="6" fillId="23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12" borderId="0" xfId="0" applyFill="1" applyAlignment="1">
      <alignment horizontal="center" vertical="center"/>
    </xf>
    <xf numFmtId="0" fontId="0" fillId="12" borderId="0" xfId="0" applyFont="1" applyFill="1" applyAlignment="1"/>
    <xf numFmtId="0" fontId="0" fillId="0" borderId="0" xfId="0" applyNumberFormat="1" applyAlignment="1">
      <alignment horizontal="center" vertical="center"/>
    </xf>
    <xf numFmtId="0" fontId="0" fillId="24" borderId="0" xfId="0" applyNumberFormat="1" applyFill="1" applyAlignment="1">
      <alignment horizontal="center" vertical="center"/>
    </xf>
    <xf numFmtId="0" fontId="0" fillId="25" borderId="0" xfId="0" applyNumberFormat="1" applyFont="1" applyFill="1" applyAlignment="1">
      <alignment horizontal="center" vertical="center"/>
    </xf>
    <xf numFmtId="0" fontId="0" fillId="12" borderId="0" xfId="0" applyFont="1" applyFill="1"/>
    <xf numFmtId="0" fontId="0" fillId="9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9" fontId="0" fillId="9" borderId="0" xfId="0" applyNumberFormat="1" applyFill="1"/>
    <xf numFmtId="49" fontId="0" fillId="13" borderId="0" xfId="0" applyNumberFormat="1" applyFill="1" applyAlignment="1"/>
    <xf numFmtId="0" fontId="0" fillId="11" borderId="0" xfId="0" applyFill="1" applyAlignment="1">
      <alignment vertical="center"/>
    </xf>
    <xf numFmtId="0" fontId="0" fillId="14" borderId="0" xfId="0" applyFill="1" applyAlignment="1">
      <alignment horizontal="center" vertical="center"/>
    </xf>
    <xf numFmtId="0" fontId="0" fillId="14" borderId="0" xfId="0" applyFill="1" applyAlignment="1">
      <alignment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/>
    <xf numFmtId="49" fontId="0" fillId="11" borderId="0" xfId="0" applyNumberFormat="1" applyFill="1"/>
    <xf numFmtId="0" fontId="3" fillId="14" borderId="0" xfId="0" applyFont="1" applyFill="1"/>
    <xf numFmtId="49" fontId="3" fillId="14" borderId="0" xfId="0" applyNumberFormat="1" applyFont="1" applyFill="1"/>
    <xf numFmtId="0" fontId="7" fillId="15" borderId="0" xfId="0" applyFont="1" applyFill="1" applyBorder="1" applyAlignment="1">
      <alignment vertical="center"/>
    </xf>
    <xf numFmtId="0" fontId="0" fillId="9" borderId="0" xfId="0" applyFont="1" applyFill="1" applyAlignment="1">
      <alignment vertical="center"/>
    </xf>
    <xf numFmtId="0" fontId="0" fillId="16" borderId="0" xfId="0" applyFill="1" applyAlignment="1">
      <alignment horizontal="center" vertical="center"/>
    </xf>
    <xf numFmtId="0" fontId="7" fillId="16" borderId="0" xfId="0" applyFont="1" applyFill="1" applyBorder="1" applyAlignment="1">
      <alignment vertical="center"/>
    </xf>
    <xf numFmtId="0" fontId="0" fillId="0" borderId="0" xfId="0" applyFont="1" applyAlignment="1">
      <alignment horizontal="center" vertical="center"/>
    </xf>
    <xf numFmtId="0" fontId="0" fillId="9" borderId="0" xfId="0" applyFont="1" applyFill="1"/>
    <xf numFmtId="0" fontId="0" fillId="26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49" fontId="0" fillId="0" borderId="0" xfId="0" applyNumberFormat="1" applyFill="1" applyAlignment="1">
      <alignment vertical="center"/>
    </xf>
    <xf numFmtId="35" fontId="0" fillId="0" borderId="0" xfId="0" applyNumberFormat="1" applyFill="1" applyAlignment="1">
      <alignment vertical="center"/>
    </xf>
    <xf numFmtId="0" fontId="7" fillId="10" borderId="0" xfId="0" applyFont="1" applyFill="1" applyBorder="1" applyAlignment="1">
      <alignment vertical="center"/>
    </xf>
    <xf numFmtId="0" fontId="0" fillId="17" borderId="0" xfId="0" applyFill="1" applyAlignment="1">
      <alignment horizontal="center" vertical="center"/>
    </xf>
    <xf numFmtId="0" fontId="7" fillId="17" borderId="0" xfId="0" applyFont="1" applyFill="1" applyBorder="1" applyAlignment="1">
      <alignment vertical="center"/>
    </xf>
    <xf numFmtId="0" fontId="0" fillId="18" borderId="0" xfId="0" applyFill="1" applyAlignment="1">
      <alignment horizontal="center" vertical="center"/>
    </xf>
    <xf numFmtId="0" fontId="7" fillId="18" borderId="0" xfId="0" applyFont="1" applyFill="1" applyBorder="1" applyAlignment="1">
      <alignment vertical="center"/>
    </xf>
    <xf numFmtId="0" fontId="8" fillId="0" borderId="0" xfId="0" applyFont="1" applyFill="1" applyAlignment="1"/>
    <xf numFmtId="0" fontId="8" fillId="15" borderId="0" xfId="0" applyFont="1" applyFill="1" applyAlignment="1"/>
    <xf numFmtId="0" fontId="8" fillId="18" borderId="0" xfId="0" applyFont="1" applyFill="1" applyAlignment="1"/>
    <xf numFmtId="0" fontId="8" fillId="16" borderId="0" xfId="0" applyFont="1" applyFill="1" applyAlignment="1"/>
    <xf numFmtId="0" fontId="7" fillId="13" borderId="0" xfId="0" applyFont="1" applyFill="1" applyBorder="1" applyAlignment="1">
      <alignment vertical="center"/>
    </xf>
    <xf numFmtId="0" fontId="0" fillId="27" borderId="0" xfId="0" applyFill="1" applyAlignment="1">
      <alignment horizontal="center" vertical="center"/>
    </xf>
    <xf numFmtId="0" fontId="8" fillId="13" borderId="0" xfId="0" applyFont="1" applyFill="1" applyAlignment="1"/>
    <xf numFmtId="0" fontId="0" fillId="11" borderId="0" xfId="0" applyFont="1" applyFill="1" applyAlignment="1">
      <alignment vertical="center"/>
    </xf>
    <xf numFmtId="0" fontId="0" fillId="22" borderId="0" xfId="0" applyFont="1" applyFill="1" applyAlignment="1">
      <alignment horizontal="left"/>
    </xf>
    <xf numFmtId="0" fontId="0" fillId="14" borderId="0" xfId="0" applyFont="1" applyFill="1" applyAlignment="1">
      <alignment horizontal="left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2" xfId="49"/>
  </cellStyles>
  <dxfs count="4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haredStrings" Target="sharedStrings.xml"/><Relationship Id="rId14" Type="http://schemas.openxmlformats.org/officeDocument/2006/relationships/styles" Target="style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10</xdr:col>
      <xdr:colOff>495300</xdr:colOff>
      <xdr:row>15</xdr:row>
      <xdr:rowOff>171450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00300" y="190500"/>
          <a:ext cx="7800975" cy="2838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1503"/>
  <sheetViews>
    <sheetView zoomScale="106" zoomScaleNormal="106" workbookViewId="0">
      <pane xSplit="4" ySplit="1" topLeftCell="R1073" activePane="bottomRight" state="frozen"/>
      <selection/>
      <selection pane="topRight"/>
      <selection pane="bottomLeft"/>
      <selection pane="bottomRight" activeCell="R1083" sqref="R1083"/>
    </sheetView>
  </sheetViews>
  <sheetFormatPr defaultColWidth="9" defaultRowHeight="15"/>
  <cols>
    <col min="1" max="1" width="9" style="4"/>
    <col min="2" max="2" width="15.7142857142857" style="4" customWidth="1"/>
    <col min="3" max="3" width="37.1428571428571" style="4" customWidth="1"/>
    <col min="4" max="4" width="94.2857142857143" style="30" customWidth="1"/>
    <col min="5" max="5" width="10.5714285714286" style="4" customWidth="1"/>
    <col min="6" max="6" width="10.8571428571429" style="4" customWidth="1"/>
    <col min="7" max="7" width="11.2857142857143" style="4" customWidth="1"/>
    <col min="8" max="8" width="11.7142857142857" style="4" customWidth="1"/>
    <col min="9" max="9" width="9" style="4"/>
    <col min="10" max="10" width="13.4285714285714" style="4" customWidth="1"/>
    <col min="11" max="11" width="8.14285714285714" customWidth="1"/>
    <col min="12" max="12" width="7.42857142857143" customWidth="1"/>
    <col min="13" max="13" width="10.1428571428571" customWidth="1"/>
    <col min="14" max="14" width="9.42857142857143" style="4" customWidth="1"/>
    <col min="15" max="15" width="33.7142857142857" customWidth="1"/>
    <col min="16" max="16" width="11.8571428571429" style="4" customWidth="1"/>
    <col min="17" max="17" width="20.2857142857143" customWidth="1"/>
    <col min="18" max="18" width="69.5714285714286" customWidth="1"/>
  </cols>
  <sheetData>
    <row r="1" spans="1:18">
      <c r="A1" s="4" t="s">
        <v>0</v>
      </c>
      <c r="B1" s="4" t="s">
        <v>1</v>
      </c>
      <c r="C1" s="4" t="s">
        <v>2</v>
      </c>
      <c r="D1" s="7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  <c r="P1" s="4" t="s">
        <v>15</v>
      </c>
      <c r="Q1" t="s">
        <v>16</v>
      </c>
      <c r="R1" t="s">
        <v>17</v>
      </c>
    </row>
    <row r="2" spans="1:18">
      <c r="A2" s="4">
        <v>0</v>
      </c>
      <c r="B2" s="4">
        <v>101</v>
      </c>
      <c r="C2" s="4" t="s">
        <v>18</v>
      </c>
      <c r="D2" s="30" t="s">
        <v>19</v>
      </c>
      <c r="F2" s="4">
        <v>2</v>
      </c>
      <c r="G2" s="4">
        <v>5</v>
      </c>
      <c r="J2" s="4">
        <v>0</v>
      </c>
      <c r="K2" t="s">
        <v>20</v>
      </c>
      <c r="N2" s="4">
        <v>0</v>
      </c>
      <c r="O2" t="s">
        <v>21</v>
      </c>
      <c r="P2" s="4">
        <v>2</v>
      </c>
      <c r="Q2" t="s">
        <v>22</v>
      </c>
      <c r="R2" t="s">
        <v>23</v>
      </c>
    </row>
    <row r="3" spans="1:18">
      <c r="A3" s="4">
        <v>2</v>
      </c>
      <c r="B3" s="4">
        <v>201</v>
      </c>
      <c r="C3" s="4" t="s">
        <v>24</v>
      </c>
      <c r="D3" s="30" t="s">
        <v>25</v>
      </c>
      <c r="F3" s="4">
        <v>2</v>
      </c>
      <c r="G3" s="4">
        <v>10</v>
      </c>
      <c r="J3" s="4">
        <v>0</v>
      </c>
      <c r="K3" t="s">
        <v>26</v>
      </c>
      <c r="N3" s="4">
        <v>0</v>
      </c>
      <c r="O3" t="s">
        <v>27</v>
      </c>
      <c r="P3" s="4">
        <v>2</v>
      </c>
      <c r="Q3" s="5" t="s">
        <v>28</v>
      </c>
      <c r="R3" t="s">
        <v>29</v>
      </c>
    </row>
    <row r="4" spans="1:18">
      <c r="A4" s="4">
        <v>3</v>
      </c>
      <c r="B4" s="4">
        <v>201</v>
      </c>
      <c r="C4" s="4" t="s">
        <v>30</v>
      </c>
      <c r="D4" s="30" t="s">
        <v>31</v>
      </c>
      <c r="F4" s="4">
        <v>2</v>
      </c>
      <c r="G4" s="4">
        <v>11</v>
      </c>
      <c r="J4" s="4">
        <v>0</v>
      </c>
      <c r="K4" t="s">
        <v>32</v>
      </c>
      <c r="N4" s="4">
        <v>0</v>
      </c>
      <c r="O4" t="s">
        <v>20</v>
      </c>
      <c r="P4" s="4">
        <v>2</v>
      </c>
      <c r="Q4" t="s">
        <v>33</v>
      </c>
      <c r="R4" t="s">
        <v>34</v>
      </c>
    </row>
    <row r="5" spans="1:18">
      <c r="A5" s="4">
        <v>4</v>
      </c>
      <c r="B5" s="4">
        <v>201</v>
      </c>
      <c r="C5" s="4" t="s">
        <v>35</v>
      </c>
      <c r="D5" s="30" t="s">
        <v>36</v>
      </c>
      <c r="F5" s="4">
        <v>2</v>
      </c>
      <c r="G5" s="4">
        <v>12</v>
      </c>
      <c r="J5" s="4">
        <v>0</v>
      </c>
      <c r="K5" t="s">
        <v>37</v>
      </c>
      <c r="N5" s="4">
        <v>0</v>
      </c>
      <c r="O5" t="s">
        <v>38</v>
      </c>
      <c r="P5" s="4">
        <v>2</v>
      </c>
      <c r="Q5" t="s">
        <v>20</v>
      </c>
      <c r="R5" t="s">
        <v>39</v>
      </c>
    </row>
    <row r="6" spans="1:18">
      <c r="A6" s="4">
        <v>5</v>
      </c>
      <c r="B6" s="4">
        <v>201</v>
      </c>
      <c r="C6" s="4" t="s">
        <v>40</v>
      </c>
      <c r="D6" s="30" t="s">
        <v>41</v>
      </c>
      <c r="F6" s="4">
        <v>2</v>
      </c>
      <c r="G6" s="4">
        <v>13</v>
      </c>
      <c r="J6" s="4">
        <v>0</v>
      </c>
      <c r="K6" t="s">
        <v>42</v>
      </c>
      <c r="N6" s="4">
        <v>2</v>
      </c>
      <c r="O6" t="s">
        <v>43</v>
      </c>
      <c r="P6" s="4">
        <v>2</v>
      </c>
      <c r="Q6" t="s">
        <v>44</v>
      </c>
      <c r="R6" t="s">
        <v>45</v>
      </c>
    </row>
    <row r="7" spans="1:18">
      <c r="A7" s="4">
        <v>6</v>
      </c>
      <c r="B7" s="4">
        <v>201</v>
      </c>
      <c r="C7" s="4" t="s">
        <v>46</v>
      </c>
      <c r="D7" s="30" t="s">
        <v>47</v>
      </c>
      <c r="F7" s="4">
        <v>2</v>
      </c>
      <c r="G7" s="4">
        <v>14</v>
      </c>
      <c r="J7" s="4">
        <v>0</v>
      </c>
      <c r="K7" t="s">
        <v>48</v>
      </c>
      <c r="N7" s="4">
        <v>0</v>
      </c>
      <c r="O7" t="s">
        <v>49</v>
      </c>
      <c r="P7" s="4">
        <v>2</v>
      </c>
      <c r="Q7" t="s">
        <v>50</v>
      </c>
      <c r="R7" t="s">
        <v>51</v>
      </c>
    </row>
    <row r="8" spans="1:18">
      <c r="A8" s="4">
        <v>7</v>
      </c>
      <c r="B8" s="4">
        <v>201</v>
      </c>
      <c r="C8" s="4" t="s">
        <v>52</v>
      </c>
      <c r="D8" s="30" t="s">
        <v>53</v>
      </c>
      <c r="F8" s="4">
        <v>2</v>
      </c>
      <c r="G8" s="4">
        <v>15</v>
      </c>
      <c r="J8" s="4">
        <v>0</v>
      </c>
      <c r="K8" t="s">
        <v>54</v>
      </c>
      <c r="N8" s="4">
        <v>0</v>
      </c>
      <c r="P8" s="4">
        <v>2</v>
      </c>
      <c r="Q8" t="s">
        <v>55</v>
      </c>
      <c r="R8" t="s">
        <v>56</v>
      </c>
    </row>
    <row r="9" spans="1:18">
      <c r="A9" s="4">
        <v>8</v>
      </c>
      <c r="B9" s="4">
        <v>201</v>
      </c>
      <c r="C9" s="4" t="s">
        <v>57</v>
      </c>
      <c r="D9" s="30" t="s">
        <v>58</v>
      </c>
      <c r="F9" s="4">
        <v>2</v>
      </c>
      <c r="G9" s="4">
        <v>16</v>
      </c>
      <c r="J9" s="4">
        <v>0</v>
      </c>
      <c r="N9" s="4">
        <v>0</v>
      </c>
      <c r="O9" t="s">
        <v>59</v>
      </c>
      <c r="P9" s="4">
        <v>2</v>
      </c>
      <c r="Q9" t="s">
        <v>60</v>
      </c>
      <c r="R9" t="s">
        <v>61</v>
      </c>
    </row>
    <row r="10" spans="1:18">
      <c r="A10" s="4">
        <v>9</v>
      </c>
      <c r="B10" s="4">
        <v>201</v>
      </c>
      <c r="C10" s="4" t="s">
        <v>62</v>
      </c>
      <c r="D10" s="30" t="s">
        <v>63</v>
      </c>
      <c r="F10" s="4">
        <v>2</v>
      </c>
      <c r="G10" s="4">
        <v>17</v>
      </c>
      <c r="J10" s="4">
        <v>0</v>
      </c>
      <c r="N10" s="4">
        <v>0</v>
      </c>
      <c r="O10" t="s">
        <v>64</v>
      </c>
      <c r="P10" s="4">
        <v>2</v>
      </c>
      <c r="Q10" t="s">
        <v>65</v>
      </c>
      <c r="R10" t="s">
        <v>66</v>
      </c>
    </row>
    <row r="11" spans="1:18">
      <c r="A11" s="4">
        <v>10</v>
      </c>
      <c r="B11" s="4">
        <v>201</v>
      </c>
      <c r="C11" s="4" t="s">
        <v>67</v>
      </c>
      <c r="D11" s="30" t="s">
        <v>68</v>
      </c>
      <c r="F11" s="4">
        <v>2</v>
      </c>
      <c r="G11" s="4">
        <v>18</v>
      </c>
      <c r="J11" s="4">
        <v>0</v>
      </c>
      <c r="N11" s="4">
        <v>2</v>
      </c>
      <c r="P11" s="4">
        <v>2</v>
      </c>
      <c r="R11" t="s">
        <v>69</v>
      </c>
    </row>
    <row r="12" spans="1:18">
      <c r="A12" s="4">
        <v>11</v>
      </c>
      <c r="B12" s="4">
        <v>201</v>
      </c>
      <c r="C12" s="4" t="s">
        <v>70</v>
      </c>
      <c r="D12" s="30" t="s">
        <v>71</v>
      </c>
      <c r="F12" s="4">
        <v>2</v>
      </c>
      <c r="G12" s="4">
        <v>19</v>
      </c>
      <c r="J12" s="4">
        <v>0</v>
      </c>
      <c r="N12" s="4">
        <v>0</v>
      </c>
      <c r="P12" s="4">
        <v>2</v>
      </c>
      <c r="R12" t="s">
        <v>72</v>
      </c>
    </row>
    <row r="13" spans="1:18">
      <c r="A13" s="4">
        <v>12</v>
      </c>
      <c r="B13" s="4">
        <v>201</v>
      </c>
      <c r="C13" s="4" t="s">
        <v>73</v>
      </c>
      <c r="D13" s="30" t="s">
        <v>74</v>
      </c>
      <c r="F13" s="4">
        <v>2</v>
      </c>
      <c r="G13" s="4">
        <v>20</v>
      </c>
      <c r="J13" s="4">
        <v>0</v>
      </c>
      <c r="N13" s="4">
        <v>0</v>
      </c>
      <c r="P13" s="4">
        <v>2</v>
      </c>
      <c r="R13" t="s">
        <v>75</v>
      </c>
    </row>
    <row r="14" s="26" customFormat="1" spans="1:18">
      <c r="A14" s="56">
        <v>13</v>
      </c>
      <c r="B14" s="56">
        <v>9999</v>
      </c>
      <c r="C14" s="56" t="s">
        <v>76</v>
      </c>
      <c r="D14" s="57" t="s">
        <v>77</v>
      </c>
      <c r="E14" s="56"/>
      <c r="F14" s="56"/>
      <c r="G14" s="56">
        <v>5</v>
      </c>
      <c r="H14" s="56"/>
      <c r="I14" s="56"/>
      <c r="J14" s="56">
        <v>1</v>
      </c>
      <c r="L14" s="58"/>
      <c r="M14" s="58"/>
      <c r="N14" s="56">
        <v>2</v>
      </c>
      <c r="P14" s="56">
        <v>2</v>
      </c>
      <c r="R14" s="26" t="s">
        <v>78</v>
      </c>
    </row>
    <row r="15" s="26" customFormat="1" spans="1:18">
      <c r="A15" s="56">
        <v>14</v>
      </c>
      <c r="B15" s="56">
        <v>9999</v>
      </c>
      <c r="C15" s="56" t="s">
        <v>79</v>
      </c>
      <c r="D15" s="57" t="s">
        <v>80</v>
      </c>
      <c r="E15" s="56"/>
      <c r="F15" s="56"/>
      <c r="G15" s="56">
        <v>3</v>
      </c>
      <c r="H15" s="56"/>
      <c r="I15" s="56"/>
      <c r="J15" s="56">
        <v>1</v>
      </c>
      <c r="L15" s="58"/>
      <c r="M15" s="58"/>
      <c r="N15" s="56">
        <v>2</v>
      </c>
      <c r="P15" s="56">
        <v>2</v>
      </c>
      <c r="R15" s="26" t="s">
        <v>81</v>
      </c>
    </row>
    <row r="16" s="26" customFormat="1" spans="1:18">
      <c r="A16" s="56">
        <v>15</v>
      </c>
      <c r="B16" s="56">
        <v>9999</v>
      </c>
      <c r="C16" s="56" t="s">
        <v>82</v>
      </c>
      <c r="D16" s="57" t="s">
        <v>83</v>
      </c>
      <c r="E16" s="56"/>
      <c r="F16" s="56"/>
      <c r="G16" s="56">
        <v>3</v>
      </c>
      <c r="H16" s="56"/>
      <c r="I16" s="56"/>
      <c r="J16" s="56">
        <v>1</v>
      </c>
      <c r="L16" s="58"/>
      <c r="M16" s="58"/>
      <c r="N16" s="56">
        <v>2</v>
      </c>
      <c r="P16" s="56">
        <v>2</v>
      </c>
      <c r="R16" s="26" t="s">
        <v>81</v>
      </c>
    </row>
    <row r="17" s="26" customFormat="1" spans="1:18">
      <c r="A17" s="56">
        <v>16</v>
      </c>
      <c r="B17" s="56">
        <v>9999</v>
      </c>
      <c r="C17" s="56" t="s">
        <v>84</v>
      </c>
      <c r="D17" s="57" t="s">
        <v>85</v>
      </c>
      <c r="E17" s="56"/>
      <c r="F17" s="56"/>
      <c r="G17" s="56">
        <v>3</v>
      </c>
      <c r="H17" s="56"/>
      <c r="I17" s="56"/>
      <c r="J17" s="56">
        <v>1</v>
      </c>
      <c r="L17" s="58"/>
      <c r="M17" s="58"/>
      <c r="N17" s="56">
        <v>2</v>
      </c>
      <c r="P17" s="56">
        <v>2</v>
      </c>
      <c r="R17" s="26" t="s">
        <v>78</v>
      </c>
    </row>
    <row r="18" s="26" customFormat="1" spans="1:18">
      <c r="A18" s="56">
        <v>17</v>
      </c>
      <c r="B18" s="56">
        <v>9999</v>
      </c>
      <c r="C18" s="56" t="s">
        <v>86</v>
      </c>
      <c r="D18" s="57" t="s">
        <v>87</v>
      </c>
      <c r="E18" s="56"/>
      <c r="F18" s="56"/>
      <c r="G18" s="56">
        <v>1</v>
      </c>
      <c r="H18" s="56"/>
      <c r="I18" s="56"/>
      <c r="J18" s="56">
        <v>1</v>
      </c>
      <c r="L18" s="58"/>
      <c r="M18" s="58"/>
      <c r="N18" s="56">
        <v>2</v>
      </c>
      <c r="P18" s="56">
        <v>2</v>
      </c>
      <c r="R18" s="26" t="s">
        <v>78</v>
      </c>
    </row>
    <row r="19" s="26" customFormat="1" spans="1:18">
      <c r="A19" s="56">
        <v>18</v>
      </c>
      <c r="B19" s="56">
        <v>9999</v>
      </c>
      <c r="C19" s="56" t="s">
        <v>88</v>
      </c>
      <c r="D19" s="57" t="s">
        <v>89</v>
      </c>
      <c r="E19" s="56"/>
      <c r="F19" s="56"/>
      <c r="G19" s="56">
        <v>2</v>
      </c>
      <c r="H19" s="56"/>
      <c r="I19" s="56"/>
      <c r="J19" s="56">
        <v>1</v>
      </c>
      <c r="L19" s="58"/>
      <c r="M19" s="58"/>
      <c r="N19" s="56">
        <v>2</v>
      </c>
      <c r="P19" s="56">
        <v>2</v>
      </c>
      <c r="R19" s="26" t="s">
        <v>90</v>
      </c>
    </row>
    <row r="20" s="26" customFormat="1" spans="1:18">
      <c r="A20" s="56">
        <v>19</v>
      </c>
      <c r="B20" s="56">
        <v>9999</v>
      </c>
      <c r="C20" s="56" t="s">
        <v>91</v>
      </c>
      <c r="D20" s="57" t="s">
        <v>92</v>
      </c>
      <c r="E20" s="56"/>
      <c r="F20" s="56"/>
      <c r="G20" s="56">
        <v>3</v>
      </c>
      <c r="H20" s="56"/>
      <c r="I20" s="56"/>
      <c r="J20" s="56">
        <v>1</v>
      </c>
      <c r="L20" s="58"/>
      <c r="M20" s="58"/>
      <c r="N20" s="56">
        <v>2</v>
      </c>
      <c r="P20" s="56">
        <v>2</v>
      </c>
      <c r="R20" s="26" t="s">
        <v>93</v>
      </c>
    </row>
    <row r="21" s="26" customFormat="1" spans="1:18">
      <c r="A21" s="56">
        <v>20</v>
      </c>
      <c r="B21" s="56">
        <v>9999</v>
      </c>
      <c r="C21" s="56" t="s">
        <v>94</v>
      </c>
      <c r="D21" s="57" t="s">
        <v>95</v>
      </c>
      <c r="E21" s="56"/>
      <c r="F21" s="56"/>
      <c r="G21" s="56">
        <v>3</v>
      </c>
      <c r="H21" s="56"/>
      <c r="I21" s="56"/>
      <c r="J21" s="56">
        <v>1</v>
      </c>
      <c r="L21" s="58"/>
      <c r="M21" s="58"/>
      <c r="N21" s="56">
        <v>2</v>
      </c>
      <c r="P21" s="56">
        <v>2</v>
      </c>
      <c r="R21" s="26" t="s">
        <v>96</v>
      </c>
    </row>
    <row r="22" s="26" customFormat="1" spans="1:18">
      <c r="A22" s="56">
        <v>21</v>
      </c>
      <c r="B22" s="56">
        <v>9999</v>
      </c>
      <c r="C22" s="56" t="s">
        <v>97</v>
      </c>
      <c r="D22" s="57" t="s">
        <v>98</v>
      </c>
      <c r="E22" s="56"/>
      <c r="F22" s="56"/>
      <c r="G22" s="56">
        <v>2</v>
      </c>
      <c r="H22" s="56"/>
      <c r="I22" s="56"/>
      <c r="J22" s="56">
        <v>1</v>
      </c>
      <c r="L22" s="58"/>
      <c r="M22" s="58"/>
      <c r="N22" s="56">
        <v>2</v>
      </c>
      <c r="P22" s="56">
        <v>2</v>
      </c>
      <c r="R22" s="26" t="s">
        <v>78</v>
      </c>
    </row>
    <row r="23" s="26" customFormat="1" spans="1:18">
      <c r="A23" s="56">
        <v>22</v>
      </c>
      <c r="B23" s="56">
        <v>9999</v>
      </c>
      <c r="C23" s="56" t="s">
        <v>99</v>
      </c>
      <c r="D23" s="57" t="s">
        <v>100</v>
      </c>
      <c r="E23" s="56"/>
      <c r="F23" s="56"/>
      <c r="G23" s="56">
        <v>1</v>
      </c>
      <c r="H23" s="56"/>
      <c r="I23" s="56"/>
      <c r="J23" s="56">
        <v>1</v>
      </c>
      <c r="L23" s="58"/>
      <c r="M23" s="58"/>
      <c r="N23" s="56">
        <v>2</v>
      </c>
      <c r="P23" s="56">
        <v>2</v>
      </c>
      <c r="R23" s="26" t="s">
        <v>101</v>
      </c>
    </row>
    <row r="24" spans="1:18">
      <c r="A24" s="4">
        <v>23</v>
      </c>
      <c r="B24" s="4">
        <v>201</v>
      </c>
      <c r="C24" s="4" t="s">
        <v>102</v>
      </c>
      <c r="D24" s="30" t="s">
        <v>103</v>
      </c>
      <c r="F24" s="4">
        <v>2</v>
      </c>
      <c r="G24" s="4">
        <v>21</v>
      </c>
      <c r="J24" s="4">
        <v>0</v>
      </c>
      <c r="N24" s="4">
        <v>2</v>
      </c>
      <c r="P24" s="4">
        <v>2</v>
      </c>
      <c r="R24" t="s">
        <v>72</v>
      </c>
    </row>
    <row r="25" s="26" customFormat="1" spans="1:18">
      <c r="A25" s="56">
        <v>24</v>
      </c>
      <c r="B25" s="56">
        <v>9999</v>
      </c>
      <c r="C25" s="56" t="s">
        <v>104</v>
      </c>
      <c r="D25" s="57" t="s">
        <v>105</v>
      </c>
      <c r="E25" s="56"/>
      <c r="F25" s="56"/>
      <c r="G25" s="56">
        <v>15</v>
      </c>
      <c r="H25" s="56"/>
      <c r="I25" s="56"/>
      <c r="J25" s="56">
        <v>4</v>
      </c>
      <c r="L25" s="58" t="s">
        <v>106</v>
      </c>
      <c r="M25" s="58" t="s">
        <v>107</v>
      </c>
      <c r="N25" s="56">
        <v>2</v>
      </c>
      <c r="P25" s="56">
        <v>2</v>
      </c>
      <c r="R25" s="26" t="s">
        <v>75</v>
      </c>
    </row>
    <row r="26" spans="1:18">
      <c r="A26" s="4">
        <v>1001</v>
      </c>
      <c r="B26" s="4">
        <v>101</v>
      </c>
      <c r="C26" s="4" t="s">
        <v>108</v>
      </c>
      <c r="D26" s="30" t="s">
        <v>109</v>
      </c>
      <c r="G26" s="4">
        <v>1</v>
      </c>
      <c r="J26" s="4">
        <v>1</v>
      </c>
      <c r="N26" s="4">
        <v>2</v>
      </c>
      <c r="P26" s="4">
        <v>2</v>
      </c>
      <c r="R26" t="s">
        <v>110</v>
      </c>
    </row>
    <row r="27" spans="1:18">
      <c r="A27" s="4">
        <v>1002</v>
      </c>
      <c r="B27" s="4">
        <v>302</v>
      </c>
      <c r="C27" s="4" t="s">
        <v>111</v>
      </c>
      <c r="D27" s="30" t="s">
        <v>112</v>
      </c>
      <c r="F27" s="4">
        <v>1</v>
      </c>
      <c r="G27" s="4">
        <v>5</v>
      </c>
      <c r="J27" s="4">
        <v>1</v>
      </c>
      <c r="N27" s="4">
        <v>2</v>
      </c>
      <c r="P27" s="4">
        <v>2</v>
      </c>
      <c r="R27" t="s">
        <v>113</v>
      </c>
    </row>
    <row r="28" spans="1:18">
      <c r="A28" s="4">
        <v>1003</v>
      </c>
      <c r="B28" s="4">
        <v>401</v>
      </c>
      <c r="C28" s="4" t="s">
        <v>114</v>
      </c>
      <c r="D28" s="30" t="s">
        <v>115</v>
      </c>
      <c r="F28" s="4">
        <v>2</v>
      </c>
      <c r="G28" s="4">
        <v>3</v>
      </c>
      <c r="J28" s="4">
        <v>1</v>
      </c>
      <c r="N28" s="4">
        <v>2</v>
      </c>
      <c r="P28" s="4">
        <v>2</v>
      </c>
      <c r="R28" t="s">
        <v>116</v>
      </c>
    </row>
    <row r="29" spans="1:18">
      <c r="A29" s="4">
        <v>1004</v>
      </c>
      <c r="B29" s="4">
        <v>1211</v>
      </c>
      <c r="C29" s="4" t="s">
        <v>117</v>
      </c>
      <c r="D29" s="30" t="s">
        <v>118</v>
      </c>
      <c r="F29" s="4">
        <v>17</v>
      </c>
      <c r="G29" s="4">
        <v>3</v>
      </c>
      <c r="J29" s="4">
        <v>1</v>
      </c>
      <c r="N29" s="4">
        <v>2</v>
      </c>
      <c r="P29" s="4">
        <v>2</v>
      </c>
      <c r="R29" t="s">
        <v>119</v>
      </c>
    </row>
    <row r="30" spans="1:18">
      <c r="A30" s="4">
        <v>1005</v>
      </c>
      <c r="B30" s="4">
        <v>1202</v>
      </c>
      <c r="C30" s="4" t="s">
        <v>120</v>
      </c>
      <c r="D30" s="30" t="s">
        <v>121</v>
      </c>
      <c r="F30" s="4">
        <v>18</v>
      </c>
      <c r="G30" s="4">
        <v>1</v>
      </c>
      <c r="J30" s="4">
        <v>1</v>
      </c>
      <c r="N30" s="4">
        <v>2</v>
      </c>
      <c r="P30" s="4">
        <v>2</v>
      </c>
      <c r="R30" t="s">
        <v>122</v>
      </c>
    </row>
    <row r="31" spans="1:18">
      <c r="A31" s="4">
        <v>1006</v>
      </c>
      <c r="B31" s="4">
        <v>1402</v>
      </c>
      <c r="C31" s="4" t="s">
        <v>123</v>
      </c>
      <c r="D31" s="30" t="s">
        <v>124</v>
      </c>
      <c r="F31" s="4">
        <v>3</v>
      </c>
      <c r="G31" s="4">
        <v>1</v>
      </c>
      <c r="J31" s="4">
        <v>1</v>
      </c>
      <c r="N31" s="4">
        <v>2</v>
      </c>
      <c r="P31" s="4">
        <v>2</v>
      </c>
      <c r="R31" t="s">
        <v>125</v>
      </c>
    </row>
    <row r="32" spans="1:18">
      <c r="A32" s="4">
        <v>1007</v>
      </c>
      <c r="B32" s="4">
        <v>1003</v>
      </c>
      <c r="C32" s="4" t="s">
        <v>126</v>
      </c>
      <c r="D32" s="30" t="s">
        <v>127</v>
      </c>
      <c r="F32" s="4">
        <v>4</v>
      </c>
      <c r="G32" s="4">
        <v>3</v>
      </c>
      <c r="J32" s="4">
        <v>1</v>
      </c>
      <c r="N32" s="4">
        <v>2</v>
      </c>
      <c r="P32" s="4">
        <v>2</v>
      </c>
      <c r="R32" t="s">
        <v>128</v>
      </c>
    </row>
    <row r="33" spans="1:18">
      <c r="A33" s="4">
        <v>1008</v>
      </c>
      <c r="B33" s="4">
        <v>1101</v>
      </c>
      <c r="C33" s="4" t="s">
        <v>129</v>
      </c>
      <c r="D33" s="30" t="s">
        <v>130</v>
      </c>
      <c r="F33" s="4">
        <v>5</v>
      </c>
      <c r="G33" s="4">
        <v>2</v>
      </c>
      <c r="J33" s="4">
        <v>1</v>
      </c>
      <c r="N33" s="4">
        <v>2</v>
      </c>
      <c r="P33" s="4">
        <v>2</v>
      </c>
      <c r="R33" t="s">
        <v>125</v>
      </c>
    </row>
    <row r="34" spans="1:18">
      <c r="A34" s="4">
        <v>1009</v>
      </c>
      <c r="B34" s="4">
        <v>1502</v>
      </c>
      <c r="C34" s="4" t="s">
        <v>131</v>
      </c>
      <c r="D34" s="30" t="s">
        <v>132</v>
      </c>
      <c r="F34" s="4">
        <v>6</v>
      </c>
      <c r="G34" s="4">
        <v>3</v>
      </c>
      <c r="J34" s="4">
        <v>1</v>
      </c>
      <c r="N34" s="4">
        <v>2</v>
      </c>
      <c r="P34" s="4">
        <v>2</v>
      </c>
      <c r="R34" t="s">
        <v>133</v>
      </c>
    </row>
    <row r="35" spans="1:18">
      <c r="A35" s="4">
        <v>1010</v>
      </c>
      <c r="B35" s="4">
        <v>1301</v>
      </c>
      <c r="C35" s="4" t="s">
        <v>134</v>
      </c>
      <c r="D35" s="30" t="s">
        <v>135</v>
      </c>
      <c r="F35" s="4">
        <v>7</v>
      </c>
      <c r="G35" s="4">
        <v>3</v>
      </c>
      <c r="J35" s="4">
        <v>1</v>
      </c>
      <c r="N35" s="4">
        <v>2</v>
      </c>
      <c r="P35" s="4">
        <v>2</v>
      </c>
      <c r="R35" t="s">
        <v>136</v>
      </c>
    </row>
    <row r="36" spans="1:18">
      <c r="A36" s="4">
        <v>1011</v>
      </c>
      <c r="B36" s="4">
        <v>3101</v>
      </c>
      <c r="C36" s="4" t="s">
        <v>137</v>
      </c>
      <c r="D36" s="30" t="s">
        <v>138</v>
      </c>
      <c r="F36" s="4">
        <v>9</v>
      </c>
      <c r="G36" s="4">
        <v>3</v>
      </c>
      <c r="J36" s="4">
        <v>1</v>
      </c>
      <c r="N36" s="4">
        <v>2</v>
      </c>
      <c r="P36" s="4">
        <v>2</v>
      </c>
      <c r="R36" t="s">
        <v>139</v>
      </c>
    </row>
    <row r="37" spans="1:18">
      <c r="A37" s="4">
        <v>1012</v>
      </c>
      <c r="B37" s="4">
        <v>1002</v>
      </c>
      <c r="C37" s="4" t="s">
        <v>140</v>
      </c>
      <c r="D37" s="30" t="s">
        <v>141</v>
      </c>
      <c r="F37" s="4">
        <v>10</v>
      </c>
      <c r="G37" s="4">
        <v>3</v>
      </c>
      <c r="J37" s="4">
        <v>1</v>
      </c>
      <c r="N37" s="4">
        <v>2</v>
      </c>
      <c r="P37" s="4">
        <v>2</v>
      </c>
      <c r="R37" t="s">
        <v>142</v>
      </c>
    </row>
    <row r="38" spans="1:18">
      <c r="A38" s="4">
        <v>1013</v>
      </c>
      <c r="B38" s="4">
        <v>1002</v>
      </c>
      <c r="C38" s="4" t="s">
        <v>140</v>
      </c>
      <c r="D38" s="30" t="s">
        <v>143</v>
      </c>
      <c r="F38" s="4">
        <v>10</v>
      </c>
      <c r="G38" s="4">
        <v>1</v>
      </c>
      <c r="J38" s="4">
        <v>0</v>
      </c>
      <c r="N38" s="4">
        <v>2</v>
      </c>
      <c r="P38" s="4">
        <v>2</v>
      </c>
      <c r="R38" t="s">
        <v>144</v>
      </c>
    </row>
    <row r="39" s="12" customFormat="1" spans="1:18">
      <c r="A39" s="19">
        <v>1014</v>
      </c>
      <c r="B39" s="19">
        <v>1002</v>
      </c>
      <c r="C39" s="19" t="s">
        <v>140</v>
      </c>
      <c r="D39" s="31" t="s">
        <v>143</v>
      </c>
      <c r="E39" s="19"/>
      <c r="F39" s="19">
        <v>10</v>
      </c>
      <c r="G39" s="19">
        <v>1</v>
      </c>
      <c r="H39" s="19"/>
      <c r="I39" s="19"/>
      <c r="J39" s="19">
        <v>4</v>
      </c>
      <c r="N39" s="19">
        <v>2</v>
      </c>
      <c r="P39" s="19">
        <v>2</v>
      </c>
      <c r="R39" s="12" t="s">
        <v>144</v>
      </c>
    </row>
    <row r="40" s="12" customFormat="1" spans="1:18">
      <c r="A40" s="19">
        <v>1015</v>
      </c>
      <c r="B40" s="19">
        <v>1002</v>
      </c>
      <c r="C40" s="19" t="s">
        <v>140</v>
      </c>
      <c r="D40" s="31" t="s">
        <v>143</v>
      </c>
      <c r="E40" s="19"/>
      <c r="F40" s="19">
        <v>10</v>
      </c>
      <c r="G40" s="19">
        <v>1</v>
      </c>
      <c r="H40" s="19"/>
      <c r="I40" s="19"/>
      <c r="J40" s="19">
        <v>4</v>
      </c>
      <c r="N40" s="19">
        <v>2</v>
      </c>
      <c r="P40" s="19">
        <v>2</v>
      </c>
      <c r="R40" s="12" t="s">
        <v>144</v>
      </c>
    </row>
    <row r="41" spans="1:18">
      <c r="A41" s="4">
        <v>1101</v>
      </c>
      <c r="B41" s="4">
        <v>201</v>
      </c>
      <c r="C41" s="4" t="s">
        <v>145</v>
      </c>
      <c r="D41" s="30" t="s">
        <v>146</v>
      </c>
      <c r="F41" s="4">
        <v>33</v>
      </c>
      <c r="G41" s="4">
        <v>30</v>
      </c>
      <c r="J41" s="4">
        <v>0</v>
      </c>
      <c r="N41" s="4">
        <v>2</v>
      </c>
      <c r="P41" s="4">
        <v>2</v>
      </c>
      <c r="R41" t="s">
        <v>147</v>
      </c>
    </row>
    <row r="42" spans="1:18">
      <c r="A42" s="4">
        <v>1102</v>
      </c>
      <c r="B42" s="4">
        <v>201</v>
      </c>
      <c r="C42" s="4" t="s">
        <v>145</v>
      </c>
      <c r="D42" s="30" t="s">
        <v>148</v>
      </c>
      <c r="F42" s="4">
        <v>33</v>
      </c>
      <c r="G42" s="4">
        <v>40</v>
      </c>
      <c r="J42" s="4">
        <v>0</v>
      </c>
      <c r="N42" s="4">
        <v>2</v>
      </c>
      <c r="P42" s="4">
        <v>2</v>
      </c>
      <c r="R42" t="s">
        <v>147</v>
      </c>
    </row>
    <row r="43" spans="1:18">
      <c r="A43" s="4">
        <v>1103</v>
      </c>
      <c r="B43" s="4">
        <v>201</v>
      </c>
      <c r="C43" s="4" t="s">
        <v>145</v>
      </c>
      <c r="D43" s="30" t="s">
        <v>149</v>
      </c>
      <c r="F43" s="4">
        <v>33</v>
      </c>
      <c r="G43" s="4">
        <v>50</v>
      </c>
      <c r="J43" s="4">
        <v>0</v>
      </c>
      <c r="N43" s="4">
        <v>2</v>
      </c>
      <c r="P43" s="4">
        <v>2</v>
      </c>
      <c r="R43" t="s">
        <v>147</v>
      </c>
    </row>
    <row r="44" spans="1:18">
      <c r="A44" s="4">
        <v>1104</v>
      </c>
      <c r="B44" s="4">
        <v>201</v>
      </c>
      <c r="C44" s="4" t="s">
        <v>145</v>
      </c>
      <c r="D44" s="30" t="s">
        <v>150</v>
      </c>
      <c r="F44" s="4">
        <v>33</v>
      </c>
      <c r="G44" s="4">
        <v>60</v>
      </c>
      <c r="J44" s="4">
        <v>0</v>
      </c>
      <c r="N44" s="4">
        <v>2</v>
      </c>
      <c r="P44" s="4">
        <v>2</v>
      </c>
      <c r="R44" t="s">
        <v>147</v>
      </c>
    </row>
    <row r="45" spans="1:18">
      <c r="A45" s="4">
        <v>1105</v>
      </c>
      <c r="B45" s="4">
        <v>201</v>
      </c>
      <c r="C45" s="4" t="s">
        <v>145</v>
      </c>
      <c r="D45" s="30" t="s">
        <v>151</v>
      </c>
      <c r="F45" s="4">
        <v>33</v>
      </c>
      <c r="G45" s="4">
        <v>70</v>
      </c>
      <c r="J45" s="4">
        <v>0</v>
      </c>
      <c r="N45" s="4">
        <v>2</v>
      </c>
      <c r="P45" s="4">
        <v>2</v>
      </c>
      <c r="R45" t="s">
        <v>147</v>
      </c>
    </row>
    <row r="46" spans="1:18">
      <c r="A46" s="4">
        <v>1106</v>
      </c>
      <c r="B46" s="4">
        <v>201</v>
      </c>
      <c r="C46" s="4" t="s">
        <v>145</v>
      </c>
      <c r="D46" s="30" t="s">
        <v>152</v>
      </c>
      <c r="F46" s="4">
        <v>33</v>
      </c>
      <c r="G46" s="4">
        <v>80</v>
      </c>
      <c r="J46" s="4">
        <v>0</v>
      </c>
      <c r="N46" s="4">
        <v>2</v>
      </c>
      <c r="P46" s="4">
        <v>2</v>
      </c>
      <c r="R46" t="s">
        <v>147</v>
      </c>
    </row>
    <row r="47" spans="1:18">
      <c r="A47" s="4">
        <v>1107</v>
      </c>
      <c r="B47" s="4">
        <v>201</v>
      </c>
      <c r="C47" s="4" t="s">
        <v>145</v>
      </c>
      <c r="D47" s="30" t="s">
        <v>153</v>
      </c>
      <c r="F47" s="4">
        <v>33</v>
      </c>
      <c r="G47" s="4">
        <v>90</v>
      </c>
      <c r="J47" s="4">
        <v>0</v>
      </c>
      <c r="N47" s="4">
        <v>2</v>
      </c>
      <c r="P47" s="4">
        <v>2</v>
      </c>
      <c r="R47" t="s">
        <v>147</v>
      </c>
    </row>
    <row r="48" spans="1:18">
      <c r="A48" s="4">
        <v>1108</v>
      </c>
      <c r="B48" s="4">
        <v>201</v>
      </c>
      <c r="C48" s="4" t="s">
        <v>145</v>
      </c>
      <c r="D48" s="30" t="s">
        <v>154</v>
      </c>
      <c r="F48" s="4">
        <v>33</v>
      </c>
      <c r="G48" s="4">
        <v>100</v>
      </c>
      <c r="J48" s="4">
        <v>0</v>
      </c>
      <c r="N48" s="4">
        <v>2</v>
      </c>
      <c r="P48" s="4">
        <v>2</v>
      </c>
      <c r="R48" t="s">
        <v>147</v>
      </c>
    </row>
    <row r="49" spans="1:18">
      <c r="A49" s="4">
        <v>1109</v>
      </c>
      <c r="B49" s="4">
        <v>201</v>
      </c>
      <c r="C49" s="4" t="s">
        <v>145</v>
      </c>
      <c r="D49" s="30" t="s">
        <v>155</v>
      </c>
      <c r="F49" s="4">
        <v>33</v>
      </c>
      <c r="G49" s="4">
        <v>120</v>
      </c>
      <c r="J49" s="4">
        <v>0</v>
      </c>
      <c r="N49" s="4">
        <v>2</v>
      </c>
      <c r="P49" s="4">
        <v>2</v>
      </c>
      <c r="R49" t="s">
        <v>147</v>
      </c>
    </row>
    <row r="50" spans="1:18">
      <c r="A50" s="4">
        <v>1110</v>
      </c>
      <c r="B50" s="4">
        <v>201</v>
      </c>
      <c r="C50" s="4" t="s">
        <v>145</v>
      </c>
      <c r="D50" s="30" t="s">
        <v>156</v>
      </c>
      <c r="F50" s="4">
        <v>33</v>
      </c>
      <c r="G50" s="4">
        <v>140</v>
      </c>
      <c r="J50" s="4">
        <v>0</v>
      </c>
      <c r="N50" s="4">
        <v>2</v>
      </c>
      <c r="P50" s="4">
        <v>2</v>
      </c>
      <c r="R50" t="s">
        <v>147</v>
      </c>
    </row>
    <row r="51" spans="1:18">
      <c r="A51" s="4">
        <v>1111</v>
      </c>
      <c r="B51" s="4">
        <v>201</v>
      </c>
      <c r="C51" s="4" t="s">
        <v>145</v>
      </c>
      <c r="D51" s="30" t="s">
        <v>157</v>
      </c>
      <c r="F51" s="4">
        <v>33</v>
      </c>
      <c r="G51" s="4">
        <v>160</v>
      </c>
      <c r="J51" s="4">
        <v>0</v>
      </c>
      <c r="N51" s="4">
        <v>2</v>
      </c>
      <c r="P51" s="4">
        <v>2</v>
      </c>
      <c r="R51" t="s">
        <v>147</v>
      </c>
    </row>
    <row r="52" spans="1:18">
      <c r="A52" s="4">
        <v>1112</v>
      </c>
      <c r="B52" s="4">
        <v>201</v>
      </c>
      <c r="C52" s="4" t="s">
        <v>145</v>
      </c>
      <c r="D52" s="30" t="s">
        <v>158</v>
      </c>
      <c r="F52" s="4">
        <v>33</v>
      </c>
      <c r="G52" s="4">
        <v>180</v>
      </c>
      <c r="J52" s="4">
        <v>0</v>
      </c>
      <c r="N52" s="4">
        <v>2</v>
      </c>
      <c r="P52" s="4">
        <v>2</v>
      </c>
      <c r="R52" t="s">
        <v>147</v>
      </c>
    </row>
    <row r="53" spans="1:18">
      <c r="A53" s="4">
        <v>1113</v>
      </c>
      <c r="B53" s="4">
        <v>201</v>
      </c>
      <c r="C53" s="4" t="s">
        <v>145</v>
      </c>
      <c r="D53" s="30" t="s">
        <v>159</v>
      </c>
      <c r="F53" s="4">
        <v>33</v>
      </c>
      <c r="G53" s="4">
        <v>200</v>
      </c>
      <c r="J53" s="4">
        <v>0</v>
      </c>
      <c r="N53" s="4">
        <v>2</v>
      </c>
      <c r="P53" s="4">
        <v>2</v>
      </c>
      <c r="R53" t="s">
        <v>147</v>
      </c>
    </row>
    <row r="54" spans="1:18">
      <c r="A54" s="4">
        <v>1114</v>
      </c>
      <c r="B54" s="4">
        <v>201</v>
      </c>
      <c r="C54" s="4" t="s">
        <v>145</v>
      </c>
      <c r="D54" s="30" t="s">
        <v>160</v>
      </c>
      <c r="F54" s="4">
        <v>33</v>
      </c>
      <c r="G54" s="4">
        <v>5</v>
      </c>
      <c r="J54" s="4">
        <v>0</v>
      </c>
      <c r="N54" s="4">
        <v>2</v>
      </c>
      <c r="P54" s="4">
        <v>2</v>
      </c>
      <c r="R54" t="s">
        <v>147</v>
      </c>
    </row>
    <row r="55" spans="1:18">
      <c r="A55" s="4">
        <v>1115</v>
      </c>
      <c r="B55" s="4">
        <v>201</v>
      </c>
      <c r="C55" s="4" t="s">
        <v>145</v>
      </c>
      <c r="D55" s="30" t="s">
        <v>161</v>
      </c>
      <c r="F55" s="4">
        <v>33</v>
      </c>
      <c r="G55" s="4">
        <v>10</v>
      </c>
      <c r="J55" s="4">
        <v>0</v>
      </c>
      <c r="N55" s="4">
        <v>2</v>
      </c>
      <c r="P55" s="4">
        <v>2</v>
      </c>
      <c r="R55" t="s">
        <v>147</v>
      </c>
    </row>
    <row r="56" spans="1:18">
      <c r="A56" s="4">
        <v>1116</v>
      </c>
      <c r="B56" s="4">
        <v>201</v>
      </c>
      <c r="C56" s="4" t="s">
        <v>145</v>
      </c>
      <c r="D56" s="30" t="s">
        <v>162</v>
      </c>
      <c r="F56" s="4">
        <v>33</v>
      </c>
      <c r="G56" s="4">
        <v>15</v>
      </c>
      <c r="J56" s="4">
        <v>0</v>
      </c>
      <c r="N56" s="4">
        <v>2</v>
      </c>
      <c r="P56" s="4">
        <v>2</v>
      </c>
      <c r="R56" t="s">
        <v>147</v>
      </c>
    </row>
    <row r="57" spans="1:18">
      <c r="A57" s="4">
        <v>1117</v>
      </c>
      <c r="B57" s="4">
        <v>201</v>
      </c>
      <c r="C57" s="4" t="s">
        <v>145</v>
      </c>
      <c r="D57" s="30" t="s">
        <v>163</v>
      </c>
      <c r="F57" s="4">
        <v>33</v>
      </c>
      <c r="G57" s="4">
        <v>20</v>
      </c>
      <c r="J57" s="4">
        <v>0</v>
      </c>
      <c r="N57" s="4">
        <v>2</v>
      </c>
      <c r="P57" s="4">
        <v>2</v>
      </c>
      <c r="R57" t="s">
        <v>147</v>
      </c>
    </row>
    <row r="58" spans="1:18">
      <c r="A58" s="4">
        <v>1201</v>
      </c>
      <c r="B58" s="4">
        <v>430</v>
      </c>
      <c r="C58" s="4" t="s">
        <v>164</v>
      </c>
      <c r="D58" s="30" t="s">
        <v>165</v>
      </c>
      <c r="F58" s="4">
        <v>44</v>
      </c>
      <c r="G58" s="4">
        <v>1</v>
      </c>
      <c r="I58" s="4">
        <v>30</v>
      </c>
      <c r="J58" s="4">
        <v>0</v>
      </c>
      <c r="N58" s="4">
        <v>2</v>
      </c>
      <c r="P58" s="4">
        <v>2</v>
      </c>
      <c r="R58" t="s">
        <v>166</v>
      </c>
    </row>
    <row r="59" spans="1:18">
      <c r="A59" s="4">
        <v>1202</v>
      </c>
      <c r="B59" s="4">
        <v>430</v>
      </c>
      <c r="C59" s="4" t="s">
        <v>164</v>
      </c>
      <c r="D59" s="30" t="s">
        <v>167</v>
      </c>
      <c r="F59" s="4">
        <v>44</v>
      </c>
      <c r="G59" s="4">
        <v>3</v>
      </c>
      <c r="I59" s="4">
        <v>40</v>
      </c>
      <c r="J59" s="4">
        <v>0</v>
      </c>
      <c r="N59" s="4">
        <v>2</v>
      </c>
      <c r="P59" s="4">
        <v>2</v>
      </c>
      <c r="R59" t="s">
        <v>166</v>
      </c>
    </row>
    <row r="60" spans="1:18">
      <c r="A60" s="4">
        <v>1203</v>
      </c>
      <c r="B60" s="4">
        <v>430</v>
      </c>
      <c r="C60" s="4" t="s">
        <v>164</v>
      </c>
      <c r="D60" s="30" t="s">
        <v>168</v>
      </c>
      <c r="F60" s="4">
        <v>44</v>
      </c>
      <c r="G60" s="4">
        <v>5</v>
      </c>
      <c r="I60" s="4">
        <v>40</v>
      </c>
      <c r="J60" s="4">
        <v>0</v>
      </c>
      <c r="N60" s="4">
        <v>2</v>
      </c>
      <c r="P60" s="4">
        <v>2</v>
      </c>
      <c r="R60" t="s">
        <v>166</v>
      </c>
    </row>
    <row r="61" spans="1:18">
      <c r="A61" s="4">
        <v>1204</v>
      </c>
      <c r="B61" s="4">
        <v>430</v>
      </c>
      <c r="C61" s="4" t="s">
        <v>164</v>
      </c>
      <c r="D61" s="30" t="s">
        <v>169</v>
      </c>
      <c r="F61" s="4">
        <v>44</v>
      </c>
      <c r="G61" s="4">
        <v>3</v>
      </c>
      <c r="I61" s="4">
        <v>50</v>
      </c>
      <c r="J61" s="4">
        <v>0</v>
      </c>
      <c r="N61" s="4">
        <v>2</v>
      </c>
      <c r="P61" s="4">
        <v>2</v>
      </c>
      <c r="R61" t="s">
        <v>166</v>
      </c>
    </row>
    <row r="62" spans="1:18">
      <c r="A62" s="4">
        <v>1205</v>
      </c>
      <c r="B62" s="4">
        <v>430</v>
      </c>
      <c r="C62" s="4" t="s">
        <v>164</v>
      </c>
      <c r="D62" s="30" t="s">
        <v>170</v>
      </c>
      <c r="F62" s="4">
        <v>44</v>
      </c>
      <c r="G62" s="4">
        <v>5</v>
      </c>
      <c r="I62" s="4">
        <v>50</v>
      </c>
      <c r="J62" s="4">
        <v>0</v>
      </c>
      <c r="N62" s="4">
        <v>2</v>
      </c>
      <c r="P62" s="4">
        <v>2</v>
      </c>
      <c r="R62" t="s">
        <v>166</v>
      </c>
    </row>
    <row r="63" spans="1:18">
      <c r="A63" s="4">
        <v>1206</v>
      </c>
      <c r="B63" s="4">
        <v>430</v>
      </c>
      <c r="C63" s="4" t="s">
        <v>164</v>
      </c>
      <c r="D63" s="30" t="s">
        <v>171</v>
      </c>
      <c r="F63" s="4">
        <v>44</v>
      </c>
      <c r="G63" s="4">
        <v>3</v>
      </c>
      <c r="I63" s="4">
        <v>60</v>
      </c>
      <c r="J63" s="4">
        <v>0</v>
      </c>
      <c r="N63" s="4">
        <v>2</v>
      </c>
      <c r="P63" s="4">
        <v>2</v>
      </c>
      <c r="R63" t="s">
        <v>166</v>
      </c>
    </row>
    <row r="64" spans="1:18">
      <c r="A64" s="4">
        <v>1207</v>
      </c>
      <c r="B64" s="4">
        <v>430</v>
      </c>
      <c r="C64" s="4" t="s">
        <v>164</v>
      </c>
      <c r="D64" s="30" t="s">
        <v>172</v>
      </c>
      <c r="F64" s="4">
        <v>44</v>
      </c>
      <c r="G64" s="4">
        <v>5</v>
      </c>
      <c r="I64" s="4">
        <v>60</v>
      </c>
      <c r="J64" s="4">
        <v>0</v>
      </c>
      <c r="N64" s="4">
        <v>2</v>
      </c>
      <c r="P64" s="4">
        <v>2</v>
      </c>
      <c r="R64" t="s">
        <v>166</v>
      </c>
    </row>
    <row r="65" spans="1:18">
      <c r="A65" s="4">
        <v>1208</v>
      </c>
      <c r="B65" s="4">
        <v>430</v>
      </c>
      <c r="C65" s="4" t="s">
        <v>164</v>
      </c>
      <c r="D65" s="30" t="s">
        <v>173</v>
      </c>
      <c r="F65" s="4">
        <v>44</v>
      </c>
      <c r="G65" s="4">
        <v>3</v>
      </c>
      <c r="I65" s="4">
        <v>80</v>
      </c>
      <c r="J65" s="4">
        <v>0</v>
      </c>
      <c r="N65" s="4">
        <v>2</v>
      </c>
      <c r="P65" s="4">
        <v>2</v>
      </c>
      <c r="R65" t="s">
        <v>166</v>
      </c>
    </row>
    <row r="66" spans="1:18">
      <c r="A66" s="4">
        <v>1209</v>
      </c>
      <c r="B66" s="4">
        <v>430</v>
      </c>
      <c r="C66" s="4" t="s">
        <v>164</v>
      </c>
      <c r="D66" s="30" t="s">
        <v>174</v>
      </c>
      <c r="F66" s="4">
        <v>44</v>
      </c>
      <c r="G66" s="4">
        <v>5</v>
      </c>
      <c r="I66" s="4">
        <v>80</v>
      </c>
      <c r="J66" s="4">
        <v>0</v>
      </c>
      <c r="N66" s="4">
        <v>2</v>
      </c>
      <c r="P66" s="4">
        <v>2</v>
      </c>
      <c r="R66" t="s">
        <v>166</v>
      </c>
    </row>
    <row r="67" spans="1:18">
      <c r="A67" s="4">
        <v>1210</v>
      </c>
      <c r="B67" s="4">
        <v>430</v>
      </c>
      <c r="C67" s="4" t="s">
        <v>164</v>
      </c>
      <c r="D67" s="30" t="s">
        <v>175</v>
      </c>
      <c r="F67" s="4">
        <v>44</v>
      </c>
      <c r="G67" s="4">
        <v>3</v>
      </c>
      <c r="I67" s="4">
        <v>100</v>
      </c>
      <c r="J67" s="4">
        <v>0</v>
      </c>
      <c r="N67" s="4">
        <v>2</v>
      </c>
      <c r="P67" s="4">
        <v>2</v>
      </c>
      <c r="R67" t="s">
        <v>166</v>
      </c>
    </row>
    <row r="68" spans="1:18">
      <c r="A68" s="4">
        <v>1211</v>
      </c>
      <c r="B68" s="4">
        <v>430</v>
      </c>
      <c r="C68" s="4" t="s">
        <v>164</v>
      </c>
      <c r="D68" s="30" t="s">
        <v>176</v>
      </c>
      <c r="F68" s="4">
        <v>44</v>
      </c>
      <c r="G68" s="4">
        <v>5</v>
      </c>
      <c r="I68" s="4">
        <v>100</v>
      </c>
      <c r="J68" s="4">
        <v>0</v>
      </c>
      <c r="N68" s="4">
        <v>2</v>
      </c>
      <c r="P68" s="4">
        <v>2</v>
      </c>
      <c r="R68" t="s">
        <v>166</v>
      </c>
    </row>
    <row r="69" spans="1:18">
      <c r="A69" s="4">
        <v>1301</v>
      </c>
      <c r="B69" s="4">
        <v>414</v>
      </c>
      <c r="C69" s="4" t="s">
        <v>177</v>
      </c>
      <c r="D69" s="30" t="s">
        <v>178</v>
      </c>
      <c r="F69" s="4">
        <v>44</v>
      </c>
      <c r="G69" s="4">
        <v>3</v>
      </c>
      <c r="I69" s="4">
        <v>145</v>
      </c>
      <c r="J69" s="4">
        <v>0</v>
      </c>
      <c r="N69" s="4">
        <v>2</v>
      </c>
      <c r="P69" s="4">
        <v>2</v>
      </c>
      <c r="R69" t="s">
        <v>166</v>
      </c>
    </row>
    <row r="70" spans="1:18">
      <c r="A70" s="4">
        <v>1302</v>
      </c>
      <c r="B70" s="4">
        <v>414</v>
      </c>
      <c r="C70" s="4" t="s">
        <v>177</v>
      </c>
      <c r="D70" s="30" t="s">
        <v>179</v>
      </c>
      <c r="F70" s="4">
        <v>44</v>
      </c>
      <c r="G70" s="4">
        <v>5</v>
      </c>
      <c r="I70" s="4">
        <v>145</v>
      </c>
      <c r="J70" s="4">
        <v>0</v>
      </c>
      <c r="N70" s="4">
        <v>2</v>
      </c>
      <c r="P70" s="4">
        <v>2</v>
      </c>
      <c r="R70" t="s">
        <v>166</v>
      </c>
    </row>
    <row r="71" spans="1:18">
      <c r="A71" s="4">
        <v>1303</v>
      </c>
      <c r="B71" s="4">
        <v>414</v>
      </c>
      <c r="C71" s="4" t="s">
        <v>177</v>
      </c>
      <c r="D71" s="30" t="s">
        <v>180</v>
      </c>
      <c r="F71" s="4">
        <v>44</v>
      </c>
      <c r="G71" s="4">
        <v>3</v>
      </c>
      <c r="I71" s="4">
        <v>165</v>
      </c>
      <c r="J71" s="4">
        <v>0</v>
      </c>
      <c r="N71" s="4">
        <v>2</v>
      </c>
      <c r="P71" s="4">
        <v>2</v>
      </c>
      <c r="R71" t="s">
        <v>166</v>
      </c>
    </row>
    <row r="72" spans="1:18">
      <c r="A72" s="4">
        <v>1304</v>
      </c>
      <c r="B72" s="4">
        <v>414</v>
      </c>
      <c r="C72" s="4" t="s">
        <v>177</v>
      </c>
      <c r="D72" s="30" t="s">
        <v>181</v>
      </c>
      <c r="F72" s="4">
        <v>44</v>
      </c>
      <c r="G72" s="4">
        <v>5</v>
      </c>
      <c r="I72" s="4">
        <v>165</v>
      </c>
      <c r="J72" s="4">
        <v>0</v>
      </c>
      <c r="N72" s="4">
        <v>2</v>
      </c>
      <c r="P72" s="4">
        <v>2</v>
      </c>
      <c r="R72" t="s">
        <v>166</v>
      </c>
    </row>
    <row r="73" spans="1:18">
      <c r="A73" s="4">
        <v>1305</v>
      </c>
      <c r="B73" s="4">
        <v>414</v>
      </c>
      <c r="C73" s="4" t="s">
        <v>177</v>
      </c>
      <c r="D73" s="30" t="s">
        <v>182</v>
      </c>
      <c r="F73" s="4">
        <v>44</v>
      </c>
      <c r="G73" s="4">
        <v>3</v>
      </c>
      <c r="I73" s="4">
        <v>185</v>
      </c>
      <c r="J73" s="4">
        <v>0</v>
      </c>
      <c r="N73" s="4">
        <v>2</v>
      </c>
      <c r="P73" s="4">
        <v>2</v>
      </c>
      <c r="R73" t="s">
        <v>166</v>
      </c>
    </row>
    <row r="74" spans="1:18">
      <c r="A74" s="4">
        <v>1306</v>
      </c>
      <c r="B74" s="4">
        <v>414</v>
      </c>
      <c r="C74" s="4" t="s">
        <v>177</v>
      </c>
      <c r="D74" s="30" t="s">
        <v>183</v>
      </c>
      <c r="F74" s="4">
        <v>44</v>
      </c>
      <c r="G74" s="4">
        <v>5</v>
      </c>
      <c r="I74" s="4">
        <v>185</v>
      </c>
      <c r="J74" s="4">
        <v>0</v>
      </c>
      <c r="N74" s="4">
        <v>2</v>
      </c>
      <c r="P74" s="4">
        <v>2</v>
      </c>
      <c r="R74" t="s">
        <v>166</v>
      </c>
    </row>
    <row r="75" spans="1:18">
      <c r="A75" s="4">
        <v>1307</v>
      </c>
      <c r="B75" s="4">
        <v>414</v>
      </c>
      <c r="C75" s="4" t="s">
        <v>177</v>
      </c>
      <c r="D75" s="30" t="s">
        <v>184</v>
      </c>
      <c r="F75" s="4">
        <v>44</v>
      </c>
      <c r="G75" s="4">
        <v>3</v>
      </c>
      <c r="I75" s="4">
        <v>205</v>
      </c>
      <c r="J75" s="4">
        <v>0</v>
      </c>
      <c r="N75" s="4">
        <v>2</v>
      </c>
      <c r="P75" s="4">
        <v>2</v>
      </c>
      <c r="R75" t="s">
        <v>166</v>
      </c>
    </row>
    <row r="76" spans="1:18">
      <c r="A76" s="4">
        <v>1308</v>
      </c>
      <c r="B76" s="4">
        <v>414</v>
      </c>
      <c r="C76" s="4" t="s">
        <v>177</v>
      </c>
      <c r="D76" s="30" t="s">
        <v>185</v>
      </c>
      <c r="F76" s="4">
        <v>44</v>
      </c>
      <c r="G76" s="4">
        <v>5</v>
      </c>
      <c r="I76" s="4">
        <v>205</v>
      </c>
      <c r="J76" s="4">
        <v>0</v>
      </c>
      <c r="N76" s="4">
        <v>2</v>
      </c>
      <c r="P76" s="4">
        <v>2</v>
      </c>
      <c r="R76" t="s">
        <v>166</v>
      </c>
    </row>
    <row r="77" spans="1:18">
      <c r="A77" s="4">
        <v>1309</v>
      </c>
      <c r="B77" s="4">
        <v>414</v>
      </c>
      <c r="C77" s="4" t="s">
        <v>177</v>
      </c>
      <c r="D77" s="30" t="s">
        <v>186</v>
      </c>
      <c r="F77" s="4">
        <v>44</v>
      </c>
      <c r="G77" s="4">
        <v>3</v>
      </c>
      <c r="I77" s="4">
        <v>255</v>
      </c>
      <c r="J77" s="4">
        <v>0</v>
      </c>
      <c r="N77" s="4">
        <v>2</v>
      </c>
      <c r="P77" s="4">
        <v>2</v>
      </c>
      <c r="R77" t="s">
        <v>166</v>
      </c>
    </row>
    <row r="78" spans="1:18">
      <c r="A78" s="4">
        <v>1310</v>
      </c>
      <c r="B78" s="4">
        <v>414</v>
      </c>
      <c r="C78" s="4" t="s">
        <v>177</v>
      </c>
      <c r="D78" s="30" t="s">
        <v>187</v>
      </c>
      <c r="F78" s="4">
        <v>44</v>
      </c>
      <c r="G78" s="4">
        <v>5</v>
      </c>
      <c r="I78" s="4">
        <v>255</v>
      </c>
      <c r="J78" s="4">
        <v>0</v>
      </c>
      <c r="N78" s="4">
        <v>2</v>
      </c>
      <c r="P78" s="4">
        <v>2</v>
      </c>
      <c r="R78" t="s">
        <v>166</v>
      </c>
    </row>
    <row r="79" s="27" customFormat="1" spans="1:18">
      <c r="A79" s="17">
        <v>1401</v>
      </c>
      <c r="B79" s="17">
        <v>410</v>
      </c>
      <c r="C79" s="17" t="s">
        <v>188</v>
      </c>
      <c r="D79" s="59" t="s">
        <v>189</v>
      </c>
      <c r="E79" s="17"/>
      <c r="F79" s="17">
        <v>56</v>
      </c>
      <c r="G79" s="17">
        <v>1</v>
      </c>
      <c r="H79" s="17"/>
      <c r="I79" s="17">
        <v>4</v>
      </c>
      <c r="J79" s="17">
        <v>0</v>
      </c>
      <c r="N79" s="17">
        <v>2</v>
      </c>
      <c r="P79" s="17">
        <v>2</v>
      </c>
      <c r="R79" s="27" t="s">
        <v>166</v>
      </c>
    </row>
    <row r="80" s="27" customFormat="1" spans="1:18">
      <c r="A80" s="17">
        <v>1402</v>
      </c>
      <c r="B80" s="17">
        <v>410</v>
      </c>
      <c r="C80" s="17" t="s">
        <v>188</v>
      </c>
      <c r="D80" s="59" t="s">
        <v>190</v>
      </c>
      <c r="E80" s="17"/>
      <c r="F80" s="17">
        <v>56</v>
      </c>
      <c r="G80" s="17">
        <v>3</v>
      </c>
      <c r="H80" s="17"/>
      <c r="I80" s="17">
        <v>4</v>
      </c>
      <c r="J80" s="17">
        <v>0</v>
      </c>
      <c r="N80" s="17">
        <v>2</v>
      </c>
      <c r="P80" s="17">
        <v>2</v>
      </c>
      <c r="R80" s="27" t="s">
        <v>166</v>
      </c>
    </row>
    <row r="81" s="27" customFormat="1" spans="1:18">
      <c r="A81" s="17">
        <v>1403</v>
      </c>
      <c r="B81" s="17">
        <v>410</v>
      </c>
      <c r="C81" s="17" t="s">
        <v>188</v>
      </c>
      <c r="D81" s="59" t="s">
        <v>191</v>
      </c>
      <c r="E81" s="17"/>
      <c r="F81" s="17">
        <v>56</v>
      </c>
      <c r="G81" s="17">
        <v>5</v>
      </c>
      <c r="H81" s="17"/>
      <c r="I81" s="17">
        <v>4</v>
      </c>
      <c r="J81" s="17">
        <v>0</v>
      </c>
      <c r="N81" s="17">
        <v>2</v>
      </c>
      <c r="P81" s="17">
        <v>2</v>
      </c>
      <c r="R81" s="27" t="s">
        <v>166</v>
      </c>
    </row>
    <row r="82" s="27" customFormat="1" spans="1:18">
      <c r="A82" s="17">
        <v>1404</v>
      </c>
      <c r="B82" s="17">
        <v>410</v>
      </c>
      <c r="C82" s="17" t="s">
        <v>188</v>
      </c>
      <c r="D82" s="59" t="s">
        <v>192</v>
      </c>
      <c r="E82" s="17"/>
      <c r="F82" s="17">
        <v>56</v>
      </c>
      <c r="G82" s="17">
        <v>8</v>
      </c>
      <c r="H82" s="17"/>
      <c r="I82" s="17">
        <v>4</v>
      </c>
      <c r="J82" s="17">
        <v>0</v>
      </c>
      <c r="N82" s="17">
        <v>2</v>
      </c>
      <c r="P82" s="17">
        <v>2</v>
      </c>
      <c r="R82" s="27" t="s">
        <v>166</v>
      </c>
    </row>
    <row r="83" s="27" customFormat="1" spans="1:18">
      <c r="A83" s="17">
        <v>1405</v>
      </c>
      <c r="B83" s="17">
        <v>410</v>
      </c>
      <c r="C83" s="17" t="s">
        <v>188</v>
      </c>
      <c r="D83" s="59" t="s">
        <v>193</v>
      </c>
      <c r="E83" s="17"/>
      <c r="F83" s="17">
        <v>56</v>
      </c>
      <c r="G83" s="17">
        <v>10</v>
      </c>
      <c r="H83" s="17"/>
      <c r="I83" s="17">
        <v>4</v>
      </c>
      <c r="J83" s="17">
        <v>0</v>
      </c>
      <c r="N83" s="17">
        <v>2</v>
      </c>
      <c r="P83" s="17">
        <v>2</v>
      </c>
      <c r="R83" s="27" t="s">
        <v>166</v>
      </c>
    </row>
    <row r="84" s="27" customFormat="1" spans="1:18">
      <c r="A84" s="17">
        <v>1501</v>
      </c>
      <c r="B84" s="17">
        <v>410</v>
      </c>
      <c r="C84" s="17" t="s">
        <v>194</v>
      </c>
      <c r="D84" s="59" t="s">
        <v>195</v>
      </c>
      <c r="E84" s="17"/>
      <c r="F84" s="17">
        <v>56</v>
      </c>
      <c r="G84" s="17">
        <v>1</v>
      </c>
      <c r="H84" s="17"/>
      <c r="I84" s="17">
        <v>5</v>
      </c>
      <c r="J84" s="17">
        <v>0</v>
      </c>
      <c r="N84" s="17">
        <v>2</v>
      </c>
      <c r="P84" s="17">
        <v>2</v>
      </c>
      <c r="R84" s="27" t="s">
        <v>166</v>
      </c>
    </row>
    <row r="85" s="27" customFormat="1" spans="1:18">
      <c r="A85" s="17">
        <v>1502</v>
      </c>
      <c r="B85" s="17">
        <v>410</v>
      </c>
      <c r="C85" s="17" t="s">
        <v>194</v>
      </c>
      <c r="D85" s="59" t="s">
        <v>196</v>
      </c>
      <c r="E85" s="17"/>
      <c r="F85" s="17">
        <v>56</v>
      </c>
      <c r="G85" s="17">
        <v>3</v>
      </c>
      <c r="H85" s="17"/>
      <c r="I85" s="17">
        <v>5</v>
      </c>
      <c r="J85" s="17">
        <v>0</v>
      </c>
      <c r="N85" s="17">
        <v>2</v>
      </c>
      <c r="P85" s="17">
        <v>2</v>
      </c>
      <c r="R85" s="27" t="s">
        <v>166</v>
      </c>
    </row>
    <row r="86" s="27" customFormat="1" spans="1:18">
      <c r="A86" s="17">
        <v>1503</v>
      </c>
      <c r="B86" s="17">
        <v>410</v>
      </c>
      <c r="C86" s="17" t="s">
        <v>194</v>
      </c>
      <c r="D86" s="59" t="s">
        <v>197</v>
      </c>
      <c r="E86" s="17"/>
      <c r="F86" s="17">
        <v>56</v>
      </c>
      <c r="G86" s="17">
        <v>5</v>
      </c>
      <c r="H86" s="17"/>
      <c r="I86" s="17">
        <v>5</v>
      </c>
      <c r="J86" s="17">
        <v>0</v>
      </c>
      <c r="N86" s="17">
        <v>2</v>
      </c>
      <c r="P86" s="17">
        <v>2</v>
      </c>
      <c r="R86" s="27" t="s">
        <v>166</v>
      </c>
    </row>
    <row r="87" s="27" customFormat="1" spans="1:18">
      <c r="A87" s="17">
        <v>1504</v>
      </c>
      <c r="B87" s="17">
        <v>410</v>
      </c>
      <c r="C87" s="17" t="s">
        <v>194</v>
      </c>
      <c r="D87" s="59" t="s">
        <v>198</v>
      </c>
      <c r="E87" s="17"/>
      <c r="F87" s="17">
        <v>56</v>
      </c>
      <c r="G87" s="17">
        <v>8</v>
      </c>
      <c r="H87" s="17"/>
      <c r="I87" s="17">
        <v>5</v>
      </c>
      <c r="J87" s="17">
        <v>0</v>
      </c>
      <c r="N87" s="17">
        <v>2</v>
      </c>
      <c r="P87" s="17">
        <v>2</v>
      </c>
      <c r="R87" s="27" t="s">
        <v>166</v>
      </c>
    </row>
    <row r="88" s="27" customFormat="1" spans="1:18">
      <c r="A88" s="17">
        <v>1505</v>
      </c>
      <c r="B88" s="17">
        <v>410</v>
      </c>
      <c r="C88" s="17" t="s">
        <v>194</v>
      </c>
      <c r="D88" s="59" t="s">
        <v>199</v>
      </c>
      <c r="E88" s="17"/>
      <c r="F88" s="17">
        <v>56</v>
      </c>
      <c r="G88" s="17">
        <v>10</v>
      </c>
      <c r="H88" s="17"/>
      <c r="I88" s="17">
        <v>5</v>
      </c>
      <c r="J88" s="17">
        <v>0</v>
      </c>
      <c r="N88" s="17">
        <v>2</v>
      </c>
      <c r="P88" s="17">
        <v>2</v>
      </c>
      <c r="R88" s="27" t="s">
        <v>166</v>
      </c>
    </row>
    <row r="89" s="27" customFormat="1" spans="1:18">
      <c r="A89" s="17">
        <v>1601</v>
      </c>
      <c r="B89" s="17">
        <v>413</v>
      </c>
      <c r="C89" s="17" t="s">
        <v>200</v>
      </c>
      <c r="D89" s="59" t="s">
        <v>201</v>
      </c>
      <c r="E89" s="17"/>
      <c r="F89" s="17">
        <v>44</v>
      </c>
      <c r="G89" s="17">
        <v>1</v>
      </c>
      <c r="H89" s="17"/>
      <c r="I89" s="17">
        <v>6</v>
      </c>
      <c r="J89" s="17">
        <v>0</v>
      </c>
      <c r="N89" s="17">
        <v>2</v>
      </c>
      <c r="P89" s="17">
        <v>2</v>
      </c>
      <c r="R89" s="27" t="s">
        <v>166</v>
      </c>
    </row>
    <row r="90" s="27" customFormat="1" spans="1:18">
      <c r="A90" s="17">
        <v>1602</v>
      </c>
      <c r="B90" s="17">
        <v>413</v>
      </c>
      <c r="C90" s="17" t="s">
        <v>200</v>
      </c>
      <c r="D90" s="59" t="s">
        <v>202</v>
      </c>
      <c r="E90" s="17"/>
      <c r="F90" s="17">
        <v>44</v>
      </c>
      <c r="G90" s="17">
        <v>3</v>
      </c>
      <c r="H90" s="17"/>
      <c r="I90" s="17">
        <v>6</v>
      </c>
      <c r="J90" s="17">
        <v>0</v>
      </c>
      <c r="N90" s="17">
        <v>2</v>
      </c>
      <c r="P90" s="17">
        <v>2</v>
      </c>
      <c r="R90" s="27" t="s">
        <v>166</v>
      </c>
    </row>
    <row r="91" s="27" customFormat="1" spans="1:18">
      <c r="A91" s="17">
        <v>1603</v>
      </c>
      <c r="B91" s="17">
        <v>413</v>
      </c>
      <c r="C91" s="17" t="s">
        <v>200</v>
      </c>
      <c r="D91" s="59" t="s">
        <v>203</v>
      </c>
      <c r="E91" s="17"/>
      <c r="F91" s="17">
        <v>44</v>
      </c>
      <c r="G91" s="17">
        <v>5</v>
      </c>
      <c r="H91" s="17"/>
      <c r="I91" s="17">
        <v>6</v>
      </c>
      <c r="J91" s="17">
        <v>0</v>
      </c>
      <c r="N91" s="17">
        <v>2</v>
      </c>
      <c r="P91" s="17">
        <v>2</v>
      </c>
      <c r="R91" s="27" t="s">
        <v>166</v>
      </c>
    </row>
    <row r="92" s="27" customFormat="1" spans="1:18">
      <c r="A92" s="17">
        <v>1604</v>
      </c>
      <c r="B92" s="17">
        <v>413</v>
      </c>
      <c r="C92" s="17" t="s">
        <v>200</v>
      </c>
      <c r="D92" s="59" t="s">
        <v>204</v>
      </c>
      <c r="E92" s="17"/>
      <c r="F92" s="17">
        <v>44</v>
      </c>
      <c r="G92" s="17">
        <v>8</v>
      </c>
      <c r="H92" s="17"/>
      <c r="I92" s="17">
        <v>6</v>
      </c>
      <c r="J92" s="17">
        <v>0</v>
      </c>
      <c r="N92" s="17">
        <v>2</v>
      </c>
      <c r="P92" s="17">
        <v>2</v>
      </c>
      <c r="R92" s="27" t="s">
        <v>166</v>
      </c>
    </row>
    <row r="93" s="27" customFormat="1" spans="1:18">
      <c r="A93" s="17">
        <v>1605</v>
      </c>
      <c r="B93" s="17">
        <v>413</v>
      </c>
      <c r="C93" s="17" t="s">
        <v>200</v>
      </c>
      <c r="D93" s="59" t="s">
        <v>205</v>
      </c>
      <c r="E93" s="17"/>
      <c r="F93" s="17">
        <v>44</v>
      </c>
      <c r="G93" s="17">
        <v>10</v>
      </c>
      <c r="H93" s="17"/>
      <c r="I93" s="17">
        <v>6</v>
      </c>
      <c r="J93" s="17">
        <v>0</v>
      </c>
      <c r="N93" s="17">
        <v>2</v>
      </c>
      <c r="P93" s="17">
        <v>2</v>
      </c>
      <c r="R93" s="27" t="s">
        <v>166</v>
      </c>
    </row>
    <row r="94" spans="1:18">
      <c r="A94" s="4">
        <v>1700</v>
      </c>
      <c r="B94" s="4">
        <v>401</v>
      </c>
      <c r="C94" s="4" t="s">
        <v>114</v>
      </c>
      <c r="D94" s="30" t="s">
        <v>206</v>
      </c>
      <c r="F94" s="4">
        <v>2</v>
      </c>
      <c r="G94" s="4">
        <v>1</v>
      </c>
      <c r="J94" s="4">
        <v>0</v>
      </c>
      <c r="N94" s="4">
        <v>2</v>
      </c>
      <c r="P94" s="4">
        <v>2</v>
      </c>
      <c r="R94" t="s">
        <v>207</v>
      </c>
    </row>
    <row r="95" spans="1:18">
      <c r="A95" s="4">
        <v>1701</v>
      </c>
      <c r="B95" s="4">
        <v>402</v>
      </c>
      <c r="C95" s="4" t="s">
        <v>208</v>
      </c>
      <c r="D95" s="30" t="s">
        <v>209</v>
      </c>
      <c r="F95" s="4">
        <v>56</v>
      </c>
      <c r="G95" s="4">
        <v>10</v>
      </c>
      <c r="I95" s="4">
        <v>2</v>
      </c>
      <c r="J95" s="4">
        <v>0</v>
      </c>
      <c r="N95" s="4">
        <v>2</v>
      </c>
      <c r="P95" s="4">
        <v>2</v>
      </c>
      <c r="R95" t="s">
        <v>166</v>
      </c>
    </row>
    <row r="96" spans="1:18">
      <c r="A96" s="4">
        <v>1702</v>
      </c>
      <c r="B96" s="4">
        <v>402</v>
      </c>
      <c r="C96" s="4" t="s">
        <v>208</v>
      </c>
      <c r="D96" s="30" t="s">
        <v>210</v>
      </c>
      <c r="F96" s="4">
        <v>56</v>
      </c>
      <c r="G96" s="4">
        <v>20</v>
      </c>
      <c r="I96" s="4">
        <v>2</v>
      </c>
      <c r="J96" s="4">
        <v>0</v>
      </c>
      <c r="N96" s="4">
        <v>2</v>
      </c>
      <c r="P96" s="4">
        <v>2</v>
      </c>
      <c r="R96" t="s">
        <v>166</v>
      </c>
    </row>
    <row r="97" spans="1:18">
      <c r="A97" s="4">
        <v>1703</v>
      </c>
      <c r="B97" s="4">
        <v>402</v>
      </c>
      <c r="C97" s="4" t="s">
        <v>208</v>
      </c>
      <c r="D97" s="30" t="s">
        <v>211</v>
      </c>
      <c r="F97" s="4">
        <v>56</v>
      </c>
      <c r="G97" s="4">
        <v>30</v>
      </c>
      <c r="I97" s="4">
        <v>2</v>
      </c>
      <c r="J97" s="4">
        <v>0</v>
      </c>
      <c r="N97" s="4">
        <v>2</v>
      </c>
      <c r="P97" s="4">
        <v>2</v>
      </c>
      <c r="R97" t="s">
        <v>166</v>
      </c>
    </row>
    <row r="98" spans="1:18">
      <c r="A98" s="4">
        <v>1704</v>
      </c>
      <c r="B98" s="4">
        <v>402</v>
      </c>
      <c r="C98" s="4" t="s">
        <v>208</v>
      </c>
      <c r="D98" s="30" t="s">
        <v>212</v>
      </c>
      <c r="F98" s="4">
        <v>56</v>
      </c>
      <c r="G98" s="4">
        <v>40</v>
      </c>
      <c r="I98" s="4">
        <v>2</v>
      </c>
      <c r="J98" s="4">
        <v>0</v>
      </c>
      <c r="N98" s="4">
        <v>2</v>
      </c>
      <c r="P98" s="4">
        <v>2</v>
      </c>
      <c r="R98" t="s">
        <v>166</v>
      </c>
    </row>
    <row r="99" spans="1:18">
      <c r="A99" s="4">
        <v>1705</v>
      </c>
      <c r="B99" s="4">
        <v>402</v>
      </c>
      <c r="C99" s="4" t="s">
        <v>208</v>
      </c>
      <c r="D99" s="30" t="s">
        <v>213</v>
      </c>
      <c r="F99" s="4">
        <v>56</v>
      </c>
      <c r="G99" s="4">
        <v>50</v>
      </c>
      <c r="I99" s="4">
        <v>2</v>
      </c>
      <c r="J99" s="4">
        <v>0</v>
      </c>
      <c r="N99" s="4">
        <v>2</v>
      </c>
      <c r="P99" s="4">
        <v>2</v>
      </c>
      <c r="R99" t="s">
        <v>166</v>
      </c>
    </row>
    <row r="100" spans="1:18">
      <c r="A100" s="4">
        <v>1706</v>
      </c>
      <c r="B100" s="4">
        <v>402</v>
      </c>
      <c r="C100" s="4" t="s">
        <v>208</v>
      </c>
      <c r="D100" s="30" t="s">
        <v>214</v>
      </c>
      <c r="F100" s="4">
        <v>56</v>
      </c>
      <c r="G100" s="4">
        <v>60</v>
      </c>
      <c r="I100" s="4">
        <v>2</v>
      </c>
      <c r="J100" s="4">
        <v>0</v>
      </c>
      <c r="N100" s="4">
        <v>2</v>
      </c>
      <c r="P100" s="4">
        <v>2</v>
      </c>
      <c r="R100" t="s">
        <v>166</v>
      </c>
    </row>
    <row r="101" spans="1:18">
      <c r="A101" s="4">
        <v>1707</v>
      </c>
      <c r="B101" s="4">
        <v>402</v>
      </c>
      <c r="C101" s="4" t="s">
        <v>208</v>
      </c>
      <c r="D101" s="30" t="s">
        <v>215</v>
      </c>
      <c r="F101" s="4">
        <v>56</v>
      </c>
      <c r="G101" s="4">
        <v>70</v>
      </c>
      <c r="I101" s="4">
        <v>2</v>
      </c>
      <c r="J101" s="4">
        <v>0</v>
      </c>
      <c r="N101" s="4">
        <v>2</v>
      </c>
      <c r="P101" s="4">
        <v>2</v>
      </c>
      <c r="R101" t="s">
        <v>166</v>
      </c>
    </row>
    <row r="102" spans="1:18">
      <c r="A102" s="4">
        <v>1708</v>
      </c>
      <c r="B102" s="4">
        <v>402</v>
      </c>
      <c r="C102" s="4" t="s">
        <v>208</v>
      </c>
      <c r="D102" s="30" t="s">
        <v>216</v>
      </c>
      <c r="F102" s="4">
        <v>56</v>
      </c>
      <c r="G102" s="4">
        <v>80</v>
      </c>
      <c r="I102" s="4">
        <v>2</v>
      </c>
      <c r="J102" s="4">
        <v>0</v>
      </c>
      <c r="N102" s="4">
        <v>2</v>
      </c>
      <c r="P102" s="4">
        <v>2</v>
      </c>
      <c r="R102" t="s">
        <v>166</v>
      </c>
    </row>
    <row r="103" spans="1:18">
      <c r="A103" s="4">
        <v>1709</v>
      </c>
      <c r="B103" s="4">
        <v>402</v>
      </c>
      <c r="C103" s="4" t="s">
        <v>208</v>
      </c>
      <c r="D103" s="30" t="s">
        <v>217</v>
      </c>
      <c r="F103" s="4">
        <v>56</v>
      </c>
      <c r="G103" s="4">
        <v>90</v>
      </c>
      <c r="I103" s="4">
        <v>2</v>
      </c>
      <c r="J103" s="4">
        <v>0</v>
      </c>
      <c r="N103" s="4">
        <v>2</v>
      </c>
      <c r="P103" s="4">
        <v>2</v>
      </c>
      <c r="R103" t="s">
        <v>166</v>
      </c>
    </row>
    <row r="104" spans="1:18">
      <c r="A104" s="4">
        <v>1710</v>
      </c>
      <c r="B104" s="4">
        <v>402</v>
      </c>
      <c r="C104" s="4" t="s">
        <v>208</v>
      </c>
      <c r="D104" s="30" t="s">
        <v>218</v>
      </c>
      <c r="F104" s="4">
        <v>56</v>
      </c>
      <c r="G104" s="4">
        <v>100</v>
      </c>
      <c r="I104" s="4">
        <v>2</v>
      </c>
      <c r="J104" s="4">
        <v>0</v>
      </c>
      <c r="N104" s="4">
        <v>2</v>
      </c>
      <c r="P104" s="4">
        <v>2</v>
      </c>
      <c r="R104" t="s">
        <v>166</v>
      </c>
    </row>
    <row r="105" spans="1:18">
      <c r="A105" s="4">
        <v>1711</v>
      </c>
      <c r="B105" s="4">
        <v>401</v>
      </c>
      <c r="C105" s="4" t="s">
        <v>114</v>
      </c>
      <c r="D105" s="30" t="s">
        <v>219</v>
      </c>
      <c r="F105" s="4">
        <v>2</v>
      </c>
      <c r="G105" s="4">
        <v>1</v>
      </c>
      <c r="J105" s="4">
        <v>4</v>
      </c>
      <c r="N105" s="4">
        <v>2</v>
      </c>
      <c r="P105" s="4">
        <v>2</v>
      </c>
      <c r="R105" t="s">
        <v>220</v>
      </c>
    </row>
    <row r="106" spans="1:18">
      <c r="A106" s="4">
        <v>1801</v>
      </c>
      <c r="B106" s="4">
        <v>405</v>
      </c>
      <c r="C106" s="4" t="s">
        <v>221</v>
      </c>
      <c r="D106" s="30" t="s">
        <v>222</v>
      </c>
      <c r="F106" s="4">
        <v>13</v>
      </c>
      <c r="G106" s="4">
        <v>10</v>
      </c>
      <c r="J106" s="4">
        <v>0</v>
      </c>
      <c r="N106" s="4">
        <v>2</v>
      </c>
      <c r="P106" s="4">
        <v>2</v>
      </c>
      <c r="R106" t="s">
        <v>166</v>
      </c>
    </row>
    <row r="107" spans="1:18">
      <c r="A107" s="4">
        <v>1802</v>
      </c>
      <c r="B107" s="4">
        <v>405</v>
      </c>
      <c r="C107" s="4" t="s">
        <v>221</v>
      </c>
      <c r="D107" s="30" t="s">
        <v>223</v>
      </c>
      <c r="F107" s="4">
        <v>13</v>
      </c>
      <c r="G107" s="4">
        <v>20</v>
      </c>
      <c r="J107" s="4">
        <v>0</v>
      </c>
      <c r="N107" s="4">
        <v>2</v>
      </c>
      <c r="P107" s="4">
        <v>2</v>
      </c>
      <c r="R107" t="s">
        <v>166</v>
      </c>
    </row>
    <row r="108" spans="1:18">
      <c r="A108" s="4">
        <v>1803</v>
      </c>
      <c r="B108" s="4">
        <v>405</v>
      </c>
      <c r="C108" s="4" t="s">
        <v>221</v>
      </c>
      <c r="D108" s="30" t="s">
        <v>224</v>
      </c>
      <c r="F108" s="4">
        <v>13</v>
      </c>
      <c r="G108" s="4">
        <v>30</v>
      </c>
      <c r="J108" s="4">
        <v>0</v>
      </c>
      <c r="N108" s="4">
        <v>2</v>
      </c>
      <c r="P108" s="4">
        <v>2</v>
      </c>
      <c r="R108" t="s">
        <v>166</v>
      </c>
    </row>
    <row r="109" spans="1:18">
      <c r="A109" s="4">
        <v>1804</v>
      </c>
      <c r="B109" s="4">
        <v>405</v>
      </c>
      <c r="C109" s="4" t="s">
        <v>221</v>
      </c>
      <c r="D109" s="30" t="s">
        <v>225</v>
      </c>
      <c r="F109" s="4">
        <v>13</v>
      </c>
      <c r="G109" s="4">
        <v>40</v>
      </c>
      <c r="J109" s="4">
        <v>0</v>
      </c>
      <c r="N109" s="4">
        <v>2</v>
      </c>
      <c r="P109" s="4">
        <v>2</v>
      </c>
      <c r="R109" t="s">
        <v>166</v>
      </c>
    </row>
    <row r="110" spans="1:18">
      <c r="A110" s="4">
        <v>1805</v>
      </c>
      <c r="B110" s="4">
        <v>405</v>
      </c>
      <c r="C110" s="4" t="s">
        <v>221</v>
      </c>
      <c r="D110" s="30" t="s">
        <v>226</v>
      </c>
      <c r="F110" s="4">
        <v>13</v>
      </c>
      <c r="G110" s="4">
        <v>50</v>
      </c>
      <c r="J110" s="4">
        <v>0</v>
      </c>
      <c r="N110" s="4">
        <v>2</v>
      </c>
      <c r="P110" s="4">
        <v>2</v>
      </c>
      <c r="R110" t="s">
        <v>166</v>
      </c>
    </row>
    <row r="111" spans="1:18">
      <c r="A111" s="4">
        <v>1806</v>
      </c>
      <c r="B111" s="4">
        <v>405</v>
      </c>
      <c r="C111" s="4" t="s">
        <v>221</v>
      </c>
      <c r="D111" s="30" t="s">
        <v>227</v>
      </c>
      <c r="F111" s="4">
        <v>13</v>
      </c>
      <c r="G111" s="4">
        <v>60</v>
      </c>
      <c r="J111" s="4">
        <v>0</v>
      </c>
      <c r="N111" s="4">
        <v>2</v>
      </c>
      <c r="P111" s="4">
        <v>2</v>
      </c>
      <c r="R111" t="s">
        <v>166</v>
      </c>
    </row>
    <row r="112" spans="1:18">
      <c r="A112" s="4">
        <v>1807</v>
      </c>
      <c r="B112" s="4">
        <v>405</v>
      </c>
      <c r="C112" s="4" t="s">
        <v>221</v>
      </c>
      <c r="D112" s="30" t="s">
        <v>228</v>
      </c>
      <c r="F112" s="4">
        <v>13</v>
      </c>
      <c r="G112" s="4">
        <v>70</v>
      </c>
      <c r="J112" s="4">
        <v>0</v>
      </c>
      <c r="N112" s="4">
        <v>2</v>
      </c>
      <c r="P112" s="4">
        <v>2</v>
      </c>
      <c r="R112" t="s">
        <v>166</v>
      </c>
    </row>
    <row r="113" spans="1:18">
      <c r="A113" s="4">
        <v>1808</v>
      </c>
      <c r="B113" s="4">
        <v>405</v>
      </c>
      <c r="C113" s="4" t="s">
        <v>221</v>
      </c>
      <c r="D113" s="30" t="s">
        <v>229</v>
      </c>
      <c r="F113" s="4">
        <v>13</v>
      </c>
      <c r="G113" s="4">
        <v>80</v>
      </c>
      <c r="J113" s="4">
        <v>0</v>
      </c>
      <c r="N113" s="4">
        <v>2</v>
      </c>
      <c r="P113" s="4">
        <v>2</v>
      </c>
      <c r="R113" t="s">
        <v>166</v>
      </c>
    </row>
    <row r="114" spans="1:18">
      <c r="A114" s="4">
        <v>1809</v>
      </c>
      <c r="B114" s="4">
        <v>405</v>
      </c>
      <c r="C114" s="4" t="s">
        <v>221</v>
      </c>
      <c r="D114" s="30" t="s">
        <v>230</v>
      </c>
      <c r="F114" s="4">
        <v>13</v>
      </c>
      <c r="G114" s="4">
        <v>90</v>
      </c>
      <c r="J114" s="4">
        <v>0</v>
      </c>
      <c r="N114" s="4">
        <v>2</v>
      </c>
      <c r="P114" s="4">
        <v>2</v>
      </c>
      <c r="R114" t="s">
        <v>166</v>
      </c>
    </row>
    <row r="115" spans="1:18">
      <c r="A115" s="4">
        <v>1810</v>
      </c>
      <c r="B115" s="4">
        <v>405</v>
      </c>
      <c r="C115" s="4" t="s">
        <v>221</v>
      </c>
      <c r="D115" s="30" t="s">
        <v>231</v>
      </c>
      <c r="F115" s="4">
        <v>13</v>
      </c>
      <c r="G115" s="4">
        <v>100</v>
      </c>
      <c r="J115" s="4">
        <v>0</v>
      </c>
      <c r="N115" s="4">
        <v>2</v>
      </c>
      <c r="P115" s="4">
        <v>2</v>
      </c>
      <c r="R115" t="s">
        <v>166</v>
      </c>
    </row>
    <row r="116" spans="1:18">
      <c r="A116" s="4">
        <v>1901</v>
      </c>
      <c r="B116" s="4">
        <v>404</v>
      </c>
      <c r="C116" s="4" t="s">
        <v>232</v>
      </c>
      <c r="D116" s="30" t="s">
        <v>233</v>
      </c>
      <c r="F116" s="4">
        <v>11</v>
      </c>
      <c r="G116" s="4">
        <v>10</v>
      </c>
      <c r="J116" s="4">
        <v>0</v>
      </c>
      <c r="N116" s="4">
        <v>2</v>
      </c>
      <c r="P116" s="4">
        <v>2</v>
      </c>
      <c r="R116" t="s">
        <v>166</v>
      </c>
    </row>
    <row r="117" spans="1:18">
      <c r="A117" s="4">
        <v>1902</v>
      </c>
      <c r="B117" s="4">
        <v>404</v>
      </c>
      <c r="C117" s="4" t="s">
        <v>232</v>
      </c>
      <c r="D117" s="30" t="s">
        <v>234</v>
      </c>
      <c r="F117" s="4">
        <v>11</v>
      </c>
      <c r="G117" s="4">
        <v>20</v>
      </c>
      <c r="J117" s="4">
        <v>0</v>
      </c>
      <c r="N117" s="4">
        <v>2</v>
      </c>
      <c r="P117" s="4">
        <v>2</v>
      </c>
      <c r="R117" t="s">
        <v>166</v>
      </c>
    </row>
    <row r="118" spans="1:18">
      <c r="A118" s="4">
        <v>1903</v>
      </c>
      <c r="B118" s="4">
        <v>404</v>
      </c>
      <c r="C118" s="4" t="s">
        <v>232</v>
      </c>
      <c r="D118" s="30" t="s">
        <v>235</v>
      </c>
      <c r="F118" s="4">
        <v>11</v>
      </c>
      <c r="G118" s="4">
        <v>30</v>
      </c>
      <c r="J118" s="4">
        <v>0</v>
      </c>
      <c r="N118" s="4">
        <v>2</v>
      </c>
      <c r="P118" s="4">
        <v>2</v>
      </c>
      <c r="R118" t="s">
        <v>166</v>
      </c>
    </row>
    <row r="119" spans="1:18">
      <c r="A119" s="4">
        <v>1904</v>
      </c>
      <c r="B119" s="4">
        <v>404</v>
      </c>
      <c r="C119" s="4" t="s">
        <v>232</v>
      </c>
      <c r="D119" s="30" t="s">
        <v>236</v>
      </c>
      <c r="F119" s="4">
        <v>11</v>
      </c>
      <c r="G119" s="4">
        <v>40</v>
      </c>
      <c r="J119" s="4">
        <v>0</v>
      </c>
      <c r="N119" s="4">
        <v>2</v>
      </c>
      <c r="P119" s="4">
        <v>2</v>
      </c>
      <c r="R119" t="s">
        <v>166</v>
      </c>
    </row>
    <row r="120" spans="1:18">
      <c r="A120" s="4">
        <v>1905</v>
      </c>
      <c r="B120" s="4">
        <v>404</v>
      </c>
      <c r="C120" s="4" t="s">
        <v>232</v>
      </c>
      <c r="D120" s="30" t="s">
        <v>237</v>
      </c>
      <c r="F120" s="4">
        <v>11</v>
      </c>
      <c r="G120" s="4">
        <v>50</v>
      </c>
      <c r="J120" s="4">
        <v>0</v>
      </c>
      <c r="N120" s="4">
        <v>2</v>
      </c>
      <c r="P120" s="4">
        <v>2</v>
      </c>
      <c r="R120" t="s">
        <v>166</v>
      </c>
    </row>
    <row r="121" spans="1:18">
      <c r="A121" s="4">
        <v>1906</v>
      </c>
      <c r="B121" s="4">
        <v>404</v>
      </c>
      <c r="C121" s="4" t="s">
        <v>232</v>
      </c>
      <c r="D121" s="30" t="s">
        <v>238</v>
      </c>
      <c r="F121" s="4">
        <v>11</v>
      </c>
      <c r="G121" s="4">
        <v>60</v>
      </c>
      <c r="J121" s="4">
        <v>0</v>
      </c>
      <c r="N121" s="4">
        <v>2</v>
      </c>
      <c r="P121" s="4">
        <v>2</v>
      </c>
      <c r="R121" t="s">
        <v>166</v>
      </c>
    </row>
    <row r="122" spans="1:18">
      <c r="A122" s="4">
        <v>1907</v>
      </c>
      <c r="B122" s="4">
        <v>404</v>
      </c>
      <c r="C122" s="4" t="s">
        <v>232</v>
      </c>
      <c r="D122" s="30" t="s">
        <v>239</v>
      </c>
      <c r="F122" s="4">
        <v>11</v>
      </c>
      <c r="G122" s="4">
        <v>70</v>
      </c>
      <c r="J122" s="4">
        <v>0</v>
      </c>
      <c r="N122" s="4">
        <v>2</v>
      </c>
      <c r="P122" s="4">
        <v>2</v>
      </c>
      <c r="R122" t="s">
        <v>166</v>
      </c>
    </row>
    <row r="123" spans="1:18">
      <c r="A123" s="4">
        <v>1908</v>
      </c>
      <c r="B123" s="4">
        <v>404</v>
      </c>
      <c r="C123" s="4" t="s">
        <v>232</v>
      </c>
      <c r="D123" s="30" t="s">
        <v>240</v>
      </c>
      <c r="F123" s="4">
        <v>11</v>
      </c>
      <c r="G123" s="4">
        <v>80</v>
      </c>
      <c r="J123" s="4">
        <v>0</v>
      </c>
      <c r="N123" s="4">
        <v>2</v>
      </c>
      <c r="P123" s="4">
        <v>2</v>
      </c>
      <c r="R123" t="s">
        <v>166</v>
      </c>
    </row>
    <row r="124" spans="1:18">
      <c r="A124" s="4">
        <v>1909</v>
      </c>
      <c r="B124" s="4">
        <v>404</v>
      </c>
      <c r="C124" s="4" t="s">
        <v>232</v>
      </c>
      <c r="D124" s="30" t="s">
        <v>241</v>
      </c>
      <c r="F124" s="4">
        <v>11</v>
      </c>
      <c r="G124" s="4">
        <v>90</v>
      </c>
      <c r="J124" s="4">
        <v>0</v>
      </c>
      <c r="N124" s="4">
        <v>2</v>
      </c>
      <c r="P124" s="4">
        <v>2</v>
      </c>
      <c r="R124" t="s">
        <v>166</v>
      </c>
    </row>
    <row r="125" spans="1:18">
      <c r="A125" s="4">
        <v>1910</v>
      </c>
      <c r="B125" s="4">
        <v>404</v>
      </c>
      <c r="C125" s="4" t="s">
        <v>232</v>
      </c>
      <c r="D125" s="30" t="s">
        <v>242</v>
      </c>
      <c r="F125" s="4">
        <v>11</v>
      </c>
      <c r="G125" s="4">
        <v>100</v>
      </c>
      <c r="J125" s="4">
        <v>0</v>
      </c>
      <c r="N125" s="4">
        <v>2</v>
      </c>
      <c r="P125" s="4">
        <v>2</v>
      </c>
      <c r="R125" t="s">
        <v>166</v>
      </c>
    </row>
    <row r="126" spans="1:18">
      <c r="A126" s="4">
        <v>2001</v>
      </c>
      <c r="B126" s="4">
        <v>301</v>
      </c>
      <c r="C126" s="4" t="s">
        <v>243</v>
      </c>
      <c r="D126" s="30" t="s">
        <v>244</v>
      </c>
      <c r="F126" s="4">
        <v>1</v>
      </c>
      <c r="G126" s="4">
        <v>1</v>
      </c>
      <c r="J126" s="4">
        <v>0</v>
      </c>
      <c r="N126" s="4">
        <v>2</v>
      </c>
      <c r="P126" s="4">
        <v>2</v>
      </c>
      <c r="R126" t="s">
        <v>245</v>
      </c>
    </row>
    <row r="127" spans="1:18">
      <c r="A127" s="4">
        <v>2002</v>
      </c>
      <c r="B127" s="4">
        <v>301</v>
      </c>
      <c r="C127" s="4" t="s">
        <v>243</v>
      </c>
      <c r="D127" s="30" t="s">
        <v>246</v>
      </c>
      <c r="F127" s="4">
        <v>1</v>
      </c>
      <c r="G127" s="4">
        <v>20</v>
      </c>
      <c r="J127" s="4">
        <v>0</v>
      </c>
      <c r="N127" s="4">
        <v>2</v>
      </c>
      <c r="P127" s="4">
        <v>2</v>
      </c>
      <c r="R127" t="s">
        <v>166</v>
      </c>
    </row>
    <row r="128" spans="1:18">
      <c r="A128" s="4">
        <v>2003</v>
      </c>
      <c r="B128" s="4">
        <v>301</v>
      </c>
      <c r="C128" s="4" t="s">
        <v>243</v>
      </c>
      <c r="D128" s="30" t="s">
        <v>247</v>
      </c>
      <c r="F128" s="4">
        <v>1</v>
      </c>
      <c r="G128" s="4">
        <v>30</v>
      </c>
      <c r="J128" s="4">
        <v>0</v>
      </c>
      <c r="N128" s="4">
        <v>2</v>
      </c>
      <c r="P128" s="4">
        <v>2</v>
      </c>
      <c r="R128" t="s">
        <v>166</v>
      </c>
    </row>
    <row r="129" spans="1:18">
      <c r="A129" s="4">
        <v>2004</v>
      </c>
      <c r="B129" s="4">
        <v>301</v>
      </c>
      <c r="C129" s="4" t="s">
        <v>243</v>
      </c>
      <c r="D129" s="30" t="s">
        <v>248</v>
      </c>
      <c r="F129" s="4">
        <v>1</v>
      </c>
      <c r="G129" s="4">
        <v>40</v>
      </c>
      <c r="J129" s="4">
        <v>0</v>
      </c>
      <c r="N129" s="4">
        <v>2</v>
      </c>
      <c r="P129" s="4">
        <v>2</v>
      </c>
      <c r="R129" t="s">
        <v>166</v>
      </c>
    </row>
    <row r="130" spans="1:18">
      <c r="A130" s="4">
        <v>2005</v>
      </c>
      <c r="B130" s="4">
        <v>301</v>
      </c>
      <c r="C130" s="4" t="s">
        <v>243</v>
      </c>
      <c r="D130" s="30" t="s">
        <v>249</v>
      </c>
      <c r="F130" s="4">
        <v>1</v>
      </c>
      <c r="G130" s="4">
        <v>50</v>
      </c>
      <c r="J130" s="4">
        <v>0</v>
      </c>
      <c r="N130" s="4">
        <v>2</v>
      </c>
      <c r="P130" s="4">
        <v>2</v>
      </c>
      <c r="R130" t="s">
        <v>166</v>
      </c>
    </row>
    <row r="131" spans="1:18">
      <c r="A131" s="4">
        <v>2101</v>
      </c>
      <c r="B131" s="4">
        <v>601</v>
      </c>
      <c r="C131" s="4" t="s">
        <v>250</v>
      </c>
      <c r="D131" s="30" t="s">
        <v>251</v>
      </c>
      <c r="F131" s="4">
        <v>33</v>
      </c>
      <c r="G131" s="4">
        <v>4</v>
      </c>
      <c r="I131" s="4">
        <v>3</v>
      </c>
      <c r="J131" s="4">
        <v>0</v>
      </c>
      <c r="N131" s="4">
        <v>2</v>
      </c>
      <c r="P131" s="4">
        <v>2</v>
      </c>
      <c r="R131" t="s">
        <v>166</v>
      </c>
    </row>
    <row r="132" spans="1:18">
      <c r="A132" s="4">
        <v>2102</v>
      </c>
      <c r="B132" s="4">
        <v>601</v>
      </c>
      <c r="C132" s="4" t="s">
        <v>250</v>
      </c>
      <c r="D132" s="30" t="s">
        <v>252</v>
      </c>
      <c r="F132" s="4">
        <v>33</v>
      </c>
      <c r="G132" s="4">
        <v>8</v>
      </c>
      <c r="I132" s="4">
        <v>3</v>
      </c>
      <c r="J132" s="4">
        <v>0</v>
      </c>
      <c r="N132" s="4">
        <v>2</v>
      </c>
      <c r="P132" s="4">
        <v>2</v>
      </c>
      <c r="R132" t="s">
        <v>166</v>
      </c>
    </row>
    <row r="133" spans="1:18">
      <c r="A133" s="4">
        <v>2103</v>
      </c>
      <c r="B133" s="4">
        <v>601</v>
      </c>
      <c r="C133" s="4" t="s">
        <v>250</v>
      </c>
      <c r="D133" s="30" t="s">
        <v>253</v>
      </c>
      <c r="F133" s="4">
        <v>33</v>
      </c>
      <c r="G133" s="4">
        <v>12</v>
      </c>
      <c r="I133" s="4">
        <v>3</v>
      </c>
      <c r="J133" s="4">
        <v>0</v>
      </c>
      <c r="N133" s="4">
        <v>2</v>
      </c>
      <c r="P133" s="4">
        <v>2</v>
      </c>
      <c r="R133" t="s">
        <v>166</v>
      </c>
    </row>
    <row r="134" spans="1:18">
      <c r="A134" s="4">
        <v>2104</v>
      </c>
      <c r="B134" s="4">
        <v>601</v>
      </c>
      <c r="C134" s="4" t="s">
        <v>250</v>
      </c>
      <c r="D134" s="30" t="s">
        <v>254</v>
      </c>
      <c r="F134" s="4">
        <v>33</v>
      </c>
      <c r="G134" s="4">
        <v>16</v>
      </c>
      <c r="I134" s="4">
        <v>3</v>
      </c>
      <c r="J134" s="4">
        <v>0</v>
      </c>
      <c r="N134" s="4">
        <v>2</v>
      </c>
      <c r="P134" s="4">
        <v>2</v>
      </c>
      <c r="R134" t="s">
        <v>166</v>
      </c>
    </row>
    <row r="135" spans="1:18">
      <c r="A135" s="4">
        <v>2105</v>
      </c>
      <c r="B135" s="4">
        <v>601</v>
      </c>
      <c r="C135" s="4" t="s">
        <v>250</v>
      </c>
      <c r="D135" s="30" t="s">
        <v>255</v>
      </c>
      <c r="F135" s="4">
        <v>33</v>
      </c>
      <c r="G135" s="4">
        <v>20</v>
      </c>
      <c r="I135" s="4">
        <v>3</v>
      </c>
      <c r="J135" s="4">
        <v>0</v>
      </c>
      <c r="N135" s="4">
        <v>2</v>
      </c>
      <c r="P135" s="4">
        <v>2</v>
      </c>
      <c r="R135" t="s">
        <v>166</v>
      </c>
    </row>
    <row r="136" spans="1:18">
      <c r="A136" s="4">
        <v>2201</v>
      </c>
      <c r="B136" s="4">
        <v>601</v>
      </c>
      <c r="C136" s="4" t="s">
        <v>256</v>
      </c>
      <c r="D136" s="30" t="s">
        <v>257</v>
      </c>
      <c r="F136" s="4">
        <v>33</v>
      </c>
      <c r="G136" s="4">
        <v>4</v>
      </c>
      <c r="I136" s="4">
        <v>4</v>
      </c>
      <c r="J136" s="4">
        <v>0</v>
      </c>
      <c r="N136" s="4">
        <v>2</v>
      </c>
      <c r="P136" s="4">
        <v>2</v>
      </c>
      <c r="R136" t="s">
        <v>166</v>
      </c>
    </row>
    <row r="137" spans="1:18">
      <c r="A137" s="4">
        <v>2202</v>
      </c>
      <c r="B137" s="4">
        <v>601</v>
      </c>
      <c r="C137" s="4" t="s">
        <v>256</v>
      </c>
      <c r="D137" s="30" t="s">
        <v>258</v>
      </c>
      <c r="F137" s="4">
        <v>33</v>
      </c>
      <c r="G137" s="4">
        <v>8</v>
      </c>
      <c r="I137" s="4">
        <v>4</v>
      </c>
      <c r="J137" s="4">
        <v>0</v>
      </c>
      <c r="N137" s="4">
        <v>2</v>
      </c>
      <c r="P137" s="4">
        <v>2</v>
      </c>
      <c r="R137" t="s">
        <v>166</v>
      </c>
    </row>
    <row r="138" spans="1:18">
      <c r="A138" s="4">
        <v>2203</v>
      </c>
      <c r="B138" s="4">
        <v>601</v>
      </c>
      <c r="C138" s="4" t="s">
        <v>256</v>
      </c>
      <c r="D138" s="30" t="s">
        <v>259</v>
      </c>
      <c r="F138" s="4">
        <v>33</v>
      </c>
      <c r="G138" s="4">
        <v>12</v>
      </c>
      <c r="I138" s="4">
        <v>4</v>
      </c>
      <c r="J138" s="4">
        <v>0</v>
      </c>
      <c r="N138" s="4">
        <v>2</v>
      </c>
      <c r="P138" s="4">
        <v>2</v>
      </c>
      <c r="R138" t="s">
        <v>166</v>
      </c>
    </row>
    <row r="139" spans="1:18">
      <c r="A139" s="4">
        <v>2204</v>
      </c>
      <c r="B139" s="4">
        <v>601</v>
      </c>
      <c r="C139" s="4" t="s">
        <v>256</v>
      </c>
      <c r="D139" s="30" t="s">
        <v>260</v>
      </c>
      <c r="F139" s="4">
        <v>33</v>
      </c>
      <c r="G139" s="4">
        <v>16</v>
      </c>
      <c r="I139" s="4">
        <v>4</v>
      </c>
      <c r="J139" s="4">
        <v>0</v>
      </c>
      <c r="N139" s="4">
        <v>2</v>
      </c>
      <c r="P139" s="4">
        <v>2</v>
      </c>
      <c r="R139" t="s">
        <v>166</v>
      </c>
    </row>
    <row r="140" spans="1:18">
      <c r="A140" s="4">
        <v>2205</v>
      </c>
      <c r="B140" s="4">
        <v>601</v>
      </c>
      <c r="C140" s="4" t="s">
        <v>256</v>
      </c>
      <c r="D140" s="30" t="s">
        <v>261</v>
      </c>
      <c r="F140" s="4">
        <v>33</v>
      </c>
      <c r="G140" s="4">
        <v>20</v>
      </c>
      <c r="I140" s="4">
        <v>4</v>
      </c>
      <c r="J140" s="4">
        <v>0</v>
      </c>
      <c r="N140" s="4">
        <v>2</v>
      </c>
      <c r="P140" s="4">
        <v>2</v>
      </c>
      <c r="R140" t="s">
        <v>166</v>
      </c>
    </row>
    <row r="141" spans="1:18">
      <c r="A141" s="4">
        <v>2301</v>
      </c>
      <c r="B141" s="4">
        <v>601</v>
      </c>
      <c r="C141" s="4" t="s">
        <v>262</v>
      </c>
      <c r="D141" s="30" t="s">
        <v>263</v>
      </c>
      <c r="F141" s="4">
        <v>33</v>
      </c>
      <c r="G141" s="4">
        <v>4</v>
      </c>
      <c r="I141" s="4">
        <v>5</v>
      </c>
      <c r="J141" s="4">
        <v>0</v>
      </c>
      <c r="N141" s="4">
        <v>2</v>
      </c>
      <c r="P141" s="4">
        <v>2</v>
      </c>
      <c r="R141" t="s">
        <v>166</v>
      </c>
    </row>
    <row r="142" spans="1:18">
      <c r="A142" s="4">
        <v>2302</v>
      </c>
      <c r="B142" s="4">
        <v>601</v>
      </c>
      <c r="C142" s="4" t="s">
        <v>262</v>
      </c>
      <c r="D142" s="30" t="s">
        <v>264</v>
      </c>
      <c r="F142" s="4">
        <v>33</v>
      </c>
      <c r="G142" s="4">
        <v>8</v>
      </c>
      <c r="I142" s="4">
        <v>5</v>
      </c>
      <c r="J142" s="4">
        <v>0</v>
      </c>
      <c r="N142" s="4">
        <v>2</v>
      </c>
      <c r="P142" s="4">
        <v>2</v>
      </c>
      <c r="R142" t="s">
        <v>166</v>
      </c>
    </row>
    <row r="143" spans="1:18">
      <c r="A143" s="4">
        <v>2303</v>
      </c>
      <c r="B143" s="4">
        <v>601</v>
      </c>
      <c r="C143" s="4" t="s">
        <v>262</v>
      </c>
      <c r="D143" s="30" t="s">
        <v>265</v>
      </c>
      <c r="F143" s="4">
        <v>33</v>
      </c>
      <c r="G143" s="4">
        <v>12</v>
      </c>
      <c r="I143" s="4">
        <v>5</v>
      </c>
      <c r="J143" s="4">
        <v>0</v>
      </c>
      <c r="N143" s="4">
        <v>2</v>
      </c>
      <c r="P143" s="4">
        <v>2</v>
      </c>
      <c r="R143" t="s">
        <v>166</v>
      </c>
    </row>
    <row r="144" spans="1:18">
      <c r="A144" s="4">
        <v>2304</v>
      </c>
      <c r="B144" s="4">
        <v>601</v>
      </c>
      <c r="C144" s="4" t="s">
        <v>262</v>
      </c>
      <c r="D144" s="30" t="s">
        <v>266</v>
      </c>
      <c r="F144" s="4">
        <v>33</v>
      </c>
      <c r="G144" s="4">
        <v>16</v>
      </c>
      <c r="I144" s="4">
        <v>5</v>
      </c>
      <c r="J144" s="4">
        <v>0</v>
      </c>
      <c r="N144" s="4">
        <v>2</v>
      </c>
      <c r="P144" s="4">
        <v>2</v>
      </c>
      <c r="R144" t="s">
        <v>166</v>
      </c>
    </row>
    <row r="145" spans="1:18">
      <c r="A145" s="4">
        <v>2305</v>
      </c>
      <c r="B145" s="4">
        <v>601</v>
      </c>
      <c r="C145" s="4" t="s">
        <v>262</v>
      </c>
      <c r="D145" s="30" t="s">
        <v>267</v>
      </c>
      <c r="F145" s="4">
        <v>33</v>
      </c>
      <c r="G145" s="4">
        <v>20</v>
      </c>
      <c r="I145" s="4">
        <v>5</v>
      </c>
      <c r="J145" s="4">
        <v>0</v>
      </c>
      <c r="N145" s="4">
        <v>2</v>
      </c>
      <c r="P145" s="4">
        <v>2</v>
      </c>
      <c r="R145" t="s">
        <v>166</v>
      </c>
    </row>
    <row r="146" spans="1:18">
      <c r="A146" s="4">
        <v>2401</v>
      </c>
      <c r="B146" s="4">
        <v>502</v>
      </c>
      <c r="C146" s="4" t="s">
        <v>268</v>
      </c>
      <c r="D146" s="30" t="s">
        <v>269</v>
      </c>
      <c r="F146" s="4">
        <v>16</v>
      </c>
      <c r="G146" s="4">
        <v>1</v>
      </c>
      <c r="J146" s="4">
        <v>0</v>
      </c>
      <c r="N146" s="4">
        <v>2</v>
      </c>
      <c r="P146" s="4">
        <v>2</v>
      </c>
      <c r="R146" t="s">
        <v>166</v>
      </c>
    </row>
    <row r="147" spans="1:18">
      <c r="A147" s="4">
        <v>2402</v>
      </c>
      <c r="B147" s="4">
        <v>502</v>
      </c>
      <c r="C147" s="4" t="s">
        <v>268</v>
      </c>
      <c r="D147" s="30" t="s">
        <v>270</v>
      </c>
      <c r="F147" s="4">
        <v>16</v>
      </c>
      <c r="G147" s="4">
        <v>5</v>
      </c>
      <c r="J147" s="4">
        <v>0</v>
      </c>
      <c r="N147" s="4">
        <v>2</v>
      </c>
      <c r="P147" s="4">
        <v>2</v>
      </c>
      <c r="R147" t="s">
        <v>166</v>
      </c>
    </row>
    <row r="148" spans="1:18">
      <c r="A148" s="4">
        <v>2403</v>
      </c>
      <c r="B148" s="4">
        <v>502</v>
      </c>
      <c r="C148" s="4" t="s">
        <v>268</v>
      </c>
      <c r="D148" s="30" t="s">
        <v>271</v>
      </c>
      <c r="F148" s="4">
        <v>16</v>
      </c>
      <c r="G148" s="4">
        <v>10</v>
      </c>
      <c r="J148" s="4">
        <v>0</v>
      </c>
      <c r="N148" s="4">
        <v>2</v>
      </c>
      <c r="P148" s="4">
        <v>2</v>
      </c>
      <c r="R148" t="s">
        <v>166</v>
      </c>
    </row>
    <row r="149" spans="1:18">
      <c r="A149" s="4">
        <v>2404</v>
      </c>
      <c r="B149" s="4">
        <v>502</v>
      </c>
      <c r="C149" s="4" t="s">
        <v>268</v>
      </c>
      <c r="D149" s="30" t="s">
        <v>272</v>
      </c>
      <c r="F149" s="4">
        <v>16</v>
      </c>
      <c r="G149" s="4">
        <v>30</v>
      </c>
      <c r="J149" s="4">
        <v>0</v>
      </c>
      <c r="N149" s="4">
        <v>2</v>
      </c>
      <c r="P149" s="4">
        <v>2</v>
      </c>
      <c r="R149" t="s">
        <v>166</v>
      </c>
    </row>
    <row r="150" spans="1:18">
      <c r="A150" s="4">
        <v>2405</v>
      </c>
      <c r="B150" s="4">
        <v>502</v>
      </c>
      <c r="C150" s="4" t="s">
        <v>268</v>
      </c>
      <c r="D150" s="30" t="s">
        <v>273</v>
      </c>
      <c r="F150" s="4">
        <v>16</v>
      </c>
      <c r="G150" s="4">
        <v>50</v>
      </c>
      <c r="J150" s="4">
        <v>0</v>
      </c>
      <c r="N150" s="4">
        <v>2</v>
      </c>
      <c r="P150" s="4">
        <v>2</v>
      </c>
      <c r="R150" t="s">
        <v>166</v>
      </c>
    </row>
    <row r="151" spans="1:18">
      <c r="A151" s="4">
        <v>2406</v>
      </c>
      <c r="B151" s="4">
        <v>502</v>
      </c>
      <c r="C151" s="4" t="s">
        <v>268</v>
      </c>
      <c r="D151" s="30" t="s">
        <v>274</v>
      </c>
      <c r="F151" s="4">
        <v>16</v>
      </c>
      <c r="G151" s="4">
        <v>70</v>
      </c>
      <c r="J151" s="4">
        <v>0</v>
      </c>
      <c r="N151" s="4">
        <v>2</v>
      </c>
      <c r="P151" s="4">
        <v>2</v>
      </c>
      <c r="R151" t="s">
        <v>166</v>
      </c>
    </row>
    <row r="152" spans="1:18">
      <c r="A152" s="4">
        <v>2407</v>
      </c>
      <c r="B152" s="4">
        <v>502</v>
      </c>
      <c r="C152" s="4" t="s">
        <v>268</v>
      </c>
      <c r="D152" s="30" t="s">
        <v>275</v>
      </c>
      <c r="F152" s="4">
        <v>16</v>
      </c>
      <c r="G152" s="4">
        <v>100</v>
      </c>
      <c r="J152" s="4">
        <v>0</v>
      </c>
      <c r="N152" s="4">
        <v>2</v>
      </c>
      <c r="P152" s="4">
        <v>2</v>
      </c>
      <c r="R152" t="s">
        <v>166</v>
      </c>
    </row>
    <row r="153" spans="1:18">
      <c r="A153" s="4">
        <v>2501</v>
      </c>
      <c r="B153" s="4">
        <v>3102</v>
      </c>
      <c r="C153" s="4" t="s">
        <v>276</v>
      </c>
      <c r="D153" s="30" t="s">
        <v>277</v>
      </c>
      <c r="E153" s="4">
        <v>1</v>
      </c>
      <c r="F153" s="4">
        <v>9</v>
      </c>
      <c r="G153" s="4">
        <v>1100</v>
      </c>
      <c r="J153" s="4">
        <v>0</v>
      </c>
      <c r="N153" s="4">
        <v>2</v>
      </c>
      <c r="P153" s="4">
        <v>2</v>
      </c>
      <c r="R153" t="s">
        <v>278</v>
      </c>
    </row>
    <row r="154" spans="1:18">
      <c r="A154" s="4">
        <v>2502</v>
      </c>
      <c r="B154" s="4">
        <v>3102</v>
      </c>
      <c r="C154" s="4" t="s">
        <v>276</v>
      </c>
      <c r="D154" s="30" t="s">
        <v>279</v>
      </c>
      <c r="E154" s="4">
        <v>1</v>
      </c>
      <c r="F154" s="4">
        <v>9</v>
      </c>
      <c r="G154" s="4">
        <v>1300</v>
      </c>
      <c r="J154" s="4">
        <v>0</v>
      </c>
      <c r="N154" s="4">
        <v>2</v>
      </c>
      <c r="P154" s="4">
        <v>2</v>
      </c>
      <c r="R154" t="s">
        <v>278</v>
      </c>
    </row>
    <row r="155" spans="1:18">
      <c r="A155" s="4">
        <v>2503</v>
      </c>
      <c r="B155" s="4">
        <v>3102</v>
      </c>
      <c r="C155" s="4" t="s">
        <v>276</v>
      </c>
      <c r="D155" s="30" t="s">
        <v>280</v>
      </c>
      <c r="E155" s="4">
        <v>1</v>
      </c>
      <c r="F155" s="4">
        <v>9</v>
      </c>
      <c r="G155" s="4">
        <v>1500</v>
      </c>
      <c r="J155" s="4">
        <v>0</v>
      </c>
      <c r="N155" s="4">
        <v>2</v>
      </c>
      <c r="P155" s="4">
        <v>2</v>
      </c>
      <c r="R155" t="s">
        <v>278</v>
      </c>
    </row>
    <row r="156" spans="1:18">
      <c r="A156" s="4">
        <v>2504</v>
      </c>
      <c r="B156" s="4">
        <v>3102</v>
      </c>
      <c r="C156" s="4" t="s">
        <v>276</v>
      </c>
      <c r="D156" s="30" t="s">
        <v>281</v>
      </c>
      <c r="E156" s="4">
        <v>1</v>
      </c>
      <c r="F156" s="4">
        <v>9</v>
      </c>
      <c r="G156" s="4">
        <v>1800</v>
      </c>
      <c r="J156" s="4">
        <v>0</v>
      </c>
      <c r="N156" s="4">
        <v>2</v>
      </c>
      <c r="P156" s="4">
        <v>2</v>
      </c>
      <c r="R156" t="s">
        <v>278</v>
      </c>
    </row>
    <row r="157" spans="1:18">
      <c r="A157" s="4">
        <v>2505</v>
      </c>
      <c r="B157" s="4">
        <v>3102</v>
      </c>
      <c r="C157" s="4" t="s">
        <v>276</v>
      </c>
      <c r="D157" s="30" t="s">
        <v>282</v>
      </c>
      <c r="E157" s="4">
        <v>1</v>
      </c>
      <c r="F157" s="4">
        <v>9</v>
      </c>
      <c r="G157" s="4">
        <v>2000</v>
      </c>
      <c r="J157" s="4">
        <v>0</v>
      </c>
      <c r="N157" s="4">
        <v>2</v>
      </c>
      <c r="P157" s="4">
        <v>2</v>
      </c>
      <c r="R157" t="s">
        <v>278</v>
      </c>
    </row>
    <row r="158" spans="1:18">
      <c r="A158" s="4">
        <v>2506</v>
      </c>
      <c r="B158" s="4">
        <v>3102</v>
      </c>
      <c r="C158" s="4" t="s">
        <v>276</v>
      </c>
      <c r="D158" s="30" t="s">
        <v>283</v>
      </c>
      <c r="E158" s="4">
        <v>1</v>
      </c>
      <c r="F158" s="4">
        <v>9</v>
      </c>
      <c r="G158" s="4">
        <v>2200</v>
      </c>
      <c r="J158" s="4">
        <v>0</v>
      </c>
      <c r="N158" s="4">
        <v>2</v>
      </c>
      <c r="P158" s="4">
        <v>2</v>
      </c>
      <c r="R158" t="s">
        <v>278</v>
      </c>
    </row>
    <row r="159" spans="1:18">
      <c r="A159" s="4">
        <v>2507</v>
      </c>
      <c r="B159" s="4">
        <v>3102</v>
      </c>
      <c r="C159" s="4" t="s">
        <v>276</v>
      </c>
      <c r="D159" s="30" t="s">
        <v>284</v>
      </c>
      <c r="E159" s="4">
        <v>1</v>
      </c>
      <c r="F159" s="4">
        <v>9</v>
      </c>
      <c r="G159" s="4">
        <v>2400</v>
      </c>
      <c r="J159" s="4">
        <v>0</v>
      </c>
      <c r="N159" s="4">
        <v>2</v>
      </c>
      <c r="P159" s="4">
        <v>2</v>
      </c>
      <c r="R159" t="s">
        <v>278</v>
      </c>
    </row>
    <row r="160" spans="1:18">
      <c r="A160" s="4">
        <v>2508</v>
      </c>
      <c r="B160" s="4">
        <v>3102</v>
      </c>
      <c r="C160" s="4" t="s">
        <v>276</v>
      </c>
      <c r="D160" s="30" t="s">
        <v>285</v>
      </c>
      <c r="E160" s="4">
        <v>1</v>
      </c>
      <c r="F160" s="4">
        <v>9</v>
      </c>
      <c r="G160" s="4">
        <v>2600</v>
      </c>
      <c r="J160" s="4">
        <v>0</v>
      </c>
      <c r="N160" s="4">
        <v>2</v>
      </c>
      <c r="P160" s="4">
        <v>2</v>
      </c>
      <c r="R160" t="s">
        <v>278</v>
      </c>
    </row>
    <row r="161" spans="1:18">
      <c r="A161" s="4">
        <v>2509</v>
      </c>
      <c r="B161" s="4">
        <v>3102</v>
      </c>
      <c r="C161" s="4" t="s">
        <v>276</v>
      </c>
      <c r="D161" s="30" t="s">
        <v>286</v>
      </c>
      <c r="E161" s="4">
        <v>1</v>
      </c>
      <c r="F161" s="4">
        <v>9</v>
      </c>
      <c r="G161" s="4">
        <v>2800</v>
      </c>
      <c r="J161" s="4">
        <v>0</v>
      </c>
      <c r="N161" s="4">
        <v>2</v>
      </c>
      <c r="P161" s="4">
        <v>2</v>
      </c>
      <c r="R161" t="s">
        <v>278</v>
      </c>
    </row>
    <row r="162" spans="1:18">
      <c r="A162" s="4">
        <v>2510</v>
      </c>
      <c r="B162" s="4">
        <v>3102</v>
      </c>
      <c r="C162" s="4" t="s">
        <v>276</v>
      </c>
      <c r="D162" s="30" t="s">
        <v>287</v>
      </c>
      <c r="E162" s="4">
        <v>1</v>
      </c>
      <c r="F162" s="4">
        <v>9</v>
      </c>
      <c r="G162" s="4">
        <v>3000</v>
      </c>
      <c r="J162" s="4">
        <v>0</v>
      </c>
      <c r="N162" s="4">
        <v>2</v>
      </c>
      <c r="P162" s="4">
        <v>2</v>
      </c>
      <c r="R162" t="s">
        <v>278</v>
      </c>
    </row>
    <row r="163" spans="1:18">
      <c r="A163" s="4">
        <v>2601</v>
      </c>
      <c r="B163" s="4">
        <v>3103</v>
      </c>
      <c r="C163" s="4" t="s">
        <v>288</v>
      </c>
      <c r="D163" s="30" t="s">
        <v>289</v>
      </c>
      <c r="E163" s="4">
        <v>1</v>
      </c>
      <c r="F163" s="4">
        <v>9</v>
      </c>
      <c r="G163" s="4">
        <v>50</v>
      </c>
      <c r="H163" s="4">
        <v>999</v>
      </c>
      <c r="J163" s="4">
        <v>0</v>
      </c>
      <c r="N163" s="4">
        <v>1</v>
      </c>
      <c r="P163" s="4">
        <v>1</v>
      </c>
      <c r="R163" t="s">
        <v>278</v>
      </c>
    </row>
    <row r="164" spans="1:18">
      <c r="A164" s="4">
        <v>2602</v>
      </c>
      <c r="B164" s="4">
        <v>3103</v>
      </c>
      <c r="C164" s="4" t="s">
        <v>288</v>
      </c>
      <c r="D164" s="30" t="s">
        <v>290</v>
      </c>
      <c r="E164" s="4">
        <v>1</v>
      </c>
      <c r="F164" s="4">
        <v>9</v>
      </c>
      <c r="G164" s="4">
        <v>30</v>
      </c>
      <c r="H164" s="4">
        <v>999</v>
      </c>
      <c r="J164" s="4">
        <v>0</v>
      </c>
      <c r="N164" s="4">
        <v>1</v>
      </c>
      <c r="P164" s="4">
        <v>1</v>
      </c>
      <c r="R164" t="s">
        <v>278</v>
      </c>
    </row>
    <row r="165" spans="1:18">
      <c r="A165" s="4">
        <v>2603</v>
      </c>
      <c r="B165" s="4">
        <v>3103</v>
      </c>
      <c r="C165" s="4" t="s">
        <v>288</v>
      </c>
      <c r="D165" s="30" t="s">
        <v>291</v>
      </c>
      <c r="E165" s="4">
        <v>1</v>
      </c>
      <c r="F165" s="4">
        <v>9</v>
      </c>
      <c r="G165" s="4">
        <v>10</v>
      </c>
      <c r="H165" s="4">
        <v>999</v>
      </c>
      <c r="J165" s="4">
        <v>0</v>
      </c>
      <c r="N165" s="4">
        <v>1</v>
      </c>
      <c r="P165" s="4">
        <v>1</v>
      </c>
      <c r="R165" t="s">
        <v>278</v>
      </c>
    </row>
    <row r="166" spans="1:18">
      <c r="A166" s="4">
        <v>2604</v>
      </c>
      <c r="B166" s="4">
        <v>3103</v>
      </c>
      <c r="C166" s="4" t="s">
        <v>288</v>
      </c>
      <c r="D166" s="30" t="s">
        <v>292</v>
      </c>
      <c r="E166" s="4">
        <v>1</v>
      </c>
      <c r="F166" s="4">
        <v>9</v>
      </c>
      <c r="G166" s="4">
        <v>3</v>
      </c>
      <c r="H166" s="4">
        <v>999</v>
      </c>
      <c r="J166" s="4">
        <v>0</v>
      </c>
      <c r="N166" s="4">
        <v>1</v>
      </c>
      <c r="P166" s="4">
        <v>1</v>
      </c>
      <c r="R166" t="s">
        <v>278</v>
      </c>
    </row>
    <row r="167" spans="1:18">
      <c r="A167" s="4">
        <v>2605</v>
      </c>
      <c r="B167" s="4">
        <v>3103</v>
      </c>
      <c r="C167" s="4" t="s">
        <v>288</v>
      </c>
      <c r="D167" s="30" t="s">
        <v>293</v>
      </c>
      <c r="E167" s="4">
        <v>1</v>
      </c>
      <c r="F167" s="4">
        <v>9</v>
      </c>
      <c r="G167" s="4">
        <v>2</v>
      </c>
      <c r="H167" s="4">
        <v>999</v>
      </c>
      <c r="J167" s="4">
        <v>0</v>
      </c>
      <c r="N167" s="4">
        <v>1</v>
      </c>
      <c r="P167" s="4">
        <v>1</v>
      </c>
      <c r="R167" t="s">
        <v>278</v>
      </c>
    </row>
    <row r="168" spans="1:18">
      <c r="A168" s="4">
        <v>2606</v>
      </c>
      <c r="B168" s="4">
        <v>3103</v>
      </c>
      <c r="C168" s="4" t="s">
        <v>288</v>
      </c>
      <c r="D168" s="30" t="s">
        <v>294</v>
      </c>
      <c r="E168" s="4">
        <v>1</v>
      </c>
      <c r="F168" s="4">
        <v>9</v>
      </c>
      <c r="G168" s="4">
        <v>1</v>
      </c>
      <c r="H168" s="4">
        <v>999</v>
      </c>
      <c r="J168" s="4">
        <v>0</v>
      </c>
      <c r="N168" s="4">
        <v>1</v>
      </c>
      <c r="P168" s="4">
        <v>1</v>
      </c>
      <c r="R168" t="s">
        <v>278</v>
      </c>
    </row>
    <row r="169" spans="1:18">
      <c r="A169" s="4">
        <v>2701</v>
      </c>
      <c r="B169" s="4">
        <v>1101</v>
      </c>
      <c r="C169" s="4" t="s">
        <v>129</v>
      </c>
      <c r="D169" s="30" t="s">
        <v>295</v>
      </c>
      <c r="F169" s="4">
        <v>5</v>
      </c>
      <c r="G169" s="4">
        <v>10</v>
      </c>
      <c r="J169" s="4">
        <v>0</v>
      </c>
      <c r="N169" s="4">
        <v>2</v>
      </c>
      <c r="P169" s="4">
        <v>2</v>
      </c>
      <c r="R169" t="s">
        <v>166</v>
      </c>
    </row>
    <row r="170" spans="1:18">
      <c r="A170" s="4">
        <v>2702</v>
      </c>
      <c r="B170" s="4">
        <v>1101</v>
      </c>
      <c r="C170" s="4" t="s">
        <v>129</v>
      </c>
      <c r="D170" s="30" t="s">
        <v>296</v>
      </c>
      <c r="F170" s="4">
        <v>5</v>
      </c>
      <c r="G170" s="4">
        <v>30</v>
      </c>
      <c r="J170" s="4">
        <v>0</v>
      </c>
      <c r="N170" s="4">
        <v>2</v>
      </c>
      <c r="P170" s="4">
        <v>2</v>
      </c>
      <c r="R170" t="s">
        <v>166</v>
      </c>
    </row>
    <row r="171" spans="1:18">
      <c r="A171" s="4">
        <v>2703</v>
      </c>
      <c r="B171" s="4">
        <v>1101</v>
      </c>
      <c r="C171" s="4" t="s">
        <v>129</v>
      </c>
      <c r="D171" s="30" t="s">
        <v>297</v>
      </c>
      <c r="F171" s="4">
        <v>5</v>
      </c>
      <c r="G171" s="4">
        <v>50</v>
      </c>
      <c r="J171" s="4">
        <v>0</v>
      </c>
      <c r="N171" s="4">
        <v>2</v>
      </c>
      <c r="P171" s="4">
        <v>2</v>
      </c>
      <c r="R171" t="s">
        <v>166</v>
      </c>
    </row>
    <row r="172" spans="1:18">
      <c r="A172" s="4">
        <v>2704</v>
      </c>
      <c r="B172" s="4">
        <v>1101</v>
      </c>
      <c r="C172" s="4" t="s">
        <v>129</v>
      </c>
      <c r="D172" s="30" t="s">
        <v>298</v>
      </c>
      <c r="F172" s="4">
        <v>5</v>
      </c>
      <c r="G172" s="4">
        <v>80</v>
      </c>
      <c r="J172" s="4">
        <v>0</v>
      </c>
      <c r="N172" s="4">
        <v>2</v>
      </c>
      <c r="P172" s="4">
        <v>2</v>
      </c>
      <c r="R172" t="s">
        <v>166</v>
      </c>
    </row>
    <row r="173" spans="1:18">
      <c r="A173" s="4">
        <v>2705</v>
      </c>
      <c r="B173" s="4">
        <v>1101</v>
      </c>
      <c r="C173" s="4" t="s">
        <v>129</v>
      </c>
      <c r="D173" s="30" t="s">
        <v>299</v>
      </c>
      <c r="F173" s="4">
        <v>5</v>
      </c>
      <c r="G173" s="4">
        <v>100</v>
      </c>
      <c r="J173" s="4">
        <v>0</v>
      </c>
      <c r="N173" s="4">
        <v>2</v>
      </c>
      <c r="P173" s="4">
        <v>2</v>
      </c>
      <c r="R173" t="s">
        <v>166</v>
      </c>
    </row>
    <row r="174" spans="1:18">
      <c r="A174" s="4">
        <v>2706</v>
      </c>
      <c r="B174" s="4">
        <v>1101</v>
      </c>
      <c r="C174" s="4" t="s">
        <v>129</v>
      </c>
      <c r="D174" s="30" t="s">
        <v>300</v>
      </c>
      <c r="F174" s="4">
        <v>5</v>
      </c>
      <c r="G174" s="4">
        <v>200</v>
      </c>
      <c r="J174" s="4">
        <v>0</v>
      </c>
      <c r="N174" s="4">
        <v>2</v>
      </c>
      <c r="P174" s="4">
        <v>2</v>
      </c>
      <c r="R174" t="s">
        <v>166</v>
      </c>
    </row>
    <row r="175" spans="1:18">
      <c r="A175" s="4">
        <v>2801</v>
      </c>
      <c r="B175" s="4">
        <v>1004</v>
      </c>
      <c r="C175" s="4" t="s">
        <v>301</v>
      </c>
      <c r="D175" s="30" t="s">
        <v>302</v>
      </c>
      <c r="F175" s="4">
        <v>4</v>
      </c>
      <c r="G175" s="4">
        <v>10</v>
      </c>
      <c r="I175" s="4">
        <v>3</v>
      </c>
      <c r="J175" s="4">
        <v>0</v>
      </c>
      <c r="N175" s="4">
        <v>2</v>
      </c>
      <c r="P175" s="4">
        <v>2</v>
      </c>
      <c r="R175" t="s">
        <v>303</v>
      </c>
    </row>
    <row r="176" spans="1:18">
      <c r="A176" s="4">
        <v>2802</v>
      </c>
      <c r="B176" s="4">
        <v>1004</v>
      </c>
      <c r="C176" s="4" t="s">
        <v>301</v>
      </c>
      <c r="D176" s="30" t="s">
        <v>304</v>
      </c>
      <c r="F176" s="4">
        <v>4</v>
      </c>
      <c r="G176" s="4">
        <v>30</v>
      </c>
      <c r="I176" s="4">
        <v>3</v>
      </c>
      <c r="J176" s="4">
        <v>0</v>
      </c>
      <c r="N176" s="4">
        <v>2</v>
      </c>
      <c r="P176" s="4">
        <v>2</v>
      </c>
      <c r="R176" t="s">
        <v>303</v>
      </c>
    </row>
    <row r="177" spans="1:18">
      <c r="A177" s="4">
        <v>2803</v>
      </c>
      <c r="B177" s="4">
        <v>1004</v>
      </c>
      <c r="C177" s="4" t="s">
        <v>301</v>
      </c>
      <c r="D177" s="30" t="s">
        <v>305</v>
      </c>
      <c r="F177" s="4">
        <v>4</v>
      </c>
      <c r="G177" s="4">
        <v>50</v>
      </c>
      <c r="I177" s="4">
        <v>3</v>
      </c>
      <c r="J177" s="4">
        <v>0</v>
      </c>
      <c r="N177" s="4">
        <v>2</v>
      </c>
      <c r="P177" s="4">
        <v>2</v>
      </c>
      <c r="R177" t="s">
        <v>303</v>
      </c>
    </row>
    <row r="178" spans="1:18">
      <c r="A178" s="4">
        <v>2804</v>
      </c>
      <c r="B178" s="4">
        <v>1004</v>
      </c>
      <c r="C178" s="4" t="s">
        <v>301</v>
      </c>
      <c r="D178" s="30" t="s">
        <v>306</v>
      </c>
      <c r="F178" s="4">
        <v>4</v>
      </c>
      <c r="G178" s="4">
        <v>70</v>
      </c>
      <c r="I178" s="4">
        <v>3</v>
      </c>
      <c r="J178" s="4">
        <v>0</v>
      </c>
      <c r="N178" s="4">
        <v>2</v>
      </c>
      <c r="P178" s="4">
        <v>2</v>
      </c>
      <c r="R178" t="s">
        <v>303</v>
      </c>
    </row>
    <row r="179" spans="1:18">
      <c r="A179" s="4">
        <v>2805</v>
      </c>
      <c r="B179" s="4">
        <v>1004</v>
      </c>
      <c r="C179" s="4" t="s">
        <v>301</v>
      </c>
      <c r="D179" s="30" t="s">
        <v>307</v>
      </c>
      <c r="F179" s="4">
        <v>4</v>
      </c>
      <c r="G179" s="4">
        <v>100</v>
      </c>
      <c r="I179" s="4">
        <v>3</v>
      </c>
      <c r="J179" s="4">
        <v>0</v>
      </c>
      <c r="N179" s="4">
        <v>2</v>
      </c>
      <c r="P179" s="4">
        <v>2</v>
      </c>
      <c r="R179" t="s">
        <v>303</v>
      </c>
    </row>
    <row r="180" spans="1:18">
      <c r="A180" s="4">
        <v>2901</v>
      </c>
      <c r="B180" s="4">
        <v>1004</v>
      </c>
      <c r="C180" s="4" t="s">
        <v>308</v>
      </c>
      <c r="D180" s="30" t="s">
        <v>309</v>
      </c>
      <c r="F180" s="4">
        <v>4</v>
      </c>
      <c r="G180" s="4">
        <v>5</v>
      </c>
      <c r="I180" s="4">
        <v>4</v>
      </c>
      <c r="J180" s="4">
        <v>0</v>
      </c>
      <c r="N180" s="4">
        <v>2</v>
      </c>
      <c r="P180" s="4">
        <v>2</v>
      </c>
      <c r="R180" t="s">
        <v>303</v>
      </c>
    </row>
    <row r="181" spans="1:18">
      <c r="A181" s="4">
        <v>2902</v>
      </c>
      <c r="B181" s="4">
        <v>1004</v>
      </c>
      <c r="C181" s="4" t="s">
        <v>308</v>
      </c>
      <c r="D181" s="30" t="s">
        <v>310</v>
      </c>
      <c r="F181" s="4">
        <v>4</v>
      </c>
      <c r="G181" s="4">
        <v>15</v>
      </c>
      <c r="I181" s="4">
        <v>4</v>
      </c>
      <c r="J181" s="4">
        <v>0</v>
      </c>
      <c r="N181" s="4">
        <v>2</v>
      </c>
      <c r="P181" s="4">
        <v>2</v>
      </c>
      <c r="R181" t="s">
        <v>303</v>
      </c>
    </row>
    <row r="182" spans="1:18">
      <c r="A182" s="4">
        <v>2903</v>
      </c>
      <c r="B182" s="4">
        <v>1004</v>
      </c>
      <c r="C182" s="4" t="s">
        <v>308</v>
      </c>
      <c r="D182" s="30" t="s">
        <v>311</v>
      </c>
      <c r="F182" s="4">
        <v>4</v>
      </c>
      <c r="G182" s="4">
        <v>30</v>
      </c>
      <c r="I182" s="4">
        <v>4</v>
      </c>
      <c r="J182" s="4">
        <v>0</v>
      </c>
      <c r="N182" s="4">
        <v>2</v>
      </c>
      <c r="P182" s="4">
        <v>2</v>
      </c>
      <c r="R182" t="s">
        <v>303</v>
      </c>
    </row>
    <row r="183" spans="1:18">
      <c r="A183" s="4">
        <v>2904</v>
      </c>
      <c r="B183" s="4">
        <v>1004</v>
      </c>
      <c r="C183" s="4" t="s">
        <v>308</v>
      </c>
      <c r="D183" s="30" t="s">
        <v>312</v>
      </c>
      <c r="F183" s="4">
        <v>4</v>
      </c>
      <c r="G183" s="4">
        <v>50</v>
      </c>
      <c r="I183" s="4">
        <v>4</v>
      </c>
      <c r="J183" s="4">
        <v>0</v>
      </c>
      <c r="N183" s="4">
        <v>2</v>
      </c>
      <c r="P183" s="4">
        <v>2</v>
      </c>
      <c r="R183" t="s">
        <v>303</v>
      </c>
    </row>
    <row r="184" spans="1:18">
      <c r="A184" s="4">
        <v>2905</v>
      </c>
      <c r="B184" s="4">
        <v>1004</v>
      </c>
      <c r="C184" s="4" t="s">
        <v>308</v>
      </c>
      <c r="D184" s="30" t="s">
        <v>313</v>
      </c>
      <c r="F184" s="4">
        <v>4</v>
      </c>
      <c r="G184" s="4">
        <v>75</v>
      </c>
      <c r="I184" s="4">
        <v>4</v>
      </c>
      <c r="J184" s="4">
        <v>0</v>
      </c>
      <c r="N184" s="4">
        <v>2</v>
      </c>
      <c r="P184" s="4">
        <v>2</v>
      </c>
      <c r="R184" t="s">
        <v>303</v>
      </c>
    </row>
    <row r="185" spans="1:18">
      <c r="A185" s="4">
        <v>2906</v>
      </c>
      <c r="B185" s="4">
        <v>1004</v>
      </c>
      <c r="C185" s="4" t="s">
        <v>308</v>
      </c>
      <c r="D185" s="30" t="s">
        <v>314</v>
      </c>
      <c r="F185" s="4">
        <v>4</v>
      </c>
      <c r="G185" s="4">
        <v>100</v>
      </c>
      <c r="I185" s="4">
        <v>4</v>
      </c>
      <c r="J185" s="4">
        <v>0</v>
      </c>
      <c r="N185" s="4">
        <v>2</v>
      </c>
      <c r="P185" s="4">
        <v>2</v>
      </c>
      <c r="R185" t="s">
        <v>303</v>
      </c>
    </row>
    <row r="186" spans="1:18">
      <c r="A186" s="4">
        <v>3001</v>
      </c>
      <c r="B186" s="4">
        <v>1004</v>
      </c>
      <c r="C186" s="4" t="s">
        <v>315</v>
      </c>
      <c r="D186" s="30" t="s">
        <v>316</v>
      </c>
      <c r="F186" s="4">
        <v>4</v>
      </c>
      <c r="G186" s="4">
        <v>5</v>
      </c>
      <c r="I186" s="4">
        <v>5</v>
      </c>
      <c r="J186" s="4">
        <v>0</v>
      </c>
      <c r="N186" s="4">
        <v>2</v>
      </c>
      <c r="P186" s="4">
        <v>2</v>
      </c>
      <c r="R186" t="s">
        <v>303</v>
      </c>
    </row>
    <row r="187" spans="1:18">
      <c r="A187" s="4">
        <v>3002</v>
      </c>
      <c r="B187" s="4">
        <v>1004</v>
      </c>
      <c r="C187" s="4" t="s">
        <v>315</v>
      </c>
      <c r="D187" s="30" t="s">
        <v>317</v>
      </c>
      <c r="F187" s="4">
        <v>4</v>
      </c>
      <c r="G187" s="4">
        <v>15</v>
      </c>
      <c r="I187" s="4">
        <v>5</v>
      </c>
      <c r="J187" s="4">
        <v>0</v>
      </c>
      <c r="N187" s="4">
        <v>2</v>
      </c>
      <c r="P187" s="4">
        <v>2</v>
      </c>
      <c r="R187" t="s">
        <v>303</v>
      </c>
    </row>
    <row r="188" spans="1:18">
      <c r="A188" s="4">
        <v>3003</v>
      </c>
      <c r="B188" s="4">
        <v>1004</v>
      </c>
      <c r="C188" s="4" t="s">
        <v>315</v>
      </c>
      <c r="D188" s="30" t="s">
        <v>318</v>
      </c>
      <c r="F188" s="4">
        <v>4</v>
      </c>
      <c r="G188" s="4">
        <v>30</v>
      </c>
      <c r="I188" s="4">
        <v>5</v>
      </c>
      <c r="J188" s="4">
        <v>0</v>
      </c>
      <c r="N188" s="4">
        <v>2</v>
      </c>
      <c r="P188" s="4">
        <v>2</v>
      </c>
      <c r="R188" t="s">
        <v>303</v>
      </c>
    </row>
    <row r="189" spans="1:18">
      <c r="A189" s="4">
        <v>3004</v>
      </c>
      <c r="B189" s="4">
        <v>1004</v>
      </c>
      <c r="C189" s="4" t="s">
        <v>315</v>
      </c>
      <c r="D189" s="30" t="s">
        <v>319</v>
      </c>
      <c r="F189" s="4">
        <v>4</v>
      </c>
      <c r="G189" s="4">
        <v>50</v>
      </c>
      <c r="I189" s="4">
        <v>5</v>
      </c>
      <c r="J189" s="4">
        <v>0</v>
      </c>
      <c r="N189" s="4">
        <v>2</v>
      </c>
      <c r="P189" s="4">
        <v>2</v>
      </c>
      <c r="R189" t="s">
        <v>303</v>
      </c>
    </row>
    <row r="190" spans="1:18">
      <c r="A190" s="4">
        <v>3005</v>
      </c>
      <c r="B190" s="4">
        <v>1004</v>
      </c>
      <c r="C190" s="4" t="s">
        <v>315</v>
      </c>
      <c r="D190" s="30" t="s">
        <v>320</v>
      </c>
      <c r="F190" s="4">
        <v>4</v>
      </c>
      <c r="G190" s="4">
        <v>75</v>
      </c>
      <c r="I190" s="4">
        <v>5</v>
      </c>
      <c r="J190" s="4">
        <v>0</v>
      </c>
      <c r="N190" s="4">
        <v>2</v>
      </c>
      <c r="P190" s="4">
        <v>2</v>
      </c>
      <c r="R190" t="s">
        <v>303</v>
      </c>
    </row>
    <row r="191" spans="1:18">
      <c r="A191" s="4">
        <v>3006</v>
      </c>
      <c r="B191" s="4">
        <v>1004</v>
      </c>
      <c r="C191" s="4" t="s">
        <v>315</v>
      </c>
      <c r="D191" s="30" t="s">
        <v>321</v>
      </c>
      <c r="F191" s="4">
        <v>4</v>
      </c>
      <c r="G191" s="4">
        <v>100</v>
      </c>
      <c r="I191" s="4">
        <v>5</v>
      </c>
      <c r="J191" s="4">
        <v>0</v>
      </c>
      <c r="N191" s="4">
        <v>2</v>
      </c>
      <c r="P191" s="4">
        <v>2</v>
      </c>
      <c r="R191" t="s">
        <v>303</v>
      </c>
    </row>
    <row r="192" spans="1:18">
      <c r="A192" s="4">
        <v>3101</v>
      </c>
      <c r="B192" s="4">
        <v>1501</v>
      </c>
      <c r="C192" s="4" t="s">
        <v>131</v>
      </c>
      <c r="D192" s="30" t="s">
        <v>322</v>
      </c>
      <c r="F192" s="4">
        <v>6</v>
      </c>
      <c r="G192" s="4">
        <v>5</v>
      </c>
      <c r="J192" s="4">
        <v>0</v>
      </c>
      <c r="N192" s="4">
        <v>2</v>
      </c>
      <c r="P192" s="4">
        <v>2</v>
      </c>
      <c r="R192" t="s">
        <v>278</v>
      </c>
    </row>
    <row r="193" spans="1:18">
      <c r="A193" s="4">
        <v>3102</v>
      </c>
      <c r="B193" s="4">
        <v>1501</v>
      </c>
      <c r="C193" s="4" t="s">
        <v>131</v>
      </c>
      <c r="D193" s="30" t="s">
        <v>323</v>
      </c>
      <c r="F193" s="4">
        <v>6</v>
      </c>
      <c r="G193" s="4">
        <v>8</v>
      </c>
      <c r="J193" s="4">
        <v>0</v>
      </c>
      <c r="N193" s="4">
        <v>2</v>
      </c>
      <c r="P193" s="4">
        <v>2</v>
      </c>
      <c r="R193" t="s">
        <v>278</v>
      </c>
    </row>
    <row r="194" spans="1:18">
      <c r="A194" s="4">
        <v>3103</v>
      </c>
      <c r="B194" s="4">
        <v>1501</v>
      </c>
      <c r="C194" s="4" t="s">
        <v>131</v>
      </c>
      <c r="D194" s="30" t="s">
        <v>324</v>
      </c>
      <c r="F194" s="4">
        <v>6</v>
      </c>
      <c r="G194" s="4">
        <v>10</v>
      </c>
      <c r="J194" s="4">
        <v>0</v>
      </c>
      <c r="N194" s="4">
        <v>2</v>
      </c>
      <c r="P194" s="4">
        <v>2</v>
      </c>
      <c r="R194" t="s">
        <v>278</v>
      </c>
    </row>
    <row r="195" spans="1:18">
      <c r="A195" s="4">
        <v>3104</v>
      </c>
      <c r="B195" s="4">
        <v>1501</v>
      </c>
      <c r="C195" s="4" t="s">
        <v>131</v>
      </c>
      <c r="D195" s="30" t="s">
        <v>325</v>
      </c>
      <c r="F195" s="4">
        <v>6</v>
      </c>
      <c r="G195" s="4">
        <v>12</v>
      </c>
      <c r="J195" s="4">
        <v>0</v>
      </c>
      <c r="N195" s="4">
        <v>2</v>
      </c>
      <c r="P195" s="4">
        <v>2</v>
      </c>
      <c r="R195" t="s">
        <v>278</v>
      </c>
    </row>
    <row r="196" spans="1:18">
      <c r="A196" s="4">
        <v>3105</v>
      </c>
      <c r="B196" s="4">
        <v>1501</v>
      </c>
      <c r="C196" s="4" t="s">
        <v>131</v>
      </c>
      <c r="D196" s="30" t="s">
        <v>326</v>
      </c>
      <c r="F196" s="4">
        <v>6</v>
      </c>
      <c r="G196" s="4">
        <v>15</v>
      </c>
      <c r="J196" s="4">
        <v>0</v>
      </c>
      <c r="N196" s="4">
        <v>2</v>
      </c>
      <c r="P196" s="4">
        <v>2</v>
      </c>
      <c r="R196" t="s">
        <v>278</v>
      </c>
    </row>
    <row r="197" s="28" customFormat="1" spans="1:18">
      <c r="A197" s="60">
        <v>3201</v>
      </c>
      <c r="B197" s="4">
        <v>1201</v>
      </c>
      <c r="C197" s="4" t="s">
        <v>327</v>
      </c>
      <c r="D197" s="4" t="s">
        <v>327</v>
      </c>
      <c r="E197" s="4"/>
      <c r="F197" s="4">
        <v>47</v>
      </c>
      <c r="G197" s="4">
        <v>1</v>
      </c>
      <c r="H197" s="4"/>
      <c r="I197" s="4"/>
      <c r="J197" s="4">
        <v>0</v>
      </c>
      <c r="K197"/>
      <c r="L197"/>
      <c r="M197"/>
      <c r="N197" s="4">
        <v>2</v>
      </c>
      <c r="O197"/>
      <c r="P197" s="4">
        <v>2</v>
      </c>
      <c r="Q197"/>
      <c r="R197" s="28" t="s">
        <v>166</v>
      </c>
    </row>
    <row r="198" spans="1:18">
      <c r="A198" s="4">
        <v>3300</v>
      </c>
      <c r="B198" s="4">
        <v>1211</v>
      </c>
      <c r="C198" s="4" t="s">
        <v>328</v>
      </c>
      <c r="D198" s="30" t="s">
        <v>329</v>
      </c>
      <c r="F198" s="4">
        <v>17</v>
      </c>
      <c r="G198" s="4">
        <v>1</v>
      </c>
      <c r="J198" s="4">
        <v>0</v>
      </c>
      <c r="N198" s="4">
        <v>2</v>
      </c>
      <c r="P198" s="4">
        <v>2</v>
      </c>
      <c r="R198" t="s">
        <v>330</v>
      </c>
    </row>
    <row r="199" spans="1:18">
      <c r="A199" s="4">
        <v>3301</v>
      </c>
      <c r="B199" s="4">
        <v>1211</v>
      </c>
      <c r="C199" s="4" t="s">
        <v>328</v>
      </c>
      <c r="D199" s="30" t="s">
        <v>331</v>
      </c>
      <c r="F199" s="4">
        <v>17</v>
      </c>
      <c r="G199" s="4">
        <v>2</v>
      </c>
      <c r="J199" s="4">
        <v>0</v>
      </c>
      <c r="N199" s="4">
        <v>2</v>
      </c>
      <c r="P199" s="4">
        <v>2</v>
      </c>
      <c r="R199" t="s">
        <v>330</v>
      </c>
    </row>
    <row r="200" spans="1:18">
      <c r="A200" s="4">
        <v>3302</v>
      </c>
      <c r="B200" s="4">
        <v>1211</v>
      </c>
      <c r="C200" s="4" t="s">
        <v>328</v>
      </c>
      <c r="D200" s="30" t="s">
        <v>332</v>
      </c>
      <c r="F200" s="4">
        <v>17</v>
      </c>
      <c r="G200" s="4">
        <v>10</v>
      </c>
      <c r="J200" s="4">
        <v>0</v>
      </c>
      <c r="N200" s="4">
        <v>2</v>
      </c>
      <c r="P200" s="4">
        <v>2</v>
      </c>
      <c r="R200" t="s">
        <v>330</v>
      </c>
    </row>
    <row r="201" spans="1:18">
      <c r="A201" s="4">
        <v>3303</v>
      </c>
      <c r="B201" s="4">
        <v>1211</v>
      </c>
      <c r="C201" s="4" t="s">
        <v>328</v>
      </c>
      <c r="D201" s="30" t="s">
        <v>333</v>
      </c>
      <c r="F201" s="4">
        <v>17</v>
      </c>
      <c r="G201" s="4">
        <v>30</v>
      </c>
      <c r="J201" s="4">
        <v>0</v>
      </c>
      <c r="N201" s="4">
        <v>2</v>
      </c>
      <c r="P201" s="4">
        <v>2</v>
      </c>
      <c r="R201" t="s">
        <v>330</v>
      </c>
    </row>
    <row r="202" spans="1:18">
      <c r="A202" s="4">
        <v>3304</v>
      </c>
      <c r="B202" s="4">
        <v>1211</v>
      </c>
      <c r="C202" s="4" t="s">
        <v>328</v>
      </c>
      <c r="D202" s="30" t="s">
        <v>334</v>
      </c>
      <c r="F202" s="4">
        <v>17</v>
      </c>
      <c r="G202" s="4">
        <v>50</v>
      </c>
      <c r="J202" s="4">
        <v>0</v>
      </c>
      <c r="N202" s="4">
        <v>2</v>
      </c>
      <c r="P202" s="4">
        <v>2</v>
      </c>
      <c r="R202" t="s">
        <v>330</v>
      </c>
    </row>
    <row r="203" spans="1:18">
      <c r="A203" s="4">
        <v>3305</v>
      </c>
      <c r="B203" s="4">
        <v>1211</v>
      </c>
      <c r="C203" s="4" t="s">
        <v>328</v>
      </c>
      <c r="D203" s="30" t="s">
        <v>335</v>
      </c>
      <c r="F203" s="4">
        <v>17</v>
      </c>
      <c r="G203" s="4">
        <v>80</v>
      </c>
      <c r="J203" s="4">
        <v>0</v>
      </c>
      <c r="N203" s="4">
        <v>2</v>
      </c>
      <c r="P203" s="4">
        <v>2</v>
      </c>
      <c r="R203" t="s">
        <v>330</v>
      </c>
    </row>
    <row r="204" spans="1:18">
      <c r="A204" s="4">
        <v>3306</v>
      </c>
      <c r="B204" s="4">
        <v>1211</v>
      </c>
      <c r="C204" s="4" t="s">
        <v>328</v>
      </c>
      <c r="D204" s="30" t="s">
        <v>336</v>
      </c>
      <c r="F204" s="4">
        <v>17</v>
      </c>
      <c r="G204" s="4">
        <v>100</v>
      </c>
      <c r="J204" s="4">
        <v>0</v>
      </c>
      <c r="N204" s="4">
        <v>2</v>
      </c>
      <c r="P204" s="4">
        <v>2</v>
      </c>
      <c r="R204" t="s">
        <v>330</v>
      </c>
    </row>
    <row r="205" spans="1:18">
      <c r="A205" s="4">
        <v>3401</v>
      </c>
      <c r="B205" s="4">
        <v>1212</v>
      </c>
      <c r="C205" s="4" t="s">
        <v>337</v>
      </c>
      <c r="D205" s="30" t="s">
        <v>338</v>
      </c>
      <c r="F205" s="4">
        <v>17</v>
      </c>
      <c r="G205" s="4">
        <v>1</v>
      </c>
      <c r="J205" s="4">
        <v>0</v>
      </c>
      <c r="N205" s="4">
        <v>2</v>
      </c>
      <c r="P205" s="4">
        <v>2</v>
      </c>
      <c r="R205" t="s">
        <v>330</v>
      </c>
    </row>
    <row r="206" spans="1:18">
      <c r="A206" s="4">
        <v>3402</v>
      </c>
      <c r="B206" s="4">
        <v>1212</v>
      </c>
      <c r="C206" s="4" t="s">
        <v>337</v>
      </c>
      <c r="D206" s="30" t="s">
        <v>339</v>
      </c>
      <c r="F206" s="4">
        <v>17</v>
      </c>
      <c r="G206" s="4">
        <v>3</v>
      </c>
      <c r="J206" s="4">
        <v>0</v>
      </c>
      <c r="N206" s="4">
        <v>2</v>
      </c>
      <c r="P206" s="4">
        <v>2</v>
      </c>
      <c r="R206" t="s">
        <v>330</v>
      </c>
    </row>
    <row r="207" spans="1:18">
      <c r="A207" s="4">
        <v>3403</v>
      </c>
      <c r="B207" s="4">
        <v>1212</v>
      </c>
      <c r="C207" s="4" t="s">
        <v>337</v>
      </c>
      <c r="D207" s="30" t="s">
        <v>340</v>
      </c>
      <c r="F207" s="4">
        <v>17</v>
      </c>
      <c r="G207" s="4">
        <v>5</v>
      </c>
      <c r="J207" s="4">
        <v>0</v>
      </c>
      <c r="N207" s="4">
        <v>2</v>
      </c>
      <c r="P207" s="4">
        <v>2</v>
      </c>
      <c r="R207" t="s">
        <v>330</v>
      </c>
    </row>
    <row r="208" spans="1:18">
      <c r="A208" s="4">
        <v>3404</v>
      </c>
      <c r="B208" s="4">
        <v>1212</v>
      </c>
      <c r="C208" s="4" t="s">
        <v>337</v>
      </c>
      <c r="D208" s="30" t="s">
        <v>341</v>
      </c>
      <c r="F208" s="4">
        <v>17</v>
      </c>
      <c r="G208" s="4">
        <v>10</v>
      </c>
      <c r="J208" s="4">
        <v>0</v>
      </c>
      <c r="N208" s="4">
        <v>2</v>
      </c>
      <c r="P208" s="4">
        <v>2</v>
      </c>
      <c r="R208" t="s">
        <v>330</v>
      </c>
    </row>
    <row r="209" spans="1:18">
      <c r="A209" s="4">
        <v>3405</v>
      </c>
      <c r="B209" s="4">
        <v>1212</v>
      </c>
      <c r="C209" s="4" t="s">
        <v>337</v>
      </c>
      <c r="D209" s="30" t="s">
        <v>342</v>
      </c>
      <c r="F209" s="4">
        <v>17</v>
      </c>
      <c r="G209" s="4">
        <v>20</v>
      </c>
      <c r="J209" s="4">
        <v>0</v>
      </c>
      <c r="N209" s="4">
        <v>2</v>
      </c>
      <c r="P209" s="4">
        <v>2</v>
      </c>
      <c r="R209" t="s">
        <v>330</v>
      </c>
    </row>
    <row r="210" s="27" customFormat="1" spans="1:18">
      <c r="A210" s="17">
        <v>3501</v>
      </c>
      <c r="B210" s="17">
        <v>410</v>
      </c>
      <c r="C210" s="17" t="s">
        <v>343</v>
      </c>
      <c r="D210" s="59" t="s">
        <v>344</v>
      </c>
      <c r="E210" s="17"/>
      <c r="F210" s="17">
        <v>44</v>
      </c>
      <c r="G210" s="17">
        <v>1</v>
      </c>
      <c r="H210" s="17"/>
      <c r="I210" s="17">
        <v>9</v>
      </c>
      <c r="J210" s="17">
        <v>0</v>
      </c>
      <c r="N210" s="17">
        <v>2</v>
      </c>
      <c r="P210" s="17">
        <v>2</v>
      </c>
      <c r="R210" s="27" t="s">
        <v>345</v>
      </c>
    </row>
    <row r="211" s="27" customFormat="1" spans="1:18">
      <c r="A211" s="17">
        <v>3502</v>
      </c>
      <c r="B211" s="17">
        <v>410</v>
      </c>
      <c r="C211" s="17" t="s">
        <v>346</v>
      </c>
      <c r="D211" s="59" t="s">
        <v>347</v>
      </c>
      <c r="E211" s="17"/>
      <c r="F211" s="17">
        <v>44</v>
      </c>
      <c r="G211" s="17">
        <v>1</v>
      </c>
      <c r="H211" s="17"/>
      <c r="I211" s="17">
        <v>10</v>
      </c>
      <c r="J211" s="17">
        <v>0</v>
      </c>
      <c r="N211" s="17">
        <v>2</v>
      </c>
      <c r="P211" s="17">
        <v>2</v>
      </c>
      <c r="R211" s="27" t="s">
        <v>348</v>
      </c>
    </row>
    <row r="212" s="29" customFormat="1" spans="1:18">
      <c r="A212" s="61">
        <v>3601</v>
      </c>
      <c r="B212" s="61">
        <v>805</v>
      </c>
      <c r="C212" s="61" t="s">
        <v>349</v>
      </c>
      <c r="D212" s="62" t="s">
        <v>350</v>
      </c>
      <c r="E212" s="61"/>
      <c r="F212" s="61">
        <v>54</v>
      </c>
      <c r="G212" s="61">
        <v>1</v>
      </c>
      <c r="H212" s="61"/>
      <c r="I212" s="61"/>
      <c r="J212" s="61">
        <v>0</v>
      </c>
      <c r="N212" s="61">
        <v>2</v>
      </c>
      <c r="P212" s="61">
        <v>2</v>
      </c>
      <c r="R212" t="s">
        <v>351</v>
      </c>
    </row>
    <row r="213" spans="1:18">
      <c r="A213" s="4">
        <v>10001</v>
      </c>
      <c r="B213" s="4">
        <v>3001</v>
      </c>
      <c r="C213" s="4" t="s">
        <v>352</v>
      </c>
      <c r="D213" s="30" t="s">
        <v>353</v>
      </c>
      <c r="G213" s="4">
        <v>5</v>
      </c>
      <c r="I213" s="4">
        <v>8</v>
      </c>
      <c r="J213" s="4">
        <v>0</v>
      </c>
      <c r="N213" s="4">
        <v>2</v>
      </c>
      <c r="P213" s="4">
        <v>2</v>
      </c>
      <c r="R213" t="s">
        <v>278</v>
      </c>
    </row>
    <row r="214" spans="1:18">
      <c r="A214" s="4">
        <v>10002</v>
      </c>
      <c r="B214" s="4">
        <v>3001</v>
      </c>
      <c r="C214" s="4" t="s">
        <v>354</v>
      </c>
      <c r="D214" s="30" t="s">
        <v>355</v>
      </c>
      <c r="G214" s="4">
        <v>4</v>
      </c>
      <c r="I214" s="4">
        <v>7</v>
      </c>
      <c r="J214" s="4">
        <v>0</v>
      </c>
      <c r="N214" s="4">
        <v>2</v>
      </c>
      <c r="P214" s="4">
        <v>2</v>
      </c>
      <c r="R214" t="s">
        <v>278</v>
      </c>
    </row>
    <row r="215" spans="1:18">
      <c r="A215" s="4">
        <v>10003</v>
      </c>
      <c r="B215" s="4">
        <v>3001</v>
      </c>
      <c r="C215" s="4" t="s">
        <v>356</v>
      </c>
      <c r="D215" s="30" t="s">
        <v>357</v>
      </c>
      <c r="G215" s="4">
        <v>3</v>
      </c>
      <c r="I215" s="4">
        <v>6</v>
      </c>
      <c r="J215" s="4">
        <v>0</v>
      </c>
      <c r="N215" s="4">
        <v>2</v>
      </c>
      <c r="P215" s="4">
        <v>2</v>
      </c>
      <c r="R215" t="s">
        <v>278</v>
      </c>
    </row>
    <row r="216" spans="1:18">
      <c r="A216" s="4">
        <v>11001</v>
      </c>
      <c r="B216" s="4">
        <v>3002</v>
      </c>
      <c r="C216" s="4" t="s">
        <v>358</v>
      </c>
      <c r="D216" s="30" t="s">
        <v>359</v>
      </c>
      <c r="G216" s="4">
        <v>20</v>
      </c>
      <c r="I216" s="4">
        <v>100000</v>
      </c>
      <c r="J216" s="4">
        <v>0</v>
      </c>
      <c r="N216" s="4">
        <v>2</v>
      </c>
      <c r="P216" s="4">
        <v>2</v>
      </c>
      <c r="R216" t="s">
        <v>278</v>
      </c>
    </row>
    <row r="217" spans="1:18">
      <c r="A217" s="4">
        <v>11002</v>
      </c>
      <c r="B217" s="4">
        <v>3002</v>
      </c>
      <c r="C217" s="4" t="s">
        <v>360</v>
      </c>
      <c r="D217" s="30" t="s">
        <v>361</v>
      </c>
      <c r="G217" s="4">
        <v>15</v>
      </c>
      <c r="I217" s="4">
        <v>200000</v>
      </c>
      <c r="J217" s="4">
        <v>0</v>
      </c>
      <c r="N217" s="4">
        <v>2</v>
      </c>
      <c r="P217" s="4">
        <v>2</v>
      </c>
      <c r="R217" t="s">
        <v>278</v>
      </c>
    </row>
    <row r="218" spans="1:18">
      <c r="A218" s="4">
        <v>11003</v>
      </c>
      <c r="B218" s="4">
        <v>3002</v>
      </c>
      <c r="C218" s="4" t="s">
        <v>362</v>
      </c>
      <c r="D218" s="30" t="s">
        <v>363</v>
      </c>
      <c r="G218" s="4">
        <v>10</v>
      </c>
      <c r="I218" s="4">
        <v>300000</v>
      </c>
      <c r="J218" s="4">
        <v>0</v>
      </c>
      <c r="N218" s="4">
        <v>2</v>
      </c>
      <c r="P218" s="4">
        <v>2</v>
      </c>
      <c r="R218" t="s">
        <v>278</v>
      </c>
    </row>
    <row r="219" spans="1:18">
      <c r="A219" s="4">
        <v>12001</v>
      </c>
      <c r="B219" s="4">
        <v>3003</v>
      </c>
      <c r="C219" s="4" t="s">
        <v>364</v>
      </c>
      <c r="D219" s="30" t="s">
        <v>365</v>
      </c>
      <c r="G219" s="4">
        <v>10</v>
      </c>
      <c r="J219" s="4">
        <v>0</v>
      </c>
      <c r="N219" s="4">
        <v>2</v>
      </c>
      <c r="P219" s="4">
        <v>2</v>
      </c>
      <c r="R219" t="s">
        <v>278</v>
      </c>
    </row>
    <row r="220" spans="1:18">
      <c r="A220" s="4">
        <v>13001</v>
      </c>
      <c r="B220" s="4">
        <v>3004</v>
      </c>
      <c r="C220" s="4" t="s">
        <v>366</v>
      </c>
      <c r="D220" s="30" t="s">
        <v>367</v>
      </c>
      <c r="G220" s="4">
        <v>100</v>
      </c>
      <c r="J220" s="4">
        <v>0</v>
      </c>
      <c r="N220" s="4">
        <v>2</v>
      </c>
      <c r="P220" s="4">
        <v>2</v>
      </c>
      <c r="R220" t="s">
        <v>278</v>
      </c>
    </row>
    <row r="221" spans="1:18">
      <c r="A221" s="4">
        <v>14001</v>
      </c>
      <c r="B221" s="4">
        <v>3005</v>
      </c>
      <c r="C221" s="4" t="s">
        <v>368</v>
      </c>
      <c r="D221" s="30" t="s">
        <v>369</v>
      </c>
      <c r="G221" s="4">
        <v>200</v>
      </c>
      <c r="J221" s="4">
        <v>0</v>
      </c>
      <c r="N221" s="4">
        <v>2</v>
      </c>
      <c r="P221" s="4">
        <v>2</v>
      </c>
      <c r="R221" t="s">
        <v>278</v>
      </c>
    </row>
    <row r="222" spans="1:18">
      <c r="A222" s="4">
        <v>15001</v>
      </c>
      <c r="B222" s="4">
        <v>3006</v>
      </c>
      <c r="C222" s="4" t="s">
        <v>370</v>
      </c>
      <c r="D222" s="30" t="s">
        <v>371</v>
      </c>
      <c r="G222" s="4">
        <v>3</v>
      </c>
      <c r="J222" s="4">
        <v>0</v>
      </c>
      <c r="N222" s="4">
        <v>2</v>
      </c>
      <c r="P222" s="4">
        <v>2</v>
      </c>
      <c r="R222" t="s">
        <v>278</v>
      </c>
    </row>
    <row r="223" spans="1:18">
      <c r="A223" s="4">
        <v>16001</v>
      </c>
      <c r="B223" s="4">
        <v>3007</v>
      </c>
      <c r="C223" s="4" t="s">
        <v>372</v>
      </c>
      <c r="D223" s="30" t="s">
        <v>373</v>
      </c>
      <c r="G223" s="4">
        <v>5000000</v>
      </c>
      <c r="J223" s="4">
        <v>0</v>
      </c>
      <c r="N223" s="4">
        <v>2</v>
      </c>
      <c r="P223" s="4">
        <v>2</v>
      </c>
      <c r="R223" t="s">
        <v>278</v>
      </c>
    </row>
    <row r="224" spans="1:18">
      <c r="A224" s="4">
        <v>17001</v>
      </c>
      <c r="B224" s="4">
        <v>1302</v>
      </c>
      <c r="C224" s="4" t="s">
        <v>374</v>
      </c>
      <c r="D224" s="30" t="s">
        <v>375</v>
      </c>
      <c r="G224" s="4">
        <v>200</v>
      </c>
      <c r="J224" s="4">
        <v>0</v>
      </c>
      <c r="N224" s="4">
        <v>2</v>
      </c>
      <c r="P224" s="4">
        <v>2</v>
      </c>
      <c r="R224" t="s">
        <v>166</v>
      </c>
    </row>
    <row r="225" spans="1:18">
      <c r="A225" s="4">
        <v>17002</v>
      </c>
      <c r="B225" s="4">
        <v>1302</v>
      </c>
      <c r="C225" s="4" t="s">
        <v>376</v>
      </c>
      <c r="D225" s="30" t="s">
        <v>377</v>
      </c>
      <c r="G225" s="4">
        <v>400</v>
      </c>
      <c r="J225" s="4">
        <v>0</v>
      </c>
      <c r="N225" s="4">
        <v>2</v>
      </c>
      <c r="P225" s="4">
        <v>2</v>
      </c>
      <c r="R225" t="s">
        <v>166</v>
      </c>
    </row>
    <row r="226" spans="1:18">
      <c r="A226" s="4">
        <v>17003</v>
      </c>
      <c r="B226" s="4">
        <v>1302</v>
      </c>
      <c r="C226" s="4" t="s">
        <v>378</v>
      </c>
      <c r="D226" s="30" t="s">
        <v>379</v>
      </c>
      <c r="G226" s="4">
        <v>600</v>
      </c>
      <c r="J226" s="4">
        <v>0</v>
      </c>
      <c r="N226" s="4">
        <v>2</v>
      </c>
      <c r="P226" s="4">
        <v>2</v>
      </c>
      <c r="R226" t="s">
        <v>166</v>
      </c>
    </row>
    <row r="227" spans="1:18">
      <c r="A227" s="4">
        <v>17004</v>
      </c>
      <c r="B227" s="4">
        <v>1302</v>
      </c>
      <c r="C227" s="4" t="s">
        <v>380</v>
      </c>
      <c r="D227" s="30" t="s">
        <v>381</v>
      </c>
      <c r="G227" s="4">
        <v>10</v>
      </c>
      <c r="J227" s="4">
        <v>0</v>
      </c>
      <c r="N227" s="4">
        <v>2</v>
      </c>
      <c r="P227" s="4">
        <v>2</v>
      </c>
      <c r="R227" t="s">
        <v>166</v>
      </c>
    </row>
    <row r="228" spans="1:18">
      <c r="A228" s="4">
        <v>17005</v>
      </c>
      <c r="B228" s="4">
        <v>1302</v>
      </c>
      <c r="C228" s="4" t="s">
        <v>382</v>
      </c>
      <c r="D228" s="30" t="s">
        <v>383</v>
      </c>
      <c r="G228" s="4">
        <v>20</v>
      </c>
      <c r="J228" s="4">
        <v>0</v>
      </c>
      <c r="N228" s="4">
        <v>2</v>
      </c>
      <c r="P228" s="4">
        <v>2</v>
      </c>
      <c r="R228" t="s">
        <v>166</v>
      </c>
    </row>
    <row r="229" spans="1:18">
      <c r="A229" s="4">
        <v>18001</v>
      </c>
      <c r="B229" s="4">
        <v>1401</v>
      </c>
      <c r="C229" s="4" t="s">
        <v>384</v>
      </c>
      <c r="D229" s="30" t="s">
        <v>385</v>
      </c>
      <c r="G229" s="4">
        <v>150</v>
      </c>
      <c r="J229" s="4">
        <v>0</v>
      </c>
      <c r="N229" s="4">
        <v>2</v>
      </c>
      <c r="P229" s="4">
        <v>2</v>
      </c>
      <c r="R229" t="s">
        <v>166</v>
      </c>
    </row>
    <row r="230" spans="1:18">
      <c r="A230" s="4">
        <v>18002</v>
      </c>
      <c r="B230" s="4">
        <v>1401</v>
      </c>
      <c r="C230" s="4" t="s">
        <v>386</v>
      </c>
      <c r="D230" s="30" t="s">
        <v>387</v>
      </c>
      <c r="G230" s="4">
        <v>350</v>
      </c>
      <c r="J230" s="4">
        <v>0</v>
      </c>
      <c r="N230" s="4">
        <v>2</v>
      </c>
      <c r="P230" s="4">
        <v>2</v>
      </c>
      <c r="R230" t="s">
        <v>166</v>
      </c>
    </row>
    <row r="231" spans="1:18">
      <c r="A231" s="4">
        <v>18003</v>
      </c>
      <c r="B231" s="4">
        <v>1401</v>
      </c>
      <c r="C231" s="4" t="s">
        <v>388</v>
      </c>
      <c r="D231" s="30" t="s">
        <v>389</v>
      </c>
      <c r="G231" s="4">
        <v>500</v>
      </c>
      <c r="J231" s="4">
        <v>0</v>
      </c>
      <c r="N231" s="4">
        <v>2</v>
      </c>
      <c r="P231" s="4">
        <v>2</v>
      </c>
      <c r="R231" t="s">
        <v>166</v>
      </c>
    </row>
    <row r="232" spans="1:18">
      <c r="A232" s="4">
        <v>19001</v>
      </c>
      <c r="B232" s="4">
        <v>1503</v>
      </c>
      <c r="C232" s="4" t="s">
        <v>390</v>
      </c>
      <c r="D232" s="30" t="s">
        <v>391</v>
      </c>
      <c r="G232" s="4">
        <v>5</v>
      </c>
      <c r="I232" s="4">
        <v>1</v>
      </c>
      <c r="J232" s="4">
        <v>0</v>
      </c>
      <c r="N232" s="4">
        <v>2</v>
      </c>
      <c r="P232" s="4">
        <v>2</v>
      </c>
      <c r="R232" t="s">
        <v>166</v>
      </c>
    </row>
    <row r="233" spans="1:18">
      <c r="A233" s="4">
        <v>19002</v>
      </c>
      <c r="B233" s="4">
        <v>1503</v>
      </c>
      <c r="C233" s="4" t="s">
        <v>392</v>
      </c>
      <c r="D233" s="30" t="s">
        <v>393</v>
      </c>
      <c r="G233" s="4">
        <v>5</v>
      </c>
      <c r="I233" s="4">
        <v>2</v>
      </c>
      <c r="J233" s="4">
        <v>0</v>
      </c>
      <c r="N233" s="4">
        <v>2</v>
      </c>
      <c r="P233" s="4">
        <v>2</v>
      </c>
      <c r="R233" t="s">
        <v>166</v>
      </c>
    </row>
    <row r="234" spans="1:18">
      <c r="A234" s="4">
        <v>19003</v>
      </c>
      <c r="B234" s="4">
        <v>1503</v>
      </c>
      <c r="C234" s="4" t="s">
        <v>394</v>
      </c>
      <c r="D234" s="30" t="s">
        <v>395</v>
      </c>
      <c r="G234" s="4">
        <v>5</v>
      </c>
      <c r="I234" s="4">
        <v>3</v>
      </c>
      <c r="J234" s="4">
        <v>0</v>
      </c>
      <c r="N234" s="4">
        <v>2</v>
      </c>
      <c r="P234" s="4">
        <v>2</v>
      </c>
      <c r="R234" t="s">
        <v>166</v>
      </c>
    </row>
    <row r="235" spans="1:18">
      <c r="A235" s="4">
        <v>19004</v>
      </c>
      <c r="B235" s="4">
        <v>1502</v>
      </c>
      <c r="C235" s="4" t="s">
        <v>131</v>
      </c>
      <c r="D235" s="30" t="s">
        <v>132</v>
      </c>
      <c r="F235" s="4">
        <v>6</v>
      </c>
      <c r="G235" s="4">
        <v>3</v>
      </c>
      <c r="J235" s="4">
        <v>0</v>
      </c>
      <c r="N235" s="4">
        <v>2</v>
      </c>
      <c r="P235" s="4">
        <v>2</v>
      </c>
      <c r="R235" t="s">
        <v>133</v>
      </c>
    </row>
    <row r="236" spans="1:18">
      <c r="A236" s="4">
        <v>20001</v>
      </c>
      <c r="B236" s="4">
        <v>1601</v>
      </c>
      <c r="C236" s="4" t="s">
        <v>396</v>
      </c>
      <c r="D236" s="30" t="s">
        <v>397</v>
      </c>
      <c r="G236" s="4">
        <v>5</v>
      </c>
      <c r="J236" s="4">
        <v>0</v>
      </c>
      <c r="N236" s="4">
        <v>2</v>
      </c>
      <c r="P236" s="4">
        <v>2</v>
      </c>
      <c r="R236" t="s">
        <v>166</v>
      </c>
    </row>
    <row r="237" spans="1:18">
      <c r="A237" s="4">
        <v>20002</v>
      </c>
      <c r="B237" s="4">
        <v>1601</v>
      </c>
      <c r="C237" s="4" t="s">
        <v>398</v>
      </c>
      <c r="D237" s="30" t="s">
        <v>399</v>
      </c>
      <c r="G237" s="4">
        <v>8</v>
      </c>
      <c r="J237" s="4">
        <v>0</v>
      </c>
      <c r="N237" s="4">
        <v>2</v>
      </c>
      <c r="P237" s="4">
        <v>2</v>
      </c>
      <c r="R237" t="s">
        <v>166</v>
      </c>
    </row>
    <row r="238" spans="1:18">
      <c r="A238" s="4">
        <v>20003</v>
      </c>
      <c r="B238" s="4">
        <v>1601</v>
      </c>
      <c r="C238" s="4" t="s">
        <v>400</v>
      </c>
      <c r="D238" s="30" t="s">
        <v>401</v>
      </c>
      <c r="G238" s="4">
        <v>10</v>
      </c>
      <c r="J238" s="4">
        <v>0</v>
      </c>
      <c r="N238" s="4">
        <v>2</v>
      </c>
      <c r="P238" s="4">
        <v>2</v>
      </c>
      <c r="R238" t="s">
        <v>166</v>
      </c>
    </row>
    <row r="239" spans="1:18">
      <c r="A239" s="4">
        <v>21001</v>
      </c>
      <c r="B239" s="4">
        <v>1602</v>
      </c>
      <c r="C239" s="4" t="s">
        <v>402</v>
      </c>
      <c r="D239" s="30" t="s">
        <v>403</v>
      </c>
      <c r="G239" s="4">
        <v>3</v>
      </c>
      <c r="I239" s="4">
        <v>10</v>
      </c>
      <c r="J239" s="4">
        <v>0</v>
      </c>
      <c r="N239" s="4">
        <v>2</v>
      </c>
      <c r="P239" s="4">
        <v>2</v>
      </c>
      <c r="R239" t="s">
        <v>166</v>
      </c>
    </row>
    <row r="240" spans="1:18">
      <c r="A240" s="4">
        <v>21002</v>
      </c>
      <c r="B240" s="4">
        <v>1602</v>
      </c>
      <c r="C240" s="4" t="s">
        <v>404</v>
      </c>
      <c r="D240" s="30" t="s">
        <v>405</v>
      </c>
      <c r="G240" s="4">
        <v>3</v>
      </c>
      <c r="I240" s="4">
        <v>3</v>
      </c>
      <c r="J240" s="4">
        <v>0</v>
      </c>
      <c r="N240" s="4">
        <v>2</v>
      </c>
      <c r="P240" s="4">
        <v>2</v>
      </c>
      <c r="R240" t="s">
        <v>166</v>
      </c>
    </row>
    <row r="241" spans="1:18">
      <c r="A241" s="4">
        <v>22000</v>
      </c>
      <c r="B241" s="4">
        <v>202</v>
      </c>
      <c r="C241" s="4" t="s">
        <v>406</v>
      </c>
      <c r="D241" s="30" t="s">
        <v>407</v>
      </c>
      <c r="F241" s="4">
        <v>44</v>
      </c>
      <c r="G241" s="4">
        <v>40000</v>
      </c>
      <c r="J241" s="4">
        <v>0</v>
      </c>
      <c r="N241" s="4">
        <v>2</v>
      </c>
      <c r="P241" s="4">
        <v>2</v>
      </c>
      <c r="R241" t="s">
        <v>408</v>
      </c>
    </row>
    <row r="242" spans="1:18">
      <c r="A242" s="4">
        <v>22001</v>
      </c>
      <c r="B242" s="4">
        <v>202</v>
      </c>
      <c r="C242" s="4" t="s">
        <v>409</v>
      </c>
      <c r="D242" s="30" t="s">
        <v>410</v>
      </c>
      <c r="F242" s="4">
        <v>44</v>
      </c>
      <c r="G242" s="4">
        <v>500000</v>
      </c>
      <c r="J242" s="4">
        <v>0</v>
      </c>
      <c r="N242" s="4">
        <v>2</v>
      </c>
      <c r="P242" s="4">
        <v>2</v>
      </c>
      <c r="R242" t="s">
        <v>166</v>
      </c>
    </row>
    <row r="243" spans="1:18">
      <c r="A243" s="4">
        <v>22002</v>
      </c>
      <c r="B243" s="4">
        <v>202</v>
      </c>
      <c r="C243" s="4" t="s">
        <v>411</v>
      </c>
      <c r="D243" s="30" t="s">
        <v>412</v>
      </c>
      <c r="F243" s="4">
        <v>44</v>
      </c>
      <c r="G243" s="4">
        <v>1000000</v>
      </c>
      <c r="J243" s="4">
        <v>0</v>
      </c>
      <c r="N243" s="4">
        <v>2</v>
      </c>
      <c r="P243" s="4">
        <v>2</v>
      </c>
      <c r="R243" t="s">
        <v>166</v>
      </c>
    </row>
    <row r="244" spans="1:18">
      <c r="A244" s="4">
        <v>22003</v>
      </c>
      <c r="B244" s="4">
        <v>202</v>
      </c>
      <c r="C244" s="4" t="s">
        <v>413</v>
      </c>
      <c r="D244" s="30" t="s">
        <v>414</v>
      </c>
      <c r="F244" s="4">
        <v>44</v>
      </c>
      <c r="G244" s="4">
        <v>2000000</v>
      </c>
      <c r="J244" s="4">
        <v>0</v>
      </c>
      <c r="N244" s="4">
        <v>2</v>
      </c>
      <c r="P244" s="4">
        <v>2</v>
      </c>
      <c r="R244" t="s">
        <v>166</v>
      </c>
    </row>
    <row r="245" spans="1:18">
      <c r="A245" s="4">
        <v>22004</v>
      </c>
      <c r="B245" s="4">
        <v>202</v>
      </c>
      <c r="C245" s="4" t="s">
        <v>415</v>
      </c>
      <c r="D245" s="30" t="s">
        <v>416</v>
      </c>
      <c r="F245" s="4">
        <v>44</v>
      </c>
      <c r="G245" s="4">
        <v>100000</v>
      </c>
      <c r="J245" s="4">
        <v>0</v>
      </c>
      <c r="N245" s="4">
        <v>2</v>
      </c>
      <c r="P245" s="4">
        <v>2</v>
      </c>
      <c r="R245" t="s">
        <v>166</v>
      </c>
    </row>
    <row r="246" spans="1:18">
      <c r="A246" s="4">
        <v>22005</v>
      </c>
      <c r="B246" s="4">
        <v>202</v>
      </c>
      <c r="C246" s="4" t="s">
        <v>417</v>
      </c>
      <c r="D246" s="30" t="s">
        <v>418</v>
      </c>
      <c r="F246" s="4">
        <v>44</v>
      </c>
      <c r="G246" s="4">
        <v>200000</v>
      </c>
      <c r="J246" s="4">
        <v>0</v>
      </c>
      <c r="N246" s="4">
        <v>2</v>
      </c>
      <c r="P246" s="4">
        <v>2</v>
      </c>
      <c r="R246" t="s">
        <v>166</v>
      </c>
    </row>
    <row r="247" spans="1:18">
      <c r="A247" s="4">
        <v>22006</v>
      </c>
      <c r="B247" s="4">
        <v>202</v>
      </c>
      <c r="C247" s="4" t="s">
        <v>417</v>
      </c>
      <c r="D247" s="30" t="s">
        <v>419</v>
      </c>
      <c r="F247" s="4">
        <v>44</v>
      </c>
      <c r="G247" s="4">
        <v>150000</v>
      </c>
      <c r="J247" s="4">
        <v>0</v>
      </c>
      <c r="N247" s="4">
        <v>2</v>
      </c>
      <c r="P247" s="4">
        <v>2</v>
      </c>
      <c r="R247" t="s">
        <v>166</v>
      </c>
    </row>
    <row r="248" spans="1:18">
      <c r="A248" s="4">
        <v>23001</v>
      </c>
      <c r="B248" s="4">
        <v>410</v>
      </c>
      <c r="C248" s="4" t="s">
        <v>420</v>
      </c>
      <c r="D248" s="30" t="s">
        <v>421</v>
      </c>
      <c r="G248" s="4">
        <v>5</v>
      </c>
      <c r="I248" s="4">
        <v>10</v>
      </c>
      <c r="J248" s="4">
        <v>0</v>
      </c>
      <c r="N248" s="4">
        <v>0</v>
      </c>
      <c r="P248" s="4">
        <v>2</v>
      </c>
      <c r="R248" t="s">
        <v>166</v>
      </c>
    </row>
    <row r="249" spans="1:18">
      <c r="A249" s="4">
        <v>24001</v>
      </c>
      <c r="B249" s="4">
        <v>421</v>
      </c>
      <c r="C249" s="4" t="s">
        <v>422</v>
      </c>
      <c r="D249" s="30" t="s">
        <v>423</v>
      </c>
      <c r="G249" s="4">
        <v>1</v>
      </c>
      <c r="I249" s="4">
        <v>10</v>
      </c>
      <c r="J249" s="4">
        <v>0</v>
      </c>
      <c r="N249" s="4">
        <v>2</v>
      </c>
      <c r="P249" s="4">
        <v>2</v>
      </c>
      <c r="R249" t="s">
        <v>166</v>
      </c>
    </row>
    <row r="250" spans="1:18">
      <c r="A250" s="4">
        <v>25001</v>
      </c>
      <c r="B250" s="4">
        <v>422</v>
      </c>
      <c r="C250" s="4" t="s">
        <v>424</v>
      </c>
      <c r="D250" s="30" t="s">
        <v>425</v>
      </c>
      <c r="G250" s="4">
        <v>1</v>
      </c>
      <c r="I250" s="4">
        <v>10</v>
      </c>
      <c r="J250" s="4">
        <v>0</v>
      </c>
      <c r="N250" s="4">
        <v>2</v>
      </c>
      <c r="P250" s="4">
        <v>2</v>
      </c>
      <c r="R250" t="s">
        <v>166</v>
      </c>
    </row>
    <row r="251" spans="1:18">
      <c r="A251" s="4">
        <v>26001</v>
      </c>
      <c r="B251" s="4">
        <v>423</v>
      </c>
      <c r="C251" s="4" t="s">
        <v>426</v>
      </c>
      <c r="D251" s="30" t="s">
        <v>427</v>
      </c>
      <c r="G251" s="4">
        <v>1</v>
      </c>
      <c r="I251" s="4">
        <v>10</v>
      </c>
      <c r="J251" s="4">
        <v>0</v>
      </c>
      <c r="N251" s="4">
        <v>2</v>
      </c>
      <c r="P251" s="4">
        <v>2</v>
      </c>
      <c r="R251" t="s">
        <v>166</v>
      </c>
    </row>
    <row r="252" spans="1:18">
      <c r="A252" s="4">
        <v>27001</v>
      </c>
      <c r="B252" s="4">
        <v>424</v>
      </c>
      <c r="C252" s="4" t="s">
        <v>428</v>
      </c>
      <c r="D252" s="30" t="s">
        <v>429</v>
      </c>
      <c r="G252" s="4">
        <v>1</v>
      </c>
      <c r="I252" s="4">
        <v>10</v>
      </c>
      <c r="J252" s="4">
        <v>0</v>
      </c>
      <c r="N252" s="4">
        <v>2</v>
      </c>
      <c r="P252" s="4">
        <v>2</v>
      </c>
      <c r="R252" t="s">
        <v>166</v>
      </c>
    </row>
    <row r="253" spans="1:18">
      <c r="A253" s="4">
        <v>28001</v>
      </c>
      <c r="B253" s="4">
        <v>425</v>
      </c>
      <c r="C253" s="4" t="s">
        <v>430</v>
      </c>
      <c r="D253" s="30" t="s">
        <v>431</v>
      </c>
      <c r="G253" s="4">
        <v>1</v>
      </c>
      <c r="I253" s="4">
        <v>10</v>
      </c>
      <c r="J253" s="4">
        <v>0</v>
      </c>
      <c r="N253" s="4">
        <v>2</v>
      </c>
      <c r="P253" s="4">
        <v>2</v>
      </c>
      <c r="R253" t="s">
        <v>166</v>
      </c>
    </row>
    <row r="254" spans="1:18">
      <c r="A254" s="4">
        <v>29001</v>
      </c>
      <c r="B254" s="4">
        <v>701</v>
      </c>
      <c r="C254" s="4" t="s">
        <v>432</v>
      </c>
      <c r="D254" s="30" t="s">
        <v>433</v>
      </c>
      <c r="G254" s="4">
        <v>10</v>
      </c>
      <c r="I254" s="4">
        <v>1</v>
      </c>
      <c r="J254" s="4">
        <v>0</v>
      </c>
      <c r="N254" s="4">
        <v>2</v>
      </c>
      <c r="P254" s="4">
        <v>2</v>
      </c>
      <c r="R254" t="s">
        <v>166</v>
      </c>
    </row>
    <row r="255" spans="1:18">
      <c r="A255" s="4">
        <v>29002</v>
      </c>
      <c r="B255" s="4">
        <v>701</v>
      </c>
      <c r="C255" s="4" t="s">
        <v>434</v>
      </c>
      <c r="D255" s="30" t="s">
        <v>435</v>
      </c>
      <c r="G255" s="4">
        <v>10</v>
      </c>
      <c r="I255" s="4">
        <v>2</v>
      </c>
      <c r="J255" s="4">
        <v>0</v>
      </c>
      <c r="N255" s="4">
        <v>2</v>
      </c>
      <c r="P255" s="4">
        <v>2</v>
      </c>
      <c r="R255" t="s">
        <v>166</v>
      </c>
    </row>
    <row r="256" spans="1:18">
      <c r="A256" s="4">
        <v>29003</v>
      </c>
      <c r="B256" s="4">
        <v>701</v>
      </c>
      <c r="C256" s="4" t="s">
        <v>436</v>
      </c>
      <c r="D256" s="30" t="s">
        <v>437</v>
      </c>
      <c r="G256" s="4">
        <v>10</v>
      </c>
      <c r="I256" s="4">
        <v>3</v>
      </c>
      <c r="J256" s="4">
        <v>0</v>
      </c>
      <c r="N256" s="4">
        <v>2</v>
      </c>
      <c r="P256" s="4">
        <v>2</v>
      </c>
      <c r="R256" t="s">
        <v>166</v>
      </c>
    </row>
    <row r="257" spans="1:18">
      <c r="A257" s="4">
        <v>30001</v>
      </c>
      <c r="B257" s="4">
        <v>111</v>
      </c>
      <c r="C257" s="4" t="s">
        <v>438</v>
      </c>
      <c r="D257" s="30" t="s">
        <v>439</v>
      </c>
      <c r="G257" s="4">
        <v>1500000</v>
      </c>
      <c r="J257" s="4">
        <v>0</v>
      </c>
      <c r="N257" s="4">
        <v>2</v>
      </c>
      <c r="P257" s="4">
        <v>2</v>
      </c>
      <c r="R257" t="s">
        <v>166</v>
      </c>
    </row>
    <row r="258" spans="1:18">
      <c r="A258" s="4">
        <v>30002</v>
      </c>
      <c r="B258" s="4">
        <v>111</v>
      </c>
      <c r="C258" s="4" t="s">
        <v>440</v>
      </c>
      <c r="D258" s="30" t="s">
        <v>441</v>
      </c>
      <c r="G258" s="4">
        <v>2000000</v>
      </c>
      <c r="J258" s="4">
        <v>0</v>
      </c>
      <c r="N258" s="4">
        <v>2</v>
      </c>
      <c r="P258" s="4">
        <v>2</v>
      </c>
      <c r="R258" t="s">
        <v>166</v>
      </c>
    </row>
    <row r="259" spans="1:18">
      <c r="A259" s="4">
        <v>30003</v>
      </c>
      <c r="B259" s="4">
        <v>111</v>
      </c>
      <c r="C259" s="4" t="s">
        <v>442</v>
      </c>
      <c r="D259" s="30" t="s">
        <v>443</v>
      </c>
      <c r="G259" s="4">
        <v>3000000</v>
      </c>
      <c r="J259" s="4">
        <v>0</v>
      </c>
      <c r="N259" s="4">
        <v>2</v>
      </c>
      <c r="P259" s="4">
        <v>2</v>
      </c>
      <c r="R259" t="s">
        <v>166</v>
      </c>
    </row>
    <row r="260" spans="1:18">
      <c r="A260" s="4">
        <v>31001</v>
      </c>
      <c r="B260" s="4">
        <v>112</v>
      </c>
      <c r="C260" s="4" t="s">
        <v>444</v>
      </c>
      <c r="D260" s="30" t="s">
        <v>445</v>
      </c>
      <c r="G260" s="4">
        <v>1500000</v>
      </c>
      <c r="J260" s="4">
        <v>0</v>
      </c>
      <c r="N260" s="4">
        <v>2</v>
      </c>
      <c r="P260" s="4">
        <v>2</v>
      </c>
      <c r="R260" t="s">
        <v>166</v>
      </c>
    </row>
    <row r="261" spans="1:18">
      <c r="A261" s="4">
        <v>31002</v>
      </c>
      <c r="B261" s="4">
        <v>112</v>
      </c>
      <c r="C261" s="4" t="s">
        <v>446</v>
      </c>
      <c r="D261" s="30" t="s">
        <v>447</v>
      </c>
      <c r="G261" s="4">
        <v>2000000</v>
      </c>
      <c r="J261" s="4">
        <v>0</v>
      </c>
      <c r="N261" s="4">
        <v>2</v>
      </c>
      <c r="P261" s="4">
        <v>2</v>
      </c>
      <c r="R261" t="s">
        <v>166</v>
      </c>
    </row>
    <row r="262" spans="1:18">
      <c r="A262" s="4">
        <v>31003</v>
      </c>
      <c r="B262" s="4">
        <v>112</v>
      </c>
      <c r="C262" s="4" t="s">
        <v>448</v>
      </c>
      <c r="D262" s="30" t="s">
        <v>449</v>
      </c>
      <c r="G262" s="4">
        <v>3000000</v>
      </c>
      <c r="J262" s="4">
        <v>0</v>
      </c>
      <c r="N262" s="4">
        <v>2</v>
      </c>
      <c r="P262" s="4">
        <v>2</v>
      </c>
      <c r="R262" t="s">
        <v>166</v>
      </c>
    </row>
    <row r="263" spans="1:18">
      <c r="A263" s="4">
        <v>32001</v>
      </c>
      <c r="B263" s="4">
        <v>113</v>
      </c>
      <c r="C263" s="4" t="s">
        <v>450</v>
      </c>
      <c r="D263" s="30" t="s">
        <v>451</v>
      </c>
      <c r="G263" s="4">
        <v>1500000</v>
      </c>
      <c r="J263" s="4">
        <v>0</v>
      </c>
      <c r="N263" s="4">
        <v>2</v>
      </c>
      <c r="P263" s="4">
        <v>2</v>
      </c>
      <c r="R263" t="s">
        <v>166</v>
      </c>
    </row>
    <row r="264" spans="1:18">
      <c r="A264" s="4">
        <v>32002</v>
      </c>
      <c r="B264" s="4">
        <v>113</v>
      </c>
      <c r="C264" s="4" t="s">
        <v>452</v>
      </c>
      <c r="D264" s="30" t="s">
        <v>453</v>
      </c>
      <c r="G264" s="4">
        <v>2000000</v>
      </c>
      <c r="J264" s="4">
        <v>0</v>
      </c>
      <c r="N264" s="4">
        <v>2</v>
      </c>
      <c r="P264" s="4">
        <v>2</v>
      </c>
      <c r="R264" t="s">
        <v>166</v>
      </c>
    </row>
    <row r="265" spans="1:18">
      <c r="A265" s="4">
        <v>32003</v>
      </c>
      <c r="B265" s="4">
        <v>113</v>
      </c>
      <c r="C265" s="4" t="s">
        <v>454</v>
      </c>
      <c r="D265" s="30" t="s">
        <v>455</v>
      </c>
      <c r="G265" s="4">
        <v>3000000</v>
      </c>
      <c r="J265" s="4">
        <v>0</v>
      </c>
      <c r="N265" s="4">
        <v>2</v>
      </c>
      <c r="P265" s="4">
        <v>2</v>
      </c>
      <c r="R265" t="s">
        <v>166</v>
      </c>
    </row>
    <row r="266" spans="1:18">
      <c r="A266" s="4">
        <v>33001</v>
      </c>
      <c r="B266" s="4">
        <v>1213</v>
      </c>
      <c r="C266" s="4" t="s">
        <v>456</v>
      </c>
      <c r="D266" s="30" t="s">
        <v>457</v>
      </c>
      <c r="G266" s="4">
        <v>1500000</v>
      </c>
      <c r="J266" s="4">
        <v>0</v>
      </c>
      <c r="N266" s="4">
        <v>2</v>
      </c>
      <c r="P266" s="4">
        <v>2</v>
      </c>
      <c r="R266" t="s">
        <v>166</v>
      </c>
    </row>
    <row r="267" spans="1:18">
      <c r="A267" s="4">
        <v>33002</v>
      </c>
      <c r="B267" s="4">
        <v>1213</v>
      </c>
      <c r="C267" s="4" t="s">
        <v>458</v>
      </c>
      <c r="D267" s="30" t="s">
        <v>459</v>
      </c>
      <c r="G267" s="4">
        <v>2000000</v>
      </c>
      <c r="J267" s="4">
        <v>0</v>
      </c>
      <c r="N267" s="4">
        <v>2</v>
      </c>
      <c r="P267" s="4">
        <v>2</v>
      </c>
      <c r="R267" t="s">
        <v>166</v>
      </c>
    </row>
    <row r="268" spans="1:18">
      <c r="A268" s="4">
        <v>33003</v>
      </c>
      <c r="B268" s="4">
        <v>1213</v>
      </c>
      <c r="C268" s="4" t="s">
        <v>460</v>
      </c>
      <c r="D268" s="30" t="s">
        <v>461</v>
      </c>
      <c r="G268" s="4">
        <v>3000000</v>
      </c>
      <c r="J268" s="4">
        <v>0</v>
      </c>
      <c r="N268" s="4">
        <v>2</v>
      </c>
      <c r="P268" s="4">
        <v>2</v>
      </c>
      <c r="R268" t="s">
        <v>166</v>
      </c>
    </row>
    <row r="269" spans="1:18">
      <c r="A269" s="4">
        <v>34001</v>
      </c>
      <c r="B269" s="4">
        <v>501</v>
      </c>
      <c r="C269" s="4" t="s">
        <v>462</v>
      </c>
      <c r="D269" s="30" t="s">
        <v>463</v>
      </c>
      <c r="G269" s="4">
        <v>1</v>
      </c>
      <c r="I269" s="4">
        <v>5</v>
      </c>
      <c r="J269" s="4">
        <v>0</v>
      </c>
      <c r="N269" s="4">
        <v>2</v>
      </c>
      <c r="P269" s="4">
        <v>2</v>
      </c>
      <c r="R269" t="s">
        <v>166</v>
      </c>
    </row>
    <row r="270" spans="1:18">
      <c r="A270" s="4">
        <v>34002</v>
      </c>
      <c r="B270" s="4">
        <v>501</v>
      </c>
      <c r="C270" s="4" t="s">
        <v>464</v>
      </c>
      <c r="D270" s="30" t="s">
        <v>465</v>
      </c>
      <c r="G270" s="4">
        <v>5</v>
      </c>
      <c r="I270" s="4">
        <v>5</v>
      </c>
      <c r="J270" s="4">
        <v>0</v>
      </c>
      <c r="N270" s="4">
        <v>2</v>
      </c>
      <c r="P270" s="4">
        <v>2</v>
      </c>
      <c r="R270" t="s">
        <v>166</v>
      </c>
    </row>
    <row r="271" spans="1:18">
      <c r="A271" s="4">
        <v>34003</v>
      </c>
      <c r="B271" s="4">
        <v>501</v>
      </c>
      <c r="C271" s="4" t="s">
        <v>466</v>
      </c>
      <c r="D271" s="30" t="s">
        <v>467</v>
      </c>
      <c r="G271" s="4">
        <v>10</v>
      </c>
      <c r="I271" s="4">
        <v>5</v>
      </c>
      <c r="J271" s="4">
        <v>0</v>
      </c>
      <c r="N271" s="4">
        <v>2</v>
      </c>
      <c r="P271" s="4">
        <v>2</v>
      </c>
      <c r="R271" t="s">
        <v>166</v>
      </c>
    </row>
    <row r="272" spans="1:18">
      <c r="A272" s="4">
        <v>70001</v>
      </c>
      <c r="B272" s="4">
        <v>1001</v>
      </c>
      <c r="C272" s="4" t="s">
        <v>468</v>
      </c>
      <c r="D272" s="30" t="s">
        <v>469</v>
      </c>
      <c r="F272" s="4">
        <v>33</v>
      </c>
      <c r="G272" s="4">
        <v>10</v>
      </c>
      <c r="J272" s="4">
        <v>4</v>
      </c>
      <c r="N272" s="4">
        <v>2</v>
      </c>
      <c r="P272" s="4">
        <v>2</v>
      </c>
      <c r="R272" t="s">
        <v>220</v>
      </c>
    </row>
    <row r="273" spans="1:18">
      <c r="A273" s="4">
        <v>70002</v>
      </c>
      <c r="B273" s="4">
        <v>201</v>
      </c>
      <c r="C273" s="4" t="s">
        <v>145</v>
      </c>
      <c r="D273" s="30" t="s">
        <v>160</v>
      </c>
      <c r="F273" s="4">
        <v>33</v>
      </c>
      <c r="G273" s="4">
        <v>5</v>
      </c>
      <c r="J273" s="4">
        <v>4</v>
      </c>
      <c r="N273" s="4">
        <v>2</v>
      </c>
      <c r="P273" s="4">
        <v>2</v>
      </c>
      <c r="R273" t="s">
        <v>220</v>
      </c>
    </row>
    <row r="274" spans="1:18">
      <c r="A274" s="4">
        <v>70003</v>
      </c>
      <c r="B274" s="4">
        <v>430</v>
      </c>
      <c r="C274" s="4" t="s">
        <v>470</v>
      </c>
      <c r="D274" s="30" t="s">
        <v>471</v>
      </c>
      <c r="F274" s="4">
        <v>44</v>
      </c>
      <c r="G274" s="4">
        <v>1</v>
      </c>
      <c r="I274" s="4">
        <v>30</v>
      </c>
      <c r="J274" s="4">
        <v>0</v>
      </c>
      <c r="N274" s="4">
        <v>2</v>
      </c>
      <c r="P274" s="4">
        <v>2</v>
      </c>
      <c r="R274" t="s">
        <v>220</v>
      </c>
    </row>
    <row r="275" spans="1:18">
      <c r="A275" s="4">
        <v>70004</v>
      </c>
      <c r="B275" s="4">
        <v>402</v>
      </c>
      <c r="C275" s="4" t="s">
        <v>208</v>
      </c>
      <c r="D275" s="30" t="s">
        <v>472</v>
      </c>
      <c r="F275" s="4">
        <v>56</v>
      </c>
      <c r="G275" s="4">
        <v>1</v>
      </c>
      <c r="I275" s="4">
        <v>2</v>
      </c>
      <c r="J275" s="4">
        <v>4</v>
      </c>
      <c r="N275" s="4">
        <v>2</v>
      </c>
      <c r="P275" s="4">
        <v>2</v>
      </c>
      <c r="R275" t="s">
        <v>220</v>
      </c>
    </row>
    <row r="276" s="30" customFormat="1" spans="1:18">
      <c r="A276" s="4">
        <v>71001</v>
      </c>
      <c r="B276" s="4">
        <v>1001</v>
      </c>
      <c r="C276" s="4" t="s">
        <v>468</v>
      </c>
      <c r="D276" s="30" t="s">
        <v>473</v>
      </c>
      <c r="E276" s="4"/>
      <c r="F276" s="4">
        <v>33</v>
      </c>
      <c r="G276" s="4">
        <v>16</v>
      </c>
      <c r="H276" s="4"/>
      <c r="I276" s="4"/>
      <c r="J276" s="4">
        <v>4</v>
      </c>
      <c r="N276" s="4">
        <v>2</v>
      </c>
      <c r="P276" s="4">
        <v>2</v>
      </c>
      <c r="R276" s="30" t="s">
        <v>474</v>
      </c>
    </row>
    <row r="277" s="30" customFormat="1" spans="1:18">
      <c r="A277" s="4">
        <v>71002</v>
      </c>
      <c r="B277" s="4">
        <v>201</v>
      </c>
      <c r="C277" s="4" t="s">
        <v>145</v>
      </c>
      <c r="D277" s="30" t="s">
        <v>161</v>
      </c>
      <c r="E277" s="4"/>
      <c r="F277" s="4">
        <v>33</v>
      </c>
      <c r="G277" s="4">
        <v>10</v>
      </c>
      <c r="H277" s="4"/>
      <c r="I277" s="4"/>
      <c r="J277" s="4">
        <v>4</v>
      </c>
      <c r="N277" s="4">
        <v>2</v>
      </c>
      <c r="P277" s="4">
        <v>2</v>
      </c>
      <c r="R277" s="30" t="s">
        <v>474</v>
      </c>
    </row>
    <row r="278" s="30" customFormat="1" spans="1:18">
      <c r="A278" s="4">
        <v>71003</v>
      </c>
      <c r="B278" s="4">
        <v>3101</v>
      </c>
      <c r="C278" s="4" t="s">
        <v>137</v>
      </c>
      <c r="D278" s="30" t="s">
        <v>138</v>
      </c>
      <c r="E278" s="4"/>
      <c r="F278" s="4">
        <v>9</v>
      </c>
      <c r="G278" s="4">
        <v>3</v>
      </c>
      <c r="H278" s="4"/>
      <c r="I278" s="4"/>
      <c r="J278" s="4">
        <v>1</v>
      </c>
      <c r="N278" s="4">
        <v>2</v>
      </c>
      <c r="P278" s="4">
        <v>2</v>
      </c>
      <c r="R278" s="30" t="s">
        <v>474</v>
      </c>
    </row>
    <row r="279" s="30" customFormat="1" spans="1:18">
      <c r="A279" s="4">
        <v>71004</v>
      </c>
      <c r="B279" s="4">
        <v>1003</v>
      </c>
      <c r="C279" s="4" t="s">
        <v>475</v>
      </c>
      <c r="D279" s="30" t="s">
        <v>476</v>
      </c>
      <c r="E279" s="4"/>
      <c r="F279" s="4">
        <v>4</v>
      </c>
      <c r="G279" s="4">
        <v>1</v>
      </c>
      <c r="H279" s="4"/>
      <c r="I279" s="4"/>
      <c r="J279" s="4">
        <v>4</v>
      </c>
      <c r="N279" s="4">
        <v>0</v>
      </c>
      <c r="P279" s="4">
        <v>2</v>
      </c>
      <c r="R279" s="30" t="s">
        <v>474</v>
      </c>
    </row>
    <row r="280" s="30" customFormat="1" spans="1:18">
      <c r="A280" s="4">
        <v>72001</v>
      </c>
      <c r="B280" s="4">
        <v>1001</v>
      </c>
      <c r="C280" s="4" t="s">
        <v>468</v>
      </c>
      <c r="D280" s="30" t="s">
        <v>477</v>
      </c>
      <c r="E280" s="4"/>
      <c r="F280" s="4">
        <v>33</v>
      </c>
      <c r="G280" s="4">
        <v>20</v>
      </c>
      <c r="H280" s="4"/>
      <c r="I280" s="4"/>
      <c r="J280" s="4">
        <v>4</v>
      </c>
      <c r="N280" s="4">
        <v>2</v>
      </c>
      <c r="P280" s="4">
        <v>2</v>
      </c>
      <c r="R280" s="30" t="s">
        <v>474</v>
      </c>
    </row>
    <row r="281" s="30" customFormat="1" spans="1:18">
      <c r="A281" s="4">
        <v>72002</v>
      </c>
      <c r="B281" s="4">
        <v>201</v>
      </c>
      <c r="C281" s="4" t="s">
        <v>145</v>
      </c>
      <c r="D281" s="30" t="s">
        <v>162</v>
      </c>
      <c r="E281" s="4"/>
      <c r="F281" s="4">
        <v>33</v>
      </c>
      <c r="G281" s="4">
        <v>15</v>
      </c>
      <c r="H281" s="4"/>
      <c r="I281" s="4"/>
      <c r="J281" s="4">
        <v>4</v>
      </c>
      <c r="N281" s="4">
        <v>2</v>
      </c>
      <c r="P281" s="4">
        <v>2</v>
      </c>
      <c r="R281" s="30" t="s">
        <v>474</v>
      </c>
    </row>
    <row r="282" s="30" customFormat="1" spans="1:18">
      <c r="A282" s="4">
        <v>72003</v>
      </c>
      <c r="B282" s="4">
        <v>1002</v>
      </c>
      <c r="C282" s="4" t="s">
        <v>140</v>
      </c>
      <c r="D282" s="30" t="s">
        <v>143</v>
      </c>
      <c r="E282" s="4"/>
      <c r="F282" s="4">
        <v>10</v>
      </c>
      <c r="G282" s="4">
        <v>1</v>
      </c>
      <c r="H282" s="4"/>
      <c r="I282" s="4"/>
      <c r="J282" s="4">
        <v>1</v>
      </c>
      <c r="N282" s="4">
        <v>2</v>
      </c>
      <c r="P282" s="4">
        <v>2</v>
      </c>
      <c r="R282" s="30" t="s">
        <v>474</v>
      </c>
    </row>
    <row r="283" s="30" customFormat="1" spans="1:18">
      <c r="A283" s="4">
        <v>72004</v>
      </c>
      <c r="B283" s="4">
        <v>982</v>
      </c>
      <c r="C283" s="4" t="s">
        <v>478</v>
      </c>
      <c r="D283" s="30" t="s">
        <v>479</v>
      </c>
      <c r="E283" s="4"/>
      <c r="F283" s="4">
        <v>40</v>
      </c>
      <c r="G283" s="4">
        <v>3</v>
      </c>
      <c r="H283" s="4"/>
      <c r="I283" s="4"/>
      <c r="J283" s="4">
        <v>4</v>
      </c>
      <c r="N283" s="4">
        <v>0</v>
      </c>
      <c r="P283" s="4">
        <v>2</v>
      </c>
      <c r="R283" s="30" t="s">
        <v>474</v>
      </c>
    </row>
    <row r="284" s="30" customFormat="1" spans="1:18">
      <c r="A284" s="4">
        <v>73001</v>
      </c>
      <c r="B284" s="4">
        <v>1001</v>
      </c>
      <c r="C284" s="4" t="s">
        <v>468</v>
      </c>
      <c r="D284" s="30" t="s">
        <v>480</v>
      </c>
      <c r="E284" s="4"/>
      <c r="F284" s="4">
        <v>33</v>
      </c>
      <c r="G284" s="4">
        <v>30</v>
      </c>
      <c r="H284" s="4"/>
      <c r="I284" s="4"/>
      <c r="J284" s="4">
        <v>4</v>
      </c>
      <c r="N284" s="4">
        <v>2</v>
      </c>
      <c r="P284" s="4">
        <v>2</v>
      </c>
      <c r="R284" s="30" t="s">
        <v>474</v>
      </c>
    </row>
    <row r="285" s="30" customFormat="1" spans="1:18">
      <c r="A285" s="4">
        <v>73002</v>
      </c>
      <c r="B285" s="4">
        <v>201</v>
      </c>
      <c r="C285" s="4" t="s">
        <v>145</v>
      </c>
      <c r="D285" s="30" t="s">
        <v>481</v>
      </c>
      <c r="E285" s="4"/>
      <c r="F285" s="4">
        <v>33</v>
      </c>
      <c r="G285" s="4">
        <v>18</v>
      </c>
      <c r="H285" s="4"/>
      <c r="I285" s="4"/>
      <c r="J285" s="4">
        <v>4</v>
      </c>
      <c r="N285" s="4">
        <v>2</v>
      </c>
      <c r="P285" s="4">
        <v>2</v>
      </c>
      <c r="R285" s="30" t="s">
        <v>474</v>
      </c>
    </row>
    <row r="286" s="30" customFormat="1" spans="1:18">
      <c r="A286" s="4">
        <v>73003</v>
      </c>
      <c r="B286" s="4">
        <v>1211</v>
      </c>
      <c r="C286" s="4" t="s">
        <v>328</v>
      </c>
      <c r="D286" s="30" t="s">
        <v>329</v>
      </c>
      <c r="E286" s="4"/>
      <c r="F286" s="4">
        <v>17</v>
      </c>
      <c r="G286" s="4">
        <v>1</v>
      </c>
      <c r="H286" s="4"/>
      <c r="I286" s="4"/>
      <c r="J286" s="4">
        <v>0</v>
      </c>
      <c r="N286" s="4">
        <v>2</v>
      </c>
      <c r="P286" s="4">
        <v>2</v>
      </c>
      <c r="R286" s="30" t="s">
        <v>474</v>
      </c>
    </row>
    <row r="287" s="30" customFormat="1" spans="1:18">
      <c r="A287" s="4">
        <v>73004</v>
      </c>
      <c r="B287" s="4">
        <v>1302</v>
      </c>
      <c r="C287" s="4" t="s">
        <v>380</v>
      </c>
      <c r="D287" s="30" t="s">
        <v>482</v>
      </c>
      <c r="E287" s="4"/>
      <c r="F287" s="4">
        <v>7</v>
      </c>
      <c r="G287" s="4">
        <v>10</v>
      </c>
      <c r="H287" s="4"/>
      <c r="I287" s="4"/>
      <c r="J287" s="4">
        <v>0</v>
      </c>
      <c r="N287" s="4">
        <v>2</v>
      </c>
      <c r="P287" s="4">
        <v>2</v>
      </c>
      <c r="R287" s="30" t="s">
        <v>474</v>
      </c>
    </row>
    <row r="288" spans="1:18">
      <c r="A288" s="4">
        <v>73005</v>
      </c>
      <c r="B288" s="4">
        <v>981</v>
      </c>
      <c r="C288" s="4" t="s">
        <v>483</v>
      </c>
      <c r="D288" s="30" t="s">
        <v>484</v>
      </c>
      <c r="F288" s="4">
        <v>30</v>
      </c>
      <c r="G288" s="4">
        <v>1</v>
      </c>
      <c r="I288" s="4">
        <v>1</v>
      </c>
      <c r="J288" s="4">
        <v>4</v>
      </c>
      <c r="N288" s="4">
        <v>0</v>
      </c>
      <c r="P288" s="4">
        <v>2</v>
      </c>
      <c r="R288" s="30" t="s">
        <v>474</v>
      </c>
    </row>
    <row r="289" s="30" customFormat="1" spans="1:18">
      <c r="A289" s="4">
        <v>74001</v>
      </c>
      <c r="B289" s="4">
        <v>1001</v>
      </c>
      <c r="C289" s="4" t="s">
        <v>468</v>
      </c>
      <c r="D289" s="30" t="s">
        <v>485</v>
      </c>
      <c r="E289" s="4"/>
      <c r="F289" s="4">
        <v>33</v>
      </c>
      <c r="G289" s="4">
        <v>40</v>
      </c>
      <c r="H289" s="4"/>
      <c r="I289" s="4"/>
      <c r="J289" s="4">
        <v>4</v>
      </c>
      <c r="N289" s="4">
        <v>2</v>
      </c>
      <c r="P289" s="4">
        <v>2</v>
      </c>
      <c r="R289" s="30" t="s">
        <v>474</v>
      </c>
    </row>
    <row r="290" s="30" customFormat="1" spans="1:18">
      <c r="A290" s="4">
        <v>74002</v>
      </c>
      <c r="B290" s="4">
        <v>201</v>
      </c>
      <c r="C290" s="4" t="s">
        <v>145</v>
      </c>
      <c r="D290" s="30" t="s">
        <v>486</v>
      </c>
      <c r="E290" s="4"/>
      <c r="F290" s="4">
        <v>33</v>
      </c>
      <c r="G290" s="4">
        <v>25</v>
      </c>
      <c r="H290" s="4"/>
      <c r="I290" s="4"/>
      <c r="J290" s="4">
        <v>4</v>
      </c>
      <c r="N290" s="4">
        <v>2</v>
      </c>
      <c r="P290" s="4">
        <v>2</v>
      </c>
      <c r="R290" s="30" t="s">
        <v>474</v>
      </c>
    </row>
    <row r="291" s="30" customFormat="1" spans="1:18">
      <c r="A291" s="4">
        <v>74003</v>
      </c>
      <c r="B291" s="4">
        <v>202</v>
      </c>
      <c r="C291" s="4" t="s">
        <v>406</v>
      </c>
      <c r="D291" s="30" t="s">
        <v>487</v>
      </c>
      <c r="E291" s="4"/>
      <c r="F291" s="4"/>
      <c r="G291" s="4">
        <v>50000</v>
      </c>
      <c r="H291" s="4"/>
      <c r="I291" s="4"/>
      <c r="J291" s="4">
        <v>0</v>
      </c>
      <c r="N291" s="4">
        <v>2</v>
      </c>
      <c r="P291" s="4">
        <v>2</v>
      </c>
      <c r="R291" s="30" t="s">
        <v>474</v>
      </c>
    </row>
    <row r="292" s="30" customFormat="1" spans="1:18">
      <c r="A292" s="4">
        <v>74004</v>
      </c>
      <c r="B292" s="4">
        <v>403</v>
      </c>
      <c r="C292" s="4" t="s">
        <v>488</v>
      </c>
      <c r="D292" s="30" t="s">
        <v>489</v>
      </c>
      <c r="E292" s="4"/>
      <c r="F292" s="4">
        <v>51</v>
      </c>
      <c r="G292" s="4">
        <v>1</v>
      </c>
      <c r="H292" s="4"/>
      <c r="I292" s="4">
        <v>5</v>
      </c>
      <c r="J292" s="4">
        <v>4</v>
      </c>
      <c r="N292" s="4">
        <v>0</v>
      </c>
      <c r="P292" s="4">
        <v>2</v>
      </c>
      <c r="R292" s="30" t="s">
        <v>474</v>
      </c>
    </row>
    <row r="293" s="31" customFormat="1" spans="1:18">
      <c r="A293" s="19">
        <v>80001</v>
      </c>
      <c r="B293" s="19">
        <v>1000</v>
      </c>
      <c r="C293" s="19" t="s">
        <v>490</v>
      </c>
      <c r="D293" s="19" t="s">
        <v>491</v>
      </c>
      <c r="E293" s="19"/>
      <c r="F293" s="19">
        <v>139</v>
      </c>
      <c r="G293" s="19">
        <v>1</v>
      </c>
      <c r="H293" s="19"/>
      <c r="I293" s="19">
        <v>1</v>
      </c>
      <c r="J293" s="19">
        <v>4</v>
      </c>
      <c r="N293" s="19">
        <v>0</v>
      </c>
      <c r="P293" s="19">
        <v>2</v>
      </c>
      <c r="R293" s="31" t="s">
        <v>474</v>
      </c>
    </row>
    <row r="294" s="31" customFormat="1" spans="1:18">
      <c r="A294" s="19">
        <v>80002</v>
      </c>
      <c r="B294" s="19">
        <v>1008</v>
      </c>
      <c r="C294" s="19" t="s">
        <v>492</v>
      </c>
      <c r="D294" s="19" t="s">
        <v>493</v>
      </c>
      <c r="E294" s="19"/>
      <c r="F294" s="19">
        <v>33</v>
      </c>
      <c r="G294" s="19">
        <v>1</v>
      </c>
      <c r="H294" s="19"/>
      <c r="I294" s="19"/>
      <c r="J294" s="19">
        <v>0</v>
      </c>
      <c r="N294" s="19">
        <v>0</v>
      </c>
      <c r="P294" s="19">
        <v>2</v>
      </c>
      <c r="R294" s="31" t="s">
        <v>474</v>
      </c>
    </row>
    <row r="295" s="31" customFormat="1" spans="1:18">
      <c r="A295" s="19">
        <v>80003</v>
      </c>
      <c r="B295" s="19">
        <v>1000</v>
      </c>
      <c r="C295" s="19" t="s">
        <v>494</v>
      </c>
      <c r="D295" s="19" t="s">
        <v>495</v>
      </c>
      <c r="E295" s="19"/>
      <c r="F295" s="19">
        <v>21</v>
      </c>
      <c r="G295" s="19">
        <v>1</v>
      </c>
      <c r="H295" s="19"/>
      <c r="I295" s="19">
        <v>2</v>
      </c>
      <c r="J295" s="19">
        <v>4</v>
      </c>
      <c r="N295" s="19">
        <v>0</v>
      </c>
      <c r="P295" s="19">
        <v>2</v>
      </c>
      <c r="R295" s="31" t="s">
        <v>474</v>
      </c>
    </row>
    <row r="296" s="31" customFormat="1" spans="1:18">
      <c r="A296" s="19">
        <v>80004</v>
      </c>
      <c r="B296" s="19">
        <v>1000</v>
      </c>
      <c r="C296" s="19" t="s">
        <v>490</v>
      </c>
      <c r="D296" s="19" t="s">
        <v>491</v>
      </c>
      <c r="E296" s="19"/>
      <c r="F296" s="19">
        <v>139</v>
      </c>
      <c r="G296" s="19">
        <v>1</v>
      </c>
      <c r="H296" s="19"/>
      <c r="I296" s="19">
        <v>1</v>
      </c>
      <c r="J296" s="19">
        <v>4</v>
      </c>
      <c r="N296" s="19">
        <v>0</v>
      </c>
      <c r="P296" s="19">
        <v>2</v>
      </c>
      <c r="R296" s="31" t="s">
        <v>474</v>
      </c>
    </row>
    <row r="297" spans="1:18">
      <c r="A297" s="4">
        <v>100000</v>
      </c>
      <c r="B297" s="4">
        <v>1001</v>
      </c>
      <c r="C297" s="4" t="s">
        <v>468</v>
      </c>
      <c r="D297" s="30" t="s">
        <v>496</v>
      </c>
      <c r="F297" s="4">
        <v>33</v>
      </c>
      <c r="G297" s="4">
        <v>1</v>
      </c>
      <c r="J297" s="4">
        <v>4</v>
      </c>
      <c r="N297" s="4">
        <v>2</v>
      </c>
      <c r="P297" s="4">
        <v>2</v>
      </c>
      <c r="R297" s="5" t="s">
        <v>497</v>
      </c>
    </row>
    <row r="298" spans="1:18">
      <c r="A298" s="4">
        <v>100001</v>
      </c>
      <c r="B298" s="4">
        <v>1001</v>
      </c>
      <c r="C298" s="4" t="s">
        <v>468</v>
      </c>
      <c r="D298" s="30" t="s">
        <v>498</v>
      </c>
      <c r="F298" s="4">
        <v>33</v>
      </c>
      <c r="G298" s="4">
        <v>2</v>
      </c>
      <c r="J298" s="4">
        <v>4</v>
      </c>
      <c r="N298" s="4">
        <v>2</v>
      </c>
      <c r="P298" s="4">
        <v>2</v>
      </c>
      <c r="R298" t="s">
        <v>220</v>
      </c>
    </row>
    <row r="299" spans="1:18">
      <c r="A299" s="4">
        <v>100002</v>
      </c>
      <c r="B299" s="4">
        <v>1001</v>
      </c>
      <c r="C299" s="4" t="s">
        <v>468</v>
      </c>
      <c r="D299" s="30" t="s">
        <v>499</v>
      </c>
      <c r="F299" s="4">
        <v>33</v>
      </c>
      <c r="G299" s="4">
        <v>3</v>
      </c>
      <c r="J299" s="4">
        <v>4</v>
      </c>
      <c r="N299" s="4">
        <v>2</v>
      </c>
      <c r="P299" s="4">
        <v>2</v>
      </c>
      <c r="R299" t="s">
        <v>220</v>
      </c>
    </row>
    <row r="300" spans="1:18">
      <c r="A300" s="4">
        <v>100003</v>
      </c>
      <c r="B300" s="4">
        <v>1001</v>
      </c>
      <c r="C300" s="4" t="s">
        <v>468</v>
      </c>
      <c r="D300" s="30" t="s">
        <v>500</v>
      </c>
      <c r="F300" s="4">
        <v>33</v>
      </c>
      <c r="G300" s="4">
        <v>4</v>
      </c>
      <c r="J300" s="4">
        <v>4</v>
      </c>
      <c r="N300" s="4">
        <v>2</v>
      </c>
      <c r="P300" s="4">
        <v>2</v>
      </c>
      <c r="R300" t="s">
        <v>501</v>
      </c>
    </row>
    <row r="301" spans="1:18">
      <c r="A301" s="4">
        <v>100004</v>
      </c>
      <c r="B301" s="4">
        <v>1001</v>
      </c>
      <c r="C301" s="4" t="s">
        <v>468</v>
      </c>
      <c r="D301" s="30" t="s">
        <v>502</v>
      </c>
      <c r="F301" s="4">
        <v>33</v>
      </c>
      <c r="G301" s="4">
        <v>6</v>
      </c>
      <c r="J301" s="4">
        <v>4</v>
      </c>
      <c r="N301" s="4">
        <v>2</v>
      </c>
      <c r="P301" s="4">
        <v>2</v>
      </c>
      <c r="R301" t="s">
        <v>220</v>
      </c>
    </row>
    <row r="302" spans="1:18">
      <c r="A302" s="4">
        <v>100005</v>
      </c>
      <c r="B302" s="4">
        <v>1001</v>
      </c>
      <c r="C302" s="4" t="s">
        <v>468</v>
      </c>
      <c r="D302" s="30" t="s">
        <v>503</v>
      </c>
      <c r="F302" s="4">
        <v>33</v>
      </c>
      <c r="G302" s="4">
        <v>8</v>
      </c>
      <c r="J302" s="4">
        <v>4</v>
      </c>
      <c r="N302" s="4">
        <v>2</v>
      </c>
      <c r="P302" s="4">
        <v>2</v>
      </c>
      <c r="R302" t="s">
        <v>504</v>
      </c>
    </row>
    <row r="303" spans="1:18">
      <c r="A303" s="4">
        <v>100006</v>
      </c>
      <c r="B303" s="4">
        <v>1001</v>
      </c>
      <c r="C303" s="4" t="s">
        <v>468</v>
      </c>
      <c r="D303" s="30" t="s">
        <v>469</v>
      </c>
      <c r="F303" s="4">
        <v>33</v>
      </c>
      <c r="G303" s="4">
        <v>10</v>
      </c>
      <c r="J303" s="4">
        <v>4</v>
      </c>
      <c r="N303" s="4">
        <v>2</v>
      </c>
      <c r="P303" s="4">
        <v>2</v>
      </c>
      <c r="R303" t="s">
        <v>504</v>
      </c>
    </row>
    <row r="304" spans="1:18">
      <c r="A304" s="4">
        <v>100007</v>
      </c>
      <c r="B304" s="4">
        <v>1001</v>
      </c>
      <c r="C304" s="4" t="s">
        <v>468</v>
      </c>
      <c r="D304" s="30" t="s">
        <v>505</v>
      </c>
      <c r="F304" s="4">
        <v>33</v>
      </c>
      <c r="G304" s="4">
        <v>12</v>
      </c>
      <c r="J304" s="4">
        <v>4</v>
      </c>
      <c r="N304" s="4">
        <v>2</v>
      </c>
      <c r="P304" s="4">
        <v>2</v>
      </c>
      <c r="R304" t="s">
        <v>504</v>
      </c>
    </row>
    <row r="305" spans="1:18">
      <c r="A305" s="4">
        <v>100008</v>
      </c>
      <c r="B305" s="4">
        <v>1001</v>
      </c>
      <c r="C305" s="4" t="s">
        <v>468</v>
      </c>
      <c r="D305" s="30" t="s">
        <v>506</v>
      </c>
      <c r="F305" s="4">
        <v>33</v>
      </c>
      <c r="G305" s="4">
        <v>15</v>
      </c>
      <c r="J305" s="4">
        <v>4</v>
      </c>
      <c r="N305" s="4">
        <v>2</v>
      </c>
      <c r="P305" s="4">
        <v>2</v>
      </c>
      <c r="R305" t="s">
        <v>507</v>
      </c>
    </row>
    <row r="306" spans="1:18">
      <c r="A306" s="4">
        <v>100009</v>
      </c>
      <c r="B306" s="4">
        <v>1001</v>
      </c>
      <c r="C306" s="4" t="s">
        <v>468</v>
      </c>
      <c r="D306" s="30" t="s">
        <v>473</v>
      </c>
      <c r="F306" s="4">
        <v>33</v>
      </c>
      <c r="G306" s="4">
        <v>16</v>
      </c>
      <c r="J306" s="4">
        <v>4</v>
      </c>
      <c r="N306" s="4">
        <v>2</v>
      </c>
      <c r="P306" s="4">
        <v>2</v>
      </c>
      <c r="R306" t="s">
        <v>508</v>
      </c>
    </row>
    <row r="307" spans="1:18">
      <c r="A307" s="4">
        <v>100010</v>
      </c>
      <c r="B307" s="4">
        <v>1001</v>
      </c>
      <c r="C307" s="4" t="s">
        <v>468</v>
      </c>
      <c r="D307" s="30" t="s">
        <v>509</v>
      </c>
      <c r="F307" s="4">
        <v>33</v>
      </c>
      <c r="G307" s="4">
        <v>18</v>
      </c>
      <c r="J307" s="4">
        <v>4</v>
      </c>
      <c r="N307" s="4">
        <v>2</v>
      </c>
      <c r="P307" s="4">
        <v>2</v>
      </c>
      <c r="R307" t="s">
        <v>510</v>
      </c>
    </row>
    <row r="308" spans="1:18">
      <c r="A308" s="4">
        <v>100011</v>
      </c>
      <c r="B308" s="4">
        <v>1001</v>
      </c>
      <c r="C308" s="4" t="s">
        <v>468</v>
      </c>
      <c r="D308" s="30" t="s">
        <v>477</v>
      </c>
      <c r="F308" s="4">
        <v>33</v>
      </c>
      <c r="G308" s="4">
        <v>20</v>
      </c>
      <c r="J308" s="4">
        <v>4</v>
      </c>
      <c r="N308" s="4">
        <v>2</v>
      </c>
      <c r="P308" s="4">
        <v>2</v>
      </c>
      <c r="R308" t="s">
        <v>511</v>
      </c>
    </row>
    <row r="309" spans="1:18">
      <c r="A309" s="4">
        <v>100012</v>
      </c>
      <c r="B309" s="4">
        <v>1001</v>
      </c>
      <c r="C309" s="4" t="s">
        <v>468</v>
      </c>
      <c r="D309" s="30" t="s">
        <v>512</v>
      </c>
      <c r="F309" s="4">
        <v>33</v>
      </c>
      <c r="G309" s="4">
        <v>25</v>
      </c>
      <c r="J309" s="4">
        <v>4</v>
      </c>
      <c r="N309" s="4">
        <v>2</v>
      </c>
      <c r="P309" s="4">
        <v>2</v>
      </c>
      <c r="R309" t="s">
        <v>513</v>
      </c>
    </row>
    <row r="310" spans="1:18">
      <c r="A310" s="4">
        <v>100013</v>
      </c>
      <c r="B310" s="4">
        <v>1001</v>
      </c>
      <c r="C310" s="4" t="s">
        <v>468</v>
      </c>
      <c r="D310" s="30" t="s">
        <v>480</v>
      </c>
      <c r="F310" s="4">
        <v>33</v>
      </c>
      <c r="G310" s="4">
        <v>30</v>
      </c>
      <c r="J310" s="4">
        <v>4</v>
      </c>
      <c r="N310" s="4">
        <v>2</v>
      </c>
      <c r="P310" s="4">
        <v>2</v>
      </c>
      <c r="R310" t="s">
        <v>514</v>
      </c>
    </row>
    <row r="311" spans="1:18">
      <c r="A311" s="4">
        <v>100014</v>
      </c>
      <c r="B311" s="4">
        <v>1001</v>
      </c>
      <c r="C311" s="4" t="s">
        <v>468</v>
      </c>
      <c r="D311" s="30" t="s">
        <v>515</v>
      </c>
      <c r="F311" s="4">
        <v>33</v>
      </c>
      <c r="G311" s="4">
        <v>35</v>
      </c>
      <c r="J311" s="4">
        <v>4</v>
      </c>
      <c r="N311" s="4">
        <v>2</v>
      </c>
      <c r="P311" s="4">
        <v>2</v>
      </c>
      <c r="R311" t="s">
        <v>516</v>
      </c>
    </row>
    <row r="312" spans="1:18">
      <c r="A312" s="4">
        <v>100015</v>
      </c>
      <c r="B312" s="4">
        <v>1001</v>
      </c>
      <c r="C312" s="4" t="s">
        <v>468</v>
      </c>
      <c r="D312" s="30" t="s">
        <v>485</v>
      </c>
      <c r="F312" s="4">
        <v>33</v>
      </c>
      <c r="G312" s="4">
        <v>40</v>
      </c>
      <c r="J312" s="4">
        <v>4</v>
      </c>
      <c r="N312" s="4">
        <v>2</v>
      </c>
      <c r="P312" s="4">
        <v>2</v>
      </c>
      <c r="R312" t="s">
        <v>517</v>
      </c>
    </row>
    <row r="313" s="27" customFormat="1" spans="1:18">
      <c r="A313" s="17">
        <v>100016</v>
      </c>
      <c r="B313" s="17">
        <v>1001</v>
      </c>
      <c r="C313" s="17" t="s">
        <v>468</v>
      </c>
      <c r="D313" s="59" t="s">
        <v>518</v>
      </c>
      <c r="E313" s="17"/>
      <c r="F313" s="17">
        <v>33</v>
      </c>
      <c r="G313" s="17">
        <v>50</v>
      </c>
      <c r="H313" s="17"/>
      <c r="I313" s="17"/>
      <c r="J313" s="17">
        <v>4</v>
      </c>
      <c r="N313" s="17">
        <v>2</v>
      </c>
      <c r="P313" s="17">
        <v>2</v>
      </c>
      <c r="R313" s="27" t="s">
        <v>519</v>
      </c>
    </row>
    <row r="314" s="27" customFormat="1" spans="1:18">
      <c r="A314" s="17">
        <v>100017</v>
      </c>
      <c r="B314" s="17">
        <v>1001</v>
      </c>
      <c r="C314" s="17" t="s">
        <v>468</v>
      </c>
      <c r="D314" s="59" t="s">
        <v>520</v>
      </c>
      <c r="E314" s="17"/>
      <c r="F314" s="17">
        <v>33</v>
      </c>
      <c r="G314" s="17">
        <v>60</v>
      </c>
      <c r="H314" s="17"/>
      <c r="I314" s="17"/>
      <c r="J314" s="17">
        <v>4</v>
      </c>
      <c r="N314" s="17">
        <v>2</v>
      </c>
      <c r="P314" s="17">
        <v>2</v>
      </c>
      <c r="R314" s="27" t="s">
        <v>521</v>
      </c>
    </row>
    <row r="315" s="27" customFormat="1" spans="1:18">
      <c r="A315" s="17">
        <v>100018</v>
      </c>
      <c r="B315" s="17">
        <v>1001</v>
      </c>
      <c r="C315" s="17" t="s">
        <v>468</v>
      </c>
      <c r="D315" s="59" t="s">
        <v>522</v>
      </c>
      <c r="E315" s="17"/>
      <c r="F315" s="17">
        <v>33</v>
      </c>
      <c r="G315" s="17">
        <v>70</v>
      </c>
      <c r="H315" s="17"/>
      <c r="I315" s="17"/>
      <c r="J315" s="17">
        <v>4</v>
      </c>
      <c r="N315" s="17">
        <v>2</v>
      </c>
      <c r="P315" s="17">
        <v>2</v>
      </c>
      <c r="R315" s="27" t="s">
        <v>519</v>
      </c>
    </row>
    <row r="316" s="27" customFormat="1" spans="1:18">
      <c r="A316" s="17">
        <v>100019</v>
      </c>
      <c r="B316" s="17">
        <v>1001</v>
      </c>
      <c r="C316" s="17" t="s">
        <v>468</v>
      </c>
      <c r="D316" s="59" t="s">
        <v>523</v>
      </c>
      <c r="E316" s="17"/>
      <c r="F316" s="17">
        <v>33</v>
      </c>
      <c r="G316" s="17">
        <v>80</v>
      </c>
      <c r="H316" s="17"/>
      <c r="I316" s="17"/>
      <c r="J316" s="17">
        <v>4</v>
      </c>
      <c r="N316" s="17">
        <v>2</v>
      </c>
      <c r="P316" s="17">
        <v>2</v>
      </c>
      <c r="R316" s="27" t="s">
        <v>519</v>
      </c>
    </row>
    <row r="317" s="27" customFormat="1" spans="1:18">
      <c r="A317" s="17">
        <v>100020</v>
      </c>
      <c r="B317" s="17">
        <v>1001</v>
      </c>
      <c r="C317" s="17" t="s">
        <v>468</v>
      </c>
      <c r="D317" s="59" t="s">
        <v>524</v>
      </c>
      <c r="E317" s="17"/>
      <c r="F317" s="17">
        <v>33</v>
      </c>
      <c r="G317" s="17">
        <v>90</v>
      </c>
      <c r="H317" s="17"/>
      <c r="I317" s="17"/>
      <c r="J317" s="17">
        <v>4</v>
      </c>
      <c r="N317" s="17">
        <v>2</v>
      </c>
      <c r="P317" s="17">
        <v>2</v>
      </c>
      <c r="R317" s="27" t="s">
        <v>519</v>
      </c>
    </row>
    <row r="318" s="27" customFormat="1" spans="1:18">
      <c r="A318" s="17">
        <v>100021</v>
      </c>
      <c r="B318" s="17">
        <v>1001</v>
      </c>
      <c r="C318" s="17" t="s">
        <v>468</v>
      </c>
      <c r="D318" s="59" t="s">
        <v>525</v>
      </c>
      <c r="E318" s="17"/>
      <c r="F318" s="17">
        <v>33</v>
      </c>
      <c r="G318" s="17">
        <v>100</v>
      </c>
      <c r="H318" s="17"/>
      <c r="I318" s="17"/>
      <c r="J318" s="17">
        <v>4</v>
      </c>
      <c r="N318" s="17">
        <v>2</v>
      </c>
      <c r="P318" s="17">
        <v>2</v>
      </c>
      <c r="R318" s="27" t="s">
        <v>519</v>
      </c>
    </row>
    <row r="319" s="27" customFormat="1" spans="1:18">
      <c r="A319" s="17">
        <v>100022</v>
      </c>
      <c r="B319" s="17">
        <v>1001</v>
      </c>
      <c r="C319" s="17" t="s">
        <v>468</v>
      </c>
      <c r="D319" s="59" t="s">
        <v>526</v>
      </c>
      <c r="E319" s="17"/>
      <c r="F319" s="17">
        <v>33</v>
      </c>
      <c r="G319" s="17">
        <v>105</v>
      </c>
      <c r="H319" s="17"/>
      <c r="I319" s="17"/>
      <c r="J319" s="17">
        <v>4</v>
      </c>
      <c r="N319" s="17">
        <v>2</v>
      </c>
      <c r="P319" s="17">
        <v>2</v>
      </c>
      <c r="R319" s="27" t="s">
        <v>519</v>
      </c>
    </row>
    <row r="320" s="27" customFormat="1" spans="1:18">
      <c r="A320" s="17">
        <v>100023</v>
      </c>
      <c r="B320" s="17">
        <v>1001</v>
      </c>
      <c r="C320" s="17" t="s">
        <v>468</v>
      </c>
      <c r="D320" s="59" t="s">
        <v>527</v>
      </c>
      <c r="E320" s="17"/>
      <c r="F320" s="17">
        <v>33</v>
      </c>
      <c r="G320" s="17">
        <v>110</v>
      </c>
      <c r="H320" s="17"/>
      <c r="I320" s="17"/>
      <c r="J320" s="17">
        <v>4</v>
      </c>
      <c r="N320" s="17">
        <v>2</v>
      </c>
      <c r="P320" s="17">
        <v>2</v>
      </c>
      <c r="R320" s="27" t="s">
        <v>519</v>
      </c>
    </row>
    <row r="321" s="27" customFormat="1" spans="1:18">
      <c r="A321" s="17">
        <v>100024</v>
      </c>
      <c r="B321" s="17">
        <v>1001</v>
      </c>
      <c r="C321" s="17" t="s">
        <v>468</v>
      </c>
      <c r="D321" s="59" t="s">
        <v>528</v>
      </c>
      <c r="E321" s="17"/>
      <c r="F321" s="17">
        <v>33</v>
      </c>
      <c r="G321" s="17">
        <v>115</v>
      </c>
      <c r="H321" s="17"/>
      <c r="I321" s="17"/>
      <c r="J321" s="17">
        <v>4</v>
      </c>
      <c r="N321" s="17">
        <v>2</v>
      </c>
      <c r="P321" s="17">
        <v>2</v>
      </c>
      <c r="R321" s="27" t="s">
        <v>519</v>
      </c>
    </row>
    <row r="322" s="27" customFormat="1" spans="1:18">
      <c r="A322" s="17">
        <v>100025</v>
      </c>
      <c r="B322" s="17">
        <v>1001</v>
      </c>
      <c r="C322" s="17" t="s">
        <v>468</v>
      </c>
      <c r="D322" s="59" t="s">
        <v>529</v>
      </c>
      <c r="E322" s="17"/>
      <c r="F322" s="17">
        <v>33</v>
      </c>
      <c r="G322" s="17">
        <v>120</v>
      </c>
      <c r="H322" s="17"/>
      <c r="I322" s="17"/>
      <c r="J322" s="17">
        <v>4</v>
      </c>
      <c r="N322" s="17">
        <v>2</v>
      </c>
      <c r="P322" s="17">
        <v>2</v>
      </c>
      <c r="R322" s="27" t="s">
        <v>519</v>
      </c>
    </row>
    <row r="323" s="27" customFormat="1" spans="1:18">
      <c r="A323" s="17">
        <v>100026</v>
      </c>
      <c r="B323" s="17">
        <v>1001</v>
      </c>
      <c r="C323" s="17" t="s">
        <v>468</v>
      </c>
      <c r="D323" s="59" t="s">
        <v>530</v>
      </c>
      <c r="E323" s="17"/>
      <c r="F323" s="17">
        <v>33</v>
      </c>
      <c r="G323" s="17">
        <v>125</v>
      </c>
      <c r="H323" s="17"/>
      <c r="I323" s="17"/>
      <c r="J323" s="17">
        <v>4</v>
      </c>
      <c r="N323" s="17">
        <v>2</v>
      </c>
      <c r="P323" s="17">
        <v>2</v>
      </c>
      <c r="R323" s="27" t="s">
        <v>519</v>
      </c>
    </row>
    <row r="324" s="27" customFormat="1" spans="1:18">
      <c r="A324" s="17">
        <v>100027</v>
      </c>
      <c r="B324" s="17">
        <v>1001</v>
      </c>
      <c r="C324" s="17" t="s">
        <v>468</v>
      </c>
      <c r="D324" s="59" t="s">
        <v>531</v>
      </c>
      <c r="E324" s="17"/>
      <c r="F324" s="17">
        <v>33</v>
      </c>
      <c r="G324" s="17">
        <v>130</v>
      </c>
      <c r="H324" s="17"/>
      <c r="I324" s="17"/>
      <c r="J324" s="17">
        <v>4</v>
      </c>
      <c r="N324" s="17">
        <v>2</v>
      </c>
      <c r="P324" s="17">
        <v>2</v>
      </c>
      <c r="R324" s="27" t="s">
        <v>519</v>
      </c>
    </row>
    <row r="325" s="27" customFormat="1" spans="1:18">
      <c r="A325" s="17">
        <v>100028</v>
      </c>
      <c r="B325" s="17">
        <v>1001</v>
      </c>
      <c r="C325" s="17" t="s">
        <v>468</v>
      </c>
      <c r="D325" s="59" t="s">
        <v>532</v>
      </c>
      <c r="E325" s="17"/>
      <c r="F325" s="17">
        <v>33</v>
      </c>
      <c r="G325" s="17">
        <v>135</v>
      </c>
      <c r="H325" s="17"/>
      <c r="I325" s="17"/>
      <c r="J325" s="17">
        <v>4</v>
      </c>
      <c r="N325" s="17">
        <v>2</v>
      </c>
      <c r="P325" s="17">
        <v>2</v>
      </c>
      <c r="R325" s="27" t="s">
        <v>519</v>
      </c>
    </row>
    <row r="326" s="27" customFormat="1" spans="1:18">
      <c r="A326" s="17">
        <v>100029</v>
      </c>
      <c r="B326" s="17">
        <v>1001</v>
      </c>
      <c r="C326" s="17" t="s">
        <v>468</v>
      </c>
      <c r="D326" s="59" t="s">
        <v>533</v>
      </c>
      <c r="E326" s="17"/>
      <c r="F326" s="17">
        <v>33</v>
      </c>
      <c r="G326" s="17">
        <v>140</v>
      </c>
      <c r="H326" s="17"/>
      <c r="I326" s="17"/>
      <c r="J326" s="17">
        <v>4</v>
      </c>
      <c r="N326" s="17">
        <v>2</v>
      </c>
      <c r="P326" s="17">
        <v>2</v>
      </c>
      <c r="R326" s="27" t="s">
        <v>519</v>
      </c>
    </row>
    <row r="327" s="27" customFormat="1" spans="1:18">
      <c r="A327" s="17">
        <v>100030</v>
      </c>
      <c r="B327" s="17">
        <v>1001</v>
      </c>
      <c r="C327" s="17" t="s">
        <v>468</v>
      </c>
      <c r="D327" s="59" t="s">
        <v>534</v>
      </c>
      <c r="E327" s="17"/>
      <c r="F327" s="17">
        <v>33</v>
      </c>
      <c r="G327" s="17">
        <v>145</v>
      </c>
      <c r="H327" s="17"/>
      <c r="I327" s="17"/>
      <c r="J327" s="17">
        <v>4</v>
      </c>
      <c r="N327" s="17">
        <v>2</v>
      </c>
      <c r="P327" s="17">
        <v>2</v>
      </c>
      <c r="R327" s="27" t="s">
        <v>519</v>
      </c>
    </row>
    <row r="328" s="27" customFormat="1" spans="1:18">
      <c r="A328" s="17">
        <v>100031</v>
      </c>
      <c r="B328" s="17">
        <v>1001</v>
      </c>
      <c r="C328" s="17" t="s">
        <v>468</v>
      </c>
      <c r="D328" s="59" t="s">
        <v>535</v>
      </c>
      <c r="E328" s="17"/>
      <c r="F328" s="17">
        <v>33</v>
      </c>
      <c r="G328" s="17">
        <v>150</v>
      </c>
      <c r="H328" s="17"/>
      <c r="I328" s="17"/>
      <c r="J328" s="17">
        <v>4</v>
      </c>
      <c r="N328" s="17">
        <v>2</v>
      </c>
      <c r="P328" s="17">
        <v>2</v>
      </c>
      <c r="R328" s="27" t="s">
        <v>519</v>
      </c>
    </row>
    <row r="329" s="27" customFormat="1" spans="1:18">
      <c r="A329" s="17">
        <v>100032</v>
      </c>
      <c r="B329" s="17">
        <v>1001</v>
      </c>
      <c r="C329" s="17" t="s">
        <v>468</v>
      </c>
      <c r="D329" s="59" t="s">
        <v>536</v>
      </c>
      <c r="E329" s="17"/>
      <c r="F329" s="17">
        <v>33</v>
      </c>
      <c r="G329" s="17">
        <v>155</v>
      </c>
      <c r="H329" s="17"/>
      <c r="I329" s="17"/>
      <c r="J329" s="17">
        <v>4</v>
      </c>
      <c r="N329" s="17">
        <v>2</v>
      </c>
      <c r="P329" s="17">
        <v>2</v>
      </c>
      <c r="R329" s="27" t="s">
        <v>519</v>
      </c>
    </row>
    <row r="330" s="27" customFormat="1" spans="1:18">
      <c r="A330" s="17">
        <v>100033</v>
      </c>
      <c r="B330" s="17">
        <v>1001</v>
      </c>
      <c r="C330" s="17" t="s">
        <v>468</v>
      </c>
      <c r="D330" s="59" t="s">
        <v>537</v>
      </c>
      <c r="E330" s="17"/>
      <c r="F330" s="17">
        <v>33</v>
      </c>
      <c r="G330" s="17">
        <v>160</v>
      </c>
      <c r="H330" s="17"/>
      <c r="I330" s="17"/>
      <c r="J330" s="17">
        <v>4</v>
      </c>
      <c r="N330" s="17">
        <v>2</v>
      </c>
      <c r="P330" s="17">
        <v>2</v>
      </c>
      <c r="R330" s="27" t="s">
        <v>519</v>
      </c>
    </row>
    <row r="331" s="27" customFormat="1" spans="1:18">
      <c r="A331" s="17">
        <v>100034</v>
      </c>
      <c r="B331" s="17">
        <v>1001</v>
      </c>
      <c r="C331" s="17" t="s">
        <v>468</v>
      </c>
      <c r="D331" s="31" t="s">
        <v>538</v>
      </c>
      <c r="E331" s="17"/>
      <c r="F331" s="17">
        <v>33</v>
      </c>
      <c r="G331" s="17">
        <v>9</v>
      </c>
      <c r="H331" s="17"/>
      <c r="I331" s="17"/>
      <c r="J331" s="17">
        <v>4</v>
      </c>
      <c r="N331" s="17">
        <v>2</v>
      </c>
      <c r="P331" s="17">
        <v>2</v>
      </c>
      <c r="R331" s="27" t="s">
        <v>519</v>
      </c>
    </row>
    <row r="332" s="27" customFormat="1" spans="1:18">
      <c r="A332" s="17">
        <v>100035</v>
      </c>
      <c r="B332" s="17">
        <v>1001</v>
      </c>
      <c r="C332" s="17" t="s">
        <v>468</v>
      </c>
      <c r="D332" s="31" t="s">
        <v>539</v>
      </c>
      <c r="E332" s="17"/>
      <c r="F332" s="17">
        <v>33</v>
      </c>
      <c r="G332" s="17">
        <v>14</v>
      </c>
      <c r="H332" s="17"/>
      <c r="I332" s="17"/>
      <c r="J332" s="17">
        <v>4</v>
      </c>
      <c r="N332" s="17">
        <v>2</v>
      </c>
      <c r="P332" s="17">
        <v>2</v>
      </c>
      <c r="R332" s="27" t="s">
        <v>519</v>
      </c>
    </row>
    <row r="333" s="27" customFormat="1" spans="1:18">
      <c r="A333" s="17">
        <v>100036</v>
      </c>
      <c r="B333" s="17">
        <v>1001</v>
      </c>
      <c r="C333" s="17" t="s">
        <v>468</v>
      </c>
      <c r="D333" s="31" t="s">
        <v>540</v>
      </c>
      <c r="E333" s="17"/>
      <c r="F333" s="17">
        <v>33</v>
      </c>
      <c r="G333" s="17">
        <v>5</v>
      </c>
      <c r="H333" s="17"/>
      <c r="I333" s="17"/>
      <c r="J333" s="17">
        <v>4</v>
      </c>
      <c r="N333" s="17">
        <v>2</v>
      </c>
      <c r="P333" s="17">
        <v>2</v>
      </c>
      <c r="R333" s="27" t="s">
        <v>519</v>
      </c>
    </row>
    <row r="334" s="27" customFormat="1" spans="1:18">
      <c r="A334" s="17">
        <v>101001</v>
      </c>
      <c r="B334">
        <v>2100</v>
      </c>
      <c r="C334" s="17" t="s">
        <v>541</v>
      </c>
      <c r="D334" s="31" t="s">
        <v>542</v>
      </c>
      <c r="E334" s="17"/>
      <c r="F334" s="17">
        <v>151</v>
      </c>
      <c r="G334" s="17">
        <v>1</v>
      </c>
      <c r="H334" s="17"/>
      <c r="I334" s="17"/>
      <c r="J334" s="17">
        <v>0</v>
      </c>
      <c r="N334" s="17">
        <v>2</v>
      </c>
      <c r="P334" s="17">
        <v>2</v>
      </c>
      <c r="R334" s="27" t="s">
        <v>220</v>
      </c>
    </row>
    <row r="335" s="27" customFormat="1" spans="1:18">
      <c r="A335" s="17">
        <v>101002</v>
      </c>
      <c r="B335">
        <v>2100</v>
      </c>
      <c r="C335" s="17" t="s">
        <v>541</v>
      </c>
      <c r="D335" s="31" t="s">
        <v>543</v>
      </c>
      <c r="E335" s="17"/>
      <c r="F335" s="17">
        <v>151</v>
      </c>
      <c r="G335" s="17">
        <v>2</v>
      </c>
      <c r="H335" s="17"/>
      <c r="I335" s="17"/>
      <c r="J335" s="17">
        <v>0</v>
      </c>
      <c r="N335" s="17">
        <v>2</v>
      </c>
      <c r="P335" s="17">
        <v>2</v>
      </c>
      <c r="R335" s="27" t="s">
        <v>220</v>
      </c>
    </row>
    <row r="336" s="27" customFormat="1" spans="1:18">
      <c r="A336" s="17">
        <v>101003</v>
      </c>
      <c r="B336">
        <v>2100</v>
      </c>
      <c r="C336" s="17" t="s">
        <v>541</v>
      </c>
      <c r="D336" s="31" t="s">
        <v>544</v>
      </c>
      <c r="E336" s="17"/>
      <c r="F336" s="17">
        <v>151</v>
      </c>
      <c r="G336" s="17">
        <v>3</v>
      </c>
      <c r="H336" s="17"/>
      <c r="I336" s="17"/>
      <c r="J336" s="17">
        <v>0</v>
      </c>
      <c r="N336" s="17">
        <v>2</v>
      </c>
      <c r="P336" s="17">
        <v>2</v>
      </c>
      <c r="R336" s="27" t="s">
        <v>220</v>
      </c>
    </row>
    <row r="337" s="27" customFormat="1" spans="1:18">
      <c r="A337" s="17">
        <v>101004</v>
      </c>
      <c r="B337">
        <v>2100</v>
      </c>
      <c r="C337" s="17" t="s">
        <v>541</v>
      </c>
      <c r="D337" s="31" t="s">
        <v>545</v>
      </c>
      <c r="E337" s="17"/>
      <c r="F337" s="17">
        <v>151</v>
      </c>
      <c r="G337" s="17">
        <v>4</v>
      </c>
      <c r="H337" s="17"/>
      <c r="I337" s="17"/>
      <c r="J337" s="17">
        <v>0</v>
      </c>
      <c r="N337" s="17">
        <v>2</v>
      </c>
      <c r="P337" s="17">
        <v>2</v>
      </c>
      <c r="R337" s="27" t="s">
        <v>220</v>
      </c>
    </row>
    <row r="338" s="27" customFormat="1" spans="1:18">
      <c r="A338" s="17">
        <v>101005</v>
      </c>
      <c r="B338">
        <v>2100</v>
      </c>
      <c r="C338" s="17" t="s">
        <v>541</v>
      </c>
      <c r="D338" s="31" t="s">
        <v>546</v>
      </c>
      <c r="E338" s="17"/>
      <c r="F338" s="17">
        <v>151</v>
      </c>
      <c r="G338" s="17">
        <v>5</v>
      </c>
      <c r="H338" s="17"/>
      <c r="I338" s="17"/>
      <c r="J338" s="17">
        <v>0</v>
      </c>
      <c r="N338" s="17">
        <v>2</v>
      </c>
      <c r="P338" s="17">
        <v>2</v>
      </c>
      <c r="R338" s="27" t="s">
        <v>220</v>
      </c>
    </row>
    <row r="339" s="27" customFormat="1" spans="1:18">
      <c r="A339" s="17">
        <v>101006</v>
      </c>
      <c r="B339">
        <v>2100</v>
      </c>
      <c r="C339" s="17" t="s">
        <v>541</v>
      </c>
      <c r="D339" s="31" t="s">
        <v>547</v>
      </c>
      <c r="E339" s="17"/>
      <c r="F339" s="17">
        <v>151</v>
      </c>
      <c r="G339" s="17">
        <v>6</v>
      </c>
      <c r="H339" s="17"/>
      <c r="I339" s="17"/>
      <c r="J339" s="17">
        <v>0</v>
      </c>
      <c r="N339" s="17">
        <v>2</v>
      </c>
      <c r="P339" s="17">
        <v>2</v>
      </c>
      <c r="R339" s="27" t="s">
        <v>220</v>
      </c>
    </row>
    <row r="340" s="27" customFormat="1" spans="1:18">
      <c r="A340" s="17">
        <v>101007</v>
      </c>
      <c r="B340">
        <v>2100</v>
      </c>
      <c r="C340" s="17" t="s">
        <v>541</v>
      </c>
      <c r="D340" s="31" t="s">
        <v>548</v>
      </c>
      <c r="E340" s="17"/>
      <c r="F340" s="17">
        <v>151</v>
      </c>
      <c r="G340" s="17">
        <v>7</v>
      </c>
      <c r="H340" s="17"/>
      <c r="I340" s="17"/>
      <c r="J340" s="17">
        <v>0</v>
      </c>
      <c r="N340" s="17">
        <v>2</v>
      </c>
      <c r="P340" s="17">
        <v>2</v>
      </c>
      <c r="R340" s="27" t="s">
        <v>220</v>
      </c>
    </row>
    <row r="341" s="27" customFormat="1" spans="1:18">
      <c r="A341" s="17">
        <v>101008</v>
      </c>
      <c r="B341">
        <v>2100</v>
      </c>
      <c r="C341" s="17" t="s">
        <v>541</v>
      </c>
      <c r="D341" s="31" t="s">
        <v>549</v>
      </c>
      <c r="E341" s="17"/>
      <c r="F341" s="17">
        <v>151</v>
      </c>
      <c r="G341" s="17">
        <v>8</v>
      </c>
      <c r="H341" s="17"/>
      <c r="I341" s="17"/>
      <c r="J341" s="17">
        <v>0</v>
      </c>
      <c r="N341" s="17">
        <v>2</v>
      </c>
      <c r="P341" s="17">
        <v>2</v>
      </c>
      <c r="R341" s="27" t="s">
        <v>220</v>
      </c>
    </row>
    <row r="342" s="27" customFormat="1" spans="1:18">
      <c r="A342" s="17">
        <v>101009</v>
      </c>
      <c r="B342">
        <v>2100</v>
      </c>
      <c r="C342" s="17" t="s">
        <v>541</v>
      </c>
      <c r="D342" s="31" t="s">
        <v>550</v>
      </c>
      <c r="E342" s="17"/>
      <c r="F342" s="17">
        <v>151</v>
      </c>
      <c r="G342" s="17">
        <v>9</v>
      </c>
      <c r="H342" s="17"/>
      <c r="I342" s="17"/>
      <c r="J342" s="17">
        <v>0</v>
      </c>
      <c r="N342" s="17">
        <v>2</v>
      </c>
      <c r="P342" s="17">
        <v>2</v>
      </c>
      <c r="R342" s="27" t="s">
        <v>220</v>
      </c>
    </row>
    <row r="343" s="27" customFormat="1" spans="1:18">
      <c r="A343" s="17">
        <v>101010</v>
      </c>
      <c r="B343">
        <v>2100</v>
      </c>
      <c r="C343" s="17" t="s">
        <v>541</v>
      </c>
      <c r="D343" s="31" t="s">
        <v>551</v>
      </c>
      <c r="E343" s="17"/>
      <c r="F343" s="17">
        <v>151</v>
      </c>
      <c r="G343" s="17">
        <v>10</v>
      </c>
      <c r="H343" s="17"/>
      <c r="I343" s="17"/>
      <c r="J343" s="17">
        <v>0</v>
      </c>
      <c r="N343" s="17">
        <v>2</v>
      </c>
      <c r="P343" s="17">
        <v>2</v>
      </c>
      <c r="R343" s="27" t="s">
        <v>220</v>
      </c>
    </row>
    <row r="344" spans="1:18">
      <c r="A344" s="4">
        <v>110001</v>
      </c>
      <c r="B344" s="4">
        <v>402</v>
      </c>
      <c r="C344" s="4" t="s">
        <v>208</v>
      </c>
      <c r="D344" s="30" t="s">
        <v>472</v>
      </c>
      <c r="F344" s="4">
        <v>2</v>
      </c>
      <c r="G344" s="4">
        <v>1</v>
      </c>
      <c r="I344" s="4">
        <v>2</v>
      </c>
      <c r="J344" s="4">
        <v>4</v>
      </c>
      <c r="N344" s="4">
        <v>2</v>
      </c>
      <c r="P344" s="4">
        <v>2</v>
      </c>
      <c r="R344" t="s">
        <v>220</v>
      </c>
    </row>
    <row r="345" spans="1:18">
      <c r="A345" s="4">
        <v>120001</v>
      </c>
      <c r="B345" s="4">
        <v>801</v>
      </c>
      <c r="C345" s="4" t="s">
        <v>552</v>
      </c>
      <c r="D345" s="30" t="s">
        <v>553</v>
      </c>
      <c r="F345" s="4">
        <v>48</v>
      </c>
      <c r="G345" s="4">
        <v>1</v>
      </c>
      <c r="I345" s="4">
        <v>1</v>
      </c>
      <c r="J345" s="4">
        <v>0</v>
      </c>
      <c r="N345" s="4">
        <v>2</v>
      </c>
      <c r="P345" s="4">
        <v>2</v>
      </c>
      <c r="R345" t="s">
        <v>220</v>
      </c>
    </row>
    <row r="346" spans="1:18">
      <c r="A346" s="4">
        <v>120002</v>
      </c>
      <c r="B346" s="4">
        <v>801</v>
      </c>
      <c r="C346" s="4" t="s">
        <v>554</v>
      </c>
      <c r="D346" s="30" t="s">
        <v>555</v>
      </c>
      <c r="F346" s="4">
        <v>48</v>
      </c>
      <c r="G346" s="4">
        <v>1</v>
      </c>
      <c r="I346" s="4">
        <v>2</v>
      </c>
      <c r="J346" s="4">
        <v>0</v>
      </c>
      <c r="N346" s="4">
        <v>2</v>
      </c>
      <c r="P346" s="4">
        <v>2</v>
      </c>
      <c r="R346" t="s">
        <v>220</v>
      </c>
    </row>
    <row r="347" spans="1:18">
      <c r="A347" s="4">
        <v>120003</v>
      </c>
      <c r="B347" s="4">
        <v>801</v>
      </c>
      <c r="C347" s="4" t="s">
        <v>556</v>
      </c>
      <c r="D347" s="30" t="s">
        <v>557</v>
      </c>
      <c r="F347" s="4">
        <v>48</v>
      </c>
      <c r="G347" s="4">
        <v>1</v>
      </c>
      <c r="I347" s="4">
        <v>3</v>
      </c>
      <c r="J347" s="4">
        <v>0</v>
      </c>
      <c r="N347" s="4">
        <v>2</v>
      </c>
      <c r="P347" s="4">
        <v>2</v>
      </c>
      <c r="R347" t="s">
        <v>220</v>
      </c>
    </row>
    <row r="348" spans="1:18">
      <c r="A348" s="4">
        <v>120004</v>
      </c>
      <c r="B348" s="4">
        <v>801</v>
      </c>
      <c r="C348" s="4" t="s">
        <v>558</v>
      </c>
      <c r="D348" s="30" t="s">
        <v>559</v>
      </c>
      <c r="F348" s="4">
        <v>48</v>
      </c>
      <c r="G348" s="4">
        <v>1</v>
      </c>
      <c r="I348" s="4">
        <v>4</v>
      </c>
      <c r="J348" s="4">
        <v>0</v>
      </c>
      <c r="N348" s="4">
        <v>2</v>
      </c>
      <c r="P348" s="4">
        <v>2</v>
      </c>
      <c r="R348" t="s">
        <v>220</v>
      </c>
    </row>
    <row r="349" spans="1:18">
      <c r="A349" s="4">
        <v>120005</v>
      </c>
      <c r="B349" s="4">
        <v>801</v>
      </c>
      <c r="C349" s="4" t="s">
        <v>560</v>
      </c>
      <c r="D349" s="30" t="s">
        <v>561</v>
      </c>
      <c r="F349" s="4">
        <v>48</v>
      </c>
      <c r="G349" s="4">
        <v>1</v>
      </c>
      <c r="I349" s="4">
        <v>5</v>
      </c>
      <c r="J349" s="4">
        <v>0</v>
      </c>
      <c r="N349" s="4">
        <v>2</v>
      </c>
      <c r="P349" s="4">
        <v>2</v>
      </c>
      <c r="R349" t="s">
        <v>220</v>
      </c>
    </row>
    <row r="350" spans="1:18">
      <c r="A350" s="4">
        <v>130000</v>
      </c>
      <c r="B350" s="4">
        <v>430</v>
      </c>
      <c r="C350" s="4" t="s">
        <v>470</v>
      </c>
      <c r="D350" s="30" t="s">
        <v>562</v>
      </c>
      <c r="F350" s="4">
        <v>44</v>
      </c>
      <c r="G350" s="4">
        <v>1</v>
      </c>
      <c r="I350" s="4">
        <v>10</v>
      </c>
      <c r="J350" s="4">
        <v>0</v>
      </c>
      <c r="N350" s="4">
        <v>2</v>
      </c>
      <c r="P350" s="4">
        <v>2</v>
      </c>
      <c r="R350" t="s">
        <v>220</v>
      </c>
    </row>
    <row r="351" spans="1:18">
      <c r="A351" s="4">
        <v>130001</v>
      </c>
      <c r="B351" s="4">
        <v>430</v>
      </c>
      <c r="C351" s="4" t="s">
        <v>470</v>
      </c>
      <c r="D351" s="30" t="s">
        <v>471</v>
      </c>
      <c r="F351" s="4">
        <v>44</v>
      </c>
      <c r="G351" s="4">
        <v>1</v>
      </c>
      <c r="I351" s="4">
        <v>30</v>
      </c>
      <c r="J351" s="4">
        <v>0</v>
      </c>
      <c r="N351" s="4">
        <v>2</v>
      </c>
      <c r="P351" s="4">
        <v>2</v>
      </c>
      <c r="R351" t="s">
        <v>220</v>
      </c>
    </row>
    <row r="352" spans="1:18">
      <c r="A352" s="4">
        <v>130002</v>
      </c>
      <c r="B352" s="4">
        <v>430</v>
      </c>
      <c r="C352" s="4" t="s">
        <v>470</v>
      </c>
      <c r="D352" s="30" t="s">
        <v>563</v>
      </c>
      <c r="F352" s="4">
        <v>44</v>
      </c>
      <c r="G352" s="4">
        <v>2</v>
      </c>
      <c r="I352" s="4">
        <v>30</v>
      </c>
      <c r="J352" s="4">
        <v>4</v>
      </c>
      <c r="N352" s="4">
        <v>2</v>
      </c>
      <c r="P352" s="4">
        <v>2</v>
      </c>
      <c r="R352" t="s">
        <v>220</v>
      </c>
    </row>
    <row r="353" spans="1:18">
      <c r="A353" s="4">
        <v>130003</v>
      </c>
      <c r="B353" s="4">
        <v>430</v>
      </c>
      <c r="C353" s="4" t="s">
        <v>470</v>
      </c>
      <c r="D353" s="30" t="s">
        <v>564</v>
      </c>
      <c r="F353" s="4">
        <v>44</v>
      </c>
      <c r="G353" s="4">
        <v>1</v>
      </c>
      <c r="I353" s="4">
        <v>40</v>
      </c>
      <c r="J353" s="4">
        <v>4</v>
      </c>
      <c r="N353" s="4">
        <v>2</v>
      </c>
      <c r="P353" s="4">
        <v>2</v>
      </c>
      <c r="R353" t="s">
        <v>220</v>
      </c>
    </row>
    <row r="354" spans="1:18">
      <c r="A354" s="4">
        <v>130004</v>
      </c>
      <c r="B354" s="4">
        <v>430</v>
      </c>
      <c r="C354" s="4" t="s">
        <v>470</v>
      </c>
      <c r="D354" s="30" t="s">
        <v>565</v>
      </c>
      <c r="F354" s="4">
        <v>44</v>
      </c>
      <c r="G354" s="4">
        <v>2</v>
      </c>
      <c r="I354" s="4">
        <v>40</v>
      </c>
      <c r="J354" s="4">
        <v>4</v>
      </c>
      <c r="N354" s="4">
        <v>2</v>
      </c>
      <c r="P354" s="4">
        <v>2</v>
      </c>
      <c r="R354" t="s">
        <v>220</v>
      </c>
    </row>
    <row r="355" spans="1:18">
      <c r="A355" s="4">
        <v>130005</v>
      </c>
      <c r="B355" s="4">
        <v>430</v>
      </c>
      <c r="C355" s="4" t="s">
        <v>470</v>
      </c>
      <c r="D355" s="30" t="s">
        <v>566</v>
      </c>
      <c r="F355" s="4">
        <v>44</v>
      </c>
      <c r="G355" s="4">
        <v>1</v>
      </c>
      <c r="I355" s="4">
        <v>50</v>
      </c>
      <c r="J355" s="4">
        <v>4</v>
      </c>
      <c r="N355" s="4">
        <v>2</v>
      </c>
      <c r="P355" s="4">
        <v>2</v>
      </c>
      <c r="R355" t="s">
        <v>220</v>
      </c>
    </row>
    <row r="356" spans="1:18">
      <c r="A356" s="4">
        <v>130006</v>
      </c>
      <c r="B356" s="4">
        <v>430</v>
      </c>
      <c r="C356" s="4" t="s">
        <v>470</v>
      </c>
      <c r="D356" s="30" t="s">
        <v>567</v>
      </c>
      <c r="F356" s="4">
        <v>44</v>
      </c>
      <c r="G356" s="4">
        <v>2</v>
      </c>
      <c r="I356" s="4">
        <v>50</v>
      </c>
      <c r="J356" s="4">
        <v>4</v>
      </c>
      <c r="N356" s="4">
        <v>2</v>
      </c>
      <c r="P356" s="4">
        <v>2</v>
      </c>
      <c r="R356" t="s">
        <v>220</v>
      </c>
    </row>
    <row r="357" spans="1:18">
      <c r="A357" s="4">
        <v>130007</v>
      </c>
      <c r="B357" s="4">
        <v>430</v>
      </c>
      <c r="C357" s="4" t="s">
        <v>470</v>
      </c>
      <c r="D357" s="30" t="s">
        <v>568</v>
      </c>
      <c r="F357" s="4">
        <v>44</v>
      </c>
      <c r="G357" s="4">
        <v>2</v>
      </c>
      <c r="I357" s="4">
        <v>60</v>
      </c>
      <c r="J357" s="4">
        <v>4</v>
      </c>
      <c r="N357" s="4">
        <v>2</v>
      </c>
      <c r="P357" s="4">
        <v>2</v>
      </c>
      <c r="R357" t="s">
        <v>220</v>
      </c>
    </row>
    <row r="358" spans="1:18">
      <c r="A358" s="4">
        <v>130008</v>
      </c>
      <c r="B358" s="4">
        <v>430</v>
      </c>
      <c r="C358" s="4" t="s">
        <v>470</v>
      </c>
      <c r="D358" s="30" t="s">
        <v>569</v>
      </c>
      <c r="F358" s="4">
        <v>44</v>
      </c>
      <c r="G358" s="4">
        <v>2</v>
      </c>
      <c r="I358" s="4">
        <v>60</v>
      </c>
      <c r="J358" s="4">
        <v>4</v>
      </c>
      <c r="N358" s="4">
        <v>2</v>
      </c>
      <c r="P358" s="4">
        <v>2</v>
      </c>
      <c r="R358" t="s">
        <v>220</v>
      </c>
    </row>
    <row r="359" ht="13.5" customHeight="1" spans="1:18">
      <c r="A359" s="4">
        <v>130009</v>
      </c>
      <c r="B359" s="4">
        <v>430</v>
      </c>
      <c r="C359" s="4" t="s">
        <v>470</v>
      </c>
      <c r="D359" s="30" t="s">
        <v>564</v>
      </c>
      <c r="F359" s="4">
        <v>44</v>
      </c>
      <c r="G359" s="4">
        <v>1</v>
      </c>
      <c r="I359" s="4">
        <v>40</v>
      </c>
      <c r="J359" s="4">
        <v>4</v>
      </c>
      <c r="N359" s="4">
        <v>2</v>
      </c>
      <c r="P359" s="4">
        <v>2</v>
      </c>
      <c r="R359" t="s">
        <v>351</v>
      </c>
    </row>
    <row r="360" spans="1:18">
      <c r="A360" s="4">
        <v>140001</v>
      </c>
      <c r="B360" s="4">
        <v>602</v>
      </c>
      <c r="C360" s="4" t="s">
        <v>570</v>
      </c>
      <c r="D360" s="30" t="s">
        <v>571</v>
      </c>
      <c r="F360" s="4">
        <v>44</v>
      </c>
      <c r="G360" s="4">
        <v>1</v>
      </c>
      <c r="J360" s="4">
        <v>0</v>
      </c>
      <c r="N360" s="4">
        <v>0</v>
      </c>
      <c r="P360" s="4">
        <v>2</v>
      </c>
      <c r="R360" t="s">
        <v>220</v>
      </c>
    </row>
    <row r="361" spans="1:18">
      <c r="A361" s="4">
        <v>140002</v>
      </c>
      <c r="B361" s="4">
        <v>602</v>
      </c>
      <c r="C361" s="4" t="s">
        <v>570</v>
      </c>
      <c r="D361" s="30" t="s">
        <v>571</v>
      </c>
      <c r="F361" s="4">
        <v>44</v>
      </c>
      <c r="G361" s="4">
        <v>1</v>
      </c>
      <c r="J361" s="4">
        <v>4</v>
      </c>
      <c r="N361" s="4">
        <v>0</v>
      </c>
      <c r="P361" s="4">
        <v>2</v>
      </c>
      <c r="R361" t="s">
        <v>220</v>
      </c>
    </row>
    <row r="362" spans="1:18">
      <c r="A362" s="4">
        <v>150001</v>
      </c>
      <c r="B362" s="4">
        <v>201</v>
      </c>
      <c r="C362" s="4" t="s">
        <v>145</v>
      </c>
      <c r="D362" s="30" t="s">
        <v>160</v>
      </c>
      <c r="F362" s="4">
        <v>33</v>
      </c>
      <c r="G362" s="4">
        <v>5</v>
      </c>
      <c r="J362" s="4">
        <v>4</v>
      </c>
      <c r="N362" s="4">
        <v>2</v>
      </c>
      <c r="P362" s="4">
        <v>2</v>
      </c>
      <c r="R362" t="s">
        <v>220</v>
      </c>
    </row>
    <row r="363" spans="1:18">
      <c r="A363" s="4">
        <v>150002</v>
      </c>
      <c r="B363" s="4">
        <v>201</v>
      </c>
      <c r="C363" s="4" t="s">
        <v>145</v>
      </c>
      <c r="D363" s="30" t="s">
        <v>161</v>
      </c>
      <c r="F363" s="4">
        <v>33</v>
      </c>
      <c r="G363" s="4">
        <v>10</v>
      </c>
      <c r="J363" s="4">
        <v>4</v>
      </c>
      <c r="N363" s="4">
        <v>2</v>
      </c>
      <c r="P363" s="4">
        <v>2</v>
      </c>
      <c r="R363" t="s">
        <v>220</v>
      </c>
    </row>
    <row r="364" spans="1:18">
      <c r="A364" s="4">
        <v>150003</v>
      </c>
      <c r="B364" s="4">
        <v>201</v>
      </c>
      <c r="C364" s="4" t="s">
        <v>145</v>
      </c>
      <c r="D364" s="30" t="s">
        <v>162</v>
      </c>
      <c r="F364" s="4">
        <v>33</v>
      </c>
      <c r="G364" s="4">
        <v>15</v>
      </c>
      <c r="J364" s="4">
        <v>4</v>
      </c>
      <c r="N364" s="4">
        <v>2</v>
      </c>
      <c r="P364" s="4">
        <v>2</v>
      </c>
      <c r="R364" t="s">
        <v>220</v>
      </c>
    </row>
    <row r="365" spans="1:18">
      <c r="A365" s="4">
        <v>150004</v>
      </c>
      <c r="B365" s="4">
        <v>201</v>
      </c>
      <c r="C365" s="4" t="s">
        <v>145</v>
      </c>
      <c r="D365" s="30" t="s">
        <v>163</v>
      </c>
      <c r="F365" s="4">
        <v>33</v>
      </c>
      <c r="G365" s="4">
        <v>20</v>
      </c>
      <c r="J365" s="4">
        <v>4</v>
      </c>
      <c r="N365" s="4">
        <v>2</v>
      </c>
      <c r="P365" s="4">
        <v>2</v>
      </c>
      <c r="R365" t="s">
        <v>220</v>
      </c>
    </row>
    <row r="366" spans="1:18">
      <c r="A366" s="4">
        <v>150005</v>
      </c>
      <c r="B366" s="4">
        <v>201</v>
      </c>
      <c r="C366" s="4" t="s">
        <v>145</v>
      </c>
      <c r="D366" s="30" t="s">
        <v>486</v>
      </c>
      <c r="F366" s="4">
        <v>33</v>
      </c>
      <c r="G366" s="4">
        <v>25</v>
      </c>
      <c r="J366" s="4">
        <v>4</v>
      </c>
      <c r="N366" s="4">
        <v>2</v>
      </c>
      <c r="P366" s="4">
        <v>2</v>
      </c>
      <c r="R366" t="s">
        <v>220</v>
      </c>
    </row>
    <row r="367" spans="1:18">
      <c r="A367" s="4">
        <v>160001</v>
      </c>
      <c r="B367" s="4">
        <v>403</v>
      </c>
      <c r="C367" s="4" t="s">
        <v>488</v>
      </c>
      <c r="D367" s="30" t="s">
        <v>572</v>
      </c>
      <c r="F367" s="4">
        <v>51</v>
      </c>
      <c r="G367" s="4">
        <v>1</v>
      </c>
      <c r="I367" s="4">
        <v>3</v>
      </c>
      <c r="J367" s="4">
        <v>4</v>
      </c>
      <c r="N367" s="4">
        <v>0</v>
      </c>
      <c r="P367" s="4">
        <v>2</v>
      </c>
      <c r="R367" t="s">
        <v>220</v>
      </c>
    </row>
    <row r="368" spans="1:18">
      <c r="A368" s="4">
        <v>160002</v>
      </c>
      <c r="B368" s="4">
        <v>403</v>
      </c>
      <c r="C368" s="4" t="s">
        <v>488</v>
      </c>
      <c r="D368" s="30" t="s">
        <v>573</v>
      </c>
      <c r="F368" s="4">
        <v>51</v>
      </c>
      <c r="G368" s="4">
        <v>1</v>
      </c>
      <c r="I368" s="4">
        <v>4</v>
      </c>
      <c r="J368" s="4">
        <v>4</v>
      </c>
      <c r="N368" s="4">
        <v>0</v>
      </c>
      <c r="P368" s="4">
        <v>2</v>
      </c>
      <c r="R368" t="s">
        <v>220</v>
      </c>
    </row>
    <row r="369" spans="1:18">
      <c r="A369" s="4">
        <v>160003</v>
      </c>
      <c r="B369" s="4">
        <v>403</v>
      </c>
      <c r="C369" s="4" t="s">
        <v>574</v>
      </c>
      <c r="D369" s="30" t="s">
        <v>575</v>
      </c>
      <c r="F369" s="4">
        <v>51</v>
      </c>
      <c r="G369" s="4">
        <v>1</v>
      </c>
      <c r="I369" s="4">
        <v>5</v>
      </c>
      <c r="J369" s="4">
        <v>0</v>
      </c>
      <c r="N369" s="4">
        <v>0</v>
      </c>
      <c r="P369" s="4">
        <v>2</v>
      </c>
      <c r="R369" t="s">
        <v>220</v>
      </c>
    </row>
    <row r="370" spans="1:18">
      <c r="A370" s="4">
        <v>170001</v>
      </c>
      <c r="B370" s="4">
        <v>1003</v>
      </c>
      <c r="C370" s="4" t="s">
        <v>475</v>
      </c>
      <c r="D370" s="30" t="s">
        <v>476</v>
      </c>
      <c r="F370" s="4">
        <v>4</v>
      </c>
      <c r="G370" s="4">
        <v>1</v>
      </c>
      <c r="J370" s="4">
        <v>0</v>
      </c>
      <c r="N370" s="4">
        <v>0</v>
      </c>
      <c r="P370" s="4">
        <v>2</v>
      </c>
      <c r="R370" t="s">
        <v>220</v>
      </c>
    </row>
    <row r="371" spans="1:18">
      <c r="A371" s="4">
        <v>170002</v>
      </c>
      <c r="B371" s="4">
        <v>1003</v>
      </c>
      <c r="C371" s="4" t="s">
        <v>475</v>
      </c>
      <c r="D371" s="30" t="s">
        <v>476</v>
      </c>
      <c r="F371" s="4">
        <v>4</v>
      </c>
      <c r="G371" s="4">
        <v>1</v>
      </c>
      <c r="J371" s="4">
        <v>4</v>
      </c>
      <c r="N371" s="4">
        <v>0</v>
      </c>
      <c r="P371" s="4">
        <v>2</v>
      </c>
      <c r="R371" t="s">
        <v>220</v>
      </c>
    </row>
    <row r="372" spans="1:18">
      <c r="A372" s="4">
        <v>180001</v>
      </c>
      <c r="B372" s="4">
        <v>410</v>
      </c>
      <c r="C372" s="4" t="s">
        <v>576</v>
      </c>
      <c r="D372" s="30" t="s">
        <v>189</v>
      </c>
      <c r="F372" s="4">
        <v>56</v>
      </c>
      <c r="G372" s="4">
        <v>1</v>
      </c>
      <c r="I372" s="4">
        <v>4</v>
      </c>
      <c r="J372" s="4">
        <v>4</v>
      </c>
      <c r="N372" s="17">
        <v>2</v>
      </c>
      <c r="P372" s="4">
        <v>2</v>
      </c>
      <c r="R372" t="s">
        <v>220</v>
      </c>
    </row>
    <row r="373" spans="1:18">
      <c r="A373" s="4">
        <v>180002</v>
      </c>
      <c r="B373" s="4">
        <v>410</v>
      </c>
      <c r="C373" s="4" t="s">
        <v>576</v>
      </c>
      <c r="D373" s="30" t="s">
        <v>577</v>
      </c>
      <c r="F373" s="4">
        <v>56</v>
      </c>
      <c r="G373" s="4">
        <v>2</v>
      </c>
      <c r="I373" s="4">
        <v>4</v>
      </c>
      <c r="J373" s="4">
        <v>4</v>
      </c>
      <c r="N373" s="17">
        <v>2</v>
      </c>
      <c r="P373" s="4">
        <v>2</v>
      </c>
      <c r="R373" t="s">
        <v>220</v>
      </c>
    </row>
    <row r="374" spans="1:18">
      <c r="A374" s="4">
        <v>180003</v>
      </c>
      <c r="B374" s="4">
        <v>410</v>
      </c>
      <c r="C374" s="4" t="s">
        <v>576</v>
      </c>
      <c r="D374" s="30" t="s">
        <v>195</v>
      </c>
      <c r="F374" s="4">
        <v>56</v>
      </c>
      <c r="G374" s="4">
        <v>1</v>
      </c>
      <c r="I374" s="4">
        <v>5</v>
      </c>
      <c r="J374" s="4">
        <v>4</v>
      </c>
      <c r="N374" s="17">
        <v>2</v>
      </c>
      <c r="P374" s="4">
        <v>2</v>
      </c>
      <c r="R374" t="s">
        <v>220</v>
      </c>
    </row>
    <row r="375" spans="1:18">
      <c r="A375" s="4">
        <v>180004</v>
      </c>
      <c r="B375" s="4">
        <v>410</v>
      </c>
      <c r="C375" s="4" t="s">
        <v>576</v>
      </c>
      <c r="D375" s="30" t="s">
        <v>578</v>
      </c>
      <c r="F375" s="4">
        <v>56</v>
      </c>
      <c r="G375" s="4">
        <v>2</v>
      </c>
      <c r="I375" s="4">
        <v>5</v>
      </c>
      <c r="J375" s="4">
        <v>4</v>
      </c>
      <c r="N375" s="17">
        <v>2</v>
      </c>
      <c r="P375" s="4">
        <v>2</v>
      </c>
      <c r="R375" t="s">
        <v>220</v>
      </c>
    </row>
    <row r="376" spans="1:18">
      <c r="A376" s="4">
        <v>180005</v>
      </c>
      <c r="B376" s="4">
        <v>410</v>
      </c>
      <c r="C376" s="4" t="s">
        <v>576</v>
      </c>
      <c r="D376" s="30" t="s">
        <v>579</v>
      </c>
      <c r="F376" s="4">
        <v>44</v>
      </c>
      <c r="G376" s="4">
        <v>1</v>
      </c>
      <c r="I376" s="4">
        <v>6</v>
      </c>
      <c r="J376" s="4">
        <v>0</v>
      </c>
      <c r="N376" s="17">
        <v>2</v>
      </c>
      <c r="P376" s="4">
        <v>2</v>
      </c>
      <c r="R376" t="s">
        <v>220</v>
      </c>
    </row>
    <row r="377" spans="1:18">
      <c r="A377" s="4">
        <v>190001</v>
      </c>
      <c r="B377" s="4">
        <v>1102</v>
      </c>
      <c r="C377" s="4" t="s">
        <v>580</v>
      </c>
      <c r="D377" s="30" t="s">
        <v>581</v>
      </c>
      <c r="F377" s="4">
        <v>35</v>
      </c>
      <c r="G377" s="4">
        <v>1</v>
      </c>
      <c r="I377" s="4">
        <v>1</v>
      </c>
      <c r="J377" s="4">
        <v>0</v>
      </c>
      <c r="N377" s="4">
        <v>0</v>
      </c>
      <c r="P377" s="4">
        <v>2</v>
      </c>
      <c r="R377" t="s">
        <v>220</v>
      </c>
    </row>
    <row r="378" spans="1:18">
      <c r="A378" s="4">
        <v>200001</v>
      </c>
      <c r="B378" s="4">
        <v>1102</v>
      </c>
      <c r="C378" s="4" t="s">
        <v>582</v>
      </c>
      <c r="D378" s="30" t="s">
        <v>583</v>
      </c>
      <c r="F378" s="4">
        <v>36</v>
      </c>
      <c r="G378" s="4">
        <v>1</v>
      </c>
      <c r="I378" s="4">
        <v>2</v>
      </c>
      <c r="J378" s="4">
        <v>0</v>
      </c>
      <c r="N378" s="4">
        <v>0</v>
      </c>
      <c r="P378" s="4">
        <v>2</v>
      </c>
      <c r="R378" t="s">
        <v>220</v>
      </c>
    </row>
    <row r="379" spans="1:18">
      <c r="A379" s="4">
        <v>210001</v>
      </c>
      <c r="B379" s="4">
        <v>1402</v>
      </c>
      <c r="C379" s="4" t="s">
        <v>123</v>
      </c>
      <c r="D379" s="30" t="s">
        <v>124</v>
      </c>
      <c r="F379" s="4">
        <v>3</v>
      </c>
      <c r="G379" s="4">
        <v>1</v>
      </c>
      <c r="J379" s="4">
        <v>0</v>
      </c>
      <c r="N379" s="4">
        <v>0</v>
      </c>
      <c r="P379" s="4">
        <v>2</v>
      </c>
      <c r="R379" t="s">
        <v>220</v>
      </c>
    </row>
    <row r="380" spans="1:18">
      <c r="A380" s="4">
        <v>210002</v>
      </c>
      <c r="B380" s="4">
        <v>1402</v>
      </c>
      <c r="C380" s="4" t="s">
        <v>123</v>
      </c>
      <c r="D380" s="30" t="s">
        <v>124</v>
      </c>
      <c r="F380" s="4">
        <v>3</v>
      </c>
      <c r="G380" s="4">
        <v>1</v>
      </c>
      <c r="J380" s="4">
        <v>0</v>
      </c>
      <c r="N380" s="4">
        <v>0</v>
      </c>
      <c r="P380" s="4">
        <v>2</v>
      </c>
      <c r="R380" t="s">
        <v>220</v>
      </c>
    </row>
    <row r="381" spans="1:18">
      <c r="A381" s="4">
        <v>220001</v>
      </c>
      <c r="B381" s="4">
        <v>1504</v>
      </c>
      <c r="C381" s="4" t="s">
        <v>131</v>
      </c>
      <c r="D381" s="30" t="s">
        <v>584</v>
      </c>
      <c r="F381" s="4">
        <v>6</v>
      </c>
      <c r="G381" s="4">
        <v>1</v>
      </c>
      <c r="J381" s="4">
        <v>0</v>
      </c>
      <c r="N381" s="4">
        <v>0</v>
      </c>
      <c r="P381" s="4">
        <v>2</v>
      </c>
      <c r="R381" t="s">
        <v>220</v>
      </c>
    </row>
    <row r="382" spans="1:18">
      <c r="A382" s="4">
        <v>230001</v>
      </c>
      <c r="B382" s="4">
        <v>1301</v>
      </c>
      <c r="C382" s="4" t="s">
        <v>134</v>
      </c>
      <c r="D382" s="30" t="s">
        <v>585</v>
      </c>
      <c r="F382" s="4">
        <v>7</v>
      </c>
      <c r="G382" s="4">
        <v>1</v>
      </c>
      <c r="J382" s="4">
        <v>0</v>
      </c>
      <c r="N382" s="4">
        <v>0</v>
      </c>
      <c r="P382" s="4">
        <v>2</v>
      </c>
      <c r="R382" t="s">
        <v>586</v>
      </c>
    </row>
    <row r="383" spans="1:18">
      <c r="A383" s="4">
        <v>240001</v>
      </c>
      <c r="B383" s="4">
        <v>603</v>
      </c>
      <c r="C383" s="4" t="s">
        <v>587</v>
      </c>
      <c r="D383" s="30" t="s">
        <v>588</v>
      </c>
      <c r="F383" s="4">
        <v>15</v>
      </c>
      <c r="G383" s="4">
        <v>1</v>
      </c>
      <c r="J383" s="4">
        <v>0</v>
      </c>
      <c r="N383" s="4">
        <v>0</v>
      </c>
      <c r="P383" s="4">
        <v>2</v>
      </c>
      <c r="R383" t="s">
        <v>220</v>
      </c>
    </row>
    <row r="384" spans="1:18">
      <c r="A384" s="4">
        <v>240002</v>
      </c>
      <c r="B384" s="4">
        <v>603</v>
      </c>
      <c r="C384" s="4" t="s">
        <v>587</v>
      </c>
      <c r="D384" s="30" t="s">
        <v>589</v>
      </c>
      <c r="F384" s="4">
        <v>15</v>
      </c>
      <c r="G384" s="4">
        <v>1</v>
      </c>
      <c r="J384" s="4">
        <v>4</v>
      </c>
      <c r="N384" s="4">
        <v>0</v>
      </c>
      <c r="P384" s="4">
        <v>2</v>
      </c>
      <c r="R384" t="s">
        <v>590</v>
      </c>
    </row>
    <row r="385" spans="1:18">
      <c r="A385" s="4">
        <v>250001</v>
      </c>
      <c r="B385" s="4">
        <v>981</v>
      </c>
      <c r="C385" s="4" t="s">
        <v>483</v>
      </c>
      <c r="D385" s="30" t="s">
        <v>484</v>
      </c>
      <c r="F385" s="4">
        <v>30</v>
      </c>
      <c r="G385" s="4">
        <v>1</v>
      </c>
      <c r="I385" s="4">
        <v>1</v>
      </c>
      <c r="J385" s="4">
        <v>4</v>
      </c>
      <c r="N385" s="4">
        <v>0</v>
      </c>
      <c r="P385" s="4">
        <v>2</v>
      </c>
      <c r="R385" t="s">
        <v>591</v>
      </c>
    </row>
    <row r="386" spans="1:18">
      <c r="A386" s="4">
        <v>260001</v>
      </c>
      <c r="B386" s="4">
        <v>3101</v>
      </c>
      <c r="C386" s="4" t="s">
        <v>137</v>
      </c>
      <c r="D386" s="30" t="s">
        <v>592</v>
      </c>
      <c r="F386" s="4">
        <v>9</v>
      </c>
      <c r="G386" s="4">
        <v>1</v>
      </c>
      <c r="J386" s="4">
        <v>0</v>
      </c>
      <c r="N386" s="4">
        <v>0</v>
      </c>
      <c r="P386" s="4">
        <v>2</v>
      </c>
      <c r="R386" t="s">
        <v>220</v>
      </c>
    </row>
    <row r="387" spans="1:18">
      <c r="A387" s="4">
        <v>270001</v>
      </c>
      <c r="B387" s="4">
        <v>405</v>
      </c>
      <c r="C387" s="4" t="s">
        <v>221</v>
      </c>
      <c r="D387" s="30" t="s">
        <v>593</v>
      </c>
      <c r="F387" s="4">
        <v>13</v>
      </c>
      <c r="G387" s="4">
        <v>1</v>
      </c>
      <c r="J387" s="4">
        <v>0</v>
      </c>
      <c r="N387" s="4">
        <v>0</v>
      </c>
      <c r="P387" s="4">
        <v>2</v>
      </c>
      <c r="R387" t="s">
        <v>220</v>
      </c>
    </row>
    <row r="388" spans="1:18">
      <c r="A388" s="4">
        <v>280001</v>
      </c>
      <c r="B388" s="4">
        <v>982</v>
      </c>
      <c r="C388" s="4" t="s">
        <v>478</v>
      </c>
      <c r="D388" s="30" t="s">
        <v>594</v>
      </c>
      <c r="F388" s="4">
        <v>40</v>
      </c>
      <c r="G388" s="4">
        <v>1</v>
      </c>
      <c r="J388" s="4">
        <v>4</v>
      </c>
      <c r="N388" s="4">
        <v>0</v>
      </c>
      <c r="P388" s="4">
        <v>2</v>
      </c>
      <c r="R388" t="s">
        <v>220</v>
      </c>
    </row>
    <row r="389" spans="1:18">
      <c r="A389" s="4">
        <v>280002</v>
      </c>
      <c r="B389" s="4">
        <v>982</v>
      </c>
      <c r="C389" s="4" t="s">
        <v>478</v>
      </c>
      <c r="D389" s="30" t="s">
        <v>479</v>
      </c>
      <c r="F389" s="4">
        <v>40</v>
      </c>
      <c r="G389" s="4">
        <v>3</v>
      </c>
      <c r="J389" s="4">
        <v>4</v>
      </c>
      <c r="N389" s="4">
        <v>0</v>
      </c>
      <c r="P389" s="4">
        <v>2</v>
      </c>
      <c r="R389" t="s">
        <v>220</v>
      </c>
    </row>
    <row r="390" spans="1:18">
      <c r="A390" s="4">
        <v>290001</v>
      </c>
      <c r="B390" s="4">
        <v>1005</v>
      </c>
      <c r="C390" s="4" t="s">
        <v>595</v>
      </c>
      <c r="D390" s="30" t="s">
        <v>596</v>
      </c>
      <c r="F390" s="4">
        <v>53</v>
      </c>
      <c r="G390" s="4">
        <v>1</v>
      </c>
      <c r="J390" s="4">
        <v>0</v>
      </c>
      <c r="N390" s="4">
        <v>2</v>
      </c>
      <c r="P390" s="4">
        <v>2</v>
      </c>
      <c r="R390" t="s">
        <v>597</v>
      </c>
    </row>
    <row r="391" spans="1:18">
      <c r="A391" s="4">
        <v>300001</v>
      </c>
      <c r="B391" s="4">
        <v>203</v>
      </c>
      <c r="C391" s="4" t="s">
        <v>598</v>
      </c>
      <c r="D391" s="30" t="s">
        <v>599</v>
      </c>
      <c r="F391" s="4">
        <v>54</v>
      </c>
      <c r="G391" s="4">
        <v>1</v>
      </c>
      <c r="J391" s="4">
        <v>0</v>
      </c>
      <c r="N391" s="4">
        <v>2</v>
      </c>
      <c r="P391" s="4">
        <v>2</v>
      </c>
      <c r="R391" t="s">
        <v>220</v>
      </c>
    </row>
    <row r="392" spans="1:18">
      <c r="A392" s="4">
        <v>400001</v>
      </c>
      <c r="B392" s="4">
        <v>1303</v>
      </c>
      <c r="C392" s="4" t="s">
        <v>600</v>
      </c>
      <c r="D392" s="30" t="s">
        <v>601</v>
      </c>
      <c r="F392" s="4">
        <v>7</v>
      </c>
      <c r="G392" s="4">
        <v>10</v>
      </c>
      <c r="J392" s="4">
        <v>4</v>
      </c>
      <c r="N392" s="4">
        <v>2</v>
      </c>
      <c r="P392" s="4">
        <v>2</v>
      </c>
      <c r="R392" s="5" t="s">
        <v>602</v>
      </c>
    </row>
    <row r="393" spans="1:18">
      <c r="A393" s="4">
        <v>400002</v>
      </c>
      <c r="B393" s="4">
        <v>1303</v>
      </c>
      <c r="C393" s="4" t="s">
        <v>600</v>
      </c>
      <c r="D393" s="30" t="s">
        <v>603</v>
      </c>
      <c r="F393" s="4">
        <v>7</v>
      </c>
      <c r="G393" s="4">
        <v>20</v>
      </c>
      <c r="J393" s="4">
        <v>4</v>
      </c>
      <c r="N393" s="4">
        <v>2</v>
      </c>
      <c r="P393" s="4">
        <v>2</v>
      </c>
      <c r="R393" s="5" t="s">
        <v>602</v>
      </c>
    </row>
    <row r="394" spans="1:18">
      <c r="A394" s="4">
        <v>400003</v>
      </c>
      <c r="B394" s="4">
        <v>1303</v>
      </c>
      <c r="C394" s="4" t="s">
        <v>600</v>
      </c>
      <c r="D394" s="30" t="s">
        <v>604</v>
      </c>
      <c r="F394" s="4">
        <v>7</v>
      </c>
      <c r="G394" s="4">
        <v>30</v>
      </c>
      <c r="J394" s="4">
        <v>4</v>
      </c>
      <c r="N394" s="4">
        <v>2</v>
      </c>
      <c r="P394" s="4">
        <v>2</v>
      </c>
      <c r="R394" s="5" t="s">
        <v>602</v>
      </c>
    </row>
    <row r="395" spans="1:18">
      <c r="A395" s="4">
        <v>400004</v>
      </c>
      <c r="B395" s="4">
        <v>1303</v>
      </c>
      <c r="C395" s="4" t="s">
        <v>600</v>
      </c>
      <c r="D395" s="30" t="s">
        <v>605</v>
      </c>
      <c r="F395" s="4">
        <v>7</v>
      </c>
      <c r="G395" s="4">
        <v>40</v>
      </c>
      <c r="J395" s="4">
        <v>4</v>
      </c>
      <c r="N395" s="4">
        <v>2</v>
      </c>
      <c r="P395" s="4">
        <v>2</v>
      </c>
      <c r="Q395" t="s">
        <v>606</v>
      </c>
      <c r="R395" s="5" t="s">
        <v>607</v>
      </c>
    </row>
    <row r="396" spans="1:18">
      <c r="A396" s="4">
        <v>400005</v>
      </c>
      <c r="B396" s="4">
        <v>1303</v>
      </c>
      <c r="C396" s="4" t="s">
        <v>600</v>
      </c>
      <c r="D396" s="30" t="s">
        <v>608</v>
      </c>
      <c r="F396" s="4">
        <v>7</v>
      </c>
      <c r="G396" s="4">
        <v>50</v>
      </c>
      <c r="J396" s="4">
        <v>4</v>
      </c>
      <c r="N396" s="4">
        <v>2</v>
      </c>
      <c r="P396" s="4">
        <v>2</v>
      </c>
      <c r="R396" s="5" t="s">
        <v>609</v>
      </c>
    </row>
    <row r="397" spans="1:18">
      <c r="A397" s="4">
        <v>400006</v>
      </c>
      <c r="B397" s="4">
        <v>1303</v>
      </c>
      <c r="C397" s="4" t="s">
        <v>600</v>
      </c>
      <c r="D397" s="30" t="s">
        <v>610</v>
      </c>
      <c r="F397" s="4">
        <v>7</v>
      </c>
      <c r="G397" s="4">
        <v>60</v>
      </c>
      <c r="J397" s="4">
        <v>4</v>
      </c>
      <c r="N397" s="4">
        <v>2</v>
      </c>
      <c r="P397" s="4">
        <v>2</v>
      </c>
      <c r="R397" s="5" t="s">
        <v>611</v>
      </c>
    </row>
    <row r="398" spans="1:18">
      <c r="A398" s="4">
        <v>400007</v>
      </c>
      <c r="B398" s="4">
        <v>1303</v>
      </c>
      <c r="C398" s="4" t="s">
        <v>600</v>
      </c>
      <c r="D398" s="30" t="s">
        <v>612</v>
      </c>
      <c r="F398" s="4">
        <v>7</v>
      </c>
      <c r="G398" s="4">
        <v>70</v>
      </c>
      <c r="J398" s="4">
        <v>4</v>
      </c>
      <c r="N398" s="4">
        <v>2</v>
      </c>
      <c r="P398" s="4">
        <v>2</v>
      </c>
      <c r="R398" s="5" t="s">
        <v>613</v>
      </c>
    </row>
    <row r="399" spans="1:18">
      <c r="A399" s="4">
        <v>400008</v>
      </c>
      <c r="B399" s="4">
        <v>1303</v>
      </c>
      <c r="C399" s="4" t="s">
        <v>600</v>
      </c>
      <c r="D399" s="30" t="s">
        <v>614</v>
      </c>
      <c r="F399" s="4">
        <v>7</v>
      </c>
      <c r="G399" s="4">
        <v>80</v>
      </c>
      <c r="J399" s="4">
        <v>4</v>
      </c>
      <c r="N399" s="4">
        <v>2</v>
      </c>
      <c r="P399" s="4">
        <v>2</v>
      </c>
      <c r="R399" s="5" t="s">
        <v>615</v>
      </c>
    </row>
    <row r="400" spans="1:18">
      <c r="A400" s="4">
        <v>400009</v>
      </c>
      <c r="B400" s="4">
        <v>1303</v>
      </c>
      <c r="C400" s="4" t="s">
        <v>600</v>
      </c>
      <c r="D400" s="30" t="s">
        <v>616</v>
      </c>
      <c r="F400" s="4">
        <v>7</v>
      </c>
      <c r="G400" s="4">
        <v>90</v>
      </c>
      <c r="J400" s="4">
        <v>4</v>
      </c>
      <c r="N400" s="4">
        <v>2</v>
      </c>
      <c r="P400" s="4">
        <v>2</v>
      </c>
      <c r="R400" s="5" t="s">
        <v>617</v>
      </c>
    </row>
    <row r="401" spans="1:18">
      <c r="A401" s="4">
        <v>400010</v>
      </c>
      <c r="B401" s="4">
        <v>1303</v>
      </c>
      <c r="C401" s="4" t="s">
        <v>600</v>
      </c>
      <c r="D401" s="30" t="s">
        <v>618</v>
      </c>
      <c r="F401" s="4">
        <v>7</v>
      </c>
      <c r="G401" s="4">
        <v>100</v>
      </c>
      <c r="J401" s="4">
        <v>4</v>
      </c>
      <c r="N401" s="4">
        <v>2</v>
      </c>
      <c r="P401" s="4">
        <v>2</v>
      </c>
      <c r="R401" s="5" t="s">
        <v>617</v>
      </c>
    </row>
    <row r="402" spans="1:18">
      <c r="A402" s="4">
        <v>400011</v>
      </c>
      <c r="B402" s="4">
        <v>1303</v>
      </c>
      <c r="C402" s="4" t="s">
        <v>600</v>
      </c>
      <c r="D402" s="30" t="s">
        <v>619</v>
      </c>
      <c r="F402" s="4">
        <v>7</v>
      </c>
      <c r="G402" s="4">
        <v>5</v>
      </c>
      <c r="J402" s="4">
        <v>4</v>
      </c>
      <c r="N402" s="4">
        <v>2</v>
      </c>
      <c r="P402" s="4">
        <v>2</v>
      </c>
      <c r="R402" s="5" t="s">
        <v>620</v>
      </c>
    </row>
    <row r="403" spans="1:18">
      <c r="A403" s="4">
        <v>400012</v>
      </c>
      <c r="B403" s="4">
        <v>1303</v>
      </c>
      <c r="C403" s="4" t="s">
        <v>600</v>
      </c>
      <c r="D403" s="30" t="s">
        <v>601</v>
      </c>
      <c r="F403" s="4">
        <v>7</v>
      </c>
      <c r="G403" s="4">
        <v>10</v>
      </c>
      <c r="J403" s="4">
        <v>4</v>
      </c>
      <c r="N403" s="4">
        <v>2</v>
      </c>
      <c r="P403" s="4">
        <v>2</v>
      </c>
      <c r="R403" s="5" t="s">
        <v>620</v>
      </c>
    </row>
    <row r="404" spans="1:18">
      <c r="A404" s="4">
        <v>400013</v>
      </c>
      <c r="B404" s="4">
        <v>1303</v>
      </c>
      <c r="C404" s="4" t="s">
        <v>600</v>
      </c>
      <c r="D404" s="30" t="s">
        <v>621</v>
      </c>
      <c r="F404" s="4">
        <v>7</v>
      </c>
      <c r="G404" s="4">
        <v>15</v>
      </c>
      <c r="J404" s="4">
        <v>4</v>
      </c>
      <c r="N404" s="4">
        <v>2</v>
      </c>
      <c r="P404" s="4">
        <v>2</v>
      </c>
      <c r="R404" s="5" t="s">
        <v>622</v>
      </c>
    </row>
    <row r="405" spans="1:18">
      <c r="A405" s="4">
        <v>400014</v>
      </c>
      <c r="B405" s="4">
        <v>1303</v>
      </c>
      <c r="C405" s="4" t="s">
        <v>600</v>
      </c>
      <c r="D405" s="30" t="s">
        <v>603</v>
      </c>
      <c r="F405" s="4">
        <v>7</v>
      </c>
      <c r="G405" s="4">
        <v>20</v>
      </c>
      <c r="J405" s="4">
        <v>4</v>
      </c>
      <c r="N405" s="4">
        <v>2</v>
      </c>
      <c r="P405" s="4">
        <v>2</v>
      </c>
      <c r="Q405" t="s">
        <v>606</v>
      </c>
      <c r="R405" s="5" t="s">
        <v>623</v>
      </c>
    </row>
    <row r="406" spans="1:18">
      <c r="A406" s="4">
        <v>400015</v>
      </c>
      <c r="B406" s="4">
        <v>1303</v>
      </c>
      <c r="C406" s="4" t="s">
        <v>600</v>
      </c>
      <c r="D406" s="30" t="s">
        <v>624</v>
      </c>
      <c r="F406" s="4">
        <v>7</v>
      </c>
      <c r="G406" s="4">
        <v>25</v>
      </c>
      <c r="J406" s="4">
        <v>4</v>
      </c>
      <c r="N406" s="4">
        <v>2</v>
      </c>
      <c r="P406" s="4">
        <v>2</v>
      </c>
      <c r="R406" s="5" t="s">
        <v>625</v>
      </c>
    </row>
    <row r="407" spans="1:18">
      <c r="A407" s="4">
        <v>400016</v>
      </c>
      <c r="B407" s="4">
        <v>1303</v>
      </c>
      <c r="C407" s="4" t="s">
        <v>600</v>
      </c>
      <c r="D407" s="30" t="s">
        <v>604</v>
      </c>
      <c r="F407" s="4">
        <v>7</v>
      </c>
      <c r="G407" s="4">
        <v>30</v>
      </c>
      <c r="J407" s="4">
        <v>4</v>
      </c>
      <c r="N407" s="4">
        <v>2</v>
      </c>
      <c r="P407" s="4">
        <v>2</v>
      </c>
      <c r="R407" s="5" t="s">
        <v>626</v>
      </c>
    </row>
    <row r="408" spans="1:18">
      <c r="A408" s="4">
        <v>400017</v>
      </c>
      <c r="B408" s="4">
        <v>1303</v>
      </c>
      <c r="C408" s="4" t="s">
        <v>600</v>
      </c>
      <c r="D408" s="30" t="s">
        <v>627</v>
      </c>
      <c r="F408" s="4">
        <v>7</v>
      </c>
      <c r="G408" s="4">
        <v>32</v>
      </c>
      <c r="J408" s="4">
        <v>4</v>
      </c>
      <c r="N408" s="4">
        <v>2</v>
      </c>
      <c r="P408" s="4">
        <v>2</v>
      </c>
      <c r="R408" s="5" t="s">
        <v>628</v>
      </c>
    </row>
    <row r="409" spans="1:18">
      <c r="A409" s="4">
        <v>400018</v>
      </c>
      <c r="B409" s="4">
        <v>1303</v>
      </c>
      <c r="C409" s="4" t="s">
        <v>600</v>
      </c>
      <c r="D409" s="30" t="s">
        <v>629</v>
      </c>
      <c r="F409" s="4">
        <v>7</v>
      </c>
      <c r="G409" s="4">
        <v>35</v>
      </c>
      <c r="J409" s="4">
        <v>4</v>
      </c>
      <c r="N409" s="4">
        <v>2</v>
      </c>
      <c r="P409" s="4">
        <v>2</v>
      </c>
      <c r="R409" s="5" t="s">
        <v>630</v>
      </c>
    </row>
    <row r="410" spans="1:18">
      <c r="A410" s="4">
        <v>410001</v>
      </c>
      <c r="B410" s="4">
        <v>102</v>
      </c>
      <c r="C410" s="4" t="s">
        <v>631</v>
      </c>
      <c r="D410" s="30" t="s">
        <v>632</v>
      </c>
      <c r="F410" s="4">
        <v>32</v>
      </c>
      <c r="G410" s="4">
        <v>1</v>
      </c>
      <c r="J410" s="4">
        <v>4</v>
      </c>
      <c r="N410" s="4">
        <v>2</v>
      </c>
      <c r="P410" s="4">
        <v>2</v>
      </c>
      <c r="R410" s="63" t="s">
        <v>633</v>
      </c>
    </row>
    <row r="411" spans="1:18">
      <c r="A411" s="4">
        <v>410002</v>
      </c>
      <c r="B411" s="4">
        <v>102</v>
      </c>
      <c r="C411" s="4" t="s">
        <v>631</v>
      </c>
      <c r="D411" s="30" t="s">
        <v>634</v>
      </c>
      <c r="F411" s="4">
        <v>32</v>
      </c>
      <c r="G411" s="4">
        <v>2</v>
      </c>
      <c r="J411" s="4">
        <v>4</v>
      </c>
      <c r="N411" s="4">
        <v>2</v>
      </c>
      <c r="P411" s="4">
        <v>2</v>
      </c>
      <c r="R411" s="63" t="s">
        <v>635</v>
      </c>
    </row>
    <row r="412" spans="1:18">
      <c r="A412" s="4">
        <v>410003</v>
      </c>
      <c r="B412" s="4">
        <v>102</v>
      </c>
      <c r="C412" s="4" t="s">
        <v>631</v>
      </c>
      <c r="D412" s="30" t="s">
        <v>636</v>
      </c>
      <c r="F412" s="4">
        <v>32</v>
      </c>
      <c r="G412" s="4">
        <v>3</v>
      </c>
      <c r="J412" s="4">
        <v>4</v>
      </c>
      <c r="N412" s="4">
        <v>2</v>
      </c>
      <c r="P412" s="4">
        <v>2</v>
      </c>
      <c r="R412" s="63" t="s">
        <v>351</v>
      </c>
    </row>
    <row r="413" spans="1:18">
      <c r="A413" s="4">
        <v>410004</v>
      </c>
      <c r="B413" s="4">
        <v>102</v>
      </c>
      <c r="C413" s="4" t="s">
        <v>631</v>
      </c>
      <c r="D413" s="30" t="s">
        <v>637</v>
      </c>
      <c r="F413" s="4">
        <v>32</v>
      </c>
      <c r="G413" s="4">
        <v>4</v>
      </c>
      <c r="J413" s="4">
        <v>4</v>
      </c>
      <c r="N413" s="4">
        <v>2</v>
      </c>
      <c r="P413" s="4">
        <v>2</v>
      </c>
      <c r="R413" s="63" t="s">
        <v>638</v>
      </c>
    </row>
    <row r="414" spans="1:18">
      <c r="A414" s="4">
        <v>410005</v>
      </c>
      <c r="B414" s="4">
        <v>102</v>
      </c>
      <c r="C414" s="4" t="s">
        <v>631</v>
      </c>
      <c r="D414" s="30" t="s">
        <v>639</v>
      </c>
      <c r="F414" s="4">
        <v>32</v>
      </c>
      <c r="G414" s="4">
        <v>5</v>
      </c>
      <c r="J414" s="4">
        <v>4</v>
      </c>
      <c r="N414" s="4">
        <v>2</v>
      </c>
      <c r="P414" s="4">
        <v>2</v>
      </c>
      <c r="R414" s="63" t="s">
        <v>351</v>
      </c>
    </row>
    <row r="415" spans="1:18">
      <c r="A415" s="4">
        <v>410006</v>
      </c>
      <c r="B415" s="4">
        <v>102</v>
      </c>
      <c r="C415" s="4" t="s">
        <v>631</v>
      </c>
      <c r="D415" s="30" t="s">
        <v>640</v>
      </c>
      <c r="F415" s="4">
        <v>32</v>
      </c>
      <c r="G415" s="4">
        <v>6</v>
      </c>
      <c r="J415" s="4">
        <v>4</v>
      </c>
      <c r="N415" s="4">
        <v>2</v>
      </c>
      <c r="P415" s="4">
        <v>2</v>
      </c>
      <c r="R415" s="63" t="s">
        <v>641</v>
      </c>
    </row>
    <row r="416" spans="1:18">
      <c r="A416" s="4">
        <v>410007</v>
      </c>
      <c r="B416" s="4">
        <v>102</v>
      </c>
      <c r="C416" s="4" t="s">
        <v>631</v>
      </c>
      <c r="D416" s="30" t="s">
        <v>642</v>
      </c>
      <c r="F416" s="4">
        <v>32</v>
      </c>
      <c r="G416" s="4">
        <v>7</v>
      </c>
      <c r="J416" s="4">
        <v>4</v>
      </c>
      <c r="N416" s="4">
        <v>2</v>
      </c>
      <c r="P416" s="4">
        <v>2</v>
      </c>
      <c r="R416" s="63" t="s">
        <v>643</v>
      </c>
    </row>
    <row r="417" spans="1:18">
      <c r="A417" s="4">
        <v>410008</v>
      </c>
      <c r="B417" s="4">
        <v>102</v>
      </c>
      <c r="C417" s="4" t="s">
        <v>631</v>
      </c>
      <c r="D417" s="30" t="s">
        <v>632</v>
      </c>
      <c r="F417" s="4">
        <v>32</v>
      </c>
      <c r="G417" s="4">
        <v>1</v>
      </c>
      <c r="J417" s="4">
        <v>4</v>
      </c>
      <c r="N417" s="4">
        <v>2</v>
      </c>
      <c r="P417" s="4">
        <v>2</v>
      </c>
      <c r="R417" s="63" t="s">
        <v>633</v>
      </c>
    </row>
    <row r="418" spans="1:18">
      <c r="A418" s="4">
        <v>410009</v>
      </c>
      <c r="B418" s="4">
        <v>102</v>
      </c>
      <c r="C418" s="4" t="s">
        <v>631</v>
      </c>
      <c r="D418" s="30" t="s">
        <v>634</v>
      </c>
      <c r="F418" s="4">
        <v>32</v>
      </c>
      <c r="G418" s="4">
        <v>2</v>
      </c>
      <c r="J418" s="4">
        <v>4</v>
      </c>
      <c r="N418" s="4">
        <v>2</v>
      </c>
      <c r="P418" s="4">
        <v>2</v>
      </c>
      <c r="R418" s="63" t="s">
        <v>635</v>
      </c>
    </row>
    <row r="419" spans="1:18">
      <c r="A419" s="4">
        <v>410010</v>
      </c>
      <c r="B419" s="4">
        <v>102</v>
      </c>
      <c r="C419" s="4" t="s">
        <v>631</v>
      </c>
      <c r="D419" s="30" t="s">
        <v>636</v>
      </c>
      <c r="F419" s="4">
        <v>32</v>
      </c>
      <c r="G419" s="4">
        <v>3</v>
      </c>
      <c r="J419" s="4">
        <v>4</v>
      </c>
      <c r="N419" s="4">
        <v>2</v>
      </c>
      <c r="P419" s="4">
        <v>2</v>
      </c>
      <c r="R419" s="63" t="s">
        <v>351</v>
      </c>
    </row>
    <row r="420" spans="1:18">
      <c r="A420" s="4">
        <v>410011</v>
      </c>
      <c r="B420" s="4">
        <v>102</v>
      </c>
      <c r="C420" s="4" t="s">
        <v>631</v>
      </c>
      <c r="D420" s="30" t="s">
        <v>637</v>
      </c>
      <c r="F420" s="4">
        <v>32</v>
      </c>
      <c r="G420" s="4">
        <v>4</v>
      </c>
      <c r="J420" s="4">
        <v>4</v>
      </c>
      <c r="N420" s="4">
        <v>2</v>
      </c>
      <c r="P420" s="4">
        <v>2</v>
      </c>
      <c r="R420" s="63" t="s">
        <v>638</v>
      </c>
    </row>
    <row r="421" spans="1:18">
      <c r="A421" s="4">
        <v>410012</v>
      </c>
      <c r="B421" s="4">
        <v>102</v>
      </c>
      <c r="C421" s="4" t="s">
        <v>631</v>
      </c>
      <c r="D421" s="30" t="s">
        <v>639</v>
      </c>
      <c r="F421" s="4">
        <v>32</v>
      </c>
      <c r="G421" s="4">
        <v>5</v>
      </c>
      <c r="J421" s="4">
        <v>4</v>
      </c>
      <c r="N421" s="4">
        <v>2</v>
      </c>
      <c r="P421" s="4">
        <v>2</v>
      </c>
      <c r="R421" s="63" t="s">
        <v>351</v>
      </c>
    </row>
    <row r="422" spans="1:18">
      <c r="A422" s="4">
        <v>410013</v>
      </c>
      <c r="B422" s="4">
        <v>102</v>
      </c>
      <c r="C422" s="4" t="s">
        <v>631</v>
      </c>
      <c r="D422" s="30" t="s">
        <v>640</v>
      </c>
      <c r="F422" s="4">
        <v>32</v>
      </c>
      <c r="G422" s="4">
        <v>6</v>
      </c>
      <c r="J422" s="4">
        <v>4</v>
      </c>
      <c r="N422" s="4">
        <v>2</v>
      </c>
      <c r="P422" s="4">
        <v>2</v>
      </c>
      <c r="R422" s="63" t="s">
        <v>641</v>
      </c>
    </row>
    <row r="423" spans="1:18">
      <c r="A423" s="4">
        <v>410014</v>
      </c>
      <c r="B423" s="4">
        <v>102</v>
      </c>
      <c r="C423" s="4" t="s">
        <v>631</v>
      </c>
      <c r="D423" s="30" t="s">
        <v>642</v>
      </c>
      <c r="F423" s="4">
        <v>32</v>
      </c>
      <c r="G423" s="4">
        <v>7</v>
      </c>
      <c r="J423" s="4">
        <v>4</v>
      </c>
      <c r="N423" s="4">
        <v>2</v>
      </c>
      <c r="P423" s="4">
        <v>2</v>
      </c>
      <c r="R423" s="63" t="s">
        <v>643</v>
      </c>
    </row>
    <row r="424" spans="1:18">
      <c r="A424" s="4">
        <v>410015</v>
      </c>
      <c r="B424" s="4">
        <v>102</v>
      </c>
      <c r="C424" s="4" t="s">
        <v>631</v>
      </c>
      <c r="D424" s="30" t="s">
        <v>632</v>
      </c>
      <c r="F424" s="4">
        <v>32</v>
      </c>
      <c r="G424" s="4">
        <v>1</v>
      </c>
      <c r="J424" s="4">
        <v>4</v>
      </c>
      <c r="N424" s="4">
        <v>2</v>
      </c>
      <c r="P424" s="4">
        <v>2</v>
      </c>
      <c r="R424" s="63" t="s">
        <v>633</v>
      </c>
    </row>
    <row r="425" spans="1:18">
      <c r="A425" s="4">
        <v>410016</v>
      </c>
      <c r="B425" s="4">
        <v>102</v>
      </c>
      <c r="C425" s="4" t="s">
        <v>631</v>
      </c>
      <c r="D425" s="30" t="s">
        <v>634</v>
      </c>
      <c r="F425" s="4">
        <v>32</v>
      </c>
      <c r="G425" s="4">
        <v>2</v>
      </c>
      <c r="J425" s="4">
        <v>4</v>
      </c>
      <c r="N425" s="4">
        <v>2</v>
      </c>
      <c r="P425" s="4">
        <v>2</v>
      </c>
      <c r="R425" s="63" t="s">
        <v>635</v>
      </c>
    </row>
    <row r="426" spans="1:18">
      <c r="A426" s="4">
        <v>410017</v>
      </c>
      <c r="B426" s="4">
        <v>102</v>
      </c>
      <c r="C426" s="4" t="s">
        <v>631</v>
      </c>
      <c r="D426" s="30" t="s">
        <v>636</v>
      </c>
      <c r="F426" s="4">
        <v>32</v>
      </c>
      <c r="G426" s="4">
        <v>3</v>
      </c>
      <c r="J426" s="4">
        <v>4</v>
      </c>
      <c r="N426" s="4">
        <v>2</v>
      </c>
      <c r="P426" s="4">
        <v>2</v>
      </c>
      <c r="R426" s="63" t="s">
        <v>351</v>
      </c>
    </row>
    <row r="427" spans="1:18">
      <c r="A427" s="4">
        <v>410018</v>
      </c>
      <c r="B427" s="4">
        <v>102</v>
      </c>
      <c r="C427" s="4" t="s">
        <v>631</v>
      </c>
      <c r="D427" s="30" t="s">
        <v>637</v>
      </c>
      <c r="F427" s="4">
        <v>32</v>
      </c>
      <c r="G427" s="4">
        <v>4</v>
      </c>
      <c r="J427" s="4">
        <v>4</v>
      </c>
      <c r="N427" s="4">
        <v>2</v>
      </c>
      <c r="P427" s="4">
        <v>2</v>
      </c>
      <c r="R427" s="63" t="s">
        <v>638</v>
      </c>
    </row>
    <row r="428" spans="1:18">
      <c r="A428" s="4">
        <v>410019</v>
      </c>
      <c r="B428" s="4">
        <v>102</v>
      </c>
      <c r="C428" s="4" t="s">
        <v>631</v>
      </c>
      <c r="D428" s="30" t="s">
        <v>639</v>
      </c>
      <c r="F428" s="4">
        <v>32</v>
      </c>
      <c r="G428" s="4">
        <v>5</v>
      </c>
      <c r="J428" s="4">
        <v>4</v>
      </c>
      <c r="N428" s="4">
        <v>2</v>
      </c>
      <c r="P428" s="4">
        <v>2</v>
      </c>
      <c r="R428" s="63" t="s">
        <v>351</v>
      </c>
    </row>
    <row r="429" spans="1:18">
      <c r="A429" s="4">
        <v>410020</v>
      </c>
      <c r="B429" s="4">
        <v>102</v>
      </c>
      <c r="C429" s="4" t="s">
        <v>631</v>
      </c>
      <c r="D429" s="30" t="s">
        <v>640</v>
      </c>
      <c r="F429" s="4">
        <v>32</v>
      </c>
      <c r="G429" s="4">
        <v>6</v>
      </c>
      <c r="J429" s="4">
        <v>4</v>
      </c>
      <c r="N429" s="4">
        <v>2</v>
      </c>
      <c r="P429" s="4">
        <v>2</v>
      </c>
      <c r="R429" s="63" t="s">
        <v>641</v>
      </c>
    </row>
    <row r="430" spans="1:18">
      <c r="A430" s="4">
        <v>410021</v>
      </c>
      <c r="B430" s="4">
        <v>102</v>
      </c>
      <c r="C430" s="4" t="s">
        <v>631</v>
      </c>
      <c r="D430" s="30" t="s">
        <v>642</v>
      </c>
      <c r="F430" s="4">
        <v>32</v>
      </c>
      <c r="G430" s="4">
        <v>7</v>
      </c>
      <c r="J430" s="4">
        <v>4</v>
      </c>
      <c r="N430" s="4">
        <v>2</v>
      </c>
      <c r="P430" s="4">
        <v>2</v>
      </c>
      <c r="R430" s="63" t="s">
        <v>643</v>
      </c>
    </row>
    <row r="431" spans="1:18">
      <c r="A431" s="4">
        <v>420001</v>
      </c>
      <c r="B431" s="4">
        <v>413</v>
      </c>
      <c r="C431" s="4" t="s">
        <v>644</v>
      </c>
      <c r="D431" s="30" t="s">
        <v>645</v>
      </c>
      <c r="F431" s="4">
        <v>44</v>
      </c>
      <c r="G431" s="4">
        <v>1</v>
      </c>
      <c r="I431" s="4">
        <v>6</v>
      </c>
      <c r="J431" s="4">
        <v>4</v>
      </c>
      <c r="N431" s="4">
        <v>0</v>
      </c>
      <c r="P431" s="4">
        <v>2</v>
      </c>
      <c r="R431" s="5" t="s">
        <v>646</v>
      </c>
    </row>
    <row r="432" spans="1:18">
      <c r="A432" s="4">
        <v>420002</v>
      </c>
      <c r="B432" s="4">
        <v>413</v>
      </c>
      <c r="C432" s="4" t="s">
        <v>644</v>
      </c>
      <c r="D432" s="30" t="s">
        <v>647</v>
      </c>
      <c r="F432" s="4">
        <v>44</v>
      </c>
      <c r="G432" s="4">
        <v>1</v>
      </c>
      <c r="I432" s="4">
        <v>7</v>
      </c>
      <c r="J432" s="4">
        <v>4</v>
      </c>
      <c r="N432" s="4">
        <v>0</v>
      </c>
      <c r="P432" s="4">
        <v>2</v>
      </c>
      <c r="R432" s="5" t="s">
        <v>648</v>
      </c>
    </row>
    <row r="433" spans="1:18">
      <c r="A433" s="4">
        <v>420003</v>
      </c>
      <c r="B433" s="4">
        <v>413</v>
      </c>
      <c r="C433" s="4" t="s">
        <v>644</v>
      </c>
      <c r="D433" s="30" t="s">
        <v>649</v>
      </c>
      <c r="F433" s="4">
        <v>44</v>
      </c>
      <c r="G433" s="4">
        <v>1</v>
      </c>
      <c r="I433" s="4">
        <v>8</v>
      </c>
      <c r="J433" s="4">
        <v>4</v>
      </c>
      <c r="N433" s="4">
        <v>0</v>
      </c>
      <c r="P433" s="4">
        <v>2</v>
      </c>
      <c r="R433" s="5" t="s">
        <v>650</v>
      </c>
    </row>
    <row r="434" spans="1:18">
      <c r="A434" s="4">
        <v>420004</v>
      </c>
      <c r="B434" s="4">
        <v>413</v>
      </c>
      <c r="C434" s="4" t="s">
        <v>644</v>
      </c>
      <c r="D434" s="30" t="s">
        <v>651</v>
      </c>
      <c r="F434" s="4">
        <v>44</v>
      </c>
      <c r="G434" s="4">
        <v>1</v>
      </c>
      <c r="I434" s="4">
        <v>9</v>
      </c>
      <c r="J434" s="4">
        <v>4</v>
      </c>
      <c r="N434" s="4">
        <v>0</v>
      </c>
      <c r="P434" s="4">
        <v>2</v>
      </c>
      <c r="R434" t="s">
        <v>652</v>
      </c>
    </row>
    <row r="435" spans="1:18">
      <c r="A435" s="4">
        <v>420005</v>
      </c>
      <c r="B435" s="4">
        <v>413</v>
      </c>
      <c r="C435" s="4" t="s">
        <v>644</v>
      </c>
      <c r="D435" s="30" t="s">
        <v>653</v>
      </c>
      <c r="F435" s="4">
        <v>44</v>
      </c>
      <c r="G435" s="4">
        <v>1</v>
      </c>
      <c r="I435" s="4">
        <v>10</v>
      </c>
      <c r="J435" s="4">
        <v>4</v>
      </c>
      <c r="N435" s="4">
        <v>0</v>
      </c>
      <c r="P435" s="4">
        <v>2</v>
      </c>
      <c r="R435" s="5" t="s">
        <v>654</v>
      </c>
    </row>
    <row r="436" spans="1:18">
      <c r="A436" s="4">
        <v>420006</v>
      </c>
      <c r="B436" s="4">
        <v>413</v>
      </c>
      <c r="C436" s="4" t="s">
        <v>644</v>
      </c>
      <c r="D436" s="30" t="s">
        <v>645</v>
      </c>
      <c r="F436" s="4">
        <v>44</v>
      </c>
      <c r="G436" s="4">
        <v>1</v>
      </c>
      <c r="I436" s="4">
        <v>6</v>
      </c>
      <c r="J436" s="4">
        <v>4</v>
      </c>
      <c r="N436" s="4">
        <v>0</v>
      </c>
      <c r="P436" s="4">
        <v>2</v>
      </c>
      <c r="R436" s="5" t="s">
        <v>646</v>
      </c>
    </row>
    <row r="437" spans="1:18">
      <c r="A437" s="4">
        <v>420007</v>
      </c>
      <c r="B437" s="4">
        <v>413</v>
      </c>
      <c r="C437" s="4" t="s">
        <v>644</v>
      </c>
      <c r="D437" s="30" t="s">
        <v>647</v>
      </c>
      <c r="F437" s="4">
        <v>44</v>
      </c>
      <c r="G437" s="4">
        <v>1</v>
      </c>
      <c r="I437" s="4">
        <v>7</v>
      </c>
      <c r="J437" s="4">
        <v>4</v>
      </c>
      <c r="N437" s="4">
        <v>0</v>
      </c>
      <c r="P437" s="4">
        <v>2</v>
      </c>
      <c r="R437" s="5" t="s">
        <v>648</v>
      </c>
    </row>
    <row r="438" spans="1:18">
      <c r="A438" s="4">
        <v>420008</v>
      </c>
      <c r="B438" s="4">
        <v>413</v>
      </c>
      <c r="C438" s="4" t="s">
        <v>644</v>
      </c>
      <c r="D438" s="30" t="s">
        <v>649</v>
      </c>
      <c r="F438" s="4">
        <v>44</v>
      </c>
      <c r="G438" s="4">
        <v>1</v>
      </c>
      <c r="I438" s="4">
        <v>8</v>
      </c>
      <c r="J438" s="4">
        <v>4</v>
      </c>
      <c r="N438" s="4">
        <v>0</v>
      </c>
      <c r="P438" s="4">
        <v>2</v>
      </c>
      <c r="R438" s="5" t="s">
        <v>650</v>
      </c>
    </row>
    <row r="439" spans="1:18">
      <c r="A439" s="4">
        <v>420009</v>
      </c>
      <c r="B439" s="4">
        <v>413</v>
      </c>
      <c r="C439" s="4" t="s">
        <v>644</v>
      </c>
      <c r="D439" s="30" t="s">
        <v>651</v>
      </c>
      <c r="F439" s="4">
        <v>44</v>
      </c>
      <c r="G439" s="4">
        <v>1</v>
      </c>
      <c r="I439" s="4">
        <v>9</v>
      </c>
      <c r="J439" s="4">
        <v>4</v>
      </c>
      <c r="N439" s="4">
        <v>0</v>
      </c>
      <c r="P439" s="4">
        <v>2</v>
      </c>
      <c r="R439" t="s">
        <v>652</v>
      </c>
    </row>
    <row r="440" spans="1:18">
      <c r="A440" s="4">
        <v>420010</v>
      </c>
      <c r="B440" s="4">
        <v>413</v>
      </c>
      <c r="C440" s="4" t="s">
        <v>644</v>
      </c>
      <c r="D440" s="30" t="s">
        <v>653</v>
      </c>
      <c r="F440" s="4">
        <v>44</v>
      </c>
      <c r="G440" s="4">
        <v>1</v>
      </c>
      <c r="I440" s="4">
        <v>10</v>
      </c>
      <c r="J440" s="4">
        <v>4</v>
      </c>
      <c r="N440" s="4">
        <v>0</v>
      </c>
      <c r="P440" s="4">
        <v>2</v>
      </c>
      <c r="R440" s="5" t="s">
        <v>654</v>
      </c>
    </row>
    <row r="441" spans="1:18">
      <c r="A441" s="4">
        <v>420011</v>
      </c>
      <c r="B441" s="4">
        <v>413</v>
      </c>
      <c r="C441" s="4" t="s">
        <v>644</v>
      </c>
      <c r="D441" s="30" t="s">
        <v>645</v>
      </c>
      <c r="F441" s="4">
        <v>44</v>
      </c>
      <c r="G441" s="4">
        <v>1</v>
      </c>
      <c r="I441" s="4">
        <v>6</v>
      </c>
      <c r="J441" s="4">
        <v>4</v>
      </c>
      <c r="N441" s="4">
        <v>0</v>
      </c>
      <c r="P441" s="4">
        <v>2</v>
      </c>
      <c r="R441" s="5" t="s">
        <v>646</v>
      </c>
    </row>
    <row r="442" spans="1:18">
      <c r="A442" s="4">
        <v>420012</v>
      </c>
      <c r="B442" s="4">
        <v>413</v>
      </c>
      <c r="C442" s="4" t="s">
        <v>644</v>
      </c>
      <c r="D442" s="30" t="s">
        <v>647</v>
      </c>
      <c r="F442" s="4">
        <v>44</v>
      </c>
      <c r="G442" s="4">
        <v>1</v>
      </c>
      <c r="I442" s="4">
        <v>7</v>
      </c>
      <c r="J442" s="4">
        <v>4</v>
      </c>
      <c r="N442" s="4">
        <v>0</v>
      </c>
      <c r="P442" s="4">
        <v>2</v>
      </c>
      <c r="R442" s="5" t="s">
        <v>648</v>
      </c>
    </row>
    <row r="443" spans="1:18">
      <c r="A443" s="4">
        <v>420013</v>
      </c>
      <c r="B443" s="4">
        <v>413</v>
      </c>
      <c r="C443" s="4" t="s">
        <v>644</v>
      </c>
      <c r="D443" s="30" t="s">
        <v>649</v>
      </c>
      <c r="F443" s="4">
        <v>44</v>
      </c>
      <c r="G443" s="4">
        <v>1</v>
      </c>
      <c r="I443" s="4">
        <v>8</v>
      </c>
      <c r="J443" s="4">
        <v>4</v>
      </c>
      <c r="N443" s="4">
        <v>0</v>
      </c>
      <c r="P443" s="4">
        <v>2</v>
      </c>
      <c r="R443" s="5" t="s">
        <v>650</v>
      </c>
    </row>
    <row r="444" spans="1:18">
      <c r="A444" s="4">
        <v>420014</v>
      </c>
      <c r="B444" s="4">
        <v>413</v>
      </c>
      <c r="C444" s="4" t="s">
        <v>644</v>
      </c>
      <c r="D444" s="30" t="s">
        <v>651</v>
      </c>
      <c r="F444" s="4">
        <v>44</v>
      </c>
      <c r="G444" s="4">
        <v>1</v>
      </c>
      <c r="I444" s="4">
        <v>9</v>
      </c>
      <c r="J444" s="4">
        <v>4</v>
      </c>
      <c r="N444" s="4">
        <v>0</v>
      </c>
      <c r="P444" s="4">
        <v>2</v>
      </c>
      <c r="R444" t="s">
        <v>652</v>
      </c>
    </row>
    <row r="445" spans="1:18">
      <c r="A445" s="4">
        <v>420015</v>
      </c>
      <c r="B445" s="4">
        <v>413</v>
      </c>
      <c r="C445" s="4" t="s">
        <v>644</v>
      </c>
      <c r="D445" s="30" t="s">
        <v>653</v>
      </c>
      <c r="F445" s="4">
        <v>44</v>
      </c>
      <c r="G445" s="4">
        <v>1</v>
      </c>
      <c r="I445" s="4">
        <v>10</v>
      </c>
      <c r="J445" s="4">
        <v>4</v>
      </c>
      <c r="N445" s="4">
        <v>0</v>
      </c>
      <c r="P445" s="4">
        <v>2</v>
      </c>
      <c r="R445" s="64" t="s">
        <v>654</v>
      </c>
    </row>
    <row r="446" spans="1:18">
      <c r="A446" s="4">
        <v>999994</v>
      </c>
      <c r="B446" s="4">
        <v>900</v>
      </c>
      <c r="C446" s="4" t="s">
        <v>468</v>
      </c>
      <c r="D446" s="30" t="s">
        <v>655</v>
      </c>
      <c r="F446" s="4">
        <v>41</v>
      </c>
      <c r="G446" s="4">
        <v>1</v>
      </c>
      <c r="I446" s="4">
        <v>1011</v>
      </c>
      <c r="J446" s="4">
        <v>4</v>
      </c>
      <c r="N446" s="4">
        <v>2</v>
      </c>
      <c r="P446" s="4">
        <v>2</v>
      </c>
      <c r="R446" t="s">
        <v>220</v>
      </c>
    </row>
    <row r="447" spans="1:18">
      <c r="A447" s="4">
        <v>999995</v>
      </c>
      <c r="B447" s="4">
        <v>820</v>
      </c>
      <c r="C447" s="4" t="s">
        <v>468</v>
      </c>
      <c r="D447" s="30" t="s">
        <v>656</v>
      </c>
      <c r="F447" s="4">
        <v>77</v>
      </c>
      <c r="G447" s="4">
        <v>1</v>
      </c>
      <c r="J447" s="4">
        <v>0</v>
      </c>
      <c r="N447" s="4">
        <v>2</v>
      </c>
      <c r="P447" s="4">
        <v>2</v>
      </c>
      <c r="R447" t="s">
        <v>220</v>
      </c>
    </row>
    <row r="448" spans="1:18">
      <c r="A448" s="4">
        <v>999996</v>
      </c>
      <c r="B448" s="4">
        <v>102</v>
      </c>
      <c r="C448" s="4" t="s">
        <v>468</v>
      </c>
      <c r="D448" s="30" t="s">
        <v>657</v>
      </c>
      <c r="F448" s="4">
        <v>32</v>
      </c>
      <c r="G448" s="4">
        <v>2</v>
      </c>
      <c r="J448" s="4">
        <v>0</v>
      </c>
      <c r="N448" s="4">
        <v>2</v>
      </c>
      <c r="P448" s="4">
        <v>2</v>
      </c>
      <c r="R448" t="s">
        <v>658</v>
      </c>
    </row>
    <row r="449" spans="1:18">
      <c r="A449" s="4">
        <v>999997</v>
      </c>
      <c r="B449" s="4">
        <v>412</v>
      </c>
      <c r="C449" s="4" t="s">
        <v>659</v>
      </c>
      <c r="D449" s="30" t="s">
        <v>660</v>
      </c>
      <c r="F449" s="4">
        <v>44</v>
      </c>
      <c r="G449" s="4">
        <v>1</v>
      </c>
      <c r="I449" s="4">
        <v>1</v>
      </c>
      <c r="J449" s="4">
        <v>0</v>
      </c>
      <c r="N449" s="4">
        <v>2</v>
      </c>
      <c r="P449" s="4">
        <v>2</v>
      </c>
      <c r="R449" t="s">
        <v>501</v>
      </c>
    </row>
    <row r="450" spans="1:18">
      <c r="A450" s="17">
        <v>999999</v>
      </c>
      <c r="B450" s="17">
        <v>411</v>
      </c>
      <c r="C450" s="17" t="s">
        <v>576</v>
      </c>
      <c r="D450" s="59" t="s">
        <v>661</v>
      </c>
      <c r="F450" s="4">
        <v>44</v>
      </c>
      <c r="G450" s="4">
        <v>1</v>
      </c>
      <c r="I450" s="4">
        <v>101602</v>
      </c>
      <c r="J450" s="4">
        <v>4</v>
      </c>
      <c r="N450" s="4">
        <v>2</v>
      </c>
      <c r="P450" s="4">
        <v>2</v>
      </c>
      <c r="R450" t="s">
        <v>136</v>
      </c>
    </row>
    <row r="451" spans="1:18">
      <c r="A451" s="4">
        <v>430001</v>
      </c>
      <c r="B451" s="4">
        <v>101</v>
      </c>
      <c r="C451" s="4" t="s">
        <v>662</v>
      </c>
      <c r="D451" s="30" t="s">
        <v>663</v>
      </c>
      <c r="G451" s="4">
        <v>1</v>
      </c>
      <c r="J451" s="4">
        <v>4</v>
      </c>
      <c r="N451" s="4">
        <v>2</v>
      </c>
      <c r="P451" s="4">
        <v>2</v>
      </c>
      <c r="R451" t="s">
        <v>664</v>
      </c>
    </row>
    <row r="452" spans="1:18">
      <c r="A452" s="4">
        <v>430002</v>
      </c>
      <c r="B452" s="4">
        <v>101</v>
      </c>
      <c r="C452" s="4" t="s">
        <v>665</v>
      </c>
      <c r="D452" s="30" t="s">
        <v>663</v>
      </c>
      <c r="G452" s="4">
        <v>1</v>
      </c>
      <c r="J452" s="4">
        <v>4</v>
      </c>
      <c r="N452" s="4">
        <v>2</v>
      </c>
      <c r="P452" s="4">
        <v>2</v>
      </c>
      <c r="R452" t="s">
        <v>666</v>
      </c>
    </row>
    <row r="453" spans="1:18">
      <c r="A453" s="4">
        <v>430003</v>
      </c>
      <c r="B453" s="4">
        <v>101</v>
      </c>
      <c r="C453" s="4" t="s">
        <v>667</v>
      </c>
      <c r="D453" s="30" t="s">
        <v>663</v>
      </c>
      <c r="G453" s="4">
        <v>1</v>
      </c>
      <c r="J453" s="4">
        <v>4</v>
      </c>
      <c r="N453" s="4">
        <v>2</v>
      </c>
      <c r="P453" s="4">
        <v>2</v>
      </c>
      <c r="R453" t="s">
        <v>668</v>
      </c>
    </row>
    <row r="454" spans="1:18">
      <c r="A454" s="4">
        <v>430004</v>
      </c>
      <c r="B454" s="4">
        <v>101</v>
      </c>
      <c r="C454" s="4" t="s">
        <v>669</v>
      </c>
      <c r="D454" s="30" t="s">
        <v>663</v>
      </c>
      <c r="G454" s="4">
        <v>1</v>
      </c>
      <c r="J454" s="4">
        <v>4</v>
      </c>
      <c r="N454" s="4">
        <v>2</v>
      </c>
      <c r="P454" s="4">
        <v>2</v>
      </c>
      <c r="R454" t="s">
        <v>670</v>
      </c>
    </row>
    <row r="455" spans="1:18">
      <c r="A455" s="4">
        <v>430005</v>
      </c>
      <c r="B455" s="4">
        <v>101</v>
      </c>
      <c r="C455" s="4" t="s">
        <v>671</v>
      </c>
      <c r="D455" s="30" t="s">
        <v>663</v>
      </c>
      <c r="G455" s="4">
        <v>1</v>
      </c>
      <c r="J455" s="4">
        <v>4</v>
      </c>
      <c r="N455" s="4">
        <v>2</v>
      </c>
      <c r="P455" s="4">
        <v>2</v>
      </c>
      <c r="R455" t="s">
        <v>672</v>
      </c>
    </row>
    <row r="456" spans="1:18">
      <c r="A456" s="4">
        <v>430006</v>
      </c>
      <c r="B456" s="4">
        <v>101</v>
      </c>
      <c r="C456" s="4" t="s">
        <v>673</v>
      </c>
      <c r="D456" s="30" t="s">
        <v>663</v>
      </c>
      <c r="G456" s="4">
        <v>1</v>
      </c>
      <c r="J456" s="4">
        <v>4</v>
      </c>
      <c r="N456" s="4">
        <v>2</v>
      </c>
      <c r="P456" s="4">
        <v>2</v>
      </c>
      <c r="R456" t="s">
        <v>674</v>
      </c>
    </row>
    <row r="457" spans="1:18">
      <c r="A457" s="4">
        <v>430007</v>
      </c>
      <c r="B457" s="4">
        <v>101</v>
      </c>
      <c r="C457" s="4" t="s">
        <v>675</v>
      </c>
      <c r="D457" s="30" t="s">
        <v>663</v>
      </c>
      <c r="G457" s="4">
        <v>1</v>
      </c>
      <c r="J457" s="4">
        <v>4</v>
      </c>
      <c r="N457" s="4">
        <v>2</v>
      </c>
      <c r="P457" s="4">
        <v>2</v>
      </c>
      <c r="R457" t="s">
        <v>676</v>
      </c>
    </row>
    <row r="458" spans="1:18">
      <c r="A458" s="4">
        <v>430008</v>
      </c>
      <c r="B458" s="4">
        <v>202</v>
      </c>
      <c r="C458" s="4" t="s">
        <v>662</v>
      </c>
      <c r="D458" s="30" t="s">
        <v>487</v>
      </c>
      <c r="F458" s="4">
        <v>56</v>
      </c>
      <c r="G458" s="4">
        <v>50000</v>
      </c>
      <c r="J458" s="4">
        <v>4</v>
      </c>
      <c r="N458" s="4">
        <v>2</v>
      </c>
      <c r="P458" s="4">
        <v>2</v>
      </c>
      <c r="R458" t="s">
        <v>677</v>
      </c>
    </row>
    <row r="459" spans="1:18">
      <c r="A459" s="4">
        <v>430009</v>
      </c>
      <c r="B459" s="4">
        <v>202</v>
      </c>
      <c r="C459" s="4" t="s">
        <v>665</v>
      </c>
      <c r="D459" s="30" t="s">
        <v>416</v>
      </c>
      <c r="F459" s="4">
        <v>56</v>
      </c>
      <c r="G459" s="4">
        <v>100000</v>
      </c>
      <c r="J459" s="4">
        <v>4</v>
      </c>
      <c r="N459" s="4">
        <v>2</v>
      </c>
      <c r="P459" s="4">
        <v>2</v>
      </c>
      <c r="R459" t="s">
        <v>678</v>
      </c>
    </row>
    <row r="460" spans="1:18">
      <c r="A460" s="4">
        <v>430010</v>
      </c>
      <c r="B460" s="4">
        <v>202</v>
      </c>
      <c r="C460" s="4" t="s">
        <v>667</v>
      </c>
      <c r="D460" s="30" t="s">
        <v>419</v>
      </c>
      <c r="F460" s="4">
        <v>56</v>
      </c>
      <c r="G460" s="4">
        <v>150000</v>
      </c>
      <c r="J460" s="4">
        <v>4</v>
      </c>
      <c r="N460" s="4">
        <v>2</v>
      </c>
      <c r="P460" s="4">
        <v>2</v>
      </c>
      <c r="R460" t="s">
        <v>679</v>
      </c>
    </row>
    <row r="461" spans="1:18">
      <c r="A461" s="4">
        <v>430011</v>
      </c>
      <c r="B461" s="4">
        <v>202</v>
      </c>
      <c r="C461" s="4" t="s">
        <v>669</v>
      </c>
      <c r="D461" s="30" t="s">
        <v>418</v>
      </c>
      <c r="F461" s="4">
        <v>56</v>
      </c>
      <c r="G461" s="4">
        <v>200000</v>
      </c>
      <c r="J461" s="4">
        <v>4</v>
      </c>
      <c r="N461" s="4">
        <v>2</v>
      </c>
      <c r="P461" s="4">
        <v>2</v>
      </c>
      <c r="R461" t="s">
        <v>680</v>
      </c>
    </row>
    <row r="462" spans="1:18">
      <c r="A462" s="4">
        <v>430012</v>
      </c>
      <c r="B462" s="4">
        <v>202</v>
      </c>
      <c r="C462" s="4" t="s">
        <v>671</v>
      </c>
      <c r="D462" s="30" t="s">
        <v>681</v>
      </c>
      <c r="F462" s="4">
        <v>56</v>
      </c>
      <c r="G462" s="4">
        <v>250000</v>
      </c>
      <c r="J462" s="4">
        <v>4</v>
      </c>
      <c r="N462" s="4">
        <v>2</v>
      </c>
      <c r="P462" s="4">
        <v>2</v>
      </c>
      <c r="R462" t="s">
        <v>682</v>
      </c>
    </row>
    <row r="463" spans="1:18">
      <c r="A463" s="4">
        <v>430013</v>
      </c>
      <c r="B463" s="4">
        <v>202</v>
      </c>
      <c r="C463" s="4" t="s">
        <v>673</v>
      </c>
      <c r="D463" s="30" t="s">
        <v>683</v>
      </c>
      <c r="F463" s="4">
        <v>56</v>
      </c>
      <c r="G463" s="4">
        <v>300000</v>
      </c>
      <c r="J463" s="4">
        <v>4</v>
      </c>
      <c r="N463" s="4">
        <v>2</v>
      </c>
      <c r="P463" s="4">
        <v>2</v>
      </c>
      <c r="R463" t="s">
        <v>684</v>
      </c>
    </row>
    <row r="464" spans="1:18">
      <c r="A464" s="4">
        <v>430014</v>
      </c>
      <c r="B464" s="4">
        <v>202</v>
      </c>
      <c r="C464" s="4" t="s">
        <v>675</v>
      </c>
      <c r="D464" s="30" t="s">
        <v>685</v>
      </c>
      <c r="F464" s="4">
        <v>56</v>
      </c>
      <c r="G464" s="4">
        <v>350000</v>
      </c>
      <c r="J464" s="4">
        <v>4</v>
      </c>
      <c r="N464" s="4">
        <v>2</v>
      </c>
      <c r="P464" s="4">
        <v>2</v>
      </c>
      <c r="R464" t="s">
        <v>686</v>
      </c>
    </row>
    <row r="465" spans="1:18">
      <c r="A465" s="4">
        <v>431001</v>
      </c>
      <c r="B465" s="4">
        <v>1001</v>
      </c>
      <c r="C465" s="4" t="s">
        <v>662</v>
      </c>
      <c r="D465" s="30" t="s">
        <v>477</v>
      </c>
      <c r="F465" s="4">
        <v>33</v>
      </c>
      <c r="G465" s="4">
        <v>20</v>
      </c>
      <c r="J465" s="4">
        <v>4</v>
      </c>
      <c r="N465" s="4">
        <v>2</v>
      </c>
      <c r="P465" s="4">
        <v>2</v>
      </c>
      <c r="R465" t="s">
        <v>687</v>
      </c>
    </row>
    <row r="466" spans="1:18">
      <c r="A466" s="4">
        <v>431002</v>
      </c>
      <c r="B466" s="4">
        <v>1001</v>
      </c>
      <c r="C466" s="4" t="s">
        <v>662</v>
      </c>
      <c r="D466" s="30" t="s">
        <v>480</v>
      </c>
      <c r="F466" s="4">
        <v>33</v>
      </c>
      <c r="G466" s="4">
        <v>30</v>
      </c>
      <c r="J466" s="4">
        <v>4</v>
      </c>
      <c r="N466" s="4">
        <v>2</v>
      </c>
      <c r="P466" s="4">
        <v>2</v>
      </c>
      <c r="R466" t="s">
        <v>688</v>
      </c>
    </row>
    <row r="467" spans="1:18">
      <c r="A467" s="4">
        <v>431003</v>
      </c>
      <c r="B467" s="4">
        <v>1001</v>
      </c>
      <c r="C467" s="4" t="s">
        <v>662</v>
      </c>
      <c r="D467" s="30" t="s">
        <v>485</v>
      </c>
      <c r="F467" s="4">
        <v>33</v>
      </c>
      <c r="G467" s="4">
        <v>40</v>
      </c>
      <c r="J467" s="4">
        <v>4</v>
      </c>
      <c r="N467" s="4">
        <v>2</v>
      </c>
      <c r="P467" s="4">
        <v>2</v>
      </c>
      <c r="R467" t="s">
        <v>689</v>
      </c>
    </row>
    <row r="468" spans="1:18">
      <c r="A468" s="4">
        <v>431004</v>
      </c>
      <c r="B468" s="4">
        <v>1001</v>
      </c>
      <c r="C468" s="4" t="s">
        <v>662</v>
      </c>
      <c r="D468" s="30" t="s">
        <v>518</v>
      </c>
      <c r="F468" s="4">
        <v>33</v>
      </c>
      <c r="G468" s="4">
        <v>50</v>
      </c>
      <c r="J468" s="4">
        <v>4</v>
      </c>
      <c r="N468" s="4">
        <v>2</v>
      </c>
      <c r="P468" s="4">
        <v>2</v>
      </c>
      <c r="R468" t="s">
        <v>690</v>
      </c>
    </row>
    <row r="469" spans="1:18">
      <c r="A469" s="4">
        <v>431005</v>
      </c>
      <c r="B469" s="4">
        <v>1001</v>
      </c>
      <c r="C469" s="4" t="s">
        <v>662</v>
      </c>
      <c r="D469" s="30" t="s">
        <v>520</v>
      </c>
      <c r="F469" s="4">
        <v>33</v>
      </c>
      <c r="G469" s="4">
        <v>60</v>
      </c>
      <c r="J469" s="4">
        <v>4</v>
      </c>
      <c r="N469" s="4">
        <v>2</v>
      </c>
      <c r="P469" s="4">
        <v>2</v>
      </c>
      <c r="R469" t="s">
        <v>691</v>
      </c>
    </row>
    <row r="470" spans="1:18">
      <c r="A470" s="4">
        <v>431006</v>
      </c>
      <c r="B470" s="4">
        <v>1001</v>
      </c>
      <c r="C470" s="4" t="s">
        <v>662</v>
      </c>
      <c r="D470" s="30" t="s">
        <v>522</v>
      </c>
      <c r="F470" s="4">
        <v>33</v>
      </c>
      <c r="G470" s="4">
        <v>70</v>
      </c>
      <c r="J470" s="4">
        <v>4</v>
      </c>
      <c r="N470" s="4">
        <v>2</v>
      </c>
      <c r="P470" s="4">
        <v>2</v>
      </c>
      <c r="R470" t="s">
        <v>692</v>
      </c>
    </row>
    <row r="471" spans="1:18">
      <c r="A471" s="4">
        <v>432001</v>
      </c>
      <c r="B471" s="4">
        <v>1002</v>
      </c>
      <c r="C471" s="4" t="s">
        <v>662</v>
      </c>
      <c r="D471" s="30" t="s">
        <v>141</v>
      </c>
      <c r="F471" s="4">
        <v>10</v>
      </c>
      <c r="G471" s="4">
        <v>3</v>
      </c>
      <c r="J471" s="4">
        <v>4</v>
      </c>
      <c r="N471" s="4">
        <v>2</v>
      </c>
      <c r="P471" s="4">
        <v>2</v>
      </c>
      <c r="R471" t="s">
        <v>693</v>
      </c>
    </row>
    <row r="472" spans="1:18">
      <c r="A472" s="4">
        <v>432002</v>
      </c>
      <c r="B472" s="4">
        <v>1002</v>
      </c>
      <c r="C472" s="4" t="s">
        <v>662</v>
      </c>
      <c r="D472" s="30" t="s">
        <v>694</v>
      </c>
      <c r="F472" s="4">
        <v>10</v>
      </c>
      <c r="G472" s="4">
        <v>5</v>
      </c>
      <c r="J472" s="4">
        <v>4</v>
      </c>
      <c r="N472" s="4">
        <v>2</v>
      </c>
      <c r="P472" s="4">
        <v>2</v>
      </c>
      <c r="R472" t="s">
        <v>695</v>
      </c>
    </row>
    <row r="473" spans="1:18">
      <c r="A473" s="4">
        <v>432003</v>
      </c>
      <c r="B473" s="4">
        <v>1002</v>
      </c>
      <c r="C473" s="4" t="s">
        <v>662</v>
      </c>
      <c r="D473" s="30" t="s">
        <v>696</v>
      </c>
      <c r="F473" s="4">
        <v>10</v>
      </c>
      <c r="G473" s="4">
        <v>8</v>
      </c>
      <c r="J473" s="4">
        <v>4</v>
      </c>
      <c r="N473" s="4">
        <v>2</v>
      </c>
      <c r="P473" s="4">
        <v>2</v>
      </c>
      <c r="R473" t="s">
        <v>697</v>
      </c>
    </row>
    <row r="474" spans="1:18">
      <c r="A474" s="4">
        <v>432004</v>
      </c>
      <c r="B474" s="4">
        <v>1002</v>
      </c>
      <c r="C474" s="4" t="s">
        <v>662</v>
      </c>
      <c r="D474" s="30" t="s">
        <v>698</v>
      </c>
      <c r="F474" s="4">
        <v>10</v>
      </c>
      <c r="G474" s="4">
        <v>10</v>
      </c>
      <c r="J474" s="4">
        <v>4</v>
      </c>
      <c r="N474" s="4">
        <v>2</v>
      </c>
      <c r="P474" s="4">
        <v>2</v>
      </c>
      <c r="R474" t="s">
        <v>699</v>
      </c>
    </row>
    <row r="475" spans="1:18">
      <c r="A475" s="4">
        <v>432005</v>
      </c>
      <c r="B475" s="4">
        <v>1002</v>
      </c>
      <c r="C475" s="4" t="s">
        <v>662</v>
      </c>
      <c r="D475" s="30" t="s">
        <v>700</v>
      </c>
      <c r="F475" s="4">
        <v>10</v>
      </c>
      <c r="G475" s="4">
        <v>12</v>
      </c>
      <c r="J475" s="4">
        <v>4</v>
      </c>
      <c r="N475" s="4">
        <v>2</v>
      </c>
      <c r="P475" s="4">
        <v>2</v>
      </c>
      <c r="R475" t="s">
        <v>701</v>
      </c>
    </row>
    <row r="476" spans="1:18">
      <c r="A476" s="4">
        <v>432006</v>
      </c>
      <c r="B476" s="4">
        <v>1002</v>
      </c>
      <c r="C476" s="4" t="s">
        <v>662</v>
      </c>
      <c r="D476" s="30" t="s">
        <v>702</v>
      </c>
      <c r="F476" s="4">
        <v>10</v>
      </c>
      <c r="G476" s="4">
        <v>15</v>
      </c>
      <c r="J476" s="4">
        <v>4</v>
      </c>
      <c r="N476" s="4">
        <v>2</v>
      </c>
      <c r="P476" s="4">
        <v>2</v>
      </c>
      <c r="R476" t="s">
        <v>701</v>
      </c>
    </row>
    <row r="477" spans="1:18">
      <c r="A477" s="4">
        <v>433001</v>
      </c>
      <c r="B477" s="4">
        <v>1302</v>
      </c>
      <c r="C477" s="4" t="s">
        <v>665</v>
      </c>
      <c r="D477" s="30" t="s">
        <v>703</v>
      </c>
      <c r="F477" s="4">
        <v>7</v>
      </c>
      <c r="G477" s="4">
        <v>10</v>
      </c>
      <c r="J477" s="4">
        <v>0</v>
      </c>
      <c r="N477" s="4">
        <v>2</v>
      </c>
      <c r="P477" s="4">
        <v>2</v>
      </c>
      <c r="R477" t="s">
        <v>704</v>
      </c>
    </row>
    <row r="478" spans="1:18">
      <c r="A478" s="4">
        <v>433002</v>
      </c>
      <c r="B478" s="4">
        <v>1302</v>
      </c>
      <c r="C478" s="4" t="s">
        <v>665</v>
      </c>
      <c r="D478" s="30" t="s">
        <v>705</v>
      </c>
      <c r="F478" s="4">
        <v>7</v>
      </c>
      <c r="G478" s="4">
        <v>15</v>
      </c>
      <c r="J478" s="4">
        <v>0</v>
      </c>
      <c r="N478" s="4">
        <v>2</v>
      </c>
      <c r="P478" s="4">
        <v>2</v>
      </c>
      <c r="R478" t="s">
        <v>706</v>
      </c>
    </row>
    <row r="479" spans="1:18">
      <c r="A479" s="4">
        <v>433003</v>
      </c>
      <c r="B479" s="4">
        <v>1302</v>
      </c>
      <c r="C479" s="4" t="s">
        <v>665</v>
      </c>
      <c r="D479" s="30" t="s">
        <v>707</v>
      </c>
      <c r="F479" s="4">
        <v>7</v>
      </c>
      <c r="G479" s="4">
        <v>20</v>
      </c>
      <c r="J479" s="4">
        <v>0</v>
      </c>
      <c r="N479" s="4">
        <v>2</v>
      </c>
      <c r="P479" s="4">
        <v>2</v>
      </c>
      <c r="R479" t="s">
        <v>708</v>
      </c>
    </row>
    <row r="480" spans="1:18">
      <c r="A480" s="4">
        <v>433004</v>
      </c>
      <c r="B480" s="4">
        <v>1302</v>
      </c>
      <c r="C480" s="4" t="s">
        <v>665</v>
      </c>
      <c r="D480" s="30" t="s">
        <v>709</v>
      </c>
      <c r="F480" s="4">
        <v>7</v>
      </c>
      <c r="G480" s="4">
        <v>30</v>
      </c>
      <c r="J480" s="4">
        <v>0</v>
      </c>
      <c r="N480" s="4">
        <v>2</v>
      </c>
      <c r="P480" s="4">
        <v>2</v>
      </c>
      <c r="R480" t="s">
        <v>710</v>
      </c>
    </row>
    <row r="481" spans="1:18">
      <c r="A481" s="4">
        <v>433005</v>
      </c>
      <c r="B481" s="4">
        <v>1302</v>
      </c>
      <c r="C481" s="4" t="s">
        <v>665</v>
      </c>
      <c r="D481" s="30" t="s">
        <v>711</v>
      </c>
      <c r="F481" s="4">
        <v>7</v>
      </c>
      <c r="G481" s="4">
        <v>40</v>
      </c>
      <c r="J481" s="4">
        <v>0</v>
      </c>
      <c r="N481" s="4">
        <v>2</v>
      </c>
      <c r="P481" s="4">
        <v>2</v>
      </c>
      <c r="R481" t="s">
        <v>712</v>
      </c>
    </row>
    <row r="482" spans="1:18">
      <c r="A482" s="4">
        <v>433006</v>
      </c>
      <c r="B482" s="4">
        <v>1302</v>
      </c>
      <c r="C482" s="4" t="s">
        <v>665</v>
      </c>
      <c r="D482" s="30" t="s">
        <v>713</v>
      </c>
      <c r="F482" s="4">
        <v>7</v>
      </c>
      <c r="G482" s="4">
        <v>50</v>
      </c>
      <c r="J482" s="4">
        <v>0</v>
      </c>
      <c r="N482" s="4">
        <v>2</v>
      </c>
      <c r="P482" s="4">
        <v>2</v>
      </c>
      <c r="R482" t="s">
        <v>714</v>
      </c>
    </row>
    <row r="483" spans="1:18">
      <c r="A483" s="4">
        <v>434001</v>
      </c>
      <c r="B483" s="4">
        <v>401</v>
      </c>
      <c r="C483" s="4" t="s">
        <v>665</v>
      </c>
      <c r="D483" s="30" t="s">
        <v>715</v>
      </c>
      <c r="F483" s="4">
        <v>2</v>
      </c>
      <c r="G483" s="4">
        <v>10</v>
      </c>
      <c r="J483" s="4">
        <v>4</v>
      </c>
      <c r="N483" s="4">
        <v>2</v>
      </c>
      <c r="P483" s="4">
        <v>2</v>
      </c>
      <c r="R483" t="s">
        <v>716</v>
      </c>
    </row>
    <row r="484" spans="1:18">
      <c r="A484" s="4">
        <v>434002</v>
      </c>
      <c r="B484" s="4">
        <v>401</v>
      </c>
      <c r="C484" s="4" t="s">
        <v>665</v>
      </c>
      <c r="D484" s="30" t="s">
        <v>717</v>
      </c>
      <c r="F484" s="4">
        <v>2</v>
      </c>
      <c r="G484" s="4">
        <v>20</v>
      </c>
      <c r="J484" s="4">
        <v>4</v>
      </c>
      <c r="N484" s="4">
        <v>2</v>
      </c>
      <c r="P484" s="4">
        <v>2</v>
      </c>
      <c r="R484" t="s">
        <v>718</v>
      </c>
    </row>
    <row r="485" spans="1:18">
      <c r="A485" s="4">
        <v>434003</v>
      </c>
      <c r="B485" s="4">
        <v>402</v>
      </c>
      <c r="C485" s="4" t="s">
        <v>665</v>
      </c>
      <c r="D485" s="30" t="s">
        <v>719</v>
      </c>
      <c r="F485" s="4">
        <v>56</v>
      </c>
      <c r="G485" s="4">
        <v>5</v>
      </c>
      <c r="I485" s="4">
        <v>2</v>
      </c>
      <c r="J485" s="4">
        <v>4</v>
      </c>
      <c r="N485" s="4">
        <v>2</v>
      </c>
      <c r="P485" s="4">
        <v>2</v>
      </c>
      <c r="R485" t="s">
        <v>720</v>
      </c>
    </row>
    <row r="486" spans="1:18">
      <c r="A486" s="4">
        <v>434004</v>
      </c>
      <c r="B486" s="4">
        <v>402</v>
      </c>
      <c r="C486" s="4" t="s">
        <v>665</v>
      </c>
      <c r="D486" s="30" t="s">
        <v>209</v>
      </c>
      <c r="F486" s="4">
        <v>56</v>
      </c>
      <c r="G486" s="4">
        <v>10</v>
      </c>
      <c r="I486" s="4">
        <v>2</v>
      </c>
      <c r="J486" s="4">
        <v>4</v>
      </c>
      <c r="N486" s="4">
        <v>2</v>
      </c>
      <c r="P486" s="4">
        <v>2</v>
      </c>
      <c r="R486" t="s">
        <v>721</v>
      </c>
    </row>
    <row r="487" spans="1:18">
      <c r="A487" s="4">
        <v>434005</v>
      </c>
      <c r="B487" s="4">
        <v>402</v>
      </c>
      <c r="C487" s="4" t="s">
        <v>665</v>
      </c>
      <c r="D487" s="30" t="s">
        <v>210</v>
      </c>
      <c r="F487" s="4">
        <v>56</v>
      </c>
      <c r="G487" s="4">
        <v>20</v>
      </c>
      <c r="I487" s="4">
        <v>2</v>
      </c>
      <c r="J487" s="4">
        <v>4</v>
      </c>
      <c r="N487" s="4">
        <v>2</v>
      </c>
      <c r="P487" s="4">
        <v>2</v>
      </c>
      <c r="R487" t="s">
        <v>722</v>
      </c>
    </row>
    <row r="488" spans="1:18">
      <c r="A488" s="4">
        <v>434006</v>
      </c>
      <c r="B488" s="4">
        <v>402</v>
      </c>
      <c r="C488" s="4" t="s">
        <v>665</v>
      </c>
      <c r="D488" s="30" t="s">
        <v>212</v>
      </c>
      <c r="F488" s="4">
        <v>56</v>
      </c>
      <c r="G488" s="4">
        <v>40</v>
      </c>
      <c r="I488" s="4">
        <v>2</v>
      </c>
      <c r="J488" s="4">
        <v>4</v>
      </c>
      <c r="N488" s="4">
        <v>2</v>
      </c>
      <c r="P488" s="4">
        <v>2</v>
      </c>
      <c r="R488" t="s">
        <v>723</v>
      </c>
    </row>
    <row r="489" spans="1:18">
      <c r="A489" s="4">
        <v>435001</v>
      </c>
      <c r="B489" s="4">
        <v>3101</v>
      </c>
      <c r="C489" s="4" t="s">
        <v>667</v>
      </c>
      <c r="D489" s="30" t="s">
        <v>724</v>
      </c>
      <c r="F489" s="4">
        <v>9</v>
      </c>
      <c r="G489" s="4">
        <v>5</v>
      </c>
      <c r="J489" s="4">
        <v>4</v>
      </c>
      <c r="N489" s="4">
        <v>2</v>
      </c>
      <c r="P489" s="4">
        <v>2</v>
      </c>
      <c r="R489" t="s">
        <v>704</v>
      </c>
    </row>
    <row r="490" spans="1:18">
      <c r="A490" s="4">
        <v>435002</v>
      </c>
      <c r="B490" s="4">
        <v>3101</v>
      </c>
      <c r="C490" s="4" t="s">
        <v>667</v>
      </c>
      <c r="D490" s="30" t="s">
        <v>725</v>
      </c>
      <c r="F490" s="4">
        <v>9</v>
      </c>
      <c r="G490" s="4">
        <v>10</v>
      </c>
      <c r="J490" s="4">
        <v>4</v>
      </c>
      <c r="N490" s="4">
        <v>2</v>
      </c>
      <c r="P490" s="4">
        <v>2</v>
      </c>
      <c r="R490" t="s">
        <v>726</v>
      </c>
    </row>
    <row r="491" spans="1:18">
      <c r="A491" s="4">
        <v>435003</v>
      </c>
      <c r="B491" s="4">
        <v>3101</v>
      </c>
      <c r="C491" s="4" t="s">
        <v>667</v>
      </c>
      <c r="D491" s="30" t="s">
        <v>727</v>
      </c>
      <c r="F491" s="4">
        <v>9</v>
      </c>
      <c r="G491" s="4">
        <v>15</v>
      </c>
      <c r="J491" s="4">
        <v>4</v>
      </c>
      <c r="N491" s="4">
        <v>2</v>
      </c>
      <c r="P491" s="4">
        <v>2</v>
      </c>
      <c r="R491" t="s">
        <v>728</v>
      </c>
    </row>
    <row r="492" spans="1:18">
      <c r="A492" s="4">
        <v>435004</v>
      </c>
      <c r="B492" s="4">
        <v>3101</v>
      </c>
      <c r="C492" s="4" t="s">
        <v>667</v>
      </c>
      <c r="D492" s="30" t="s">
        <v>729</v>
      </c>
      <c r="F492" s="4">
        <v>9</v>
      </c>
      <c r="G492" s="4">
        <v>20</v>
      </c>
      <c r="J492" s="4">
        <v>4</v>
      </c>
      <c r="N492" s="4">
        <v>2</v>
      </c>
      <c r="P492" s="4">
        <v>2</v>
      </c>
      <c r="R492" t="s">
        <v>730</v>
      </c>
    </row>
    <row r="493" spans="1:18">
      <c r="A493" s="4">
        <v>435005</v>
      </c>
      <c r="B493" s="4">
        <v>3101</v>
      </c>
      <c r="C493" s="4" t="s">
        <v>667</v>
      </c>
      <c r="D493" s="30" t="s">
        <v>731</v>
      </c>
      <c r="F493" s="4">
        <v>9</v>
      </c>
      <c r="G493" s="4">
        <v>30</v>
      </c>
      <c r="J493" s="4">
        <v>4</v>
      </c>
      <c r="N493" s="4">
        <v>2</v>
      </c>
      <c r="P493" s="4">
        <v>2</v>
      </c>
      <c r="R493" t="s">
        <v>732</v>
      </c>
    </row>
    <row r="494" spans="1:18">
      <c r="A494" s="4">
        <v>435006</v>
      </c>
      <c r="B494" s="4">
        <v>3101</v>
      </c>
      <c r="C494" s="4" t="s">
        <v>667</v>
      </c>
      <c r="D494" s="30" t="s">
        <v>733</v>
      </c>
      <c r="F494" s="4">
        <v>9</v>
      </c>
      <c r="G494" s="4">
        <v>40</v>
      </c>
      <c r="J494" s="4">
        <v>4</v>
      </c>
      <c r="N494" s="4">
        <v>2</v>
      </c>
      <c r="P494" s="4">
        <v>2</v>
      </c>
      <c r="R494" t="s">
        <v>734</v>
      </c>
    </row>
    <row r="495" spans="1:18">
      <c r="A495" s="4">
        <v>436001</v>
      </c>
      <c r="B495" s="4">
        <v>413</v>
      </c>
      <c r="C495" s="4" t="s">
        <v>667</v>
      </c>
      <c r="D495" s="30" t="s">
        <v>735</v>
      </c>
      <c r="F495" s="4">
        <v>56</v>
      </c>
      <c r="G495" s="4">
        <v>1</v>
      </c>
      <c r="I495" s="4">
        <v>5</v>
      </c>
      <c r="J495" s="4">
        <v>4</v>
      </c>
      <c r="N495" s="17">
        <v>2</v>
      </c>
      <c r="P495" s="4">
        <v>2</v>
      </c>
      <c r="R495" t="s">
        <v>693</v>
      </c>
    </row>
    <row r="496" spans="1:18">
      <c r="A496" s="4">
        <v>436002</v>
      </c>
      <c r="B496" s="4">
        <v>413</v>
      </c>
      <c r="C496" s="4" t="s">
        <v>667</v>
      </c>
      <c r="D496" s="30" t="s">
        <v>736</v>
      </c>
      <c r="F496" s="4">
        <v>56</v>
      </c>
      <c r="G496" s="4">
        <v>2</v>
      </c>
      <c r="I496" s="4">
        <v>5</v>
      </c>
      <c r="J496" s="4">
        <v>4</v>
      </c>
      <c r="N496" s="17">
        <v>2</v>
      </c>
      <c r="P496" s="4">
        <v>2</v>
      </c>
      <c r="R496" t="s">
        <v>737</v>
      </c>
    </row>
    <row r="497" spans="1:18">
      <c r="A497" s="4">
        <v>436003</v>
      </c>
      <c r="B497" s="4">
        <v>413</v>
      </c>
      <c r="C497" s="4" t="s">
        <v>667</v>
      </c>
      <c r="D497" s="30" t="s">
        <v>738</v>
      </c>
      <c r="F497" s="4">
        <v>56</v>
      </c>
      <c r="G497" s="4">
        <v>3</v>
      </c>
      <c r="I497" s="4">
        <v>5</v>
      </c>
      <c r="J497" s="4">
        <v>4</v>
      </c>
      <c r="N497" s="17">
        <v>2</v>
      </c>
      <c r="P497" s="4">
        <v>2</v>
      </c>
      <c r="R497" t="s">
        <v>739</v>
      </c>
    </row>
    <row r="498" spans="1:18">
      <c r="A498" s="4">
        <v>436004</v>
      </c>
      <c r="B498" s="4">
        <v>413</v>
      </c>
      <c r="C498" s="4" t="s">
        <v>667</v>
      </c>
      <c r="D498" s="30" t="s">
        <v>740</v>
      </c>
      <c r="F498" s="4">
        <v>56</v>
      </c>
      <c r="G498" s="4">
        <v>4</v>
      </c>
      <c r="I498" s="4">
        <v>5</v>
      </c>
      <c r="J498" s="4">
        <v>4</v>
      </c>
      <c r="N498" s="17">
        <v>2</v>
      </c>
      <c r="P498" s="4">
        <v>2</v>
      </c>
      <c r="R498" t="s">
        <v>741</v>
      </c>
    </row>
    <row r="499" spans="1:18">
      <c r="A499" s="4">
        <v>436005</v>
      </c>
      <c r="B499" s="4">
        <v>413</v>
      </c>
      <c r="C499" s="4" t="s">
        <v>667</v>
      </c>
      <c r="D499" s="30" t="s">
        <v>742</v>
      </c>
      <c r="F499" s="4">
        <v>44</v>
      </c>
      <c r="G499" s="4">
        <v>1</v>
      </c>
      <c r="I499" s="4">
        <v>6</v>
      </c>
      <c r="J499" s="4">
        <v>4</v>
      </c>
      <c r="N499" s="17">
        <v>2</v>
      </c>
      <c r="P499" s="4">
        <v>2</v>
      </c>
      <c r="R499" t="s">
        <v>743</v>
      </c>
    </row>
    <row r="500" spans="1:18">
      <c r="A500" s="4">
        <v>436006</v>
      </c>
      <c r="B500" s="4">
        <v>413</v>
      </c>
      <c r="C500" s="4" t="s">
        <v>667</v>
      </c>
      <c r="D500" s="30" t="s">
        <v>744</v>
      </c>
      <c r="F500" s="4">
        <v>44</v>
      </c>
      <c r="G500" s="4">
        <v>2</v>
      </c>
      <c r="I500" s="4">
        <v>6</v>
      </c>
      <c r="J500" s="4">
        <v>4</v>
      </c>
      <c r="N500" s="17">
        <v>2</v>
      </c>
      <c r="P500" s="4">
        <v>2</v>
      </c>
      <c r="R500" t="s">
        <v>745</v>
      </c>
    </row>
    <row r="501" spans="1:18">
      <c r="A501" s="4">
        <v>437001</v>
      </c>
      <c r="B501" s="4">
        <v>1003</v>
      </c>
      <c r="C501" s="4" t="s">
        <v>669</v>
      </c>
      <c r="D501" s="30" t="s">
        <v>746</v>
      </c>
      <c r="F501" s="4">
        <v>4</v>
      </c>
      <c r="G501" s="4">
        <v>10</v>
      </c>
      <c r="J501" s="4">
        <v>4</v>
      </c>
      <c r="N501" s="4">
        <v>2</v>
      </c>
      <c r="P501" s="4">
        <v>2</v>
      </c>
      <c r="R501" t="s">
        <v>693</v>
      </c>
    </row>
    <row r="502" spans="1:18">
      <c r="A502" s="4">
        <v>437002</v>
      </c>
      <c r="B502" s="4">
        <v>1003</v>
      </c>
      <c r="C502" s="4" t="s">
        <v>669</v>
      </c>
      <c r="D502" s="30" t="s">
        <v>747</v>
      </c>
      <c r="F502" s="4">
        <v>4</v>
      </c>
      <c r="G502" s="4">
        <v>20</v>
      </c>
      <c r="J502" s="4">
        <v>4</v>
      </c>
      <c r="N502" s="4">
        <v>2</v>
      </c>
      <c r="P502" s="4">
        <v>2</v>
      </c>
      <c r="R502" t="s">
        <v>695</v>
      </c>
    </row>
    <row r="503" spans="1:18">
      <c r="A503" s="4">
        <v>437003</v>
      </c>
      <c r="B503" s="4">
        <v>1003</v>
      </c>
      <c r="C503" s="4" t="s">
        <v>669</v>
      </c>
      <c r="D503" s="30" t="s">
        <v>748</v>
      </c>
      <c r="F503" s="4">
        <v>4</v>
      </c>
      <c r="G503" s="4">
        <v>30</v>
      </c>
      <c r="J503" s="4">
        <v>4</v>
      </c>
      <c r="N503" s="4">
        <v>2</v>
      </c>
      <c r="P503" s="4">
        <v>2</v>
      </c>
      <c r="R503" t="s">
        <v>697</v>
      </c>
    </row>
    <row r="504" spans="1:18">
      <c r="A504" s="4">
        <v>437004</v>
      </c>
      <c r="B504" s="4">
        <v>1003</v>
      </c>
      <c r="C504" s="4" t="s">
        <v>669</v>
      </c>
      <c r="D504" s="30" t="s">
        <v>749</v>
      </c>
      <c r="F504" s="4">
        <v>4</v>
      </c>
      <c r="G504" s="4">
        <v>40</v>
      </c>
      <c r="J504" s="4">
        <v>4</v>
      </c>
      <c r="N504" s="4">
        <v>2</v>
      </c>
      <c r="P504" s="4">
        <v>2</v>
      </c>
      <c r="R504" t="s">
        <v>699</v>
      </c>
    </row>
    <row r="505" spans="1:18">
      <c r="A505" s="4">
        <v>437005</v>
      </c>
      <c r="B505" s="4">
        <v>1004</v>
      </c>
      <c r="C505" s="4" t="s">
        <v>669</v>
      </c>
      <c r="D505" s="30" t="s">
        <v>750</v>
      </c>
      <c r="F505" s="4">
        <v>4</v>
      </c>
      <c r="G505" s="4">
        <v>5</v>
      </c>
      <c r="I505" s="4">
        <v>3</v>
      </c>
      <c r="J505" s="4">
        <v>4</v>
      </c>
      <c r="N505" s="4">
        <v>2</v>
      </c>
      <c r="P505" s="4">
        <v>2</v>
      </c>
      <c r="R505" t="s">
        <v>701</v>
      </c>
    </row>
    <row r="506" spans="1:18">
      <c r="A506" s="4">
        <v>437006</v>
      </c>
      <c r="B506" s="4">
        <v>1004</v>
      </c>
      <c r="C506" s="4" t="s">
        <v>669</v>
      </c>
      <c r="D506" s="30" t="s">
        <v>302</v>
      </c>
      <c r="F506" s="4">
        <v>4</v>
      </c>
      <c r="G506" s="4">
        <v>10</v>
      </c>
      <c r="I506" s="4">
        <v>3</v>
      </c>
      <c r="J506" s="4">
        <v>4</v>
      </c>
      <c r="N506" s="4">
        <v>2</v>
      </c>
      <c r="P506" s="4">
        <v>2</v>
      </c>
      <c r="R506" t="s">
        <v>701</v>
      </c>
    </row>
    <row r="507" spans="1:18">
      <c r="A507" s="4">
        <v>438001</v>
      </c>
      <c r="B507" s="4">
        <v>1006</v>
      </c>
      <c r="C507" s="4" t="s">
        <v>669</v>
      </c>
      <c r="D507" s="30" t="s">
        <v>751</v>
      </c>
      <c r="F507" s="4">
        <v>4</v>
      </c>
      <c r="G507" s="4">
        <v>5</v>
      </c>
      <c r="J507" s="4">
        <v>4</v>
      </c>
      <c r="N507" s="4">
        <v>2</v>
      </c>
      <c r="P507" s="4">
        <v>2</v>
      </c>
      <c r="R507" t="s">
        <v>752</v>
      </c>
    </row>
    <row r="508" spans="1:18">
      <c r="A508" s="4">
        <v>438002</v>
      </c>
      <c r="B508" s="4">
        <v>1006</v>
      </c>
      <c r="C508" s="4" t="s">
        <v>669</v>
      </c>
      <c r="D508" s="30" t="s">
        <v>753</v>
      </c>
      <c r="F508" s="4">
        <v>4</v>
      </c>
      <c r="G508" s="4">
        <v>10</v>
      </c>
      <c r="J508" s="4">
        <v>4</v>
      </c>
      <c r="N508" s="4">
        <v>2</v>
      </c>
      <c r="P508" s="4">
        <v>2</v>
      </c>
      <c r="R508" t="s">
        <v>754</v>
      </c>
    </row>
    <row r="509" spans="1:18">
      <c r="A509" s="4">
        <v>438003</v>
      </c>
      <c r="B509" s="4">
        <v>1006</v>
      </c>
      <c r="C509" s="4" t="s">
        <v>669</v>
      </c>
      <c r="D509" s="30" t="s">
        <v>755</v>
      </c>
      <c r="F509" s="4">
        <v>4</v>
      </c>
      <c r="G509" s="4">
        <v>15</v>
      </c>
      <c r="J509" s="4">
        <v>4</v>
      </c>
      <c r="N509" s="4">
        <v>2</v>
      </c>
      <c r="P509" s="4">
        <v>2</v>
      </c>
      <c r="R509" t="s">
        <v>278</v>
      </c>
    </row>
    <row r="510" spans="1:18">
      <c r="A510" s="4">
        <v>438004</v>
      </c>
      <c r="B510" s="4">
        <v>1006</v>
      </c>
      <c r="C510" s="4" t="s">
        <v>669</v>
      </c>
      <c r="D510" s="30" t="s">
        <v>756</v>
      </c>
      <c r="F510" s="4">
        <v>4</v>
      </c>
      <c r="G510" s="4">
        <v>20</v>
      </c>
      <c r="J510" s="4">
        <v>4</v>
      </c>
      <c r="N510" s="4">
        <v>2</v>
      </c>
      <c r="P510" s="4">
        <v>2</v>
      </c>
      <c r="R510" t="s">
        <v>757</v>
      </c>
    </row>
    <row r="511" spans="1:18">
      <c r="A511" s="4">
        <v>438005</v>
      </c>
      <c r="B511" s="4">
        <v>1006</v>
      </c>
      <c r="C511" s="4" t="s">
        <v>669</v>
      </c>
      <c r="D511" s="30" t="s">
        <v>758</v>
      </c>
      <c r="F511" s="4">
        <v>4</v>
      </c>
      <c r="G511" s="4">
        <v>30</v>
      </c>
      <c r="J511" s="4">
        <v>4</v>
      </c>
      <c r="N511" s="4">
        <v>2</v>
      </c>
      <c r="P511" s="4">
        <v>2</v>
      </c>
      <c r="R511" t="s">
        <v>759</v>
      </c>
    </row>
    <row r="512" spans="1:18">
      <c r="A512" s="4">
        <v>438006</v>
      </c>
      <c r="B512" s="4">
        <v>1006</v>
      </c>
      <c r="C512" s="4" t="s">
        <v>669</v>
      </c>
      <c r="D512" s="30" t="s">
        <v>760</v>
      </c>
      <c r="F512" s="4">
        <v>4</v>
      </c>
      <c r="G512" s="4">
        <v>40</v>
      </c>
      <c r="J512" s="4">
        <v>4</v>
      </c>
      <c r="N512" s="4">
        <v>2</v>
      </c>
      <c r="P512" s="4">
        <v>2</v>
      </c>
      <c r="R512" t="s">
        <v>759</v>
      </c>
    </row>
    <row r="513" spans="1:18">
      <c r="A513" s="4">
        <v>439001</v>
      </c>
      <c r="B513" s="4">
        <v>801</v>
      </c>
      <c r="C513" s="4" t="s">
        <v>671</v>
      </c>
      <c r="D513" s="30" t="s">
        <v>761</v>
      </c>
      <c r="F513" s="4">
        <v>48</v>
      </c>
      <c r="G513" s="4">
        <v>1</v>
      </c>
      <c r="I513" s="4">
        <v>3</v>
      </c>
      <c r="J513" s="4">
        <v>0</v>
      </c>
      <c r="N513" s="4">
        <v>2</v>
      </c>
      <c r="P513" s="4">
        <v>2</v>
      </c>
      <c r="R513" t="s">
        <v>762</v>
      </c>
    </row>
    <row r="514" spans="1:18">
      <c r="A514" s="4">
        <v>439002</v>
      </c>
      <c r="B514" s="4">
        <v>801</v>
      </c>
      <c r="C514" s="4" t="s">
        <v>671</v>
      </c>
      <c r="D514" s="30" t="s">
        <v>763</v>
      </c>
      <c r="F514" s="4">
        <v>48</v>
      </c>
      <c r="G514" s="4">
        <v>1</v>
      </c>
      <c r="I514" s="4">
        <v>5</v>
      </c>
      <c r="J514" s="4">
        <v>0</v>
      </c>
      <c r="N514" s="4">
        <v>2</v>
      </c>
      <c r="P514" s="4">
        <v>2</v>
      </c>
      <c r="R514" t="s">
        <v>754</v>
      </c>
    </row>
    <row r="515" spans="1:18">
      <c r="A515" s="4">
        <v>439003</v>
      </c>
      <c r="B515" s="4">
        <v>803</v>
      </c>
      <c r="C515" s="4" t="s">
        <v>671</v>
      </c>
      <c r="D515" s="30" t="s">
        <v>764</v>
      </c>
      <c r="F515" s="4">
        <v>48</v>
      </c>
      <c r="G515" s="4">
        <v>1</v>
      </c>
      <c r="I515" s="4">
        <v>2</v>
      </c>
      <c r="J515" s="4">
        <v>0</v>
      </c>
      <c r="N515" s="4">
        <v>0</v>
      </c>
      <c r="P515" s="4">
        <v>2</v>
      </c>
      <c r="R515" t="s">
        <v>765</v>
      </c>
    </row>
    <row r="516" spans="1:18">
      <c r="A516" s="4">
        <v>439004</v>
      </c>
      <c r="B516" s="4">
        <v>803</v>
      </c>
      <c r="C516" s="4" t="s">
        <v>671</v>
      </c>
      <c r="D516" s="30" t="s">
        <v>766</v>
      </c>
      <c r="F516" s="4">
        <v>48</v>
      </c>
      <c r="G516" s="4">
        <v>1</v>
      </c>
      <c r="I516" s="4">
        <v>3</v>
      </c>
      <c r="J516" s="4">
        <v>0</v>
      </c>
      <c r="N516" s="4">
        <v>0</v>
      </c>
      <c r="P516" s="4">
        <v>2</v>
      </c>
      <c r="R516" t="s">
        <v>767</v>
      </c>
    </row>
    <row r="517" spans="1:18">
      <c r="A517" s="4">
        <v>439005</v>
      </c>
      <c r="B517" s="4">
        <v>803</v>
      </c>
      <c r="C517" s="4" t="s">
        <v>671</v>
      </c>
      <c r="D517" s="30" t="s">
        <v>768</v>
      </c>
      <c r="F517" s="4">
        <v>48</v>
      </c>
      <c r="G517" s="4">
        <v>1</v>
      </c>
      <c r="I517" s="4">
        <v>4</v>
      </c>
      <c r="J517" s="4">
        <v>0</v>
      </c>
      <c r="N517" s="4">
        <v>0</v>
      </c>
      <c r="P517" s="4">
        <v>2</v>
      </c>
      <c r="R517" t="s">
        <v>769</v>
      </c>
    </row>
    <row r="518" spans="1:18">
      <c r="A518" s="4">
        <v>439006</v>
      </c>
      <c r="B518" s="4">
        <v>803</v>
      </c>
      <c r="C518" s="4" t="s">
        <v>671</v>
      </c>
      <c r="D518" s="30" t="s">
        <v>770</v>
      </c>
      <c r="F518" s="4">
        <v>48</v>
      </c>
      <c r="G518" s="4">
        <v>1</v>
      </c>
      <c r="I518" s="4">
        <v>5</v>
      </c>
      <c r="J518" s="4">
        <v>0</v>
      </c>
      <c r="N518" s="4">
        <v>0</v>
      </c>
      <c r="P518" s="4">
        <v>2</v>
      </c>
      <c r="R518" t="s">
        <v>769</v>
      </c>
    </row>
    <row r="519" spans="1:18">
      <c r="A519" s="4">
        <v>440001</v>
      </c>
      <c r="B519" s="4">
        <v>201</v>
      </c>
      <c r="C519" s="4" t="s">
        <v>671</v>
      </c>
      <c r="D519" s="30" t="s">
        <v>161</v>
      </c>
      <c r="F519" s="4">
        <v>33</v>
      </c>
      <c r="G519" s="4">
        <v>10</v>
      </c>
      <c r="J519" s="4">
        <v>4</v>
      </c>
      <c r="N519" s="4">
        <v>2</v>
      </c>
      <c r="P519" s="4">
        <v>2</v>
      </c>
      <c r="R519" t="s">
        <v>771</v>
      </c>
    </row>
    <row r="520" spans="1:18">
      <c r="A520" s="4">
        <v>440002</v>
      </c>
      <c r="B520" s="4">
        <v>201</v>
      </c>
      <c r="C520" s="4" t="s">
        <v>671</v>
      </c>
      <c r="D520" s="30" t="s">
        <v>163</v>
      </c>
      <c r="F520" s="4">
        <v>33</v>
      </c>
      <c r="G520" s="4">
        <v>20</v>
      </c>
      <c r="J520" s="4">
        <v>4</v>
      </c>
      <c r="N520" s="4">
        <v>2</v>
      </c>
      <c r="P520" s="4">
        <v>2</v>
      </c>
      <c r="R520" t="s">
        <v>772</v>
      </c>
    </row>
    <row r="521" spans="1:18">
      <c r="A521" s="4">
        <v>440003</v>
      </c>
      <c r="B521" s="4">
        <v>201</v>
      </c>
      <c r="C521" s="4" t="s">
        <v>671</v>
      </c>
      <c r="D521" s="30" t="s">
        <v>146</v>
      </c>
      <c r="F521" s="4">
        <v>33</v>
      </c>
      <c r="G521" s="4">
        <v>30</v>
      </c>
      <c r="J521" s="4">
        <v>4</v>
      </c>
      <c r="N521" s="4">
        <v>2</v>
      </c>
      <c r="P521" s="4">
        <v>2</v>
      </c>
      <c r="R521" t="s">
        <v>773</v>
      </c>
    </row>
    <row r="522" spans="1:18">
      <c r="A522" s="4">
        <v>440004</v>
      </c>
      <c r="B522" s="4">
        <v>201</v>
      </c>
      <c r="C522" s="4" t="s">
        <v>671</v>
      </c>
      <c r="D522" s="30" t="s">
        <v>148</v>
      </c>
      <c r="F522" s="4">
        <v>33</v>
      </c>
      <c r="G522" s="4">
        <v>40</v>
      </c>
      <c r="J522" s="4">
        <v>4</v>
      </c>
      <c r="N522" s="4">
        <v>2</v>
      </c>
      <c r="P522" s="4">
        <v>2</v>
      </c>
      <c r="R522" t="s">
        <v>774</v>
      </c>
    </row>
    <row r="523" spans="1:18">
      <c r="A523" s="4">
        <v>440005</v>
      </c>
      <c r="B523" s="4">
        <v>201</v>
      </c>
      <c r="C523" s="4" t="s">
        <v>671</v>
      </c>
      <c r="D523" s="30" t="s">
        <v>775</v>
      </c>
      <c r="F523" s="4">
        <v>33</v>
      </c>
      <c r="G523" s="4">
        <v>45</v>
      </c>
      <c r="J523" s="4">
        <v>4</v>
      </c>
      <c r="N523" s="4">
        <v>2</v>
      </c>
      <c r="P523" s="4">
        <v>2</v>
      </c>
      <c r="R523" t="s">
        <v>776</v>
      </c>
    </row>
    <row r="524" spans="1:18">
      <c r="A524" s="4">
        <v>440006</v>
      </c>
      <c r="B524" s="4">
        <v>201</v>
      </c>
      <c r="C524" s="4" t="s">
        <v>671</v>
      </c>
      <c r="D524" s="30" t="s">
        <v>777</v>
      </c>
      <c r="F524" s="4">
        <v>33</v>
      </c>
      <c r="G524" s="4">
        <v>55</v>
      </c>
      <c r="J524" s="4">
        <v>4</v>
      </c>
      <c r="N524" s="4">
        <v>2</v>
      </c>
      <c r="P524" s="4">
        <v>2</v>
      </c>
      <c r="R524" t="s">
        <v>776</v>
      </c>
    </row>
    <row r="525" spans="1:18">
      <c r="A525" s="4">
        <v>441001</v>
      </c>
      <c r="B525" s="4">
        <v>1401</v>
      </c>
      <c r="C525" s="4" t="s">
        <v>673</v>
      </c>
      <c r="D525" s="30" t="s">
        <v>778</v>
      </c>
      <c r="F525" s="4">
        <v>3</v>
      </c>
      <c r="G525" s="4">
        <v>10</v>
      </c>
      <c r="J525" s="4">
        <v>0</v>
      </c>
      <c r="N525" s="4">
        <v>2</v>
      </c>
      <c r="P525" s="4">
        <v>2</v>
      </c>
      <c r="R525" t="s">
        <v>779</v>
      </c>
    </row>
    <row r="526" spans="1:18">
      <c r="A526" s="4">
        <v>441002</v>
      </c>
      <c r="B526" s="4">
        <v>1401</v>
      </c>
      <c r="C526" s="4" t="s">
        <v>673</v>
      </c>
      <c r="D526" s="30" t="s">
        <v>780</v>
      </c>
      <c r="F526" s="4">
        <v>3</v>
      </c>
      <c r="G526" s="4">
        <v>20</v>
      </c>
      <c r="J526" s="4">
        <v>0</v>
      </c>
      <c r="N526" s="4">
        <v>2</v>
      </c>
      <c r="P526" s="4">
        <v>2</v>
      </c>
      <c r="R526" t="s">
        <v>781</v>
      </c>
    </row>
    <row r="527" spans="1:18">
      <c r="A527" s="4">
        <v>441003</v>
      </c>
      <c r="B527" s="4">
        <v>1401</v>
      </c>
      <c r="C527" s="4" t="s">
        <v>673</v>
      </c>
      <c r="D527" s="30" t="s">
        <v>782</v>
      </c>
      <c r="F527" s="4">
        <v>3</v>
      </c>
      <c r="G527" s="4">
        <v>30</v>
      </c>
      <c r="J527" s="4">
        <v>0</v>
      </c>
      <c r="N527" s="4">
        <v>2</v>
      </c>
      <c r="P527" s="4">
        <v>2</v>
      </c>
      <c r="R527" t="s">
        <v>783</v>
      </c>
    </row>
    <row r="528" spans="1:18">
      <c r="A528" s="4">
        <v>441004</v>
      </c>
      <c r="B528" s="4">
        <v>1401</v>
      </c>
      <c r="C528" s="4" t="s">
        <v>673</v>
      </c>
      <c r="D528" s="30" t="s">
        <v>784</v>
      </c>
      <c r="F528" s="4">
        <v>3</v>
      </c>
      <c r="G528" s="4">
        <v>40</v>
      </c>
      <c r="J528" s="4">
        <v>0</v>
      </c>
      <c r="N528" s="4">
        <v>2</v>
      </c>
      <c r="P528" s="4">
        <v>2</v>
      </c>
      <c r="R528" t="s">
        <v>785</v>
      </c>
    </row>
    <row r="529" spans="1:18">
      <c r="A529" s="4">
        <v>441005</v>
      </c>
      <c r="B529" s="4">
        <v>1401</v>
      </c>
      <c r="C529" s="4" t="s">
        <v>673</v>
      </c>
      <c r="D529" s="30" t="s">
        <v>786</v>
      </c>
      <c r="F529" s="4">
        <v>3</v>
      </c>
      <c r="G529" s="4">
        <v>50</v>
      </c>
      <c r="J529" s="4">
        <v>0</v>
      </c>
      <c r="N529" s="4">
        <v>2</v>
      </c>
      <c r="P529" s="4">
        <v>2</v>
      </c>
      <c r="R529" t="s">
        <v>787</v>
      </c>
    </row>
    <row r="530" spans="1:18">
      <c r="A530" s="4">
        <v>441006</v>
      </c>
      <c r="B530" s="4">
        <v>2000</v>
      </c>
      <c r="C530" s="4" t="s">
        <v>673</v>
      </c>
      <c r="D530" s="30" t="s">
        <v>788</v>
      </c>
      <c r="F530" s="4">
        <v>3</v>
      </c>
      <c r="G530" s="4">
        <v>1</v>
      </c>
      <c r="I530" s="4">
        <v>1100</v>
      </c>
      <c r="J530" s="4">
        <v>4</v>
      </c>
      <c r="N530" s="4">
        <v>2</v>
      </c>
      <c r="P530" s="4">
        <v>2</v>
      </c>
      <c r="R530" t="s">
        <v>787</v>
      </c>
    </row>
    <row r="531" spans="1:18">
      <c r="A531" s="4">
        <v>442001</v>
      </c>
      <c r="B531" s="4">
        <v>981</v>
      </c>
      <c r="C531" s="4" t="s">
        <v>673</v>
      </c>
      <c r="D531" s="30" t="s">
        <v>789</v>
      </c>
      <c r="F531" s="4">
        <v>30</v>
      </c>
      <c r="G531" s="4">
        <v>5</v>
      </c>
      <c r="I531" s="4">
        <v>1</v>
      </c>
      <c r="J531" s="4">
        <v>4</v>
      </c>
      <c r="N531" s="4">
        <v>0</v>
      </c>
      <c r="P531" s="4">
        <v>2</v>
      </c>
      <c r="R531" t="s">
        <v>790</v>
      </c>
    </row>
    <row r="532" spans="1:18">
      <c r="A532" s="4">
        <v>442002</v>
      </c>
      <c r="B532" s="4">
        <v>981</v>
      </c>
      <c r="C532" s="4" t="s">
        <v>673</v>
      </c>
      <c r="D532" s="30" t="s">
        <v>791</v>
      </c>
      <c r="F532" s="4">
        <v>30</v>
      </c>
      <c r="G532" s="4">
        <v>10</v>
      </c>
      <c r="I532" s="4">
        <v>1</v>
      </c>
      <c r="J532" s="4">
        <v>4</v>
      </c>
      <c r="N532" s="4">
        <v>0</v>
      </c>
      <c r="P532" s="4">
        <v>2</v>
      </c>
      <c r="R532" t="s">
        <v>792</v>
      </c>
    </row>
    <row r="533" spans="1:18">
      <c r="A533" s="4">
        <v>442003</v>
      </c>
      <c r="B533" s="4">
        <v>981</v>
      </c>
      <c r="C533" s="4" t="s">
        <v>673</v>
      </c>
      <c r="D533" s="30" t="s">
        <v>793</v>
      </c>
      <c r="F533" s="4">
        <v>30</v>
      </c>
      <c r="G533" s="4">
        <v>15</v>
      </c>
      <c r="I533" s="4">
        <v>1</v>
      </c>
      <c r="J533" s="4">
        <v>4</v>
      </c>
      <c r="N533" s="4">
        <v>0</v>
      </c>
      <c r="P533" s="4">
        <v>2</v>
      </c>
      <c r="R533" t="s">
        <v>783</v>
      </c>
    </row>
    <row r="534" spans="1:18">
      <c r="A534" s="4">
        <v>442004</v>
      </c>
      <c r="B534" s="4">
        <v>981</v>
      </c>
      <c r="C534" s="4" t="s">
        <v>673</v>
      </c>
      <c r="D534" s="30" t="s">
        <v>794</v>
      </c>
      <c r="F534" s="4">
        <v>30</v>
      </c>
      <c r="G534" s="4">
        <v>20</v>
      </c>
      <c r="I534" s="4">
        <v>1</v>
      </c>
      <c r="J534" s="4">
        <v>4</v>
      </c>
      <c r="N534" s="4">
        <v>0</v>
      </c>
      <c r="P534" s="4">
        <v>2</v>
      </c>
      <c r="R534" t="s">
        <v>795</v>
      </c>
    </row>
    <row r="535" spans="1:18">
      <c r="A535" s="4">
        <v>442005</v>
      </c>
      <c r="B535" s="4">
        <v>981</v>
      </c>
      <c r="C535" s="4" t="s">
        <v>673</v>
      </c>
      <c r="D535" s="30" t="s">
        <v>796</v>
      </c>
      <c r="F535" s="4">
        <v>30</v>
      </c>
      <c r="G535" s="4">
        <v>25</v>
      </c>
      <c r="I535" s="4">
        <v>1</v>
      </c>
      <c r="J535" s="4">
        <v>4</v>
      </c>
      <c r="N535" s="4">
        <v>0</v>
      </c>
      <c r="P535" s="4">
        <v>2</v>
      </c>
      <c r="R535" t="s">
        <v>797</v>
      </c>
    </row>
    <row r="536" spans="1:18">
      <c r="A536" s="4">
        <v>442006</v>
      </c>
      <c r="B536" s="4">
        <v>981</v>
      </c>
      <c r="C536" s="4" t="s">
        <v>673</v>
      </c>
      <c r="D536" s="30" t="s">
        <v>798</v>
      </c>
      <c r="F536" s="4">
        <v>30</v>
      </c>
      <c r="G536" s="4">
        <v>30</v>
      </c>
      <c r="I536" s="4">
        <v>1</v>
      </c>
      <c r="J536" s="4">
        <v>4</v>
      </c>
      <c r="N536" s="4">
        <v>0</v>
      </c>
      <c r="P536" s="4">
        <v>2</v>
      </c>
      <c r="R536" t="s">
        <v>799</v>
      </c>
    </row>
    <row r="537" spans="1:18">
      <c r="A537" s="4">
        <v>443001</v>
      </c>
      <c r="B537" s="4">
        <v>3104</v>
      </c>
      <c r="C537" s="4" t="s">
        <v>675</v>
      </c>
      <c r="D537" s="30" t="s">
        <v>800</v>
      </c>
      <c r="F537" s="4">
        <v>9</v>
      </c>
      <c r="G537" s="4">
        <v>3</v>
      </c>
      <c r="J537" s="4">
        <v>4</v>
      </c>
      <c r="N537" s="4">
        <v>2</v>
      </c>
      <c r="P537" s="4">
        <v>2</v>
      </c>
      <c r="R537" t="s">
        <v>801</v>
      </c>
    </row>
    <row r="538" spans="1:18">
      <c r="A538" s="4">
        <v>443002</v>
      </c>
      <c r="B538" s="4">
        <v>3104</v>
      </c>
      <c r="C538" s="4" t="s">
        <v>675</v>
      </c>
      <c r="D538" s="30" t="s">
        <v>802</v>
      </c>
      <c r="F538" s="4">
        <v>9</v>
      </c>
      <c r="G538" s="4">
        <v>5</v>
      </c>
      <c r="J538" s="4">
        <v>4</v>
      </c>
      <c r="N538" s="4">
        <v>2</v>
      </c>
      <c r="P538" s="4">
        <v>2</v>
      </c>
      <c r="R538" t="s">
        <v>803</v>
      </c>
    </row>
    <row r="539" spans="1:18">
      <c r="A539" s="4">
        <v>443003</v>
      </c>
      <c r="B539" s="4">
        <v>3104</v>
      </c>
      <c r="C539" s="4" t="s">
        <v>675</v>
      </c>
      <c r="D539" s="30" t="s">
        <v>804</v>
      </c>
      <c r="F539" s="4">
        <v>9</v>
      </c>
      <c r="G539" s="4">
        <v>8</v>
      </c>
      <c r="J539" s="4">
        <v>4</v>
      </c>
      <c r="N539" s="4">
        <v>2</v>
      </c>
      <c r="P539" s="4">
        <v>2</v>
      </c>
      <c r="R539" t="s">
        <v>805</v>
      </c>
    </row>
    <row r="540" spans="1:18">
      <c r="A540" s="4">
        <v>443004</v>
      </c>
      <c r="B540" s="4">
        <v>3104</v>
      </c>
      <c r="C540" s="4" t="s">
        <v>675</v>
      </c>
      <c r="D540" s="30" t="s">
        <v>806</v>
      </c>
      <c r="F540" s="4">
        <v>9</v>
      </c>
      <c r="G540" s="4">
        <v>10</v>
      </c>
      <c r="J540" s="4">
        <v>4</v>
      </c>
      <c r="N540" s="4">
        <v>2</v>
      </c>
      <c r="P540" s="4">
        <v>2</v>
      </c>
      <c r="R540" t="s">
        <v>807</v>
      </c>
    </row>
    <row r="541" spans="1:18">
      <c r="A541" s="4">
        <v>443005</v>
      </c>
      <c r="B541" s="4">
        <v>3104</v>
      </c>
      <c r="C541" s="4" t="s">
        <v>675</v>
      </c>
      <c r="D541" s="30" t="s">
        <v>808</v>
      </c>
      <c r="F541" s="4">
        <v>9</v>
      </c>
      <c r="G541" s="4">
        <v>15</v>
      </c>
      <c r="J541" s="4">
        <v>4</v>
      </c>
      <c r="N541" s="4">
        <v>2</v>
      </c>
      <c r="P541" s="4">
        <v>2</v>
      </c>
      <c r="R541" t="s">
        <v>809</v>
      </c>
    </row>
    <row r="542" spans="1:18">
      <c r="A542" s="4">
        <v>443006</v>
      </c>
      <c r="B542" s="4">
        <v>3104</v>
      </c>
      <c r="C542" s="4" t="s">
        <v>675</v>
      </c>
      <c r="D542" s="30" t="s">
        <v>810</v>
      </c>
      <c r="F542" s="4">
        <v>9</v>
      </c>
      <c r="G542" s="4">
        <v>20</v>
      </c>
      <c r="J542" s="4">
        <v>4</v>
      </c>
      <c r="N542" s="4">
        <v>2</v>
      </c>
      <c r="P542" s="4">
        <v>2</v>
      </c>
      <c r="R542" t="s">
        <v>809</v>
      </c>
    </row>
    <row r="543" spans="1:18">
      <c r="A543" s="4">
        <v>444001</v>
      </c>
      <c r="B543" s="4">
        <v>430</v>
      </c>
      <c r="C543" s="4" t="s">
        <v>675</v>
      </c>
      <c r="D543" s="30" t="s">
        <v>811</v>
      </c>
      <c r="F543" s="4">
        <v>44</v>
      </c>
      <c r="G543" s="4">
        <v>5</v>
      </c>
      <c r="I543" s="4">
        <v>30</v>
      </c>
      <c r="J543" s="4">
        <v>4</v>
      </c>
      <c r="N543" s="4">
        <v>2</v>
      </c>
      <c r="P543" s="4">
        <v>2</v>
      </c>
      <c r="R543" t="s">
        <v>771</v>
      </c>
    </row>
    <row r="544" spans="1:18">
      <c r="A544" s="4">
        <v>444002</v>
      </c>
      <c r="B544" s="4">
        <v>430</v>
      </c>
      <c r="C544" s="4" t="s">
        <v>675</v>
      </c>
      <c r="D544" s="30" t="s">
        <v>812</v>
      </c>
      <c r="F544" s="4">
        <v>44</v>
      </c>
      <c r="G544" s="4">
        <v>1</v>
      </c>
      <c r="I544" s="4">
        <v>100</v>
      </c>
      <c r="J544" s="4">
        <v>4</v>
      </c>
      <c r="N544" s="4">
        <v>2</v>
      </c>
      <c r="P544" s="4">
        <v>2</v>
      </c>
      <c r="R544" t="s">
        <v>772</v>
      </c>
    </row>
    <row r="545" spans="1:18">
      <c r="A545" s="4">
        <v>444003</v>
      </c>
      <c r="B545" s="4">
        <v>430</v>
      </c>
      <c r="C545" s="4" t="s">
        <v>675</v>
      </c>
      <c r="D545" s="30" t="s">
        <v>813</v>
      </c>
      <c r="F545" s="4">
        <v>44</v>
      </c>
      <c r="G545" s="4">
        <v>1</v>
      </c>
      <c r="I545" s="4">
        <v>120</v>
      </c>
      <c r="J545" s="4">
        <v>4</v>
      </c>
      <c r="N545" s="4">
        <v>2</v>
      </c>
      <c r="P545" s="4">
        <v>2</v>
      </c>
      <c r="R545" t="s">
        <v>814</v>
      </c>
    </row>
    <row r="546" spans="1:18">
      <c r="A546" s="4">
        <v>444004</v>
      </c>
      <c r="B546" s="4">
        <v>410</v>
      </c>
      <c r="C546" s="4" t="s">
        <v>675</v>
      </c>
      <c r="D546" s="30" t="s">
        <v>197</v>
      </c>
      <c r="F546" s="4">
        <v>56</v>
      </c>
      <c r="G546" s="4">
        <v>5</v>
      </c>
      <c r="I546" s="4">
        <v>5</v>
      </c>
      <c r="J546" s="4">
        <v>4</v>
      </c>
      <c r="N546" s="17">
        <v>2</v>
      </c>
      <c r="P546" s="4">
        <v>2</v>
      </c>
      <c r="R546" t="s">
        <v>815</v>
      </c>
    </row>
    <row r="547" spans="1:18">
      <c r="A547" s="4">
        <v>444005</v>
      </c>
      <c r="B547" s="4">
        <v>410</v>
      </c>
      <c r="C547" s="4" t="s">
        <v>675</v>
      </c>
      <c r="D547" s="30" t="s">
        <v>579</v>
      </c>
      <c r="F547" s="4">
        <v>4</v>
      </c>
      <c r="G547" s="4">
        <v>1</v>
      </c>
      <c r="I547" s="4">
        <v>6</v>
      </c>
      <c r="J547" s="4">
        <v>4</v>
      </c>
      <c r="N547" s="17">
        <v>2</v>
      </c>
      <c r="P547" s="4">
        <v>2</v>
      </c>
      <c r="R547" t="s">
        <v>809</v>
      </c>
    </row>
    <row r="548" spans="1:18">
      <c r="A548" s="4">
        <v>444006</v>
      </c>
      <c r="B548" s="4">
        <v>410</v>
      </c>
      <c r="C548" s="4" t="s">
        <v>675</v>
      </c>
      <c r="D548" s="30" t="s">
        <v>816</v>
      </c>
      <c r="F548" s="4">
        <v>4</v>
      </c>
      <c r="G548" s="4">
        <v>2</v>
      </c>
      <c r="I548" s="4">
        <v>6</v>
      </c>
      <c r="J548" s="4">
        <v>4</v>
      </c>
      <c r="N548" s="17">
        <v>2</v>
      </c>
      <c r="P548" s="4">
        <v>2</v>
      </c>
      <c r="R548" t="s">
        <v>809</v>
      </c>
    </row>
    <row r="549" spans="1:18">
      <c r="A549" s="17">
        <v>445001</v>
      </c>
      <c r="B549" s="4">
        <v>302</v>
      </c>
      <c r="C549" s="4" t="s">
        <v>111</v>
      </c>
      <c r="D549" s="30" t="s">
        <v>817</v>
      </c>
      <c r="F549" s="4">
        <v>1</v>
      </c>
      <c r="G549" s="4">
        <v>1</v>
      </c>
      <c r="J549" s="4">
        <v>4</v>
      </c>
      <c r="N549" s="4">
        <v>2</v>
      </c>
      <c r="P549" s="4">
        <v>2</v>
      </c>
      <c r="R549" s="63" t="s">
        <v>818</v>
      </c>
    </row>
    <row r="550" spans="1:18">
      <c r="A550" s="17">
        <v>445002</v>
      </c>
      <c r="B550" s="4">
        <v>302</v>
      </c>
      <c r="C550" s="4" t="s">
        <v>111</v>
      </c>
      <c r="D550" s="30" t="s">
        <v>819</v>
      </c>
      <c r="F550" s="4">
        <v>1</v>
      </c>
      <c r="G550" s="4">
        <v>2</v>
      </c>
      <c r="J550" s="4">
        <v>4</v>
      </c>
      <c r="N550" s="4">
        <v>2</v>
      </c>
      <c r="P550" s="4">
        <v>2</v>
      </c>
      <c r="R550" s="63" t="s">
        <v>820</v>
      </c>
    </row>
    <row r="551" spans="1:18">
      <c r="A551" s="17">
        <v>445003</v>
      </c>
      <c r="B551" s="4">
        <v>302</v>
      </c>
      <c r="C551" s="4" t="s">
        <v>111</v>
      </c>
      <c r="D551" s="30" t="s">
        <v>821</v>
      </c>
      <c r="F551" s="4">
        <v>1</v>
      </c>
      <c r="G551" s="4">
        <v>3</v>
      </c>
      <c r="J551" s="4">
        <v>4</v>
      </c>
      <c r="N551" s="4">
        <v>2</v>
      </c>
      <c r="P551" s="4">
        <v>2</v>
      </c>
      <c r="R551" s="63" t="s">
        <v>822</v>
      </c>
    </row>
    <row r="552" spans="1:18">
      <c r="A552" s="17">
        <v>445004</v>
      </c>
      <c r="B552" s="4">
        <v>302</v>
      </c>
      <c r="C552" s="4" t="s">
        <v>111</v>
      </c>
      <c r="D552" s="30" t="s">
        <v>823</v>
      </c>
      <c r="F552" s="4">
        <v>1</v>
      </c>
      <c r="G552" s="4">
        <v>4</v>
      </c>
      <c r="J552" s="4">
        <v>4</v>
      </c>
      <c r="N552" s="4">
        <v>2</v>
      </c>
      <c r="P552" s="4">
        <v>2</v>
      </c>
      <c r="R552" s="63" t="s">
        <v>824</v>
      </c>
    </row>
    <row r="553" spans="1:18">
      <c r="A553" s="17">
        <v>445005</v>
      </c>
      <c r="B553" s="4">
        <v>302</v>
      </c>
      <c r="C553" s="4" t="s">
        <v>111</v>
      </c>
      <c r="D553" s="30" t="s">
        <v>112</v>
      </c>
      <c r="F553" s="4">
        <v>1</v>
      </c>
      <c r="G553" s="4">
        <v>5</v>
      </c>
      <c r="J553" s="4">
        <v>4</v>
      </c>
      <c r="N553" s="4">
        <v>2</v>
      </c>
      <c r="P553" s="4">
        <v>2</v>
      </c>
      <c r="R553" s="63" t="s">
        <v>643</v>
      </c>
    </row>
    <row r="554" spans="1:18">
      <c r="A554" s="17">
        <v>445006</v>
      </c>
      <c r="B554" s="4">
        <v>302</v>
      </c>
      <c r="C554" s="4" t="s">
        <v>111</v>
      </c>
      <c r="D554" s="30" t="s">
        <v>825</v>
      </c>
      <c r="F554" s="4">
        <v>1</v>
      </c>
      <c r="G554" s="4">
        <v>6</v>
      </c>
      <c r="J554" s="4">
        <v>4</v>
      </c>
      <c r="N554" s="4">
        <v>2</v>
      </c>
      <c r="P554" s="4">
        <v>2</v>
      </c>
      <c r="R554" s="63" t="s">
        <v>826</v>
      </c>
    </row>
    <row r="555" spans="1:18">
      <c r="A555" s="17">
        <v>445007</v>
      </c>
      <c r="B555" s="4">
        <v>302</v>
      </c>
      <c r="C555" s="4" t="s">
        <v>111</v>
      </c>
      <c r="D555" s="30" t="s">
        <v>827</v>
      </c>
      <c r="F555" s="4">
        <v>1</v>
      </c>
      <c r="G555" s="4">
        <v>7</v>
      </c>
      <c r="J555" s="4">
        <v>4</v>
      </c>
      <c r="N555" s="4">
        <v>2</v>
      </c>
      <c r="P555" s="4">
        <v>2</v>
      </c>
      <c r="R555" s="63" t="s">
        <v>828</v>
      </c>
    </row>
    <row r="556" spans="1:18">
      <c r="A556" s="4">
        <v>450001</v>
      </c>
      <c r="B556" s="4">
        <v>101</v>
      </c>
      <c r="C556" s="4" t="s">
        <v>829</v>
      </c>
      <c r="D556" s="30" t="s">
        <v>663</v>
      </c>
      <c r="G556" s="4">
        <v>1</v>
      </c>
      <c r="J556" s="4">
        <v>4</v>
      </c>
      <c r="N556" s="4">
        <v>2</v>
      </c>
      <c r="P556" s="4">
        <v>2</v>
      </c>
      <c r="R556" t="s">
        <v>830</v>
      </c>
    </row>
    <row r="557" spans="1:18">
      <c r="A557" s="4">
        <v>450002</v>
      </c>
      <c r="B557" s="4">
        <v>3101</v>
      </c>
      <c r="C557" s="4" t="s">
        <v>829</v>
      </c>
      <c r="D557" s="30" t="s">
        <v>724</v>
      </c>
      <c r="F557" s="4">
        <v>9</v>
      </c>
      <c r="G557" s="4">
        <v>5</v>
      </c>
      <c r="J557" s="4">
        <v>4</v>
      </c>
      <c r="N557" s="4">
        <v>2</v>
      </c>
      <c r="P557" s="4">
        <v>2</v>
      </c>
      <c r="R557" t="s">
        <v>830</v>
      </c>
    </row>
    <row r="558" spans="1:18">
      <c r="A558" s="4">
        <v>450003</v>
      </c>
      <c r="B558" s="4">
        <v>1004</v>
      </c>
      <c r="C558" s="4" t="s">
        <v>829</v>
      </c>
      <c r="D558" s="30" t="s">
        <v>831</v>
      </c>
      <c r="F558" s="4">
        <v>4</v>
      </c>
      <c r="G558" s="4">
        <v>1</v>
      </c>
      <c r="I558" s="4">
        <v>3</v>
      </c>
      <c r="J558" s="4">
        <v>4</v>
      </c>
      <c r="N558" s="4">
        <v>2</v>
      </c>
      <c r="P558" s="4">
        <v>2</v>
      </c>
      <c r="R558" t="s">
        <v>830</v>
      </c>
    </row>
    <row r="559" spans="1:18">
      <c r="A559" s="4">
        <v>450004</v>
      </c>
      <c r="B559" s="4">
        <v>1202</v>
      </c>
      <c r="C559" s="4" t="s">
        <v>829</v>
      </c>
      <c r="D559" s="30" t="s">
        <v>121</v>
      </c>
      <c r="F559" s="4">
        <v>18</v>
      </c>
      <c r="G559" s="4">
        <v>1</v>
      </c>
      <c r="J559" s="4">
        <v>4</v>
      </c>
      <c r="N559" s="4">
        <v>2</v>
      </c>
      <c r="P559" s="4">
        <v>2</v>
      </c>
      <c r="R559" t="s">
        <v>830</v>
      </c>
    </row>
    <row r="560" spans="1:18">
      <c r="A560" s="4">
        <v>450005</v>
      </c>
      <c r="B560" s="4">
        <v>1002</v>
      </c>
      <c r="C560" s="4" t="s">
        <v>829</v>
      </c>
      <c r="D560" s="30" t="s">
        <v>832</v>
      </c>
      <c r="F560" s="4">
        <v>10</v>
      </c>
      <c r="G560" s="4">
        <v>4</v>
      </c>
      <c r="J560" s="4">
        <v>4</v>
      </c>
      <c r="N560" s="4">
        <v>2</v>
      </c>
      <c r="P560" s="4">
        <v>2</v>
      </c>
      <c r="R560" t="s">
        <v>830</v>
      </c>
    </row>
    <row r="561" spans="1:18">
      <c r="A561" s="4">
        <v>450006</v>
      </c>
      <c r="B561" s="4">
        <v>405</v>
      </c>
      <c r="C561" s="4" t="s">
        <v>829</v>
      </c>
      <c r="D561" s="30" t="s">
        <v>833</v>
      </c>
      <c r="F561" s="4">
        <v>13</v>
      </c>
      <c r="G561" s="4">
        <v>1</v>
      </c>
      <c r="J561" s="4">
        <v>4</v>
      </c>
      <c r="N561" s="4">
        <v>0</v>
      </c>
      <c r="P561" s="4">
        <v>2</v>
      </c>
      <c r="R561" t="s">
        <v>830</v>
      </c>
    </row>
    <row r="562" spans="1:18">
      <c r="A562" s="4">
        <v>451001</v>
      </c>
      <c r="B562" s="4">
        <v>101</v>
      </c>
      <c r="C562" s="4" t="s">
        <v>834</v>
      </c>
      <c r="D562" s="30" t="s">
        <v>663</v>
      </c>
      <c r="G562" s="4">
        <v>1</v>
      </c>
      <c r="J562" s="4">
        <v>4</v>
      </c>
      <c r="N562" s="4">
        <v>2</v>
      </c>
      <c r="P562" s="4">
        <v>2</v>
      </c>
      <c r="R562" t="s">
        <v>830</v>
      </c>
    </row>
    <row r="563" spans="1:18">
      <c r="A563" s="4">
        <v>451002</v>
      </c>
      <c r="B563" s="4">
        <v>1303</v>
      </c>
      <c r="C563" s="4" t="s">
        <v>834</v>
      </c>
      <c r="D563" s="30" t="s">
        <v>835</v>
      </c>
      <c r="F563" s="4">
        <v>7</v>
      </c>
      <c r="G563" s="4">
        <v>1</v>
      </c>
      <c r="J563" s="4">
        <v>4</v>
      </c>
      <c r="N563" s="4">
        <v>2</v>
      </c>
      <c r="P563" s="4">
        <v>2</v>
      </c>
      <c r="R563" t="s">
        <v>830</v>
      </c>
    </row>
    <row r="564" spans="1:18">
      <c r="A564" s="4">
        <v>451003</v>
      </c>
      <c r="B564" s="4">
        <v>1211</v>
      </c>
      <c r="C564" s="4" t="s">
        <v>834</v>
      </c>
      <c r="D564" s="30" t="s">
        <v>118</v>
      </c>
      <c r="F564" s="4">
        <v>17</v>
      </c>
      <c r="G564" s="4">
        <v>3</v>
      </c>
      <c r="J564" s="4">
        <v>4</v>
      </c>
      <c r="N564" s="4">
        <v>2</v>
      </c>
      <c r="P564" s="4">
        <v>2</v>
      </c>
      <c r="R564" t="s">
        <v>830</v>
      </c>
    </row>
    <row r="565" spans="1:18">
      <c r="A565" s="4">
        <v>451004</v>
      </c>
      <c r="B565" s="4">
        <v>502</v>
      </c>
      <c r="C565" s="4" t="s">
        <v>834</v>
      </c>
      <c r="D565" s="30" t="s">
        <v>269</v>
      </c>
      <c r="F565" s="4">
        <v>16</v>
      </c>
      <c r="G565" s="4">
        <v>1</v>
      </c>
      <c r="J565" s="4">
        <v>4</v>
      </c>
      <c r="N565" s="4">
        <v>2</v>
      </c>
      <c r="P565" s="4">
        <v>2</v>
      </c>
      <c r="R565" t="s">
        <v>830</v>
      </c>
    </row>
    <row r="566" spans="1:18">
      <c r="A566" s="4">
        <v>451005</v>
      </c>
      <c r="B566" s="4">
        <v>402</v>
      </c>
      <c r="C566" s="4" t="s">
        <v>834</v>
      </c>
      <c r="D566" s="30" t="s">
        <v>472</v>
      </c>
      <c r="F566" s="4">
        <v>56</v>
      </c>
      <c r="G566" s="4">
        <v>1</v>
      </c>
      <c r="I566" s="4">
        <v>2</v>
      </c>
      <c r="J566" s="4">
        <v>4</v>
      </c>
      <c r="N566" s="4">
        <v>2</v>
      </c>
      <c r="P566" s="4">
        <v>2</v>
      </c>
      <c r="R566" t="s">
        <v>830</v>
      </c>
    </row>
    <row r="567" spans="1:18">
      <c r="A567" s="17">
        <v>451006</v>
      </c>
      <c r="B567" s="17">
        <v>4000</v>
      </c>
      <c r="C567" s="17" t="s">
        <v>834</v>
      </c>
      <c r="D567" s="59" t="s">
        <v>836</v>
      </c>
      <c r="F567" s="4">
        <v>56</v>
      </c>
      <c r="G567" s="4">
        <v>500</v>
      </c>
      <c r="I567" s="4">
        <v>1</v>
      </c>
      <c r="J567" s="4">
        <v>4</v>
      </c>
      <c r="N567" s="4">
        <v>2</v>
      </c>
      <c r="P567" s="4">
        <v>2</v>
      </c>
      <c r="R567" t="s">
        <v>830</v>
      </c>
    </row>
    <row r="568" spans="1:18">
      <c r="A568" s="4">
        <v>452001</v>
      </c>
      <c r="B568" s="4">
        <v>101</v>
      </c>
      <c r="C568" s="4" t="s">
        <v>837</v>
      </c>
      <c r="D568" s="30" t="s">
        <v>663</v>
      </c>
      <c r="G568" s="4">
        <v>1</v>
      </c>
      <c r="J568" s="4">
        <v>4</v>
      </c>
      <c r="N568" s="4">
        <v>2</v>
      </c>
      <c r="P568" s="4">
        <v>2</v>
      </c>
      <c r="R568" t="s">
        <v>830</v>
      </c>
    </row>
    <row r="569" spans="1:18">
      <c r="A569" s="4">
        <v>452002</v>
      </c>
      <c r="B569" s="4">
        <v>3101</v>
      </c>
      <c r="C569" s="4" t="s">
        <v>837</v>
      </c>
      <c r="D569" s="30" t="s">
        <v>724</v>
      </c>
      <c r="F569" s="4">
        <v>9</v>
      </c>
      <c r="G569" s="4">
        <v>5</v>
      </c>
      <c r="J569" s="4">
        <v>4</v>
      </c>
      <c r="N569" s="4">
        <v>2</v>
      </c>
      <c r="P569" s="4">
        <v>2</v>
      </c>
      <c r="R569" t="s">
        <v>830</v>
      </c>
    </row>
    <row r="570" spans="1:18">
      <c r="A570" s="4">
        <v>452003</v>
      </c>
      <c r="B570" s="4">
        <v>1004</v>
      </c>
      <c r="C570" s="4" t="s">
        <v>837</v>
      </c>
      <c r="D570" s="30" t="s">
        <v>831</v>
      </c>
      <c r="F570" s="4">
        <v>4</v>
      </c>
      <c r="G570" s="4">
        <v>1</v>
      </c>
      <c r="I570" s="4">
        <v>3</v>
      </c>
      <c r="J570" s="4">
        <v>4</v>
      </c>
      <c r="N570" s="4">
        <v>2</v>
      </c>
      <c r="P570" s="4">
        <v>2</v>
      </c>
      <c r="R570" t="s">
        <v>830</v>
      </c>
    </row>
    <row r="571" spans="1:18">
      <c r="A571" s="4">
        <v>452004</v>
      </c>
      <c r="B571" s="4">
        <v>1002</v>
      </c>
      <c r="C571" s="4" t="s">
        <v>837</v>
      </c>
      <c r="D571" s="30" t="s">
        <v>832</v>
      </c>
      <c r="F571" s="4">
        <v>10</v>
      </c>
      <c r="G571" s="4">
        <v>4</v>
      </c>
      <c r="J571" s="4">
        <v>4</v>
      </c>
      <c r="N571" s="4">
        <v>2</v>
      </c>
      <c r="P571" s="4">
        <v>2</v>
      </c>
      <c r="R571" t="s">
        <v>830</v>
      </c>
    </row>
    <row r="572" spans="1:18">
      <c r="A572" s="4">
        <v>452005</v>
      </c>
      <c r="B572" s="4">
        <v>1211</v>
      </c>
      <c r="C572" s="4" t="s">
        <v>837</v>
      </c>
      <c r="D572" s="30" t="s">
        <v>118</v>
      </c>
      <c r="F572" s="4">
        <v>17</v>
      </c>
      <c r="G572" s="4">
        <v>3</v>
      </c>
      <c r="J572" s="4">
        <v>4</v>
      </c>
      <c r="N572" s="4">
        <v>2</v>
      </c>
      <c r="P572" s="4">
        <v>2</v>
      </c>
      <c r="R572" t="s">
        <v>830</v>
      </c>
    </row>
    <row r="573" spans="1:18">
      <c r="A573" s="4">
        <v>452006</v>
      </c>
      <c r="B573" s="4">
        <v>402</v>
      </c>
      <c r="C573" s="4" t="s">
        <v>837</v>
      </c>
      <c r="D573" s="30" t="s">
        <v>472</v>
      </c>
      <c r="F573" s="4">
        <v>56</v>
      </c>
      <c r="G573" s="4">
        <v>1</v>
      </c>
      <c r="I573" s="4">
        <v>2</v>
      </c>
      <c r="J573" s="4">
        <v>4</v>
      </c>
      <c r="N573" s="4">
        <v>2</v>
      </c>
      <c r="P573" s="4">
        <v>2</v>
      </c>
      <c r="R573" t="s">
        <v>830</v>
      </c>
    </row>
    <row r="574" spans="1:18">
      <c r="A574" s="4">
        <v>453001</v>
      </c>
      <c r="B574" s="4">
        <v>101</v>
      </c>
      <c r="C574" s="4" t="s">
        <v>838</v>
      </c>
      <c r="D574" s="30" t="s">
        <v>663</v>
      </c>
      <c r="G574" s="4">
        <v>1</v>
      </c>
      <c r="J574" s="4">
        <v>4</v>
      </c>
      <c r="N574" s="4">
        <v>2</v>
      </c>
      <c r="P574" s="4">
        <v>2</v>
      </c>
      <c r="R574" t="s">
        <v>830</v>
      </c>
    </row>
    <row r="575" spans="1:18">
      <c r="A575" s="4">
        <v>453002</v>
      </c>
      <c r="B575" s="4">
        <v>1303</v>
      </c>
      <c r="C575" s="4" t="s">
        <v>838</v>
      </c>
      <c r="D575" s="30" t="s">
        <v>835</v>
      </c>
      <c r="F575" s="4">
        <v>7</v>
      </c>
      <c r="G575" s="4">
        <v>1</v>
      </c>
      <c r="J575" s="4">
        <v>4</v>
      </c>
      <c r="N575" s="4">
        <v>2</v>
      </c>
      <c r="P575" s="4">
        <v>2</v>
      </c>
      <c r="R575" t="s">
        <v>830</v>
      </c>
    </row>
    <row r="576" spans="1:18">
      <c r="A576" s="4">
        <v>453003</v>
      </c>
      <c r="B576" s="4">
        <v>1211</v>
      </c>
      <c r="C576" s="4" t="s">
        <v>838</v>
      </c>
      <c r="D576" s="30" t="s">
        <v>118</v>
      </c>
      <c r="F576" s="4">
        <v>17</v>
      </c>
      <c r="G576" s="4">
        <v>3</v>
      </c>
      <c r="J576" s="4">
        <v>4</v>
      </c>
      <c r="N576" s="4">
        <v>2</v>
      </c>
      <c r="P576" s="4">
        <v>2</v>
      </c>
      <c r="R576" t="s">
        <v>830</v>
      </c>
    </row>
    <row r="577" spans="1:18">
      <c r="A577" s="4">
        <v>453004</v>
      </c>
      <c r="B577" s="4">
        <v>502</v>
      </c>
      <c r="C577" s="4" t="s">
        <v>838</v>
      </c>
      <c r="D577" s="30" t="s">
        <v>269</v>
      </c>
      <c r="F577" s="4">
        <v>16</v>
      </c>
      <c r="G577" s="4">
        <v>1</v>
      </c>
      <c r="J577" s="4">
        <v>4</v>
      </c>
      <c r="N577" s="4">
        <v>2</v>
      </c>
      <c r="P577" s="4">
        <v>2</v>
      </c>
      <c r="R577" t="s">
        <v>830</v>
      </c>
    </row>
    <row r="578" spans="1:18">
      <c r="A578" s="4">
        <v>453005</v>
      </c>
      <c r="B578" s="4">
        <v>402</v>
      </c>
      <c r="C578" s="4" t="s">
        <v>838</v>
      </c>
      <c r="D578" s="30" t="s">
        <v>472</v>
      </c>
      <c r="F578" s="4">
        <v>56</v>
      </c>
      <c r="G578" s="4">
        <v>1</v>
      </c>
      <c r="I578" s="4">
        <v>2</v>
      </c>
      <c r="J578" s="4">
        <v>4</v>
      </c>
      <c r="N578" s="4">
        <v>2</v>
      </c>
      <c r="P578" s="4">
        <v>2</v>
      </c>
      <c r="R578" t="s">
        <v>830</v>
      </c>
    </row>
    <row r="579" spans="1:18">
      <c r="A579" s="4">
        <v>453006</v>
      </c>
      <c r="B579" s="4">
        <v>4000</v>
      </c>
      <c r="C579" s="4" t="s">
        <v>838</v>
      </c>
      <c r="D579" s="30" t="s">
        <v>836</v>
      </c>
      <c r="F579" s="4">
        <v>56</v>
      </c>
      <c r="G579" s="4">
        <v>500</v>
      </c>
      <c r="I579" s="4">
        <v>1</v>
      </c>
      <c r="J579" s="4">
        <v>4</v>
      </c>
      <c r="N579" s="4">
        <v>2</v>
      </c>
      <c r="P579" s="4">
        <v>2</v>
      </c>
      <c r="R579" t="s">
        <v>830</v>
      </c>
    </row>
    <row r="580" spans="1:18">
      <c r="A580" s="4">
        <v>454001</v>
      </c>
      <c r="B580" s="4">
        <v>101</v>
      </c>
      <c r="C580" s="4" t="s">
        <v>839</v>
      </c>
      <c r="D580" s="30" t="s">
        <v>663</v>
      </c>
      <c r="G580" s="4">
        <v>1</v>
      </c>
      <c r="J580" s="4">
        <v>4</v>
      </c>
      <c r="N580" s="4">
        <v>2</v>
      </c>
      <c r="P580" s="4">
        <v>2</v>
      </c>
      <c r="R580" t="s">
        <v>830</v>
      </c>
    </row>
    <row r="581" spans="1:18">
      <c r="A581" s="4">
        <v>454002</v>
      </c>
      <c r="B581" s="4">
        <v>1303</v>
      </c>
      <c r="C581" s="4" t="s">
        <v>839</v>
      </c>
      <c r="D581" s="30" t="s">
        <v>840</v>
      </c>
      <c r="F581" s="4">
        <v>7</v>
      </c>
      <c r="G581" s="4">
        <v>3</v>
      </c>
      <c r="J581" s="4">
        <v>4</v>
      </c>
      <c r="N581" s="4">
        <v>2</v>
      </c>
      <c r="P581" s="4">
        <v>2</v>
      </c>
      <c r="R581" t="s">
        <v>830</v>
      </c>
    </row>
    <row r="582" spans="1:18">
      <c r="A582" s="4">
        <v>454003</v>
      </c>
      <c r="B582" s="4">
        <v>1202</v>
      </c>
      <c r="C582" s="4" t="s">
        <v>839</v>
      </c>
      <c r="D582" s="30" t="s">
        <v>121</v>
      </c>
      <c r="F582" s="4">
        <v>18</v>
      </c>
      <c r="G582" s="4">
        <v>1</v>
      </c>
      <c r="J582" s="4">
        <v>4</v>
      </c>
      <c r="N582" s="4">
        <v>2</v>
      </c>
      <c r="P582" s="4">
        <v>2</v>
      </c>
      <c r="R582" t="s">
        <v>830</v>
      </c>
    </row>
    <row r="583" spans="1:18">
      <c r="A583" s="4">
        <v>454004</v>
      </c>
      <c r="B583" s="4">
        <v>1002</v>
      </c>
      <c r="C583" s="4" t="s">
        <v>839</v>
      </c>
      <c r="D583" s="30" t="s">
        <v>832</v>
      </c>
      <c r="F583" s="4">
        <v>10</v>
      </c>
      <c r="G583" s="4">
        <v>4</v>
      </c>
      <c r="J583" s="4">
        <v>4</v>
      </c>
      <c r="N583" s="4">
        <v>2</v>
      </c>
      <c r="P583" s="4">
        <v>2</v>
      </c>
      <c r="R583" t="s">
        <v>830</v>
      </c>
    </row>
    <row r="584" spans="1:18">
      <c r="A584" s="4">
        <v>454005</v>
      </c>
      <c r="B584" s="4">
        <v>502</v>
      </c>
      <c r="C584" s="4" t="s">
        <v>839</v>
      </c>
      <c r="D584" s="30" t="s">
        <v>269</v>
      </c>
      <c r="F584" s="4">
        <v>16</v>
      </c>
      <c r="G584" s="4">
        <v>1</v>
      </c>
      <c r="J584" s="4">
        <v>4</v>
      </c>
      <c r="N584" s="4">
        <v>2</v>
      </c>
      <c r="P584" s="4">
        <v>2</v>
      </c>
      <c r="R584" t="s">
        <v>830</v>
      </c>
    </row>
    <row r="585" spans="1:18">
      <c r="A585" s="4">
        <v>454006</v>
      </c>
      <c r="B585" s="4">
        <v>402</v>
      </c>
      <c r="C585" s="4" t="s">
        <v>839</v>
      </c>
      <c r="D585" s="30" t="s">
        <v>841</v>
      </c>
      <c r="F585" s="4">
        <v>56</v>
      </c>
      <c r="G585" s="4">
        <v>3</v>
      </c>
      <c r="I585" s="4">
        <v>2</v>
      </c>
      <c r="J585" s="4">
        <v>4</v>
      </c>
      <c r="N585" s="4">
        <v>2</v>
      </c>
      <c r="P585" s="4">
        <v>2</v>
      </c>
      <c r="R585" t="s">
        <v>830</v>
      </c>
    </row>
    <row r="586" spans="1:18">
      <c r="A586" s="4">
        <v>455001</v>
      </c>
      <c r="B586" s="4">
        <v>101</v>
      </c>
      <c r="C586" s="4" t="s">
        <v>842</v>
      </c>
      <c r="D586" s="30" t="s">
        <v>663</v>
      </c>
      <c r="G586" s="4">
        <v>1</v>
      </c>
      <c r="J586" s="4">
        <v>4</v>
      </c>
      <c r="N586" s="4">
        <v>2</v>
      </c>
      <c r="P586" s="4">
        <v>2</v>
      </c>
      <c r="R586" t="s">
        <v>830</v>
      </c>
    </row>
    <row r="587" spans="1:18">
      <c r="A587" s="4">
        <v>455002</v>
      </c>
      <c r="B587" s="4">
        <v>3101</v>
      </c>
      <c r="C587" s="4" t="s">
        <v>842</v>
      </c>
      <c r="D587" s="30" t="s">
        <v>724</v>
      </c>
      <c r="F587" s="4">
        <v>9</v>
      </c>
      <c r="G587" s="4">
        <v>5</v>
      </c>
      <c r="J587" s="4">
        <v>4</v>
      </c>
      <c r="N587" s="4">
        <v>2</v>
      </c>
      <c r="P587" s="4">
        <v>2</v>
      </c>
      <c r="R587" t="s">
        <v>830</v>
      </c>
    </row>
    <row r="588" spans="1:18">
      <c r="A588" s="4">
        <v>455003</v>
      </c>
      <c r="B588" s="4">
        <v>1004</v>
      </c>
      <c r="C588" s="4" t="s">
        <v>842</v>
      </c>
      <c r="D588" s="30" t="s">
        <v>831</v>
      </c>
      <c r="F588" s="4">
        <v>4</v>
      </c>
      <c r="G588" s="4">
        <v>1</v>
      </c>
      <c r="I588" s="4">
        <v>3</v>
      </c>
      <c r="J588" s="4">
        <v>4</v>
      </c>
      <c r="N588" s="4">
        <v>2</v>
      </c>
      <c r="P588" s="4">
        <v>2</v>
      </c>
      <c r="R588" t="s">
        <v>830</v>
      </c>
    </row>
    <row r="589" spans="1:18">
      <c r="A589" s="4">
        <v>455004</v>
      </c>
      <c r="B589" s="4">
        <v>1202</v>
      </c>
      <c r="C589" s="4" t="s">
        <v>842</v>
      </c>
      <c r="D589" s="30" t="s">
        <v>121</v>
      </c>
      <c r="F589" s="4">
        <v>18</v>
      </c>
      <c r="G589" s="4">
        <v>1</v>
      </c>
      <c r="J589" s="4">
        <v>4</v>
      </c>
      <c r="N589" s="4">
        <v>2</v>
      </c>
      <c r="P589" s="4">
        <v>2</v>
      </c>
      <c r="R589" t="s">
        <v>830</v>
      </c>
    </row>
    <row r="590" spans="1:18">
      <c r="A590" s="4">
        <v>455005</v>
      </c>
      <c r="B590" s="4">
        <v>1402</v>
      </c>
      <c r="C590" s="4" t="s">
        <v>842</v>
      </c>
      <c r="D590" s="30" t="s">
        <v>124</v>
      </c>
      <c r="F590" s="4">
        <v>3</v>
      </c>
      <c r="G590" s="4">
        <v>1</v>
      </c>
      <c r="J590" s="4">
        <v>1</v>
      </c>
      <c r="N590" s="4">
        <v>2</v>
      </c>
      <c r="P590" s="4">
        <v>2</v>
      </c>
      <c r="R590" t="s">
        <v>830</v>
      </c>
    </row>
    <row r="591" spans="1:18">
      <c r="A591" s="4">
        <v>455006</v>
      </c>
      <c r="B591" s="4">
        <v>1002</v>
      </c>
      <c r="C591" s="4" t="s">
        <v>842</v>
      </c>
      <c r="D591" s="30" t="s">
        <v>832</v>
      </c>
      <c r="F591" s="4">
        <v>10</v>
      </c>
      <c r="G591" s="4">
        <v>4</v>
      </c>
      <c r="J591" s="4">
        <v>4</v>
      </c>
      <c r="N591" s="4">
        <v>2</v>
      </c>
      <c r="P591" s="4">
        <v>2</v>
      </c>
      <c r="R591" t="s">
        <v>830</v>
      </c>
    </row>
    <row r="592" spans="1:18">
      <c r="A592" s="4">
        <v>456001</v>
      </c>
      <c r="B592" s="4">
        <v>101</v>
      </c>
      <c r="C592" s="4" t="s">
        <v>843</v>
      </c>
      <c r="D592" s="30" t="s">
        <v>663</v>
      </c>
      <c r="G592" s="4">
        <v>1</v>
      </c>
      <c r="J592" s="4">
        <v>4</v>
      </c>
      <c r="N592" s="4">
        <v>2</v>
      </c>
      <c r="P592" s="4">
        <v>2</v>
      </c>
      <c r="R592" t="s">
        <v>830</v>
      </c>
    </row>
    <row r="593" spans="1:18">
      <c r="A593" s="4">
        <v>456002</v>
      </c>
      <c r="B593" s="4">
        <v>1303</v>
      </c>
      <c r="C593" s="4" t="s">
        <v>843</v>
      </c>
      <c r="D593" s="30" t="s">
        <v>840</v>
      </c>
      <c r="F593" s="4">
        <v>7</v>
      </c>
      <c r="G593" s="4">
        <v>3</v>
      </c>
      <c r="J593" s="4">
        <v>4</v>
      </c>
      <c r="N593" s="4">
        <v>2</v>
      </c>
      <c r="P593" s="4">
        <v>2</v>
      </c>
      <c r="R593" t="s">
        <v>830</v>
      </c>
    </row>
    <row r="594" spans="1:18">
      <c r="A594" s="4">
        <v>456003</v>
      </c>
      <c r="B594" s="4">
        <v>1211</v>
      </c>
      <c r="C594" s="4" t="s">
        <v>843</v>
      </c>
      <c r="D594" s="30" t="s">
        <v>118</v>
      </c>
      <c r="F594" s="4">
        <v>17</v>
      </c>
      <c r="G594" s="4">
        <v>3</v>
      </c>
      <c r="J594" s="4">
        <v>4</v>
      </c>
      <c r="N594" s="4">
        <v>2</v>
      </c>
      <c r="P594" s="4">
        <v>2</v>
      </c>
      <c r="R594" t="s">
        <v>830</v>
      </c>
    </row>
    <row r="595" spans="1:18">
      <c r="A595" s="4">
        <v>456004</v>
      </c>
      <c r="B595" s="4">
        <v>502</v>
      </c>
      <c r="C595" s="4" t="s">
        <v>843</v>
      </c>
      <c r="D595" s="30" t="s">
        <v>269</v>
      </c>
      <c r="F595" s="4">
        <v>16</v>
      </c>
      <c r="G595" s="4">
        <v>1</v>
      </c>
      <c r="J595" s="4">
        <v>4</v>
      </c>
      <c r="N595" s="4">
        <v>2</v>
      </c>
      <c r="P595" s="4">
        <v>2</v>
      </c>
      <c r="R595" t="s">
        <v>830</v>
      </c>
    </row>
    <row r="596" spans="1:18">
      <c r="A596" s="4">
        <v>456005</v>
      </c>
      <c r="B596" s="4">
        <v>402</v>
      </c>
      <c r="C596" s="4" t="s">
        <v>843</v>
      </c>
      <c r="D596" s="30" t="s">
        <v>472</v>
      </c>
      <c r="F596" s="4">
        <v>56</v>
      </c>
      <c r="G596" s="4">
        <v>1</v>
      </c>
      <c r="I596" s="4">
        <v>2</v>
      </c>
      <c r="J596" s="4">
        <v>4</v>
      </c>
      <c r="N596" s="4">
        <v>2</v>
      </c>
      <c r="P596" s="4">
        <v>2</v>
      </c>
      <c r="R596" t="s">
        <v>830</v>
      </c>
    </row>
    <row r="597" spans="1:18">
      <c r="A597" s="4">
        <v>456006</v>
      </c>
      <c r="B597" s="4">
        <v>4000</v>
      </c>
      <c r="C597" s="4" t="s">
        <v>843</v>
      </c>
      <c r="D597" s="30" t="s">
        <v>836</v>
      </c>
      <c r="F597" s="4">
        <v>56</v>
      </c>
      <c r="G597" s="4">
        <v>500</v>
      </c>
      <c r="I597" s="4">
        <v>1</v>
      </c>
      <c r="J597" s="4">
        <v>4</v>
      </c>
      <c r="N597" s="4">
        <v>2</v>
      </c>
      <c r="P597" s="4">
        <v>2</v>
      </c>
      <c r="R597" t="s">
        <v>830</v>
      </c>
    </row>
    <row r="598" spans="1:18">
      <c r="A598" s="4">
        <v>457001</v>
      </c>
      <c r="B598" s="4">
        <v>4001</v>
      </c>
      <c r="C598" s="4" t="s">
        <v>844</v>
      </c>
      <c r="D598" s="30" t="s">
        <v>845</v>
      </c>
      <c r="F598" s="4">
        <v>58</v>
      </c>
      <c r="G598" s="4">
        <v>100</v>
      </c>
      <c r="J598" s="4">
        <v>4</v>
      </c>
      <c r="N598" s="4">
        <v>2</v>
      </c>
      <c r="P598" s="4">
        <v>2</v>
      </c>
      <c r="R598" t="s">
        <v>846</v>
      </c>
    </row>
    <row r="599" spans="1:18">
      <c r="A599" s="4">
        <v>457002</v>
      </c>
      <c r="B599" s="4">
        <v>4001</v>
      </c>
      <c r="C599" s="4" t="s">
        <v>844</v>
      </c>
      <c r="D599" s="30" t="s">
        <v>847</v>
      </c>
      <c r="F599" s="4">
        <v>58</v>
      </c>
      <c r="G599" s="4">
        <v>200</v>
      </c>
      <c r="J599" s="4">
        <v>4</v>
      </c>
      <c r="N599" s="4">
        <v>2</v>
      </c>
      <c r="P599" s="4">
        <v>2</v>
      </c>
      <c r="R599" t="s">
        <v>848</v>
      </c>
    </row>
    <row r="600" spans="1:18">
      <c r="A600" s="4">
        <v>457003</v>
      </c>
      <c r="B600" s="4">
        <v>4001</v>
      </c>
      <c r="C600" s="4" t="s">
        <v>844</v>
      </c>
      <c r="D600" s="30" t="s">
        <v>849</v>
      </c>
      <c r="F600" s="4">
        <v>58</v>
      </c>
      <c r="G600" s="4">
        <v>500</v>
      </c>
      <c r="J600" s="4">
        <v>4</v>
      </c>
      <c r="N600" s="4">
        <v>2</v>
      </c>
      <c r="P600" s="4">
        <v>2</v>
      </c>
      <c r="R600" t="s">
        <v>850</v>
      </c>
    </row>
    <row r="601" spans="1:18">
      <c r="A601" s="4">
        <v>457004</v>
      </c>
      <c r="B601" s="4">
        <v>4001</v>
      </c>
      <c r="C601" s="4" t="s">
        <v>844</v>
      </c>
      <c r="D601" s="30" t="s">
        <v>851</v>
      </c>
      <c r="F601" s="4">
        <v>58</v>
      </c>
      <c r="G601" s="4">
        <v>1000</v>
      </c>
      <c r="J601" s="4">
        <v>4</v>
      </c>
      <c r="N601" s="4">
        <v>2</v>
      </c>
      <c r="P601" s="4">
        <v>2</v>
      </c>
      <c r="R601" t="s">
        <v>852</v>
      </c>
    </row>
    <row r="602" spans="1:18">
      <c r="A602" s="4">
        <v>457005</v>
      </c>
      <c r="B602" s="4">
        <v>4001</v>
      </c>
      <c r="C602" s="4" t="s">
        <v>844</v>
      </c>
      <c r="D602" s="30" t="s">
        <v>853</v>
      </c>
      <c r="F602" s="4">
        <v>58</v>
      </c>
      <c r="G602" s="4">
        <v>2000</v>
      </c>
      <c r="J602" s="4">
        <v>4</v>
      </c>
      <c r="N602" s="4">
        <v>2</v>
      </c>
      <c r="P602" s="4">
        <v>2</v>
      </c>
      <c r="R602" t="s">
        <v>854</v>
      </c>
    </row>
    <row r="603" spans="1:18">
      <c r="A603" s="4">
        <v>457006</v>
      </c>
      <c r="B603" s="4">
        <v>4001</v>
      </c>
      <c r="C603" s="4" t="s">
        <v>844</v>
      </c>
      <c r="D603" s="30" t="s">
        <v>855</v>
      </c>
      <c r="F603" s="4">
        <v>58</v>
      </c>
      <c r="G603" s="4">
        <v>3000</v>
      </c>
      <c r="J603" s="4">
        <v>4</v>
      </c>
      <c r="N603" s="4">
        <v>2</v>
      </c>
      <c r="P603" s="4">
        <v>2</v>
      </c>
      <c r="R603" t="s">
        <v>856</v>
      </c>
    </row>
    <row r="604" spans="1:18">
      <c r="A604" s="4">
        <v>457007</v>
      </c>
      <c r="B604" s="4">
        <v>4001</v>
      </c>
      <c r="C604" s="4" t="s">
        <v>844</v>
      </c>
      <c r="D604" s="30" t="s">
        <v>857</v>
      </c>
      <c r="F604" s="4">
        <v>58</v>
      </c>
      <c r="G604" s="4">
        <v>5000</v>
      </c>
      <c r="J604" s="4">
        <v>4</v>
      </c>
      <c r="N604" s="4">
        <v>2</v>
      </c>
      <c r="P604" s="4">
        <v>2</v>
      </c>
      <c r="R604" t="s">
        <v>858</v>
      </c>
    </row>
    <row r="605" spans="1:18">
      <c r="A605" s="4">
        <v>460001</v>
      </c>
      <c r="B605" s="4">
        <v>101</v>
      </c>
      <c r="C605" s="4" t="s">
        <v>859</v>
      </c>
      <c r="D605" s="30" t="s">
        <v>663</v>
      </c>
      <c r="G605" s="4">
        <v>1</v>
      </c>
      <c r="J605" s="4">
        <v>4</v>
      </c>
      <c r="N605" s="4">
        <v>2</v>
      </c>
      <c r="P605" s="4">
        <v>2</v>
      </c>
      <c r="R605" t="s">
        <v>860</v>
      </c>
    </row>
    <row r="606" spans="1:18">
      <c r="A606" s="4">
        <v>460002</v>
      </c>
      <c r="B606" s="4">
        <v>3101</v>
      </c>
      <c r="C606" s="4" t="s">
        <v>859</v>
      </c>
      <c r="D606" s="30" t="s">
        <v>724</v>
      </c>
      <c r="F606" s="4">
        <v>9</v>
      </c>
      <c r="G606" s="4">
        <v>5</v>
      </c>
      <c r="J606" s="4">
        <v>4</v>
      </c>
      <c r="N606" s="4">
        <v>2</v>
      </c>
      <c r="P606" s="4">
        <v>2</v>
      </c>
      <c r="R606" t="s">
        <v>860</v>
      </c>
    </row>
    <row r="607" spans="1:18">
      <c r="A607" s="4">
        <v>460003</v>
      </c>
      <c r="B607" s="4">
        <v>1004</v>
      </c>
      <c r="C607" s="4" t="s">
        <v>859</v>
      </c>
      <c r="D607" s="30" t="s">
        <v>861</v>
      </c>
      <c r="F607" s="4">
        <v>4</v>
      </c>
      <c r="G607" s="4">
        <v>1</v>
      </c>
      <c r="I607" s="4">
        <v>3</v>
      </c>
      <c r="J607" s="4">
        <v>4</v>
      </c>
      <c r="N607" s="4">
        <v>2</v>
      </c>
      <c r="P607" s="4">
        <v>2</v>
      </c>
      <c r="R607" t="s">
        <v>860</v>
      </c>
    </row>
    <row r="608" spans="1:18">
      <c r="A608" s="4">
        <v>460004</v>
      </c>
      <c r="B608" s="4">
        <v>1202</v>
      </c>
      <c r="C608" s="4" t="s">
        <v>859</v>
      </c>
      <c r="D608" s="30" t="s">
        <v>121</v>
      </c>
      <c r="F608" s="4">
        <v>18</v>
      </c>
      <c r="G608" s="4">
        <v>1</v>
      </c>
      <c r="J608" s="4">
        <v>4</v>
      </c>
      <c r="N608" s="4">
        <v>2</v>
      </c>
      <c r="P608" s="4">
        <v>2</v>
      </c>
      <c r="R608" t="s">
        <v>860</v>
      </c>
    </row>
    <row r="609" spans="1:18">
      <c r="A609" s="4">
        <v>460005</v>
      </c>
      <c r="B609" s="4">
        <v>1002</v>
      </c>
      <c r="C609" s="4" t="s">
        <v>859</v>
      </c>
      <c r="D609" s="30" t="s">
        <v>832</v>
      </c>
      <c r="F609" s="4">
        <v>10</v>
      </c>
      <c r="G609" s="4">
        <v>4</v>
      </c>
      <c r="J609" s="4">
        <v>4</v>
      </c>
      <c r="N609" s="4">
        <v>2</v>
      </c>
      <c r="P609" s="4">
        <v>2</v>
      </c>
      <c r="R609" t="s">
        <v>860</v>
      </c>
    </row>
    <row r="610" spans="1:18">
      <c r="A610" s="4">
        <v>460006</v>
      </c>
      <c r="B610" s="4">
        <v>405</v>
      </c>
      <c r="C610" s="4" t="s">
        <v>859</v>
      </c>
      <c r="D610" s="30" t="s">
        <v>593</v>
      </c>
      <c r="F610" s="4">
        <v>13</v>
      </c>
      <c r="G610" s="4">
        <v>1</v>
      </c>
      <c r="J610" s="4">
        <v>4</v>
      </c>
      <c r="N610" s="4">
        <v>0</v>
      </c>
      <c r="P610" s="4">
        <v>2</v>
      </c>
      <c r="R610" t="s">
        <v>860</v>
      </c>
    </row>
    <row r="611" spans="1:18">
      <c r="A611" s="4">
        <v>461001</v>
      </c>
      <c r="B611" s="4">
        <v>101</v>
      </c>
      <c r="C611" s="4" t="s">
        <v>862</v>
      </c>
      <c r="D611" s="30" t="s">
        <v>663</v>
      </c>
      <c r="G611" s="4">
        <v>1</v>
      </c>
      <c r="J611" s="4">
        <v>4</v>
      </c>
      <c r="N611" s="4">
        <v>2</v>
      </c>
      <c r="P611" s="4">
        <v>2</v>
      </c>
      <c r="R611" t="s">
        <v>860</v>
      </c>
    </row>
    <row r="612" spans="1:18">
      <c r="A612" s="4">
        <v>461002</v>
      </c>
      <c r="B612" s="4">
        <v>1303</v>
      </c>
      <c r="C612" s="4" t="s">
        <v>862</v>
      </c>
      <c r="D612" s="30" t="s">
        <v>835</v>
      </c>
      <c r="F612" s="4">
        <v>7</v>
      </c>
      <c r="G612" s="4">
        <v>1</v>
      </c>
      <c r="J612" s="4">
        <v>4</v>
      </c>
      <c r="N612" s="4">
        <v>2</v>
      </c>
      <c r="P612" s="4">
        <v>2</v>
      </c>
      <c r="R612" t="s">
        <v>860</v>
      </c>
    </row>
    <row r="613" spans="1:18">
      <c r="A613" s="4">
        <v>461003</v>
      </c>
      <c r="B613" s="4">
        <v>1211</v>
      </c>
      <c r="C613" s="4" t="s">
        <v>862</v>
      </c>
      <c r="D613" s="30" t="s">
        <v>118</v>
      </c>
      <c r="F613" s="4">
        <v>17</v>
      </c>
      <c r="G613" s="4">
        <v>3</v>
      </c>
      <c r="J613" s="4">
        <v>4</v>
      </c>
      <c r="N613" s="4">
        <v>2</v>
      </c>
      <c r="P613" s="4">
        <v>2</v>
      </c>
      <c r="R613" t="s">
        <v>860</v>
      </c>
    </row>
    <row r="614" spans="1:18">
      <c r="A614" s="4">
        <v>461004</v>
      </c>
      <c r="B614" s="4">
        <v>502</v>
      </c>
      <c r="C614" s="4" t="s">
        <v>862</v>
      </c>
      <c r="D614" s="30" t="s">
        <v>269</v>
      </c>
      <c r="F614" s="4">
        <v>16</v>
      </c>
      <c r="G614" s="4">
        <v>1</v>
      </c>
      <c r="J614" s="4">
        <v>4</v>
      </c>
      <c r="N614" s="4">
        <v>2</v>
      </c>
      <c r="P614" s="4">
        <v>2</v>
      </c>
      <c r="R614" t="s">
        <v>860</v>
      </c>
    </row>
    <row r="615" spans="1:18">
      <c r="A615" s="4">
        <v>461005</v>
      </c>
      <c r="B615" s="4">
        <v>402</v>
      </c>
      <c r="C615" s="4" t="s">
        <v>862</v>
      </c>
      <c r="D615" s="30" t="s">
        <v>472</v>
      </c>
      <c r="F615" s="4">
        <v>56</v>
      </c>
      <c r="G615" s="4">
        <v>1</v>
      </c>
      <c r="I615" s="4">
        <v>2</v>
      </c>
      <c r="J615" s="4">
        <v>4</v>
      </c>
      <c r="N615" s="4">
        <v>2</v>
      </c>
      <c r="P615" s="4">
        <v>2</v>
      </c>
      <c r="R615" t="s">
        <v>860</v>
      </c>
    </row>
    <row r="616" spans="1:18">
      <c r="A616" s="4">
        <v>461006</v>
      </c>
      <c r="B616" s="4">
        <v>4000</v>
      </c>
      <c r="C616" s="4" t="s">
        <v>862</v>
      </c>
      <c r="D616" s="30" t="s">
        <v>836</v>
      </c>
      <c r="F616" s="4">
        <v>56</v>
      </c>
      <c r="G616" s="4">
        <v>500</v>
      </c>
      <c r="I616" s="4">
        <v>1</v>
      </c>
      <c r="J616" s="4">
        <v>4</v>
      </c>
      <c r="N616" s="4">
        <v>2</v>
      </c>
      <c r="P616" s="4">
        <v>2</v>
      </c>
      <c r="R616" t="s">
        <v>860</v>
      </c>
    </row>
    <row r="617" spans="1:18">
      <c r="A617" s="4">
        <v>462001</v>
      </c>
      <c r="B617" s="4">
        <v>101</v>
      </c>
      <c r="C617" s="4" t="s">
        <v>863</v>
      </c>
      <c r="D617" s="30" t="s">
        <v>663</v>
      </c>
      <c r="G617" s="4">
        <v>1</v>
      </c>
      <c r="J617" s="4">
        <v>4</v>
      </c>
      <c r="N617" s="4">
        <v>2</v>
      </c>
      <c r="P617" s="4">
        <v>2</v>
      </c>
      <c r="R617" t="s">
        <v>860</v>
      </c>
    </row>
    <row r="618" spans="1:18">
      <c r="A618" s="4">
        <v>462002</v>
      </c>
      <c r="B618" s="4">
        <v>3101</v>
      </c>
      <c r="C618" s="4" t="s">
        <v>863</v>
      </c>
      <c r="D618" s="30" t="s">
        <v>724</v>
      </c>
      <c r="F618" s="4">
        <v>9</v>
      </c>
      <c r="G618" s="4">
        <v>5</v>
      </c>
      <c r="J618" s="4">
        <v>4</v>
      </c>
      <c r="N618" s="4">
        <v>2</v>
      </c>
      <c r="P618" s="4">
        <v>2</v>
      </c>
      <c r="R618" t="s">
        <v>860</v>
      </c>
    </row>
    <row r="619" spans="1:18">
      <c r="A619" s="4">
        <v>462003</v>
      </c>
      <c r="B619" s="4">
        <v>1004</v>
      </c>
      <c r="C619" s="4" t="s">
        <v>863</v>
      </c>
      <c r="D619" s="30" t="s">
        <v>861</v>
      </c>
      <c r="F619" s="4">
        <v>4</v>
      </c>
      <c r="G619" s="4">
        <v>1</v>
      </c>
      <c r="I619" s="4">
        <v>3</v>
      </c>
      <c r="J619" s="4">
        <v>4</v>
      </c>
      <c r="N619" s="4">
        <v>2</v>
      </c>
      <c r="P619" s="4">
        <v>2</v>
      </c>
      <c r="R619" t="s">
        <v>860</v>
      </c>
    </row>
    <row r="620" spans="1:18">
      <c r="A620" s="4">
        <v>462004</v>
      </c>
      <c r="B620" s="4">
        <v>1002</v>
      </c>
      <c r="C620" s="4" t="s">
        <v>863</v>
      </c>
      <c r="D620" s="30" t="s">
        <v>832</v>
      </c>
      <c r="F620" s="4">
        <v>10</v>
      </c>
      <c r="G620" s="4">
        <v>4</v>
      </c>
      <c r="J620" s="4">
        <v>4</v>
      </c>
      <c r="N620" s="4">
        <v>2</v>
      </c>
      <c r="P620" s="4">
        <v>2</v>
      </c>
      <c r="R620" t="s">
        <v>860</v>
      </c>
    </row>
    <row r="621" spans="1:18">
      <c r="A621" s="4">
        <v>462005</v>
      </c>
      <c r="B621" s="4">
        <v>1211</v>
      </c>
      <c r="C621" s="4" t="s">
        <v>863</v>
      </c>
      <c r="D621" s="30" t="s">
        <v>118</v>
      </c>
      <c r="F621" s="4">
        <v>17</v>
      </c>
      <c r="G621" s="4">
        <v>3</v>
      </c>
      <c r="J621" s="4">
        <v>4</v>
      </c>
      <c r="N621" s="4">
        <v>2</v>
      </c>
      <c r="P621" s="4">
        <v>2</v>
      </c>
      <c r="R621" t="s">
        <v>860</v>
      </c>
    </row>
    <row r="622" spans="1:18">
      <c r="A622" s="4">
        <v>462006</v>
      </c>
      <c r="B622" s="4">
        <v>402</v>
      </c>
      <c r="C622" s="4" t="s">
        <v>863</v>
      </c>
      <c r="D622" s="30" t="s">
        <v>472</v>
      </c>
      <c r="F622" s="4">
        <v>56</v>
      </c>
      <c r="G622" s="4">
        <v>1</v>
      </c>
      <c r="I622" s="4">
        <v>2</v>
      </c>
      <c r="J622" s="4">
        <v>4</v>
      </c>
      <c r="N622" s="4">
        <v>2</v>
      </c>
      <c r="P622" s="4">
        <v>2</v>
      </c>
      <c r="R622" t="s">
        <v>860</v>
      </c>
    </row>
    <row r="623" spans="1:18">
      <c r="A623" s="4">
        <v>463001</v>
      </c>
      <c r="B623" s="4">
        <v>101</v>
      </c>
      <c r="C623" s="4" t="s">
        <v>864</v>
      </c>
      <c r="D623" s="30" t="s">
        <v>663</v>
      </c>
      <c r="G623" s="4">
        <v>1</v>
      </c>
      <c r="J623" s="4">
        <v>4</v>
      </c>
      <c r="N623" s="4">
        <v>2</v>
      </c>
      <c r="P623" s="4">
        <v>2</v>
      </c>
      <c r="R623" t="s">
        <v>860</v>
      </c>
    </row>
    <row r="624" spans="1:18">
      <c r="A624" s="4">
        <v>463002</v>
      </c>
      <c r="B624" s="4">
        <v>1303</v>
      </c>
      <c r="C624" s="4" t="s">
        <v>864</v>
      </c>
      <c r="D624" s="30" t="s">
        <v>835</v>
      </c>
      <c r="F624" s="4">
        <v>7</v>
      </c>
      <c r="G624" s="4">
        <v>1</v>
      </c>
      <c r="J624" s="4">
        <v>4</v>
      </c>
      <c r="N624" s="4">
        <v>2</v>
      </c>
      <c r="P624" s="4">
        <v>2</v>
      </c>
      <c r="R624" t="s">
        <v>860</v>
      </c>
    </row>
    <row r="625" spans="1:18">
      <c r="A625" s="4">
        <v>463003</v>
      </c>
      <c r="B625" s="4">
        <v>1211</v>
      </c>
      <c r="C625" s="4" t="s">
        <v>864</v>
      </c>
      <c r="D625" s="30" t="s">
        <v>118</v>
      </c>
      <c r="F625" s="4">
        <v>17</v>
      </c>
      <c r="G625" s="4">
        <v>3</v>
      </c>
      <c r="J625" s="4">
        <v>4</v>
      </c>
      <c r="N625" s="4">
        <v>2</v>
      </c>
      <c r="P625" s="4">
        <v>2</v>
      </c>
      <c r="R625" t="s">
        <v>860</v>
      </c>
    </row>
    <row r="626" spans="1:18">
      <c r="A626" s="4">
        <v>463004</v>
      </c>
      <c r="B626" s="4">
        <v>502</v>
      </c>
      <c r="C626" s="4" t="s">
        <v>864</v>
      </c>
      <c r="D626" s="30" t="s">
        <v>269</v>
      </c>
      <c r="F626" s="4">
        <v>16</v>
      </c>
      <c r="G626" s="4">
        <v>1</v>
      </c>
      <c r="J626" s="4">
        <v>4</v>
      </c>
      <c r="N626" s="4">
        <v>2</v>
      </c>
      <c r="P626" s="4">
        <v>2</v>
      </c>
      <c r="R626" t="s">
        <v>860</v>
      </c>
    </row>
    <row r="627" spans="1:18">
      <c r="A627" s="4">
        <v>463005</v>
      </c>
      <c r="B627" s="4">
        <v>402</v>
      </c>
      <c r="C627" s="4" t="s">
        <v>864</v>
      </c>
      <c r="D627" s="30" t="s">
        <v>472</v>
      </c>
      <c r="F627" s="4">
        <v>56</v>
      </c>
      <c r="G627" s="4">
        <v>1</v>
      </c>
      <c r="I627" s="4">
        <v>2</v>
      </c>
      <c r="J627" s="4">
        <v>4</v>
      </c>
      <c r="N627" s="4">
        <v>2</v>
      </c>
      <c r="P627" s="4">
        <v>2</v>
      </c>
      <c r="R627" t="s">
        <v>860</v>
      </c>
    </row>
    <row r="628" spans="1:18">
      <c r="A628" s="4">
        <v>463006</v>
      </c>
      <c r="B628" s="4">
        <v>4000</v>
      </c>
      <c r="C628" s="4" t="s">
        <v>864</v>
      </c>
      <c r="D628" s="30" t="s">
        <v>836</v>
      </c>
      <c r="F628" s="4">
        <v>56</v>
      </c>
      <c r="G628" s="4">
        <v>500</v>
      </c>
      <c r="I628" s="4">
        <v>1</v>
      </c>
      <c r="J628" s="4">
        <v>4</v>
      </c>
      <c r="N628" s="4">
        <v>2</v>
      </c>
      <c r="P628" s="4">
        <v>2</v>
      </c>
      <c r="R628" t="s">
        <v>860</v>
      </c>
    </row>
    <row r="629" spans="1:18">
      <c r="A629" s="4">
        <v>464001</v>
      </c>
      <c r="B629" s="4">
        <v>101</v>
      </c>
      <c r="C629" s="4" t="s">
        <v>865</v>
      </c>
      <c r="D629" s="30" t="s">
        <v>663</v>
      </c>
      <c r="G629" s="4">
        <v>1</v>
      </c>
      <c r="J629" s="4">
        <v>4</v>
      </c>
      <c r="N629" s="4">
        <v>2</v>
      </c>
      <c r="P629" s="4">
        <v>2</v>
      </c>
      <c r="R629" t="s">
        <v>860</v>
      </c>
    </row>
    <row r="630" spans="1:18">
      <c r="A630" s="4">
        <v>464002</v>
      </c>
      <c r="B630" s="4">
        <v>1303</v>
      </c>
      <c r="C630" s="4" t="s">
        <v>865</v>
      </c>
      <c r="D630" s="30" t="s">
        <v>840</v>
      </c>
      <c r="F630" s="4">
        <v>7</v>
      </c>
      <c r="G630" s="4">
        <v>3</v>
      </c>
      <c r="J630" s="4">
        <v>4</v>
      </c>
      <c r="N630" s="4">
        <v>2</v>
      </c>
      <c r="P630" s="4">
        <v>2</v>
      </c>
      <c r="R630" t="s">
        <v>860</v>
      </c>
    </row>
    <row r="631" spans="1:18">
      <c r="A631" s="4">
        <v>464003</v>
      </c>
      <c r="B631" s="4">
        <v>1202</v>
      </c>
      <c r="C631" s="4" t="s">
        <v>865</v>
      </c>
      <c r="D631" s="30" t="s">
        <v>121</v>
      </c>
      <c r="F631" s="4">
        <v>18</v>
      </c>
      <c r="G631" s="4">
        <v>1</v>
      </c>
      <c r="J631" s="4">
        <v>4</v>
      </c>
      <c r="N631" s="4">
        <v>2</v>
      </c>
      <c r="P631" s="4">
        <v>2</v>
      </c>
      <c r="R631" t="s">
        <v>860</v>
      </c>
    </row>
    <row r="632" spans="1:18">
      <c r="A632" s="4">
        <v>464004</v>
      </c>
      <c r="B632" s="4">
        <v>1002</v>
      </c>
      <c r="C632" s="4" t="s">
        <v>865</v>
      </c>
      <c r="D632" s="30" t="s">
        <v>832</v>
      </c>
      <c r="F632" s="4">
        <v>10</v>
      </c>
      <c r="G632" s="4">
        <v>4</v>
      </c>
      <c r="J632" s="4">
        <v>4</v>
      </c>
      <c r="N632" s="4">
        <v>2</v>
      </c>
      <c r="P632" s="4">
        <v>2</v>
      </c>
      <c r="R632" t="s">
        <v>860</v>
      </c>
    </row>
    <row r="633" spans="1:18">
      <c r="A633" s="4">
        <v>464005</v>
      </c>
      <c r="B633" s="4">
        <v>502</v>
      </c>
      <c r="C633" s="4" t="s">
        <v>865</v>
      </c>
      <c r="D633" s="30" t="s">
        <v>269</v>
      </c>
      <c r="F633" s="4">
        <v>16</v>
      </c>
      <c r="G633" s="4">
        <v>1</v>
      </c>
      <c r="J633" s="4">
        <v>4</v>
      </c>
      <c r="N633" s="4">
        <v>2</v>
      </c>
      <c r="P633" s="4">
        <v>2</v>
      </c>
      <c r="R633" t="s">
        <v>860</v>
      </c>
    </row>
    <row r="634" spans="1:18">
      <c r="A634" s="4">
        <v>464006</v>
      </c>
      <c r="B634" s="4">
        <v>402</v>
      </c>
      <c r="C634" s="4" t="s">
        <v>865</v>
      </c>
      <c r="D634" s="30" t="s">
        <v>841</v>
      </c>
      <c r="F634" s="4">
        <v>56</v>
      </c>
      <c r="G634" s="4">
        <v>3</v>
      </c>
      <c r="I634" s="4">
        <v>2</v>
      </c>
      <c r="J634" s="4">
        <v>4</v>
      </c>
      <c r="N634" s="4">
        <v>2</v>
      </c>
      <c r="P634" s="4">
        <v>2</v>
      </c>
      <c r="R634" t="s">
        <v>860</v>
      </c>
    </row>
    <row r="635" spans="1:18">
      <c r="A635" s="4">
        <v>465001</v>
      </c>
      <c r="B635" s="4">
        <v>101</v>
      </c>
      <c r="C635" s="4" t="s">
        <v>866</v>
      </c>
      <c r="D635" s="30" t="s">
        <v>663</v>
      </c>
      <c r="G635" s="4">
        <v>1</v>
      </c>
      <c r="J635" s="4">
        <v>4</v>
      </c>
      <c r="N635" s="4">
        <v>2</v>
      </c>
      <c r="P635" s="4">
        <v>2</v>
      </c>
      <c r="R635" t="s">
        <v>860</v>
      </c>
    </row>
    <row r="636" spans="1:18">
      <c r="A636" s="4">
        <v>465002</v>
      </c>
      <c r="B636" s="4">
        <v>3101</v>
      </c>
      <c r="C636" s="4" t="s">
        <v>866</v>
      </c>
      <c r="D636" s="30" t="s">
        <v>724</v>
      </c>
      <c r="F636" s="4">
        <v>9</v>
      </c>
      <c r="G636" s="4">
        <v>5</v>
      </c>
      <c r="J636" s="4">
        <v>4</v>
      </c>
      <c r="N636" s="4">
        <v>2</v>
      </c>
      <c r="P636" s="4">
        <v>2</v>
      </c>
      <c r="R636" t="s">
        <v>860</v>
      </c>
    </row>
    <row r="637" spans="1:18">
      <c r="A637" s="4">
        <v>465003</v>
      </c>
      <c r="B637" s="4">
        <v>1004</v>
      </c>
      <c r="C637" s="4" t="s">
        <v>866</v>
      </c>
      <c r="D637" s="30" t="s">
        <v>861</v>
      </c>
      <c r="F637" s="4">
        <v>4</v>
      </c>
      <c r="G637" s="4">
        <v>1</v>
      </c>
      <c r="I637" s="4">
        <v>3</v>
      </c>
      <c r="J637" s="4">
        <v>4</v>
      </c>
      <c r="N637" s="4">
        <v>2</v>
      </c>
      <c r="P637" s="4">
        <v>2</v>
      </c>
      <c r="R637" t="s">
        <v>860</v>
      </c>
    </row>
    <row r="638" spans="1:18">
      <c r="A638" s="4">
        <v>465004</v>
      </c>
      <c r="B638" s="4">
        <v>1202</v>
      </c>
      <c r="C638" s="4" t="s">
        <v>866</v>
      </c>
      <c r="D638" s="30" t="s">
        <v>121</v>
      </c>
      <c r="F638" s="4">
        <v>18</v>
      </c>
      <c r="G638" s="4">
        <v>1</v>
      </c>
      <c r="J638" s="4">
        <v>4</v>
      </c>
      <c r="N638" s="4">
        <v>2</v>
      </c>
      <c r="P638" s="4">
        <v>2</v>
      </c>
      <c r="R638" t="s">
        <v>860</v>
      </c>
    </row>
    <row r="639" spans="1:18">
      <c r="A639" s="4">
        <v>465005</v>
      </c>
      <c r="B639" s="4">
        <v>405</v>
      </c>
      <c r="C639" s="4" t="s">
        <v>866</v>
      </c>
      <c r="D639" s="30" t="s">
        <v>593</v>
      </c>
      <c r="F639" s="4">
        <v>13</v>
      </c>
      <c r="G639" s="4">
        <v>1</v>
      </c>
      <c r="J639" s="4">
        <v>4</v>
      </c>
      <c r="N639" s="4">
        <v>0</v>
      </c>
      <c r="P639" s="4">
        <v>2</v>
      </c>
      <c r="R639" t="s">
        <v>860</v>
      </c>
    </row>
    <row r="640" spans="1:18">
      <c r="A640" s="4">
        <v>465006</v>
      </c>
      <c r="B640" s="4">
        <v>1002</v>
      </c>
      <c r="C640" s="4" t="s">
        <v>866</v>
      </c>
      <c r="D640" s="30" t="s">
        <v>832</v>
      </c>
      <c r="F640" s="4">
        <v>10</v>
      </c>
      <c r="G640" s="4">
        <v>4</v>
      </c>
      <c r="J640" s="4">
        <v>4</v>
      </c>
      <c r="N640" s="4">
        <v>2</v>
      </c>
      <c r="P640" s="4">
        <v>2</v>
      </c>
      <c r="R640" t="s">
        <v>860</v>
      </c>
    </row>
    <row r="641" spans="1:18">
      <c r="A641" s="4">
        <v>466001</v>
      </c>
      <c r="B641" s="4">
        <v>101</v>
      </c>
      <c r="C641" s="4" t="s">
        <v>867</v>
      </c>
      <c r="D641" s="30" t="s">
        <v>663</v>
      </c>
      <c r="G641" s="4">
        <v>1</v>
      </c>
      <c r="J641" s="4">
        <v>4</v>
      </c>
      <c r="N641" s="4">
        <v>2</v>
      </c>
      <c r="P641" s="4">
        <v>2</v>
      </c>
      <c r="R641" t="s">
        <v>860</v>
      </c>
    </row>
    <row r="642" spans="1:18">
      <c r="A642" s="4">
        <v>466002</v>
      </c>
      <c r="B642" s="4">
        <v>1303</v>
      </c>
      <c r="C642" s="4" t="s">
        <v>867</v>
      </c>
      <c r="D642" s="30" t="s">
        <v>840</v>
      </c>
      <c r="F642" s="4">
        <v>7</v>
      </c>
      <c r="G642" s="4">
        <v>3</v>
      </c>
      <c r="J642" s="4">
        <v>4</v>
      </c>
      <c r="N642" s="4">
        <v>2</v>
      </c>
      <c r="P642" s="4">
        <v>2</v>
      </c>
      <c r="R642" t="s">
        <v>860</v>
      </c>
    </row>
    <row r="643" spans="1:18">
      <c r="A643" s="4">
        <v>466003</v>
      </c>
      <c r="B643" s="4">
        <v>1211</v>
      </c>
      <c r="C643" s="4" t="s">
        <v>867</v>
      </c>
      <c r="D643" s="30" t="s">
        <v>118</v>
      </c>
      <c r="F643" s="4">
        <v>17</v>
      </c>
      <c r="G643" s="4">
        <v>3</v>
      </c>
      <c r="J643" s="4">
        <v>4</v>
      </c>
      <c r="N643" s="4">
        <v>2</v>
      </c>
      <c r="P643" s="4">
        <v>2</v>
      </c>
      <c r="R643" t="s">
        <v>860</v>
      </c>
    </row>
    <row r="644" spans="1:18">
      <c r="A644" s="4">
        <v>466004</v>
      </c>
      <c r="B644" s="4">
        <v>502</v>
      </c>
      <c r="C644" s="4" t="s">
        <v>867</v>
      </c>
      <c r="D644" s="30" t="s">
        <v>269</v>
      </c>
      <c r="F644" s="4">
        <v>16</v>
      </c>
      <c r="G644" s="4">
        <v>1</v>
      </c>
      <c r="J644" s="4">
        <v>4</v>
      </c>
      <c r="N644" s="4">
        <v>2</v>
      </c>
      <c r="P644" s="4">
        <v>2</v>
      </c>
      <c r="R644" t="s">
        <v>860</v>
      </c>
    </row>
    <row r="645" spans="1:18">
      <c r="A645" s="4">
        <v>466005</v>
      </c>
      <c r="B645" s="4">
        <v>402</v>
      </c>
      <c r="C645" s="4" t="s">
        <v>867</v>
      </c>
      <c r="D645" s="30" t="s">
        <v>472</v>
      </c>
      <c r="F645" s="4">
        <v>56</v>
      </c>
      <c r="G645" s="4">
        <v>1</v>
      </c>
      <c r="I645" s="4">
        <v>2</v>
      </c>
      <c r="J645" s="4">
        <v>4</v>
      </c>
      <c r="N645" s="4">
        <v>2</v>
      </c>
      <c r="P645" s="4">
        <v>2</v>
      </c>
      <c r="R645" t="s">
        <v>860</v>
      </c>
    </row>
    <row r="646" spans="1:18">
      <c r="A646" s="4">
        <v>466006</v>
      </c>
      <c r="B646" s="4">
        <v>4000</v>
      </c>
      <c r="C646" s="4" t="s">
        <v>867</v>
      </c>
      <c r="D646" s="30" t="s">
        <v>836</v>
      </c>
      <c r="F646" s="4">
        <v>56</v>
      </c>
      <c r="G646" s="4">
        <v>500</v>
      </c>
      <c r="I646" s="4">
        <v>1</v>
      </c>
      <c r="J646" s="4">
        <v>4</v>
      </c>
      <c r="N646" s="4">
        <v>2</v>
      </c>
      <c r="P646" s="4">
        <v>2</v>
      </c>
      <c r="R646" t="s">
        <v>860</v>
      </c>
    </row>
    <row r="647" spans="1:18">
      <c r="A647" s="4">
        <v>467001</v>
      </c>
      <c r="B647" s="4">
        <v>4001</v>
      </c>
      <c r="C647" s="4" t="s">
        <v>844</v>
      </c>
      <c r="D647" s="30" t="s">
        <v>845</v>
      </c>
      <c r="F647" s="4">
        <v>58</v>
      </c>
      <c r="G647" s="4">
        <v>100</v>
      </c>
      <c r="J647" s="4">
        <v>4</v>
      </c>
      <c r="N647" s="4">
        <v>2</v>
      </c>
      <c r="P647" s="4">
        <v>2</v>
      </c>
      <c r="R647" t="s">
        <v>846</v>
      </c>
    </row>
    <row r="648" spans="1:18">
      <c r="A648" s="4">
        <v>467002</v>
      </c>
      <c r="B648" s="4">
        <v>4001</v>
      </c>
      <c r="C648" s="4" t="s">
        <v>844</v>
      </c>
      <c r="D648" s="30" t="s">
        <v>847</v>
      </c>
      <c r="F648" s="4">
        <v>58</v>
      </c>
      <c r="G648" s="4">
        <v>200</v>
      </c>
      <c r="J648" s="4">
        <v>4</v>
      </c>
      <c r="N648" s="4">
        <v>2</v>
      </c>
      <c r="P648" s="4">
        <v>2</v>
      </c>
      <c r="R648" t="s">
        <v>868</v>
      </c>
    </row>
    <row r="649" spans="1:18">
      <c r="A649" s="4">
        <v>467003</v>
      </c>
      <c r="B649" s="4">
        <v>4001</v>
      </c>
      <c r="C649" s="4" t="s">
        <v>844</v>
      </c>
      <c r="D649" s="30" t="s">
        <v>849</v>
      </c>
      <c r="F649" s="4">
        <v>58</v>
      </c>
      <c r="G649" s="4">
        <v>500</v>
      </c>
      <c r="J649" s="4">
        <v>4</v>
      </c>
      <c r="N649" s="4">
        <v>2</v>
      </c>
      <c r="P649" s="4">
        <v>2</v>
      </c>
      <c r="R649" t="s">
        <v>869</v>
      </c>
    </row>
    <row r="650" spans="1:18">
      <c r="A650" s="4">
        <v>467004</v>
      </c>
      <c r="B650" s="4">
        <v>4001</v>
      </c>
      <c r="C650" s="4" t="s">
        <v>844</v>
      </c>
      <c r="D650" s="30" t="s">
        <v>851</v>
      </c>
      <c r="F650" s="4">
        <v>58</v>
      </c>
      <c r="G650" s="4">
        <v>1000</v>
      </c>
      <c r="J650" s="4">
        <v>4</v>
      </c>
      <c r="N650" s="4">
        <v>2</v>
      </c>
      <c r="P650" s="4">
        <v>2</v>
      </c>
      <c r="R650" t="s">
        <v>870</v>
      </c>
    </row>
    <row r="651" spans="1:18">
      <c r="A651" s="4">
        <v>467005</v>
      </c>
      <c r="B651" s="4">
        <v>4001</v>
      </c>
      <c r="C651" s="4" t="s">
        <v>844</v>
      </c>
      <c r="D651" s="30" t="s">
        <v>853</v>
      </c>
      <c r="F651" s="4">
        <v>58</v>
      </c>
      <c r="G651" s="4">
        <v>2000</v>
      </c>
      <c r="J651" s="4">
        <v>4</v>
      </c>
      <c r="N651" s="4">
        <v>2</v>
      </c>
      <c r="P651" s="4">
        <v>2</v>
      </c>
      <c r="R651" t="s">
        <v>854</v>
      </c>
    </row>
    <row r="652" spans="1:18">
      <c r="A652" s="4">
        <v>467006</v>
      </c>
      <c r="B652" s="4">
        <v>4001</v>
      </c>
      <c r="C652" s="4" t="s">
        <v>844</v>
      </c>
      <c r="D652" s="30" t="s">
        <v>855</v>
      </c>
      <c r="F652" s="4">
        <v>58</v>
      </c>
      <c r="G652" s="4">
        <v>3000</v>
      </c>
      <c r="J652" s="4">
        <v>4</v>
      </c>
      <c r="N652" s="4">
        <v>2</v>
      </c>
      <c r="P652" s="4">
        <v>2</v>
      </c>
      <c r="R652" t="s">
        <v>856</v>
      </c>
    </row>
    <row r="653" spans="1:18">
      <c r="A653" s="4">
        <v>467007</v>
      </c>
      <c r="B653" s="4">
        <v>4001</v>
      </c>
      <c r="C653" s="4" t="s">
        <v>844</v>
      </c>
      <c r="D653" s="30" t="s">
        <v>857</v>
      </c>
      <c r="F653" s="4">
        <v>58</v>
      </c>
      <c r="G653" s="4">
        <v>5000</v>
      </c>
      <c r="J653" s="4">
        <v>4</v>
      </c>
      <c r="N653" s="4">
        <v>2</v>
      </c>
      <c r="P653" s="4">
        <v>2</v>
      </c>
      <c r="R653" t="s">
        <v>858</v>
      </c>
    </row>
    <row r="654" spans="1:18">
      <c r="A654" s="4">
        <v>470001</v>
      </c>
      <c r="B654" s="4">
        <v>101</v>
      </c>
      <c r="C654" s="4" t="s">
        <v>871</v>
      </c>
      <c r="D654" s="30" t="s">
        <v>663</v>
      </c>
      <c r="G654" s="4">
        <v>1</v>
      </c>
      <c r="J654" s="4">
        <v>4</v>
      </c>
      <c r="N654" s="4">
        <v>2</v>
      </c>
      <c r="P654" s="4">
        <v>2</v>
      </c>
      <c r="R654" t="s">
        <v>872</v>
      </c>
    </row>
    <row r="655" spans="1:18">
      <c r="A655" s="4">
        <v>470002</v>
      </c>
      <c r="B655" s="4">
        <v>3101</v>
      </c>
      <c r="C655" s="4" t="s">
        <v>871</v>
      </c>
      <c r="D655" s="30" t="s">
        <v>724</v>
      </c>
      <c r="F655" s="4">
        <v>9</v>
      </c>
      <c r="G655" s="4">
        <v>5</v>
      </c>
      <c r="J655" s="4">
        <v>4</v>
      </c>
      <c r="N655" s="4">
        <v>2</v>
      </c>
      <c r="P655" s="4">
        <v>2</v>
      </c>
      <c r="R655" t="s">
        <v>872</v>
      </c>
    </row>
    <row r="656" spans="1:18">
      <c r="A656" s="4">
        <v>470003</v>
      </c>
      <c r="B656" s="4">
        <v>1004</v>
      </c>
      <c r="C656" s="4" t="s">
        <v>871</v>
      </c>
      <c r="D656" s="30" t="s">
        <v>861</v>
      </c>
      <c r="F656" s="4">
        <v>4</v>
      </c>
      <c r="G656" s="4">
        <v>1</v>
      </c>
      <c r="I656" s="4">
        <v>3</v>
      </c>
      <c r="J656" s="4">
        <v>4</v>
      </c>
      <c r="N656" s="4">
        <v>2</v>
      </c>
      <c r="P656" s="4">
        <v>2</v>
      </c>
      <c r="R656" t="s">
        <v>872</v>
      </c>
    </row>
    <row r="657" spans="1:18">
      <c r="A657" s="4">
        <v>470004</v>
      </c>
      <c r="B657" s="4">
        <v>1202</v>
      </c>
      <c r="C657" s="4" t="s">
        <v>871</v>
      </c>
      <c r="D657" s="30" t="s">
        <v>121</v>
      </c>
      <c r="F657" s="4">
        <v>18</v>
      </c>
      <c r="G657" s="4">
        <v>1</v>
      </c>
      <c r="J657" s="4">
        <v>4</v>
      </c>
      <c r="N657" s="4">
        <v>2</v>
      </c>
      <c r="P657" s="4">
        <v>2</v>
      </c>
      <c r="R657" t="s">
        <v>872</v>
      </c>
    </row>
    <row r="658" spans="1:18">
      <c r="A658" s="4">
        <v>470005</v>
      </c>
      <c r="B658" s="4">
        <v>1002</v>
      </c>
      <c r="C658" s="4" t="s">
        <v>871</v>
      </c>
      <c r="D658" s="30" t="s">
        <v>832</v>
      </c>
      <c r="F658" s="4">
        <v>10</v>
      </c>
      <c r="G658" s="4">
        <v>4</v>
      </c>
      <c r="J658" s="4">
        <v>4</v>
      </c>
      <c r="N658" s="4">
        <v>2</v>
      </c>
      <c r="P658" s="4">
        <v>2</v>
      </c>
      <c r="R658" t="s">
        <v>872</v>
      </c>
    </row>
    <row r="659" spans="1:18">
      <c r="A659" s="4">
        <v>470006</v>
      </c>
      <c r="B659" s="4">
        <v>405</v>
      </c>
      <c r="C659" s="4" t="s">
        <v>871</v>
      </c>
      <c r="D659" s="30" t="s">
        <v>593</v>
      </c>
      <c r="F659" s="4">
        <v>13</v>
      </c>
      <c r="G659" s="4">
        <v>1</v>
      </c>
      <c r="J659" s="4">
        <v>4</v>
      </c>
      <c r="N659" s="4">
        <v>0</v>
      </c>
      <c r="P659" s="4">
        <v>2</v>
      </c>
      <c r="R659" t="s">
        <v>872</v>
      </c>
    </row>
    <row r="660" spans="1:18">
      <c r="A660" s="4">
        <v>471001</v>
      </c>
      <c r="B660" s="4">
        <v>101</v>
      </c>
      <c r="C660" s="4" t="s">
        <v>873</v>
      </c>
      <c r="D660" s="30" t="s">
        <v>663</v>
      </c>
      <c r="G660" s="4">
        <v>1</v>
      </c>
      <c r="J660" s="4">
        <v>4</v>
      </c>
      <c r="N660" s="4">
        <v>2</v>
      </c>
      <c r="P660" s="4">
        <v>2</v>
      </c>
      <c r="R660" t="s">
        <v>872</v>
      </c>
    </row>
    <row r="661" spans="1:18">
      <c r="A661" s="4">
        <v>471002</v>
      </c>
      <c r="B661" s="4">
        <v>1303</v>
      </c>
      <c r="C661" s="4" t="s">
        <v>873</v>
      </c>
      <c r="D661" s="30" t="s">
        <v>835</v>
      </c>
      <c r="F661" s="4">
        <v>7</v>
      </c>
      <c r="G661" s="4">
        <v>1</v>
      </c>
      <c r="J661" s="4">
        <v>4</v>
      </c>
      <c r="N661" s="4">
        <v>2</v>
      </c>
      <c r="P661" s="4">
        <v>2</v>
      </c>
      <c r="R661" t="s">
        <v>872</v>
      </c>
    </row>
    <row r="662" spans="1:18">
      <c r="A662" s="4">
        <v>471003</v>
      </c>
      <c r="B662" s="4">
        <v>1211</v>
      </c>
      <c r="C662" s="4" t="s">
        <v>873</v>
      </c>
      <c r="D662" s="30" t="s">
        <v>118</v>
      </c>
      <c r="F662" s="4">
        <v>17</v>
      </c>
      <c r="G662" s="4">
        <v>3</v>
      </c>
      <c r="J662" s="4">
        <v>4</v>
      </c>
      <c r="N662" s="4">
        <v>2</v>
      </c>
      <c r="P662" s="4">
        <v>2</v>
      </c>
      <c r="R662" t="s">
        <v>872</v>
      </c>
    </row>
    <row r="663" spans="1:18">
      <c r="A663" s="4">
        <v>471004</v>
      </c>
      <c r="B663" s="4">
        <v>502</v>
      </c>
      <c r="C663" s="4" t="s">
        <v>873</v>
      </c>
      <c r="D663" s="30" t="s">
        <v>269</v>
      </c>
      <c r="F663" s="4">
        <v>16</v>
      </c>
      <c r="G663" s="4">
        <v>1</v>
      </c>
      <c r="J663" s="4">
        <v>4</v>
      </c>
      <c r="N663" s="4">
        <v>2</v>
      </c>
      <c r="P663" s="4">
        <v>2</v>
      </c>
      <c r="R663" t="s">
        <v>872</v>
      </c>
    </row>
    <row r="664" spans="1:18">
      <c r="A664" s="4">
        <v>471005</v>
      </c>
      <c r="B664" s="4">
        <v>402</v>
      </c>
      <c r="C664" s="4" t="s">
        <v>873</v>
      </c>
      <c r="D664" s="30" t="s">
        <v>472</v>
      </c>
      <c r="F664" s="4">
        <v>56</v>
      </c>
      <c r="G664" s="4">
        <v>1</v>
      </c>
      <c r="I664" s="4">
        <v>2</v>
      </c>
      <c r="J664" s="4">
        <v>4</v>
      </c>
      <c r="N664" s="4">
        <v>2</v>
      </c>
      <c r="P664" s="4">
        <v>2</v>
      </c>
      <c r="R664" t="s">
        <v>872</v>
      </c>
    </row>
    <row r="665" spans="1:18">
      <c r="A665" s="4">
        <v>471006</v>
      </c>
      <c r="B665" s="4">
        <v>4000</v>
      </c>
      <c r="C665" s="4" t="s">
        <v>873</v>
      </c>
      <c r="D665" s="30" t="s">
        <v>836</v>
      </c>
      <c r="F665" s="4">
        <v>56</v>
      </c>
      <c r="G665" s="4">
        <v>500</v>
      </c>
      <c r="I665" s="4">
        <v>1</v>
      </c>
      <c r="J665" s="4">
        <v>4</v>
      </c>
      <c r="N665" s="4">
        <v>2</v>
      </c>
      <c r="P665" s="4">
        <v>2</v>
      </c>
      <c r="R665" t="s">
        <v>872</v>
      </c>
    </row>
    <row r="666" spans="1:18">
      <c r="A666" s="4">
        <v>472001</v>
      </c>
      <c r="B666" s="4">
        <v>101</v>
      </c>
      <c r="C666" s="4" t="s">
        <v>874</v>
      </c>
      <c r="D666" s="30" t="s">
        <v>663</v>
      </c>
      <c r="G666" s="4">
        <v>1</v>
      </c>
      <c r="J666" s="4">
        <v>4</v>
      </c>
      <c r="N666" s="4">
        <v>2</v>
      </c>
      <c r="P666" s="4">
        <v>2</v>
      </c>
      <c r="R666" t="s">
        <v>872</v>
      </c>
    </row>
    <row r="667" spans="1:18">
      <c r="A667" s="4">
        <v>472002</v>
      </c>
      <c r="B667" s="4">
        <v>3101</v>
      </c>
      <c r="C667" s="4" t="s">
        <v>874</v>
      </c>
      <c r="D667" s="30" t="s">
        <v>724</v>
      </c>
      <c r="F667" s="4">
        <v>9</v>
      </c>
      <c r="G667" s="4">
        <v>5</v>
      </c>
      <c r="J667" s="4">
        <v>4</v>
      </c>
      <c r="N667" s="4">
        <v>2</v>
      </c>
      <c r="P667" s="4">
        <v>2</v>
      </c>
      <c r="R667" t="s">
        <v>872</v>
      </c>
    </row>
    <row r="668" spans="1:18">
      <c r="A668" s="4">
        <v>472003</v>
      </c>
      <c r="B668" s="4">
        <v>1004</v>
      </c>
      <c r="C668" s="4" t="s">
        <v>874</v>
      </c>
      <c r="D668" s="30" t="s">
        <v>861</v>
      </c>
      <c r="F668" s="4">
        <v>4</v>
      </c>
      <c r="G668" s="4">
        <v>1</v>
      </c>
      <c r="I668" s="4">
        <v>3</v>
      </c>
      <c r="J668" s="4">
        <v>4</v>
      </c>
      <c r="N668" s="4">
        <v>2</v>
      </c>
      <c r="P668" s="4">
        <v>2</v>
      </c>
      <c r="R668" t="s">
        <v>872</v>
      </c>
    </row>
    <row r="669" spans="1:18">
      <c r="A669" s="4">
        <v>472004</v>
      </c>
      <c r="B669" s="4">
        <v>1002</v>
      </c>
      <c r="C669" s="4" t="s">
        <v>874</v>
      </c>
      <c r="D669" s="30" t="s">
        <v>832</v>
      </c>
      <c r="F669" s="4">
        <v>10</v>
      </c>
      <c r="G669" s="4">
        <v>4</v>
      </c>
      <c r="J669" s="4">
        <v>4</v>
      </c>
      <c r="N669" s="4">
        <v>2</v>
      </c>
      <c r="P669" s="4">
        <v>2</v>
      </c>
      <c r="R669" t="s">
        <v>872</v>
      </c>
    </row>
    <row r="670" spans="1:18">
      <c r="A670" s="4">
        <v>472005</v>
      </c>
      <c r="B670" s="4">
        <v>1211</v>
      </c>
      <c r="C670" s="4" t="s">
        <v>874</v>
      </c>
      <c r="D670" s="30" t="s">
        <v>118</v>
      </c>
      <c r="F670" s="4">
        <v>17</v>
      </c>
      <c r="G670" s="4">
        <v>3</v>
      </c>
      <c r="J670" s="4">
        <v>4</v>
      </c>
      <c r="N670" s="4">
        <v>2</v>
      </c>
      <c r="P670" s="4">
        <v>2</v>
      </c>
      <c r="R670" t="s">
        <v>872</v>
      </c>
    </row>
    <row r="671" spans="1:18">
      <c r="A671" s="4">
        <v>472006</v>
      </c>
      <c r="B671" s="4">
        <v>402</v>
      </c>
      <c r="C671" s="4" t="s">
        <v>874</v>
      </c>
      <c r="D671" s="30" t="s">
        <v>472</v>
      </c>
      <c r="F671" s="4">
        <v>56</v>
      </c>
      <c r="G671" s="4">
        <v>1</v>
      </c>
      <c r="I671" s="4">
        <v>2</v>
      </c>
      <c r="J671" s="4">
        <v>4</v>
      </c>
      <c r="N671" s="4">
        <v>2</v>
      </c>
      <c r="P671" s="4">
        <v>2</v>
      </c>
      <c r="R671" t="s">
        <v>872</v>
      </c>
    </row>
    <row r="672" spans="1:18">
      <c r="A672" s="4">
        <v>473001</v>
      </c>
      <c r="B672" s="4">
        <v>101</v>
      </c>
      <c r="C672" s="4" t="s">
        <v>875</v>
      </c>
      <c r="D672" s="30" t="s">
        <v>663</v>
      </c>
      <c r="G672" s="4">
        <v>1</v>
      </c>
      <c r="J672" s="4">
        <v>4</v>
      </c>
      <c r="N672" s="4">
        <v>2</v>
      </c>
      <c r="P672" s="4">
        <v>2</v>
      </c>
      <c r="R672" t="s">
        <v>872</v>
      </c>
    </row>
    <row r="673" spans="1:18">
      <c r="A673" s="4">
        <v>473002</v>
      </c>
      <c r="B673" s="4">
        <v>1303</v>
      </c>
      <c r="C673" s="4" t="s">
        <v>875</v>
      </c>
      <c r="D673" s="30" t="s">
        <v>835</v>
      </c>
      <c r="F673" s="4">
        <v>7</v>
      </c>
      <c r="G673" s="4">
        <v>1</v>
      </c>
      <c r="J673" s="4">
        <v>4</v>
      </c>
      <c r="N673" s="4">
        <v>2</v>
      </c>
      <c r="P673" s="4">
        <v>2</v>
      </c>
      <c r="R673" t="s">
        <v>872</v>
      </c>
    </row>
    <row r="674" spans="1:18">
      <c r="A674" s="4">
        <v>473003</v>
      </c>
      <c r="B674" s="4">
        <v>1211</v>
      </c>
      <c r="C674" s="4" t="s">
        <v>875</v>
      </c>
      <c r="D674" s="30" t="s">
        <v>118</v>
      </c>
      <c r="F674" s="4">
        <v>17</v>
      </c>
      <c r="G674" s="4">
        <v>3</v>
      </c>
      <c r="J674" s="4">
        <v>4</v>
      </c>
      <c r="N674" s="4">
        <v>2</v>
      </c>
      <c r="P674" s="4">
        <v>2</v>
      </c>
      <c r="R674" t="s">
        <v>872</v>
      </c>
    </row>
    <row r="675" spans="1:18">
      <c r="A675" s="4">
        <v>473004</v>
      </c>
      <c r="B675" s="4">
        <v>502</v>
      </c>
      <c r="C675" s="4" t="s">
        <v>875</v>
      </c>
      <c r="D675" s="30" t="s">
        <v>269</v>
      </c>
      <c r="F675" s="4">
        <v>16</v>
      </c>
      <c r="G675" s="4">
        <v>1</v>
      </c>
      <c r="J675" s="4">
        <v>4</v>
      </c>
      <c r="N675" s="4">
        <v>2</v>
      </c>
      <c r="P675" s="4">
        <v>2</v>
      </c>
      <c r="R675" t="s">
        <v>872</v>
      </c>
    </row>
    <row r="676" spans="1:18">
      <c r="A676" s="4">
        <v>473005</v>
      </c>
      <c r="B676" s="4">
        <v>402</v>
      </c>
      <c r="C676" s="4" t="s">
        <v>875</v>
      </c>
      <c r="D676" s="30" t="s">
        <v>472</v>
      </c>
      <c r="F676" s="4">
        <v>56</v>
      </c>
      <c r="G676" s="4">
        <v>1</v>
      </c>
      <c r="I676" s="4">
        <v>2</v>
      </c>
      <c r="J676" s="4">
        <v>4</v>
      </c>
      <c r="N676" s="4">
        <v>2</v>
      </c>
      <c r="P676" s="4">
        <v>2</v>
      </c>
      <c r="R676" t="s">
        <v>872</v>
      </c>
    </row>
    <row r="677" spans="1:18">
      <c r="A677" s="4">
        <v>473006</v>
      </c>
      <c r="B677" s="4">
        <v>4000</v>
      </c>
      <c r="C677" s="4" t="s">
        <v>875</v>
      </c>
      <c r="D677" s="30" t="s">
        <v>836</v>
      </c>
      <c r="F677" s="4">
        <v>56</v>
      </c>
      <c r="G677" s="4">
        <v>500</v>
      </c>
      <c r="I677" s="4">
        <v>1</v>
      </c>
      <c r="J677" s="4">
        <v>4</v>
      </c>
      <c r="N677" s="4">
        <v>2</v>
      </c>
      <c r="P677" s="4">
        <v>2</v>
      </c>
      <c r="R677" t="s">
        <v>872</v>
      </c>
    </row>
    <row r="678" spans="1:18">
      <c r="A678" s="4">
        <v>474001</v>
      </c>
      <c r="B678" s="4">
        <v>101</v>
      </c>
      <c r="C678" s="4" t="s">
        <v>876</v>
      </c>
      <c r="D678" s="30" t="s">
        <v>663</v>
      </c>
      <c r="G678" s="4">
        <v>1</v>
      </c>
      <c r="J678" s="4">
        <v>4</v>
      </c>
      <c r="N678" s="4">
        <v>2</v>
      </c>
      <c r="P678" s="4">
        <v>2</v>
      </c>
      <c r="R678" t="s">
        <v>872</v>
      </c>
    </row>
    <row r="679" spans="1:18">
      <c r="A679" s="4">
        <v>474002</v>
      </c>
      <c r="B679" s="4">
        <v>1303</v>
      </c>
      <c r="C679" s="4" t="s">
        <v>876</v>
      </c>
      <c r="D679" s="30" t="s">
        <v>840</v>
      </c>
      <c r="F679" s="4">
        <v>7</v>
      </c>
      <c r="G679" s="4">
        <v>3</v>
      </c>
      <c r="J679" s="4">
        <v>4</v>
      </c>
      <c r="N679" s="4">
        <v>2</v>
      </c>
      <c r="P679" s="4">
        <v>2</v>
      </c>
      <c r="R679" t="s">
        <v>872</v>
      </c>
    </row>
    <row r="680" spans="1:18">
      <c r="A680" s="4">
        <v>474003</v>
      </c>
      <c r="B680" s="4">
        <v>1202</v>
      </c>
      <c r="C680" s="4" t="s">
        <v>876</v>
      </c>
      <c r="D680" s="30" t="s">
        <v>121</v>
      </c>
      <c r="F680" s="4">
        <v>18</v>
      </c>
      <c r="G680" s="4">
        <v>1</v>
      </c>
      <c r="J680" s="4">
        <v>4</v>
      </c>
      <c r="N680" s="4">
        <v>2</v>
      </c>
      <c r="P680" s="4">
        <v>2</v>
      </c>
      <c r="R680" t="s">
        <v>872</v>
      </c>
    </row>
    <row r="681" spans="1:18">
      <c r="A681" s="4">
        <v>474004</v>
      </c>
      <c r="B681" s="4">
        <v>1002</v>
      </c>
      <c r="C681" s="4" t="s">
        <v>876</v>
      </c>
      <c r="D681" s="30" t="s">
        <v>832</v>
      </c>
      <c r="F681" s="4">
        <v>10</v>
      </c>
      <c r="G681" s="4">
        <v>4</v>
      </c>
      <c r="J681" s="4">
        <v>4</v>
      </c>
      <c r="N681" s="4">
        <v>2</v>
      </c>
      <c r="P681" s="4">
        <v>2</v>
      </c>
      <c r="R681" t="s">
        <v>872</v>
      </c>
    </row>
    <row r="682" spans="1:18">
      <c r="A682" s="4">
        <v>474005</v>
      </c>
      <c r="B682" s="4">
        <v>502</v>
      </c>
      <c r="C682" s="4" t="s">
        <v>876</v>
      </c>
      <c r="D682" s="30" t="s">
        <v>269</v>
      </c>
      <c r="F682" s="4">
        <v>16</v>
      </c>
      <c r="G682" s="4">
        <v>1</v>
      </c>
      <c r="J682" s="4">
        <v>4</v>
      </c>
      <c r="N682" s="4">
        <v>2</v>
      </c>
      <c r="P682" s="4">
        <v>2</v>
      </c>
      <c r="R682" t="s">
        <v>872</v>
      </c>
    </row>
    <row r="683" spans="1:18">
      <c r="A683" s="4">
        <v>474006</v>
      </c>
      <c r="B683" s="4">
        <v>402</v>
      </c>
      <c r="C683" s="4" t="s">
        <v>876</v>
      </c>
      <c r="D683" s="30" t="s">
        <v>841</v>
      </c>
      <c r="F683" s="4">
        <v>56</v>
      </c>
      <c r="G683" s="4">
        <v>3</v>
      </c>
      <c r="I683" s="4">
        <v>2</v>
      </c>
      <c r="J683" s="4">
        <v>4</v>
      </c>
      <c r="N683" s="4">
        <v>2</v>
      </c>
      <c r="P683" s="4">
        <v>2</v>
      </c>
      <c r="R683" t="s">
        <v>872</v>
      </c>
    </row>
    <row r="684" spans="1:18">
      <c r="A684" s="4">
        <v>475001</v>
      </c>
      <c r="B684" s="4">
        <v>101</v>
      </c>
      <c r="C684" s="4" t="s">
        <v>877</v>
      </c>
      <c r="D684" s="30" t="s">
        <v>663</v>
      </c>
      <c r="G684" s="4">
        <v>1</v>
      </c>
      <c r="J684" s="4">
        <v>4</v>
      </c>
      <c r="N684" s="4">
        <v>2</v>
      </c>
      <c r="P684" s="4">
        <v>2</v>
      </c>
      <c r="R684" t="s">
        <v>872</v>
      </c>
    </row>
    <row r="685" spans="1:18">
      <c r="A685" s="4">
        <v>475002</v>
      </c>
      <c r="B685" s="4">
        <v>3101</v>
      </c>
      <c r="C685" s="4" t="s">
        <v>877</v>
      </c>
      <c r="D685" s="30" t="s">
        <v>724</v>
      </c>
      <c r="F685" s="4">
        <v>9</v>
      </c>
      <c r="G685" s="4">
        <v>5</v>
      </c>
      <c r="J685" s="4">
        <v>4</v>
      </c>
      <c r="N685" s="4">
        <v>2</v>
      </c>
      <c r="P685" s="4">
        <v>2</v>
      </c>
      <c r="R685" t="s">
        <v>872</v>
      </c>
    </row>
    <row r="686" spans="1:18">
      <c r="A686" s="4">
        <v>475003</v>
      </c>
      <c r="B686" s="4">
        <v>1004</v>
      </c>
      <c r="C686" s="4" t="s">
        <v>877</v>
      </c>
      <c r="D686" s="30" t="s">
        <v>861</v>
      </c>
      <c r="F686" s="4">
        <v>4</v>
      </c>
      <c r="G686" s="4">
        <v>1</v>
      </c>
      <c r="I686" s="4">
        <v>3</v>
      </c>
      <c r="J686" s="4">
        <v>4</v>
      </c>
      <c r="N686" s="4">
        <v>2</v>
      </c>
      <c r="P686" s="4">
        <v>2</v>
      </c>
      <c r="R686" t="s">
        <v>872</v>
      </c>
    </row>
    <row r="687" spans="1:18">
      <c r="A687" s="4">
        <v>475004</v>
      </c>
      <c r="B687" s="4">
        <v>1202</v>
      </c>
      <c r="C687" s="4" t="s">
        <v>877</v>
      </c>
      <c r="D687" s="30" t="s">
        <v>121</v>
      </c>
      <c r="F687" s="4">
        <v>18</v>
      </c>
      <c r="G687" s="4">
        <v>1</v>
      </c>
      <c r="J687" s="4">
        <v>4</v>
      </c>
      <c r="N687" s="4">
        <v>2</v>
      </c>
      <c r="P687" s="4">
        <v>2</v>
      </c>
      <c r="R687" t="s">
        <v>872</v>
      </c>
    </row>
    <row r="688" spans="1:18">
      <c r="A688" s="4">
        <v>475005</v>
      </c>
      <c r="B688" s="4">
        <v>405</v>
      </c>
      <c r="C688" s="4" t="s">
        <v>877</v>
      </c>
      <c r="D688" s="30" t="s">
        <v>593</v>
      </c>
      <c r="F688" s="4">
        <v>13</v>
      </c>
      <c r="G688" s="4">
        <v>1</v>
      </c>
      <c r="J688" s="4">
        <v>4</v>
      </c>
      <c r="N688" s="4">
        <v>0</v>
      </c>
      <c r="P688" s="4">
        <v>2</v>
      </c>
      <c r="R688" t="s">
        <v>872</v>
      </c>
    </row>
    <row r="689" spans="1:18">
      <c r="A689" s="4">
        <v>475006</v>
      </c>
      <c r="B689" s="4">
        <v>1002</v>
      </c>
      <c r="C689" s="4" t="s">
        <v>877</v>
      </c>
      <c r="D689" s="30" t="s">
        <v>832</v>
      </c>
      <c r="F689" s="4">
        <v>10</v>
      </c>
      <c r="G689" s="4">
        <v>4</v>
      </c>
      <c r="J689" s="4">
        <v>4</v>
      </c>
      <c r="N689" s="4">
        <v>2</v>
      </c>
      <c r="P689" s="4">
        <v>2</v>
      </c>
      <c r="R689" t="s">
        <v>872</v>
      </c>
    </row>
    <row r="690" spans="1:18">
      <c r="A690" s="4">
        <v>476001</v>
      </c>
      <c r="B690" s="4">
        <v>101</v>
      </c>
      <c r="C690" s="4" t="s">
        <v>878</v>
      </c>
      <c r="D690" s="30" t="s">
        <v>663</v>
      </c>
      <c r="G690" s="4">
        <v>1</v>
      </c>
      <c r="J690" s="4">
        <v>4</v>
      </c>
      <c r="N690" s="4">
        <v>2</v>
      </c>
      <c r="P690" s="4">
        <v>2</v>
      </c>
      <c r="R690" t="s">
        <v>872</v>
      </c>
    </row>
    <row r="691" spans="1:18">
      <c r="A691" s="4">
        <v>476002</v>
      </c>
      <c r="B691" s="4">
        <v>1303</v>
      </c>
      <c r="C691" s="4" t="s">
        <v>878</v>
      </c>
      <c r="D691" s="30" t="s">
        <v>840</v>
      </c>
      <c r="F691" s="4">
        <v>7</v>
      </c>
      <c r="G691" s="4">
        <v>3</v>
      </c>
      <c r="J691" s="4">
        <v>4</v>
      </c>
      <c r="N691" s="4">
        <v>2</v>
      </c>
      <c r="P691" s="4">
        <v>2</v>
      </c>
      <c r="R691" t="s">
        <v>872</v>
      </c>
    </row>
    <row r="692" spans="1:18">
      <c r="A692" s="4">
        <v>476003</v>
      </c>
      <c r="B692" s="4">
        <v>1211</v>
      </c>
      <c r="C692" s="4" t="s">
        <v>878</v>
      </c>
      <c r="D692" s="30" t="s">
        <v>118</v>
      </c>
      <c r="F692" s="4">
        <v>17</v>
      </c>
      <c r="G692" s="4">
        <v>3</v>
      </c>
      <c r="J692" s="4">
        <v>4</v>
      </c>
      <c r="N692" s="4">
        <v>2</v>
      </c>
      <c r="P692" s="4">
        <v>2</v>
      </c>
      <c r="R692" t="s">
        <v>872</v>
      </c>
    </row>
    <row r="693" spans="1:18">
      <c r="A693" s="4">
        <v>476004</v>
      </c>
      <c r="B693" s="4">
        <v>502</v>
      </c>
      <c r="C693" s="4" t="s">
        <v>878</v>
      </c>
      <c r="D693" s="30" t="s">
        <v>269</v>
      </c>
      <c r="F693" s="4">
        <v>16</v>
      </c>
      <c r="G693" s="4">
        <v>1</v>
      </c>
      <c r="J693" s="4">
        <v>4</v>
      </c>
      <c r="N693" s="4">
        <v>2</v>
      </c>
      <c r="P693" s="4">
        <v>2</v>
      </c>
      <c r="R693" t="s">
        <v>872</v>
      </c>
    </row>
    <row r="694" spans="1:18">
      <c r="A694" s="4">
        <v>476005</v>
      </c>
      <c r="B694" s="4">
        <v>402</v>
      </c>
      <c r="C694" s="4" t="s">
        <v>878</v>
      </c>
      <c r="D694" s="30" t="s">
        <v>472</v>
      </c>
      <c r="F694" s="4">
        <v>56</v>
      </c>
      <c r="G694" s="4">
        <v>1</v>
      </c>
      <c r="I694" s="4">
        <v>2</v>
      </c>
      <c r="J694" s="4">
        <v>4</v>
      </c>
      <c r="N694" s="4">
        <v>2</v>
      </c>
      <c r="P694" s="4">
        <v>2</v>
      </c>
      <c r="R694" t="s">
        <v>872</v>
      </c>
    </row>
    <row r="695" spans="1:18">
      <c r="A695" s="4">
        <v>476006</v>
      </c>
      <c r="B695" s="4">
        <v>4000</v>
      </c>
      <c r="C695" s="4" t="s">
        <v>878</v>
      </c>
      <c r="D695" s="30" t="s">
        <v>836</v>
      </c>
      <c r="F695" s="4">
        <v>56</v>
      </c>
      <c r="G695" s="4">
        <v>500</v>
      </c>
      <c r="I695" s="4">
        <v>1</v>
      </c>
      <c r="J695" s="4">
        <v>4</v>
      </c>
      <c r="N695" s="4">
        <v>2</v>
      </c>
      <c r="P695" s="4">
        <v>2</v>
      </c>
      <c r="R695" t="s">
        <v>872</v>
      </c>
    </row>
    <row r="696" spans="1:18">
      <c r="A696" s="4">
        <v>477001</v>
      </c>
      <c r="B696" s="4">
        <v>4001</v>
      </c>
      <c r="C696" s="4" t="s">
        <v>844</v>
      </c>
      <c r="D696" s="30" t="s">
        <v>845</v>
      </c>
      <c r="F696" s="4">
        <v>58</v>
      </c>
      <c r="G696" s="4">
        <v>100</v>
      </c>
      <c r="J696" s="4">
        <v>4</v>
      </c>
      <c r="N696" s="4">
        <v>2</v>
      </c>
      <c r="P696" s="4">
        <v>2</v>
      </c>
      <c r="R696" t="s">
        <v>846</v>
      </c>
    </row>
    <row r="697" spans="1:18">
      <c r="A697" s="4">
        <v>477002</v>
      </c>
      <c r="B697" s="4">
        <v>4001</v>
      </c>
      <c r="C697" s="4" t="s">
        <v>844</v>
      </c>
      <c r="D697" s="30" t="s">
        <v>847</v>
      </c>
      <c r="F697" s="4">
        <v>58</v>
      </c>
      <c r="G697" s="4">
        <v>200</v>
      </c>
      <c r="J697" s="4">
        <v>4</v>
      </c>
      <c r="N697" s="4">
        <v>2</v>
      </c>
      <c r="P697" s="4">
        <v>2</v>
      </c>
      <c r="R697" t="s">
        <v>848</v>
      </c>
    </row>
    <row r="698" spans="1:18">
      <c r="A698" s="4">
        <v>477003</v>
      </c>
      <c r="B698" s="4">
        <v>4001</v>
      </c>
      <c r="C698" s="4" t="s">
        <v>844</v>
      </c>
      <c r="D698" s="30" t="s">
        <v>849</v>
      </c>
      <c r="F698" s="4">
        <v>58</v>
      </c>
      <c r="G698" s="4">
        <v>500</v>
      </c>
      <c r="J698" s="4">
        <v>4</v>
      </c>
      <c r="N698" s="4">
        <v>2</v>
      </c>
      <c r="P698" s="4">
        <v>2</v>
      </c>
      <c r="R698" t="s">
        <v>850</v>
      </c>
    </row>
    <row r="699" spans="1:18">
      <c r="A699" s="4">
        <v>477004</v>
      </c>
      <c r="B699" s="4">
        <v>4001</v>
      </c>
      <c r="C699" s="4" t="s">
        <v>844</v>
      </c>
      <c r="D699" s="30" t="s">
        <v>851</v>
      </c>
      <c r="F699" s="4">
        <v>58</v>
      </c>
      <c r="G699" s="4">
        <v>1000</v>
      </c>
      <c r="J699" s="4">
        <v>4</v>
      </c>
      <c r="N699" s="4">
        <v>2</v>
      </c>
      <c r="P699" s="4">
        <v>2</v>
      </c>
      <c r="R699" t="s">
        <v>852</v>
      </c>
    </row>
    <row r="700" spans="1:18">
      <c r="A700" s="4">
        <v>477005</v>
      </c>
      <c r="B700" s="4">
        <v>4001</v>
      </c>
      <c r="C700" s="4" t="s">
        <v>844</v>
      </c>
      <c r="D700" s="30" t="s">
        <v>853</v>
      </c>
      <c r="F700" s="4">
        <v>58</v>
      </c>
      <c r="G700" s="4">
        <v>2000</v>
      </c>
      <c r="J700" s="4">
        <v>4</v>
      </c>
      <c r="N700" s="4">
        <v>2</v>
      </c>
      <c r="P700" s="4">
        <v>2</v>
      </c>
      <c r="R700" t="s">
        <v>854</v>
      </c>
    </row>
    <row r="701" spans="1:18">
      <c r="A701" s="4">
        <v>477006</v>
      </c>
      <c r="B701" s="4">
        <v>4001</v>
      </c>
      <c r="C701" s="4" t="s">
        <v>844</v>
      </c>
      <c r="D701" s="30" t="s">
        <v>855</v>
      </c>
      <c r="F701" s="4">
        <v>58</v>
      </c>
      <c r="G701" s="4">
        <v>3000</v>
      </c>
      <c r="J701" s="4">
        <v>4</v>
      </c>
      <c r="N701" s="4">
        <v>2</v>
      </c>
      <c r="P701" s="4">
        <v>2</v>
      </c>
      <c r="R701" t="s">
        <v>856</v>
      </c>
    </row>
    <row r="702" spans="1:18">
      <c r="A702" s="4">
        <v>477007</v>
      </c>
      <c r="B702" s="4">
        <v>4001</v>
      </c>
      <c r="C702" s="4" t="s">
        <v>844</v>
      </c>
      <c r="D702" s="30" t="s">
        <v>857</v>
      </c>
      <c r="F702" s="4">
        <v>58</v>
      </c>
      <c r="G702" s="4">
        <v>5000</v>
      </c>
      <c r="J702" s="4">
        <v>4</v>
      </c>
      <c r="N702" s="4">
        <v>2</v>
      </c>
      <c r="P702" s="4">
        <v>2</v>
      </c>
      <c r="R702" t="s">
        <v>858</v>
      </c>
    </row>
    <row r="703" spans="1:18">
      <c r="A703" s="4">
        <v>480001</v>
      </c>
      <c r="B703" s="4">
        <v>1401</v>
      </c>
      <c r="C703" s="4" t="s">
        <v>879</v>
      </c>
      <c r="D703" s="30" t="s">
        <v>782</v>
      </c>
      <c r="F703" s="4">
        <v>3</v>
      </c>
      <c r="G703" s="4">
        <v>30</v>
      </c>
      <c r="J703" s="4">
        <v>4</v>
      </c>
      <c r="N703" s="4">
        <v>2</v>
      </c>
      <c r="P703" s="4">
        <v>2</v>
      </c>
      <c r="R703" s="5" t="s">
        <v>880</v>
      </c>
    </row>
    <row r="704" spans="1:18">
      <c r="A704" s="4">
        <v>480002</v>
      </c>
      <c r="B704" s="4">
        <v>1401</v>
      </c>
      <c r="C704" s="4" t="s">
        <v>879</v>
      </c>
      <c r="D704" s="30" t="s">
        <v>786</v>
      </c>
      <c r="F704" s="4">
        <v>3</v>
      </c>
      <c r="G704" s="4">
        <v>50</v>
      </c>
      <c r="J704" s="4">
        <v>4</v>
      </c>
      <c r="N704" s="4">
        <v>2</v>
      </c>
      <c r="P704" s="4">
        <v>2</v>
      </c>
      <c r="R704" s="5" t="s">
        <v>880</v>
      </c>
    </row>
    <row r="705" spans="1:18">
      <c r="A705" s="4">
        <v>480003</v>
      </c>
      <c r="B705" s="4">
        <v>1401</v>
      </c>
      <c r="C705" s="4" t="s">
        <v>879</v>
      </c>
      <c r="D705" s="30" t="s">
        <v>881</v>
      </c>
      <c r="F705" s="4">
        <v>3</v>
      </c>
      <c r="G705" s="4">
        <v>70</v>
      </c>
      <c r="J705" s="4">
        <v>4</v>
      </c>
      <c r="N705" s="4">
        <v>2</v>
      </c>
      <c r="P705" s="4">
        <v>2</v>
      </c>
      <c r="R705" s="5" t="s">
        <v>880</v>
      </c>
    </row>
    <row r="706" spans="1:18">
      <c r="A706" s="4">
        <v>480004</v>
      </c>
      <c r="B706" s="4">
        <v>1401</v>
      </c>
      <c r="C706" s="4" t="s">
        <v>879</v>
      </c>
      <c r="D706" s="30" t="s">
        <v>882</v>
      </c>
      <c r="F706" s="4">
        <v>3</v>
      </c>
      <c r="G706" s="4">
        <v>90</v>
      </c>
      <c r="J706" s="4">
        <v>4</v>
      </c>
      <c r="N706" s="4">
        <v>2</v>
      </c>
      <c r="P706" s="4">
        <v>2</v>
      </c>
      <c r="R706" s="5" t="s">
        <v>883</v>
      </c>
    </row>
    <row r="707" spans="1:18">
      <c r="A707" s="4">
        <v>480005</v>
      </c>
      <c r="B707" s="4">
        <v>1401</v>
      </c>
      <c r="C707" s="4" t="s">
        <v>879</v>
      </c>
      <c r="D707" s="30" t="s">
        <v>884</v>
      </c>
      <c r="F707" s="4">
        <v>3</v>
      </c>
      <c r="G707" s="4">
        <v>110</v>
      </c>
      <c r="J707" s="4">
        <v>4</v>
      </c>
      <c r="N707" s="4">
        <v>2</v>
      </c>
      <c r="P707" s="4">
        <v>2</v>
      </c>
      <c r="R707" s="5" t="s">
        <v>885</v>
      </c>
    </row>
    <row r="708" spans="1:18">
      <c r="A708" s="4">
        <v>480006</v>
      </c>
      <c r="B708" s="4">
        <v>1401</v>
      </c>
      <c r="C708" s="4" t="s">
        <v>879</v>
      </c>
      <c r="D708" s="30" t="s">
        <v>886</v>
      </c>
      <c r="F708" s="4">
        <v>3</v>
      </c>
      <c r="G708" s="4">
        <v>130</v>
      </c>
      <c r="J708" s="4">
        <v>4</v>
      </c>
      <c r="N708" s="4">
        <v>2</v>
      </c>
      <c r="P708" s="4">
        <v>2</v>
      </c>
      <c r="R708" s="5" t="s">
        <v>887</v>
      </c>
    </row>
    <row r="709" spans="1:18">
      <c r="A709" s="4">
        <v>480007</v>
      </c>
      <c r="B709" s="4">
        <v>1401</v>
      </c>
      <c r="C709" s="4" t="s">
        <v>879</v>
      </c>
      <c r="D709" s="30" t="s">
        <v>888</v>
      </c>
      <c r="F709" s="4">
        <v>3</v>
      </c>
      <c r="G709" s="4">
        <v>140</v>
      </c>
      <c r="J709" s="4">
        <v>4</v>
      </c>
      <c r="N709" s="4">
        <v>2</v>
      </c>
      <c r="P709" s="4">
        <v>2</v>
      </c>
      <c r="R709" s="5" t="s">
        <v>889</v>
      </c>
    </row>
    <row r="710" spans="1:18">
      <c r="A710" s="4">
        <v>480008</v>
      </c>
      <c r="B710" s="4">
        <v>1401</v>
      </c>
      <c r="C710" s="4" t="s">
        <v>879</v>
      </c>
      <c r="D710" s="30" t="s">
        <v>890</v>
      </c>
      <c r="F710" s="4">
        <v>3</v>
      </c>
      <c r="G710" s="4">
        <v>150</v>
      </c>
      <c r="J710" s="4">
        <v>4</v>
      </c>
      <c r="N710" s="4">
        <v>2</v>
      </c>
      <c r="P710" s="4">
        <v>2</v>
      </c>
      <c r="R710" s="5" t="s">
        <v>891</v>
      </c>
    </row>
    <row r="711" spans="1:18">
      <c r="A711" s="4">
        <v>490001</v>
      </c>
      <c r="B711" s="4">
        <v>1502</v>
      </c>
      <c r="C711" s="4" t="s">
        <v>892</v>
      </c>
      <c r="D711" s="30" t="s">
        <v>132</v>
      </c>
      <c r="F711" s="4">
        <v>6</v>
      </c>
      <c r="G711" s="4">
        <v>3</v>
      </c>
      <c r="J711" s="4">
        <v>4</v>
      </c>
      <c r="N711" s="4">
        <v>2</v>
      </c>
      <c r="P711" s="4">
        <v>2</v>
      </c>
      <c r="R711" s="5" t="s">
        <v>893</v>
      </c>
    </row>
    <row r="712" spans="1:18">
      <c r="A712" s="4">
        <v>490002</v>
      </c>
      <c r="B712" s="4">
        <v>1502</v>
      </c>
      <c r="C712" s="4" t="s">
        <v>892</v>
      </c>
      <c r="D712" s="30" t="s">
        <v>894</v>
      </c>
      <c r="F712" s="4">
        <v>6</v>
      </c>
      <c r="G712" s="4">
        <v>5</v>
      </c>
      <c r="J712" s="4">
        <v>4</v>
      </c>
      <c r="N712" s="4">
        <v>2</v>
      </c>
      <c r="P712" s="4">
        <v>2</v>
      </c>
      <c r="R712" s="5" t="s">
        <v>893</v>
      </c>
    </row>
    <row r="713" spans="1:18">
      <c r="A713" s="4">
        <v>490003</v>
      </c>
      <c r="B713" s="4">
        <v>1502</v>
      </c>
      <c r="C713" s="4" t="s">
        <v>892</v>
      </c>
      <c r="D713" s="30" t="s">
        <v>895</v>
      </c>
      <c r="F713" s="4">
        <v>6</v>
      </c>
      <c r="G713" s="4">
        <v>8</v>
      </c>
      <c r="J713" s="4">
        <v>4</v>
      </c>
      <c r="N713" s="4">
        <v>2</v>
      </c>
      <c r="P713" s="4">
        <v>2</v>
      </c>
      <c r="R713" s="5" t="s">
        <v>893</v>
      </c>
    </row>
    <row r="714" spans="1:18">
      <c r="A714" s="4">
        <v>490004</v>
      </c>
      <c r="B714" s="4">
        <v>1502</v>
      </c>
      <c r="C714" s="4" t="s">
        <v>892</v>
      </c>
      <c r="D714" s="30" t="s">
        <v>896</v>
      </c>
      <c r="F714" s="4">
        <v>6</v>
      </c>
      <c r="G714" s="4">
        <v>10</v>
      </c>
      <c r="J714" s="4">
        <v>4</v>
      </c>
      <c r="N714" s="4">
        <v>2</v>
      </c>
      <c r="P714" s="4">
        <v>2</v>
      </c>
      <c r="R714" s="5" t="s">
        <v>897</v>
      </c>
    </row>
    <row r="715" spans="1:18">
      <c r="A715" s="4">
        <v>490005</v>
      </c>
      <c r="B715" s="4">
        <v>1502</v>
      </c>
      <c r="C715" s="4" t="s">
        <v>892</v>
      </c>
      <c r="D715" s="30" t="s">
        <v>898</v>
      </c>
      <c r="F715" s="4">
        <v>6</v>
      </c>
      <c r="G715" s="4">
        <v>12</v>
      </c>
      <c r="J715" s="4">
        <v>4</v>
      </c>
      <c r="N715" s="4">
        <v>2</v>
      </c>
      <c r="P715" s="4">
        <v>2</v>
      </c>
      <c r="R715" s="5" t="s">
        <v>899</v>
      </c>
    </row>
    <row r="716" spans="1:18">
      <c r="A716" s="4">
        <v>490006</v>
      </c>
      <c r="B716" s="4">
        <v>1502</v>
      </c>
      <c r="C716" s="4" t="s">
        <v>892</v>
      </c>
      <c r="D716" s="30" t="s">
        <v>900</v>
      </c>
      <c r="F716" s="4">
        <v>6</v>
      </c>
      <c r="G716" s="4">
        <v>15</v>
      </c>
      <c r="J716" s="4">
        <v>4</v>
      </c>
      <c r="N716" s="4">
        <v>2</v>
      </c>
      <c r="P716" s="4">
        <v>2</v>
      </c>
      <c r="R716" s="5" t="s">
        <v>901</v>
      </c>
    </row>
    <row r="717" spans="1:18">
      <c r="A717" s="4">
        <v>490007</v>
      </c>
      <c r="B717" s="4">
        <v>1502</v>
      </c>
      <c r="C717" s="4" t="s">
        <v>892</v>
      </c>
      <c r="D717" s="30" t="s">
        <v>902</v>
      </c>
      <c r="F717" s="4">
        <v>6</v>
      </c>
      <c r="G717" s="4">
        <v>20</v>
      </c>
      <c r="J717" s="4">
        <v>4</v>
      </c>
      <c r="N717" s="4">
        <v>2</v>
      </c>
      <c r="P717" s="4">
        <v>2</v>
      </c>
      <c r="R717" s="5" t="s">
        <v>903</v>
      </c>
    </row>
    <row r="718" spans="1:18">
      <c r="A718" s="4">
        <v>490008</v>
      </c>
      <c r="B718" s="4">
        <v>1502</v>
      </c>
      <c r="C718" s="4" t="s">
        <v>892</v>
      </c>
      <c r="D718" s="30" t="s">
        <v>904</v>
      </c>
      <c r="F718" s="4">
        <v>6</v>
      </c>
      <c r="G718" s="4">
        <v>25</v>
      </c>
      <c r="J718" s="4">
        <v>4</v>
      </c>
      <c r="N718" s="4">
        <v>2</v>
      </c>
      <c r="P718" s="4">
        <v>2</v>
      </c>
      <c r="R718" s="5" t="s">
        <v>905</v>
      </c>
    </row>
    <row r="719" s="27" customFormat="1" spans="1:18">
      <c r="A719" s="17">
        <v>500001</v>
      </c>
      <c r="B719" s="17">
        <v>503</v>
      </c>
      <c r="C719" s="17" t="s">
        <v>906</v>
      </c>
      <c r="D719" s="59" t="s">
        <v>907</v>
      </c>
      <c r="E719" s="17"/>
      <c r="F719" s="17">
        <v>44</v>
      </c>
      <c r="G719" s="17">
        <v>3</v>
      </c>
      <c r="H719" s="17"/>
      <c r="I719" s="17"/>
      <c r="J719" s="17">
        <v>4</v>
      </c>
      <c r="N719" s="17">
        <v>2</v>
      </c>
      <c r="P719" s="17">
        <v>2</v>
      </c>
      <c r="R719" s="66" t="s">
        <v>908</v>
      </c>
    </row>
    <row r="720" s="27" customFormat="1" spans="1:18">
      <c r="A720" s="17">
        <v>500002</v>
      </c>
      <c r="B720" s="17">
        <v>503</v>
      </c>
      <c r="C720" s="17" t="s">
        <v>906</v>
      </c>
      <c r="D720" s="59" t="s">
        <v>909</v>
      </c>
      <c r="E720" s="17"/>
      <c r="F720" s="17">
        <v>44</v>
      </c>
      <c r="G720" s="17">
        <v>5</v>
      </c>
      <c r="H720" s="17"/>
      <c r="I720" s="17"/>
      <c r="J720" s="17">
        <v>4</v>
      </c>
      <c r="N720" s="17">
        <v>2</v>
      </c>
      <c r="P720" s="17">
        <v>2</v>
      </c>
      <c r="R720" s="66" t="s">
        <v>910</v>
      </c>
    </row>
    <row r="721" s="27" customFormat="1" spans="1:18">
      <c r="A721" s="17">
        <v>500003</v>
      </c>
      <c r="B721" s="17">
        <v>503</v>
      </c>
      <c r="C721" s="17" t="s">
        <v>906</v>
      </c>
      <c r="D721" s="59" t="s">
        <v>911</v>
      </c>
      <c r="E721" s="17"/>
      <c r="F721" s="17">
        <v>44</v>
      </c>
      <c r="G721" s="17">
        <v>8</v>
      </c>
      <c r="H721" s="17"/>
      <c r="I721" s="17"/>
      <c r="J721" s="17">
        <v>4</v>
      </c>
      <c r="N721" s="17">
        <v>2</v>
      </c>
      <c r="P721" s="17">
        <v>2</v>
      </c>
      <c r="R721" s="66" t="s">
        <v>912</v>
      </c>
    </row>
    <row r="722" s="27" customFormat="1" spans="1:18">
      <c r="A722" s="17">
        <v>500004</v>
      </c>
      <c r="B722" s="17">
        <v>503</v>
      </c>
      <c r="C722" s="17" t="s">
        <v>906</v>
      </c>
      <c r="D722" s="59" t="s">
        <v>913</v>
      </c>
      <c r="E722" s="17"/>
      <c r="F722" s="17">
        <v>44</v>
      </c>
      <c r="G722" s="17">
        <v>10</v>
      </c>
      <c r="H722" s="17"/>
      <c r="I722" s="17"/>
      <c r="J722" s="17">
        <v>4</v>
      </c>
      <c r="N722" s="17">
        <v>2</v>
      </c>
      <c r="P722" s="17">
        <v>2</v>
      </c>
      <c r="R722" s="66" t="s">
        <v>914</v>
      </c>
    </row>
    <row r="723" s="27" customFormat="1" spans="1:18">
      <c r="A723" s="17">
        <v>500005</v>
      </c>
      <c r="B723" s="17">
        <v>503</v>
      </c>
      <c r="C723" s="17" t="s">
        <v>906</v>
      </c>
      <c r="D723" s="59" t="s">
        <v>915</v>
      </c>
      <c r="E723" s="17"/>
      <c r="F723" s="17">
        <v>44</v>
      </c>
      <c r="G723" s="17">
        <v>15</v>
      </c>
      <c r="H723" s="17"/>
      <c r="I723" s="17"/>
      <c r="J723" s="17">
        <v>4</v>
      </c>
      <c r="N723" s="17">
        <v>2</v>
      </c>
      <c r="P723" s="17">
        <v>2</v>
      </c>
      <c r="R723" s="66" t="s">
        <v>916</v>
      </c>
    </row>
    <row r="724" spans="1:18">
      <c r="A724" s="4">
        <v>510001</v>
      </c>
      <c r="B724" s="4">
        <v>1003</v>
      </c>
      <c r="C724" s="4" t="s">
        <v>917</v>
      </c>
      <c r="D724" s="30" t="s">
        <v>918</v>
      </c>
      <c r="F724" s="4">
        <v>4</v>
      </c>
      <c r="G724" s="4">
        <v>10</v>
      </c>
      <c r="J724" s="4">
        <v>4</v>
      </c>
      <c r="N724" s="4">
        <v>2</v>
      </c>
      <c r="P724" s="4">
        <v>2</v>
      </c>
      <c r="R724" s="5" t="s">
        <v>919</v>
      </c>
    </row>
    <row r="725" spans="1:18">
      <c r="A725" s="4">
        <v>510002</v>
      </c>
      <c r="B725" s="4">
        <v>1003</v>
      </c>
      <c r="C725" s="4" t="s">
        <v>917</v>
      </c>
      <c r="D725" s="30" t="s">
        <v>747</v>
      </c>
      <c r="F725" s="4">
        <v>4</v>
      </c>
      <c r="G725" s="4">
        <v>20</v>
      </c>
      <c r="J725" s="4">
        <v>4</v>
      </c>
      <c r="N725" s="4">
        <v>2</v>
      </c>
      <c r="P725" s="4">
        <v>2</v>
      </c>
      <c r="R725" s="5" t="s">
        <v>919</v>
      </c>
    </row>
    <row r="726" spans="1:18">
      <c r="A726" s="4">
        <v>510003</v>
      </c>
      <c r="B726" s="4">
        <v>1003</v>
      </c>
      <c r="C726" s="4" t="s">
        <v>917</v>
      </c>
      <c r="D726" s="30" t="s">
        <v>748</v>
      </c>
      <c r="F726" s="4">
        <v>4</v>
      </c>
      <c r="G726" s="4">
        <v>30</v>
      </c>
      <c r="J726" s="4">
        <v>4</v>
      </c>
      <c r="N726" s="4">
        <v>2</v>
      </c>
      <c r="P726" s="4">
        <v>2</v>
      </c>
      <c r="R726" s="5" t="s">
        <v>919</v>
      </c>
    </row>
    <row r="727" spans="1:18">
      <c r="A727" s="4">
        <v>510004</v>
      </c>
      <c r="B727" s="4">
        <v>1003</v>
      </c>
      <c r="C727" s="4" t="s">
        <v>917</v>
      </c>
      <c r="D727" s="30" t="s">
        <v>749</v>
      </c>
      <c r="F727" s="4">
        <v>4</v>
      </c>
      <c r="G727" s="4">
        <v>40</v>
      </c>
      <c r="J727" s="4">
        <v>4</v>
      </c>
      <c r="N727" s="4">
        <v>2</v>
      </c>
      <c r="P727" s="4">
        <v>2</v>
      </c>
      <c r="R727" s="5" t="s">
        <v>920</v>
      </c>
    </row>
    <row r="728" spans="1:18">
      <c r="A728" s="4">
        <v>510005</v>
      </c>
      <c r="B728" s="4">
        <v>1003</v>
      </c>
      <c r="C728" s="4" t="s">
        <v>917</v>
      </c>
      <c r="D728" s="30" t="s">
        <v>921</v>
      </c>
      <c r="F728" s="4">
        <v>4</v>
      </c>
      <c r="G728" s="4">
        <v>50</v>
      </c>
      <c r="J728" s="4">
        <v>4</v>
      </c>
      <c r="N728" s="4">
        <v>2</v>
      </c>
      <c r="P728" s="4">
        <v>2</v>
      </c>
      <c r="R728" s="5" t="s">
        <v>922</v>
      </c>
    </row>
    <row r="729" spans="1:18">
      <c r="A729" s="4">
        <v>510006</v>
      </c>
      <c r="B729" s="4">
        <v>1003</v>
      </c>
      <c r="C729" s="4" t="s">
        <v>917</v>
      </c>
      <c r="D729" s="30" t="s">
        <v>923</v>
      </c>
      <c r="F729" s="4">
        <v>4</v>
      </c>
      <c r="G729" s="4">
        <v>60</v>
      </c>
      <c r="J729" s="4">
        <v>4</v>
      </c>
      <c r="N729" s="4">
        <v>2</v>
      </c>
      <c r="P729" s="4">
        <v>2</v>
      </c>
      <c r="R729" s="5" t="s">
        <v>924</v>
      </c>
    </row>
    <row r="730" spans="1:18">
      <c r="A730" s="4">
        <v>510007</v>
      </c>
      <c r="B730" s="4">
        <v>1003</v>
      </c>
      <c r="C730" s="4" t="s">
        <v>917</v>
      </c>
      <c r="D730" s="30" t="s">
        <v>925</v>
      </c>
      <c r="F730" s="4">
        <v>4</v>
      </c>
      <c r="G730" s="4">
        <v>70</v>
      </c>
      <c r="J730" s="4">
        <v>4</v>
      </c>
      <c r="N730" s="4">
        <v>2</v>
      </c>
      <c r="P730" s="4">
        <v>2</v>
      </c>
      <c r="R730" s="5" t="s">
        <v>926</v>
      </c>
    </row>
    <row r="731" spans="1:18">
      <c r="A731" s="4">
        <v>510008</v>
      </c>
      <c r="B731" s="4">
        <v>1003</v>
      </c>
      <c r="C731" s="4" t="s">
        <v>917</v>
      </c>
      <c r="D731" s="30" t="s">
        <v>927</v>
      </c>
      <c r="F731" s="4">
        <v>4</v>
      </c>
      <c r="G731" s="4">
        <v>80</v>
      </c>
      <c r="J731" s="4">
        <v>4</v>
      </c>
      <c r="N731" s="4">
        <v>2</v>
      </c>
      <c r="P731" s="4">
        <v>2</v>
      </c>
      <c r="R731" s="5" t="s">
        <v>928</v>
      </c>
    </row>
    <row r="732" spans="1:18">
      <c r="A732" s="4">
        <v>520001</v>
      </c>
      <c r="B732" s="4">
        <v>3101</v>
      </c>
      <c r="C732" s="4" t="s">
        <v>929</v>
      </c>
      <c r="D732" s="30" t="s">
        <v>724</v>
      </c>
      <c r="F732" s="4">
        <v>9</v>
      </c>
      <c r="G732" s="4">
        <v>5</v>
      </c>
      <c r="J732" s="4">
        <v>4</v>
      </c>
      <c r="N732" s="4">
        <v>2</v>
      </c>
      <c r="P732" s="4">
        <v>2</v>
      </c>
      <c r="R732" s="5" t="s">
        <v>930</v>
      </c>
    </row>
    <row r="733" spans="1:18">
      <c r="A733" s="4">
        <v>520002</v>
      </c>
      <c r="B733" s="4">
        <v>3101</v>
      </c>
      <c r="C733" s="4" t="s">
        <v>929</v>
      </c>
      <c r="D733" s="30" t="s">
        <v>725</v>
      </c>
      <c r="F733" s="4">
        <v>9</v>
      </c>
      <c r="G733" s="4">
        <v>10</v>
      </c>
      <c r="J733" s="4">
        <v>4</v>
      </c>
      <c r="N733" s="4">
        <v>2</v>
      </c>
      <c r="P733" s="4">
        <v>2</v>
      </c>
      <c r="R733" s="5" t="s">
        <v>930</v>
      </c>
    </row>
    <row r="734" spans="1:18">
      <c r="A734" s="4">
        <v>520003</v>
      </c>
      <c r="B734" s="4">
        <v>3101</v>
      </c>
      <c r="C734" s="4" t="s">
        <v>929</v>
      </c>
      <c r="D734" s="30" t="s">
        <v>727</v>
      </c>
      <c r="F734" s="4">
        <v>9</v>
      </c>
      <c r="G734" s="4">
        <v>15</v>
      </c>
      <c r="J734" s="4">
        <v>4</v>
      </c>
      <c r="N734" s="4">
        <v>2</v>
      </c>
      <c r="P734" s="4">
        <v>2</v>
      </c>
      <c r="R734" s="5" t="s">
        <v>930</v>
      </c>
    </row>
    <row r="735" spans="1:18">
      <c r="A735" s="4">
        <v>520004</v>
      </c>
      <c r="B735" s="4">
        <v>3101</v>
      </c>
      <c r="C735" s="4" t="s">
        <v>929</v>
      </c>
      <c r="D735" s="30" t="s">
        <v>729</v>
      </c>
      <c r="F735" s="4">
        <v>9</v>
      </c>
      <c r="G735" s="4">
        <v>20</v>
      </c>
      <c r="J735" s="4">
        <v>4</v>
      </c>
      <c r="N735" s="4">
        <v>2</v>
      </c>
      <c r="P735" s="4">
        <v>2</v>
      </c>
      <c r="R735" s="5" t="s">
        <v>931</v>
      </c>
    </row>
    <row r="736" spans="1:18">
      <c r="A736" s="4">
        <v>520005</v>
      </c>
      <c r="B736" s="4">
        <v>3101</v>
      </c>
      <c r="C736" s="4" t="s">
        <v>929</v>
      </c>
      <c r="D736" s="30" t="s">
        <v>731</v>
      </c>
      <c r="F736" s="4">
        <v>9</v>
      </c>
      <c r="G736" s="4">
        <v>30</v>
      </c>
      <c r="J736" s="4">
        <v>4</v>
      </c>
      <c r="N736" s="4">
        <v>2</v>
      </c>
      <c r="P736" s="4">
        <v>2</v>
      </c>
      <c r="R736" s="5" t="s">
        <v>932</v>
      </c>
    </row>
    <row r="737" spans="1:18">
      <c r="A737" s="4">
        <v>520006</v>
      </c>
      <c r="B737" s="4">
        <v>3101</v>
      </c>
      <c r="C737" s="4" t="s">
        <v>929</v>
      </c>
      <c r="D737" s="30" t="s">
        <v>733</v>
      </c>
      <c r="F737" s="4">
        <v>9</v>
      </c>
      <c r="G737" s="4">
        <v>40</v>
      </c>
      <c r="J737" s="4">
        <v>4</v>
      </c>
      <c r="N737" s="4">
        <v>2</v>
      </c>
      <c r="P737" s="4">
        <v>2</v>
      </c>
      <c r="R737" s="5" t="s">
        <v>933</v>
      </c>
    </row>
    <row r="738" spans="1:18">
      <c r="A738" s="4">
        <v>520007</v>
      </c>
      <c r="B738" s="4">
        <v>3101</v>
      </c>
      <c r="C738" s="4" t="s">
        <v>929</v>
      </c>
      <c r="D738" s="30" t="s">
        <v>934</v>
      </c>
      <c r="F738" s="4">
        <v>9</v>
      </c>
      <c r="G738" s="4">
        <v>50</v>
      </c>
      <c r="J738" s="4">
        <v>4</v>
      </c>
      <c r="N738" s="4">
        <v>2</v>
      </c>
      <c r="P738" s="4">
        <v>2</v>
      </c>
      <c r="R738" s="5" t="s">
        <v>935</v>
      </c>
    </row>
    <row r="739" spans="1:18">
      <c r="A739" s="4">
        <v>520008</v>
      </c>
      <c r="B739" s="4">
        <v>3101</v>
      </c>
      <c r="C739" s="4" t="s">
        <v>929</v>
      </c>
      <c r="D739" s="30" t="s">
        <v>936</v>
      </c>
      <c r="F739" s="4">
        <v>9</v>
      </c>
      <c r="G739" s="4">
        <v>60</v>
      </c>
      <c r="J739" s="4">
        <v>4</v>
      </c>
      <c r="N739" s="4">
        <v>2</v>
      </c>
      <c r="P739" s="4">
        <v>2</v>
      </c>
      <c r="R739" s="5" t="s">
        <v>937</v>
      </c>
    </row>
    <row r="740" spans="1:18">
      <c r="A740" s="4">
        <v>530001</v>
      </c>
      <c r="B740" s="4">
        <v>1002</v>
      </c>
      <c r="C740" s="4" t="s">
        <v>938</v>
      </c>
      <c r="D740" s="30" t="s">
        <v>141</v>
      </c>
      <c r="F740" s="4">
        <v>10</v>
      </c>
      <c r="G740" s="4">
        <v>3</v>
      </c>
      <c r="J740" s="4">
        <v>4</v>
      </c>
      <c r="N740" s="4">
        <v>2</v>
      </c>
      <c r="P740" s="4">
        <v>2</v>
      </c>
      <c r="R740" s="5" t="s">
        <v>939</v>
      </c>
    </row>
    <row r="741" spans="1:18">
      <c r="A741" s="4">
        <v>530002</v>
      </c>
      <c r="B741" s="4">
        <v>1002</v>
      </c>
      <c r="C741" s="4" t="s">
        <v>938</v>
      </c>
      <c r="D741" s="30" t="s">
        <v>940</v>
      </c>
      <c r="F741" s="4">
        <v>10</v>
      </c>
      <c r="G741" s="4">
        <v>6</v>
      </c>
      <c r="J741" s="4">
        <v>4</v>
      </c>
      <c r="N741" s="4">
        <v>2</v>
      </c>
      <c r="P741" s="4">
        <v>2</v>
      </c>
      <c r="R741" s="5" t="s">
        <v>939</v>
      </c>
    </row>
    <row r="742" spans="1:18">
      <c r="A742" s="4">
        <v>530003</v>
      </c>
      <c r="B742" s="4">
        <v>1002</v>
      </c>
      <c r="C742" s="4" t="s">
        <v>938</v>
      </c>
      <c r="D742" s="30" t="s">
        <v>941</v>
      </c>
      <c r="F742" s="4">
        <v>10</v>
      </c>
      <c r="G742" s="4">
        <v>9</v>
      </c>
      <c r="J742" s="4">
        <v>4</v>
      </c>
      <c r="N742" s="4">
        <v>2</v>
      </c>
      <c r="P742" s="4">
        <v>2</v>
      </c>
      <c r="R742" s="5" t="s">
        <v>939</v>
      </c>
    </row>
    <row r="743" spans="1:18">
      <c r="A743" s="4">
        <v>530004</v>
      </c>
      <c r="B743" s="4">
        <v>1002</v>
      </c>
      <c r="C743" s="4" t="s">
        <v>938</v>
      </c>
      <c r="D743" s="30" t="s">
        <v>700</v>
      </c>
      <c r="F743" s="4">
        <v>10</v>
      </c>
      <c r="G743" s="4">
        <v>12</v>
      </c>
      <c r="J743" s="4">
        <v>4</v>
      </c>
      <c r="N743" s="4">
        <v>2</v>
      </c>
      <c r="P743" s="4">
        <v>2</v>
      </c>
      <c r="R743" s="5" t="s">
        <v>939</v>
      </c>
    </row>
    <row r="744" spans="1:18">
      <c r="A744" s="4">
        <v>530005</v>
      </c>
      <c r="B744" s="4">
        <v>1002</v>
      </c>
      <c r="C744" s="4" t="s">
        <v>938</v>
      </c>
      <c r="D744" s="30" t="s">
        <v>702</v>
      </c>
      <c r="F744" s="4">
        <v>10</v>
      </c>
      <c r="G744" s="4">
        <v>15</v>
      </c>
      <c r="J744" s="4">
        <v>4</v>
      </c>
      <c r="N744" s="4">
        <v>2</v>
      </c>
      <c r="P744" s="4">
        <v>2</v>
      </c>
      <c r="R744" s="5" t="s">
        <v>939</v>
      </c>
    </row>
    <row r="745" spans="1:18">
      <c r="A745" s="4">
        <v>530006</v>
      </c>
      <c r="B745" s="4">
        <v>1002</v>
      </c>
      <c r="C745" s="4" t="s">
        <v>938</v>
      </c>
      <c r="D745" s="30" t="s">
        <v>942</v>
      </c>
      <c r="F745" s="4">
        <v>10</v>
      </c>
      <c r="G745" s="4">
        <v>18</v>
      </c>
      <c r="J745" s="4">
        <v>4</v>
      </c>
      <c r="N745" s="4">
        <v>2</v>
      </c>
      <c r="P745" s="4">
        <v>2</v>
      </c>
      <c r="R745" s="5" t="s">
        <v>939</v>
      </c>
    </row>
    <row r="746" spans="1:18">
      <c r="A746" s="4">
        <v>530007</v>
      </c>
      <c r="B746" s="4">
        <v>1002</v>
      </c>
      <c r="C746" s="4" t="s">
        <v>938</v>
      </c>
      <c r="D746" s="30" t="s">
        <v>943</v>
      </c>
      <c r="F746" s="4">
        <v>10</v>
      </c>
      <c r="G746" s="4">
        <v>21</v>
      </c>
      <c r="J746" s="4">
        <v>4</v>
      </c>
      <c r="N746" s="4">
        <v>2</v>
      </c>
      <c r="P746" s="4">
        <v>2</v>
      </c>
      <c r="R746" s="5" t="s">
        <v>939</v>
      </c>
    </row>
    <row r="747" spans="1:18">
      <c r="A747" s="4">
        <v>530008</v>
      </c>
      <c r="B747" s="4">
        <v>1002</v>
      </c>
      <c r="C747" s="4" t="s">
        <v>938</v>
      </c>
      <c r="D747" s="30" t="s">
        <v>944</v>
      </c>
      <c r="F747" s="4">
        <v>10</v>
      </c>
      <c r="G747" s="4">
        <v>24</v>
      </c>
      <c r="J747" s="4">
        <v>4</v>
      </c>
      <c r="N747" s="4">
        <v>2</v>
      </c>
      <c r="P747" s="4">
        <v>2</v>
      </c>
      <c r="R747" s="5" t="s">
        <v>939</v>
      </c>
    </row>
    <row r="748" spans="1:18">
      <c r="A748" s="4">
        <v>530009</v>
      </c>
      <c r="B748" s="4">
        <v>1002</v>
      </c>
      <c r="C748" s="4" t="s">
        <v>938</v>
      </c>
      <c r="D748" s="30" t="s">
        <v>945</v>
      </c>
      <c r="F748" s="4">
        <v>10</v>
      </c>
      <c r="G748" s="4">
        <v>26</v>
      </c>
      <c r="J748" s="4">
        <v>4</v>
      </c>
      <c r="N748" s="4">
        <v>2</v>
      </c>
      <c r="P748" s="4">
        <v>2</v>
      </c>
      <c r="R748" s="5" t="s">
        <v>939</v>
      </c>
    </row>
    <row r="749" spans="1:18">
      <c r="A749" s="4">
        <v>530010</v>
      </c>
      <c r="B749" s="4">
        <v>1002</v>
      </c>
      <c r="C749" s="4" t="s">
        <v>938</v>
      </c>
      <c r="D749" s="30" t="s">
        <v>946</v>
      </c>
      <c r="F749" s="4">
        <v>10</v>
      </c>
      <c r="G749" s="4">
        <v>28</v>
      </c>
      <c r="J749" s="4">
        <v>4</v>
      </c>
      <c r="N749" s="4">
        <v>2</v>
      </c>
      <c r="P749" s="4">
        <v>2</v>
      </c>
      <c r="R749" s="5" t="s">
        <v>939</v>
      </c>
    </row>
    <row r="750" spans="1:18">
      <c r="A750" s="4">
        <v>540001</v>
      </c>
      <c r="B750" s="4">
        <v>4001</v>
      </c>
      <c r="C750" s="4" t="s">
        <v>947</v>
      </c>
      <c r="D750" s="30" t="s">
        <v>948</v>
      </c>
      <c r="F750" s="4">
        <v>58</v>
      </c>
      <c r="G750" s="4">
        <v>50000</v>
      </c>
      <c r="J750" s="4">
        <v>4</v>
      </c>
      <c r="N750" s="4">
        <v>2</v>
      </c>
      <c r="P750" s="4">
        <v>2</v>
      </c>
      <c r="R750" s="5" t="s">
        <v>949</v>
      </c>
    </row>
    <row r="751" spans="1:18">
      <c r="A751" s="4">
        <v>540002</v>
      </c>
      <c r="B751" s="4">
        <v>4001</v>
      </c>
      <c r="C751" s="4" t="s">
        <v>947</v>
      </c>
      <c r="D751" s="65" t="s">
        <v>950</v>
      </c>
      <c r="F751" s="4">
        <v>58</v>
      </c>
      <c r="G751" s="4">
        <v>100000</v>
      </c>
      <c r="J751" s="4">
        <v>4</v>
      </c>
      <c r="N751" s="4">
        <v>2</v>
      </c>
      <c r="P751" s="4">
        <v>2</v>
      </c>
      <c r="R751" s="5" t="s">
        <v>951</v>
      </c>
    </row>
    <row r="752" spans="1:18">
      <c r="A752" s="4">
        <v>540003</v>
      </c>
      <c r="B752" s="4">
        <v>4001</v>
      </c>
      <c r="C752" s="4" t="s">
        <v>947</v>
      </c>
      <c r="D752" s="65" t="s">
        <v>952</v>
      </c>
      <c r="F752" s="4">
        <v>58</v>
      </c>
      <c r="G752" s="4">
        <v>500000</v>
      </c>
      <c r="J752" s="4">
        <v>4</v>
      </c>
      <c r="N752" s="4">
        <v>2</v>
      </c>
      <c r="P752" s="4">
        <v>2</v>
      </c>
      <c r="R752" s="5" t="s">
        <v>953</v>
      </c>
    </row>
    <row r="753" spans="1:18">
      <c r="A753" s="4">
        <v>540004</v>
      </c>
      <c r="B753" s="4">
        <v>4001</v>
      </c>
      <c r="C753" s="4" t="s">
        <v>947</v>
      </c>
      <c r="D753" s="30" t="s">
        <v>954</v>
      </c>
      <c r="F753" s="4">
        <v>58</v>
      </c>
      <c r="G753" s="4">
        <v>1000000</v>
      </c>
      <c r="J753" s="4">
        <v>4</v>
      </c>
      <c r="N753" s="4">
        <v>2</v>
      </c>
      <c r="P753" s="4">
        <v>2</v>
      </c>
      <c r="R753" s="67" t="s">
        <v>955</v>
      </c>
    </row>
    <row r="754" spans="1:18">
      <c r="A754" s="4">
        <v>540005</v>
      </c>
      <c r="B754" s="4">
        <v>4001</v>
      </c>
      <c r="C754" s="4" t="s">
        <v>947</v>
      </c>
      <c r="D754" s="30" t="s">
        <v>956</v>
      </c>
      <c r="F754" s="4">
        <v>58</v>
      </c>
      <c r="G754" s="4">
        <v>1500000</v>
      </c>
      <c r="J754" s="4">
        <v>4</v>
      </c>
      <c r="N754" s="4">
        <v>2</v>
      </c>
      <c r="P754" s="4">
        <v>2</v>
      </c>
      <c r="R754" s="5" t="s">
        <v>957</v>
      </c>
    </row>
    <row r="755" spans="1:18">
      <c r="A755" s="4">
        <v>540006</v>
      </c>
      <c r="B755" s="4">
        <v>4001</v>
      </c>
      <c r="C755" s="4" t="s">
        <v>947</v>
      </c>
      <c r="D755" s="30" t="s">
        <v>958</v>
      </c>
      <c r="F755" s="4">
        <v>58</v>
      </c>
      <c r="G755" s="4">
        <v>2000000</v>
      </c>
      <c r="J755" s="4">
        <v>4</v>
      </c>
      <c r="N755" s="4">
        <v>2</v>
      </c>
      <c r="P755" s="4">
        <v>2</v>
      </c>
      <c r="R755" s="67" t="s">
        <v>959</v>
      </c>
    </row>
    <row r="756" spans="1:18">
      <c r="A756" s="4">
        <v>540007</v>
      </c>
      <c r="B756" s="4">
        <v>4001</v>
      </c>
      <c r="C756" s="4" t="s">
        <v>947</v>
      </c>
      <c r="D756" s="30" t="s">
        <v>960</v>
      </c>
      <c r="F756" s="4">
        <v>58</v>
      </c>
      <c r="G756" s="4">
        <v>2500000</v>
      </c>
      <c r="J756" s="4">
        <v>4</v>
      </c>
      <c r="N756" s="4">
        <v>2</v>
      </c>
      <c r="P756" s="4">
        <v>2</v>
      </c>
      <c r="R756" s="5" t="s">
        <v>961</v>
      </c>
    </row>
    <row r="757" spans="1:18">
      <c r="A757" s="4">
        <v>540008</v>
      </c>
      <c r="B757" s="4">
        <v>4001</v>
      </c>
      <c r="C757" s="4" t="s">
        <v>947</v>
      </c>
      <c r="D757" s="30" t="s">
        <v>962</v>
      </c>
      <c r="F757" s="4">
        <v>58</v>
      </c>
      <c r="G757" s="4">
        <v>3000000</v>
      </c>
      <c r="J757" s="4">
        <v>4</v>
      </c>
      <c r="N757" s="4">
        <v>2</v>
      </c>
      <c r="P757" s="4">
        <v>2</v>
      </c>
      <c r="R757" s="5" t="s">
        <v>963</v>
      </c>
    </row>
    <row r="758" spans="1:18">
      <c r="A758" s="4">
        <v>540009</v>
      </c>
      <c r="B758" s="4">
        <v>4001</v>
      </c>
      <c r="C758" s="4" t="s">
        <v>947</v>
      </c>
      <c r="D758" s="30" t="s">
        <v>964</v>
      </c>
      <c r="F758" s="4">
        <v>58</v>
      </c>
      <c r="G758" s="4">
        <v>3500000</v>
      </c>
      <c r="J758" s="4">
        <v>4</v>
      </c>
      <c r="N758" s="4">
        <v>2</v>
      </c>
      <c r="P758" s="4">
        <v>2</v>
      </c>
      <c r="R758" s="67" t="s">
        <v>965</v>
      </c>
    </row>
    <row r="759" spans="1:18">
      <c r="A759" s="4">
        <v>540010</v>
      </c>
      <c r="B759" s="4">
        <v>4001</v>
      </c>
      <c r="C759" s="4" t="s">
        <v>947</v>
      </c>
      <c r="D759" s="30" t="s">
        <v>966</v>
      </c>
      <c r="F759" s="4">
        <v>58</v>
      </c>
      <c r="G759" s="4">
        <v>4000000</v>
      </c>
      <c r="J759" s="4">
        <v>4</v>
      </c>
      <c r="N759" s="4">
        <v>2</v>
      </c>
      <c r="P759" s="4">
        <v>2</v>
      </c>
      <c r="R759" s="5" t="s">
        <v>967</v>
      </c>
    </row>
    <row r="760" spans="1:18">
      <c r="A760" s="4">
        <v>540011</v>
      </c>
      <c r="B760" s="4">
        <v>4001</v>
      </c>
      <c r="C760" s="4" t="s">
        <v>947</v>
      </c>
      <c r="D760" s="30" t="s">
        <v>968</v>
      </c>
      <c r="F760" s="4">
        <v>58</v>
      </c>
      <c r="G760" s="4">
        <v>4500000</v>
      </c>
      <c r="J760" s="4">
        <v>4</v>
      </c>
      <c r="N760" s="4">
        <v>2</v>
      </c>
      <c r="P760" s="4">
        <v>2</v>
      </c>
      <c r="R760" s="5" t="s">
        <v>969</v>
      </c>
    </row>
    <row r="761" spans="1:18">
      <c r="A761" s="4">
        <v>540012</v>
      </c>
      <c r="B761" s="4">
        <v>4001</v>
      </c>
      <c r="C761" s="4" t="s">
        <v>947</v>
      </c>
      <c r="D761" s="30" t="s">
        <v>970</v>
      </c>
      <c r="F761" s="4">
        <v>58</v>
      </c>
      <c r="G761" s="4">
        <v>5000000</v>
      </c>
      <c r="J761" s="4">
        <v>4</v>
      </c>
      <c r="N761" s="4">
        <v>2</v>
      </c>
      <c r="P761" s="4">
        <v>2</v>
      </c>
      <c r="R761" s="67" t="s">
        <v>971</v>
      </c>
    </row>
    <row r="762" spans="1:18">
      <c r="A762" s="4">
        <v>540013</v>
      </c>
      <c r="B762" s="4">
        <v>4001</v>
      </c>
      <c r="C762" s="4" t="s">
        <v>947</v>
      </c>
      <c r="D762" s="30" t="s">
        <v>972</v>
      </c>
      <c r="F762" s="4">
        <v>58</v>
      </c>
      <c r="G762" s="4">
        <v>5500000</v>
      </c>
      <c r="J762" s="4">
        <v>4</v>
      </c>
      <c r="N762" s="4">
        <v>2</v>
      </c>
      <c r="P762" s="4">
        <v>2</v>
      </c>
      <c r="R762" s="5" t="s">
        <v>973</v>
      </c>
    </row>
    <row r="763" spans="1:18">
      <c r="A763" s="4">
        <v>540014</v>
      </c>
      <c r="B763" s="4">
        <v>4001</v>
      </c>
      <c r="C763" s="4" t="s">
        <v>947</v>
      </c>
      <c r="D763" s="30" t="s">
        <v>974</v>
      </c>
      <c r="F763" s="4">
        <v>58</v>
      </c>
      <c r="G763" s="4">
        <v>6000000</v>
      </c>
      <c r="J763" s="4">
        <v>4</v>
      </c>
      <c r="N763" s="4">
        <v>2</v>
      </c>
      <c r="P763" s="4">
        <v>2</v>
      </c>
      <c r="R763" s="5" t="s">
        <v>969</v>
      </c>
    </row>
    <row r="764" spans="1:18">
      <c r="A764" s="4">
        <v>540015</v>
      </c>
      <c r="B764" s="4">
        <v>4001</v>
      </c>
      <c r="C764" s="4" t="s">
        <v>947</v>
      </c>
      <c r="D764" s="30" t="s">
        <v>975</v>
      </c>
      <c r="F764" s="4">
        <v>58</v>
      </c>
      <c r="G764" s="4">
        <v>6500000</v>
      </c>
      <c r="J764" s="4">
        <v>4</v>
      </c>
      <c r="N764" s="4">
        <v>2</v>
      </c>
      <c r="P764" s="4">
        <v>2</v>
      </c>
      <c r="R764" s="67" t="s">
        <v>976</v>
      </c>
    </row>
    <row r="765" spans="1:18">
      <c r="A765" s="4">
        <v>540016</v>
      </c>
      <c r="B765" s="4">
        <v>4001</v>
      </c>
      <c r="C765" s="4" t="s">
        <v>947</v>
      </c>
      <c r="D765" s="30" t="s">
        <v>977</v>
      </c>
      <c r="F765" s="4">
        <v>58</v>
      </c>
      <c r="G765" s="4">
        <v>7000000</v>
      </c>
      <c r="J765" s="4">
        <v>4</v>
      </c>
      <c r="N765" s="4">
        <v>2</v>
      </c>
      <c r="P765" s="4">
        <v>2</v>
      </c>
      <c r="R765" s="5" t="s">
        <v>978</v>
      </c>
    </row>
    <row r="766" spans="1:18">
      <c r="A766" s="4">
        <v>540017</v>
      </c>
      <c r="B766" s="4">
        <v>4001</v>
      </c>
      <c r="C766" s="4" t="s">
        <v>947</v>
      </c>
      <c r="D766" s="30" t="s">
        <v>979</v>
      </c>
      <c r="F766" s="4">
        <v>58</v>
      </c>
      <c r="G766" s="4">
        <v>7500000</v>
      </c>
      <c r="J766" s="4">
        <v>4</v>
      </c>
      <c r="N766" s="4">
        <v>2</v>
      </c>
      <c r="P766" s="4">
        <v>2</v>
      </c>
      <c r="R766" s="5" t="s">
        <v>969</v>
      </c>
    </row>
    <row r="767" spans="1:18">
      <c r="A767" s="4">
        <v>540018</v>
      </c>
      <c r="B767" s="4">
        <v>4001</v>
      </c>
      <c r="C767" s="4" t="s">
        <v>947</v>
      </c>
      <c r="D767" s="30" t="s">
        <v>980</v>
      </c>
      <c r="F767" s="4">
        <v>58</v>
      </c>
      <c r="G767" s="4">
        <v>8000000</v>
      </c>
      <c r="J767" s="4">
        <v>4</v>
      </c>
      <c r="N767" s="4">
        <v>2</v>
      </c>
      <c r="P767" s="4">
        <v>2</v>
      </c>
      <c r="R767" s="5" t="s">
        <v>981</v>
      </c>
    </row>
    <row r="768" spans="1:18">
      <c r="A768" s="4">
        <v>540019</v>
      </c>
      <c r="B768" s="4">
        <v>4001</v>
      </c>
      <c r="C768" s="4" t="s">
        <v>947</v>
      </c>
      <c r="D768" s="30" t="s">
        <v>982</v>
      </c>
      <c r="F768" s="4">
        <v>58</v>
      </c>
      <c r="G768" s="4">
        <v>9000000</v>
      </c>
      <c r="J768" s="4">
        <v>4</v>
      </c>
      <c r="N768" s="4">
        <v>2</v>
      </c>
      <c r="P768" s="4">
        <v>2</v>
      </c>
      <c r="R768" s="5" t="s">
        <v>983</v>
      </c>
    </row>
    <row r="769" spans="1:18">
      <c r="A769" s="4">
        <v>540020</v>
      </c>
      <c r="B769" s="4">
        <v>4001</v>
      </c>
      <c r="C769" s="4" t="s">
        <v>947</v>
      </c>
      <c r="D769" s="30" t="s">
        <v>984</v>
      </c>
      <c r="F769" s="4">
        <v>58</v>
      </c>
      <c r="G769" s="4">
        <v>10000000</v>
      </c>
      <c r="J769" s="4">
        <v>4</v>
      </c>
      <c r="N769" s="4">
        <v>2</v>
      </c>
      <c r="P769" s="4">
        <v>2</v>
      </c>
      <c r="R769" s="5" t="s">
        <v>985</v>
      </c>
    </row>
    <row r="770" spans="1:18">
      <c r="A770" s="4">
        <v>540021</v>
      </c>
      <c r="B770" s="4">
        <v>4001</v>
      </c>
      <c r="C770" s="4" t="s">
        <v>947</v>
      </c>
      <c r="D770" s="65" t="s">
        <v>986</v>
      </c>
      <c r="F770" s="4">
        <v>58</v>
      </c>
      <c r="G770" s="4">
        <v>11000000</v>
      </c>
      <c r="J770" s="4">
        <v>4</v>
      </c>
      <c r="N770" s="4">
        <v>2</v>
      </c>
      <c r="P770" s="4">
        <v>2</v>
      </c>
      <c r="R770" s="67" t="s">
        <v>987</v>
      </c>
    </row>
    <row r="771" spans="1:18">
      <c r="A771" s="4">
        <v>540022</v>
      </c>
      <c r="B771" s="4">
        <v>4001</v>
      </c>
      <c r="C771" s="4" t="s">
        <v>947</v>
      </c>
      <c r="D771" s="65" t="s">
        <v>988</v>
      </c>
      <c r="F771" s="4">
        <v>58</v>
      </c>
      <c r="G771" s="4">
        <v>12000000</v>
      </c>
      <c r="J771" s="4">
        <v>4</v>
      </c>
      <c r="N771" s="4">
        <v>2</v>
      </c>
      <c r="P771" s="4">
        <v>2</v>
      </c>
      <c r="R771" s="5" t="s">
        <v>989</v>
      </c>
    </row>
    <row r="772" spans="1:18">
      <c r="A772" s="4">
        <v>540023</v>
      </c>
      <c r="B772" s="4">
        <v>4001</v>
      </c>
      <c r="C772" s="4" t="s">
        <v>947</v>
      </c>
      <c r="D772" s="65" t="s">
        <v>990</v>
      </c>
      <c r="F772" s="4">
        <v>58</v>
      </c>
      <c r="G772" s="4">
        <v>13000000</v>
      </c>
      <c r="J772" s="4">
        <v>4</v>
      </c>
      <c r="N772" s="4">
        <v>2</v>
      </c>
      <c r="P772" s="4">
        <v>2</v>
      </c>
      <c r="R772" s="5" t="s">
        <v>985</v>
      </c>
    </row>
    <row r="773" spans="1:18">
      <c r="A773" s="4">
        <v>540024</v>
      </c>
      <c r="B773" s="4">
        <v>4001</v>
      </c>
      <c r="C773" s="4" t="s">
        <v>947</v>
      </c>
      <c r="D773" s="65" t="s">
        <v>991</v>
      </c>
      <c r="F773" s="4">
        <v>58</v>
      </c>
      <c r="G773" s="4">
        <v>14000000</v>
      </c>
      <c r="J773" s="4">
        <v>4</v>
      </c>
      <c r="N773" s="4">
        <v>2</v>
      </c>
      <c r="P773" s="4">
        <v>2</v>
      </c>
      <c r="R773" s="67" t="s">
        <v>992</v>
      </c>
    </row>
    <row r="774" spans="1:18">
      <c r="A774" s="4">
        <v>540025</v>
      </c>
      <c r="B774" s="4">
        <v>4001</v>
      </c>
      <c r="C774" s="4" t="s">
        <v>947</v>
      </c>
      <c r="D774" s="65" t="s">
        <v>993</v>
      </c>
      <c r="F774" s="4">
        <v>58</v>
      </c>
      <c r="G774" s="4">
        <v>16000000</v>
      </c>
      <c r="J774" s="4">
        <v>4</v>
      </c>
      <c r="N774" s="4">
        <v>2</v>
      </c>
      <c r="P774" s="4">
        <v>2</v>
      </c>
      <c r="R774" s="5" t="s">
        <v>994</v>
      </c>
    </row>
    <row r="775" spans="1:18">
      <c r="A775" s="4">
        <v>540026</v>
      </c>
      <c r="B775" s="4">
        <v>4001</v>
      </c>
      <c r="C775" s="4" t="s">
        <v>947</v>
      </c>
      <c r="D775" s="65" t="s">
        <v>995</v>
      </c>
      <c r="F775" s="4">
        <v>58</v>
      </c>
      <c r="G775" s="4">
        <v>18000000</v>
      </c>
      <c r="J775" s="4">
        <v>4</v>
      </c>
      <c r="N775" s="4">
        <v>2</v>
      </c>
      <c r="P775" s="4">
        <v>2</v>
      </c>
      <c r="R775" s="5" t="s">
        <v>996</v>
      </c>
    </row>
    <row r="776" spans="1:18">
      <c r="A776" s="4">
        <v>540027</v>
      </c>
      <c r="B776" s="4">
        <v>4001</v>
      </c>
      <c r="C776" s="4" t="s">
        <v>947</v>
      </c>
      <c r="D776" s="65" t="s">
        <v>997</v>
      </c>
      <c r="F776" s="4">
        <v>58</v>
      </c>
      <c r="G776" s="4">
        <v>20000000</v>
      </c>
      <c r="J776" s="4">
        <v>4</v>
      </c>
      <c r="N776" s="4">
        <v>2</v>
      </c>
      <c r="P776" s="4">
        <v>2</v>
      </c>
      <c r="R776" s="5" t="s">
        <v>998</v>
      </c>
    </row>
    <row r="777" spans="1:18">
      <c r="A777" s="4">
        <v>540028</v>
      </c>
      <c r="B777" s="4">
        <v>4001</v>
      </c>
      <c r="C777" s="4" t="s">
        <v>947</v>
      </c>
      <c r="D777" s="65" t="s">
        <v>999</v>
      </c>
      <c r="F777" s="4">
        <v>58</v>
      </c>
      <c r="G777" s="4">
        <v>22000000</v>
      </c>
      <c r="J777" s="4">
        <v>4</v>
      </c>
      <c r="N777" s="4">
        <v>2</v>
      </c>
      <c r="P777" s="4">
        <v>2</v>
      </c>
      <c r="R777" s="5" t="s">
        <v>996</v>
      </c>
    </row>
    <row r="778" spans="1:18">
      <c r="A778" s="4">
        <v>540029</v>
      </c>
      <c r="B778" s="4">
        <v>4001</v>
      </c>
      <c r="C778" s="4" t="s">
        <v>947</v>
      </c>
      <c r="D778" s="65" t="s">
        <v>1000</v>
      </c>
      <c r="F778" s="4">
        <v>58</v>
      </c>
      <c r="G778" s="4">
        <v>24000000</v>
      </c>
      <c r="J778" s="4">
        <v>4</v>
      </c>
      <c r="N778" s="4">
        <v>2</v>
      </c>
      <c r="P778" s="4">
        <v>2</v>
      </c>
      <c r="R778" s="5" t="s">
        <v>998</v>
      </c>
    </row>
    <row r="779" spans="1:18">
      <c r="A779" s="4">
        <v>540030</v>
      </c>
      <c r="B779" s="4">
        <v>4001</v>
      </c>
      <c r="C779" s="4" t="s">
        <v>947</v>
      </c>
      <c r="D779" s="65" t="s">
        <v>1001</v>
      </c>
      <c r="F779" s="4">
        <v>58</v>
      </c>
      <c r="G779" s="4">
        <v>26000000</v>
      </c>
      <c r="J779" s="4">
        <v>4</v>
      </c>
      <c r="N779" s="4">
        <v>2</v>
      </c>
      <c r="P779" s="4">
        <v>2</v>
      </c>
      <c r="R779" s="5" t="s">
        <v>996</v>
      </c>
    </row>
    <row r="780" spans="1:18">
      <c r="A780" s="4">
        <v>540031</v>
      </c>
      <c r="B780" s="4">
        <v>4001</v>
      </c>
      <c r="C780" s="4" t="s">
        <v>947</v>
      </c>
      <c r="D780" s="65" t="s">
        <v>1002</v>
      </c>
      <c r="F780" s="4">
        <v>58</v>
      </c>
      <c r="G780" s="4">
        <v>28000000</v>
      </c>
      <c r="J780" s="4">
        <v>4</v>
      </c>
      <c r="N780" s="4">
        <v>2</v>
      </c>
      <c r="P780" s="4">
        <v>2</v>
      </c>
      <c r="R780" s="5" t="s">
        <v>998</v>
      </c>
    </row>
    <row r="781" spans="1:18">
      <c r="A781" s="4">
        <v>540032</v>
      </c>
      <c r="B781" s="4">
        <v>4001</v>
      </c>
      <c r="C781" s="4" t="s">
        <v>947</v>
      </c>
      <c r="D781" s="65" t="s">
        <v>1003</v>
      </c>
      <c r="F781" s="4">
        <v>58</v>
      </c>
      <c r="G781" s="4">
        <v>30000000</v>
      </c>
      <c r="J781" s="4">
        <v>4</v>
      </c>
      <c r="N781" s="4">
        <v>2</v>
      </c>
      <c r="P781" s="4">
        <v>2</v>
      </c>
      <c r="R781" s="5" t="s">
        <v>996</v>
      </c>
    </row>
    <row r="782" s="32" customFormat="1" spans="1:18">
      <c r="A782" s="68">
        <v>541001</v>
      </c>
      <c r="B782" s="68">
        <v>4001</v>
      </c>
      <c r="C782" s="68" t="s">
        <v>947</v>
      </c>
      <c r="D782" s="69" t="s">
        <v>845</v>
      </c>
      <c r="E782" s="68"/>
      <c r="F782" s="68">
        <v>58</v>
      </c>
      <c r="G782" s="68">
        <v>100</v>
      </c>
      <c r="H782" s="68"/>
      <c r="I782" s="68"/>
      <c r="J782" s="68">
        <v>4</v>
      </c>
      <c r="N782" s="68">
        <v>2</v>
      </c>
      <c r="P782" s="68">
        <v>2</v>
      </c>
      <c r="R782" s="32" t="s">
        <v>846</v>
      </c>
    </row>
    <row r="783" s="32" customFormat="1" spans="1:18">
      <c r="A783" s="68">
        <v>541002</v>
      </c>
      <c r="B783" s="68">
        <v>4001</v>
      </c>
      <c r="C783" s="68" t="s">
        <v>947</v>
      </c>
      <c r="D783" s="37" t="s">
        <v>847</v>
      </c>
      <c r="E783" s="68"/>
      <c r="F783" s="68">
        <v>58</v>
      </c>
      <c r="G783" s="68">
        <v>200</v>
      </c>
      <c r="H783" s="68"/>
      <c r="I783" s="68"/>
      <c r="J783" s="68">
        <v>4</v>
      </c>
      <c r="N783" s="68">
        <v>2</v>
      </c>
      <c r="P783" s="68">
        <v>2</v>
      </c>
      <c r="R783" s="32" t="s">
        <v>848</v>
      </c>
    </row>
    <row r="784" s="32" customFormat="1" spans="1:18">
      <c r="A784" s="68">
        <v>541003</v>
      </c>
      <c r="B784" s="68">
        <v>4001</v>
      </c>
      <c r="C784" s="68" t="s">
        <v>947</v>
      </c>
      <c r="D784" s="37" t="s">
        <v>849</v>
      </c>
      <c r="E784" s="68"/>
      <c r="F784" s="68">
        <v>58</v>
      </c>
      <c r="G784" s="68">
        <v>500</v>
      </c>
      <c r="H784" s="68"/>
      <c r="I784" s="68"/>
      <c r="J784" s="68">
        <v>4</v>
      </c>
      <c r="N784" s="68">
        <v>2</v>
      </c>
      <c r="P784" s="68">
        <v>2</v>
      </c>
      <c r="R784" s="32" t="s">
        <v>1004</v>
      </c>
    </row>
    <row r="785" s="32" customFormat="1" spans="1:18">
      <c r="A785" s="68">
        <v>541004</v>
      </c>
      <c r="B785" s="68">
        <v>4001</v>
      </c>
      <c r="C785" s="68" t="s">
        <v>947</v>
      </c>
      <c r="D785" s="37" t="s">
        <v>851</v>
      </c>
      <c r="E785" s="68"/>
      <c r="F785" s="68">
        <v>58</v>
      </c>
      <c r="G785" s="68">
        <v>1000</v>
      </c>
      <c r="H785" s="68"/>
      <c r="I785" s="68"/>
      <c r="J785" s="68">
        <v>4</v>
      </c>
      <c r="N785" s="68">
        <v>2</v>
      </c>
      <c r="P785" s="68">
        <v>2</v>
      </c>
      <c r="R785" s="32" t="s">
        <v>1005</v>
      </c>
    </row>
    <row r="786" s="32" customFormat="1" spans="1:18">
      <c r="A786" s="68">
        <v>541005</v>
      </c>
      <c r="B786" s="68">
        <v>4001</v>
      </c>
      <c r="C786" s="68" t="s">
        <v>947</v>
      </c>
      <c r="D786" s="37" t="s">
        <v>853</v>
      </c>
      <c r="E786" s="68"/>
      <c r="F786" s="68">
        <v>58</v>
      </c>
      <c r="G786" s="68">
        <v>2000</v>
      </c>
      <c r="H786" s="68"/>
      <c r="I786" s="68"/>
      <c r="J786" s="68">
        <v>4</v>
      </c>
      <c r="N786" s="68">
        <v>2</v>
      </c>
      <c r="P786" s="68">
        <v>2</v>
      </c>
      <c r="R786" s="32" t="s">
        <v>1006</v>
      </c>
    </row>
    <row r="787" s="32" customFormat="1" spans="1:18">
      <c r="A787" s="68">
        <v>541006</v>
      </c>
      <c r="B787" s="68">
        <v>4001</v>
      </c>
      <c r="C787" s="68" t="s">
        <v>947</v>
      </c>
      <c r="D787" s="37" t="s">
        <v>855</v>
      </c>
      <c r="E787" s="68"/>
      <c r="F787" s="68">
        <v>58</v>
      </c>
      <c r="G787" s="68">
        <v>3000</v>
      </c>
      <c r="H787" s="68"/>
      <c r="I787" s="68"/>
      <c r="J787" s="68">
        <v>4</v>
      </c>
      <c r="N787" s="68">
        <v>2</v>
      </c>
      <c r="P787" s="68">
        <v>2</v>
      </c>
      <c r="R787" s="32" t="s">
        <v>1007</v>
      </c>
    </row>
    <row r="788" s="32" customFormat="1" spans="1:18">
      <c r="A788" s="68">
        <v>541007</v>
      </c>
      <c r="B788" s="68">
        <v>4001</v>
      </c>
      <c r="C788" s="68" t="s">
        <v>947</v>
      </c>
      <c r="D788" s="37" t="s">
        <v>857</v>
      </c>
      <c r="E788" s="68"/>
      <c r="F788" s="68">
        <v>58</v>
      </c>
      <c r="G788" s="68">
        <v>5000</v>
      </c>
      <c r="H788" s="68"/>
      <c r="I788" s="68"/>
      <c r="J788" s="68">
        <v>4</v>
      </c>
      <c r="N788" s="68">
        <v>2</v>
      </c>
      <c r="P788" s="68">
        <v>2</v>
      </c>
      <c r="R788" s="32" t="s">
        <v>1008</v>
      </c>
    </row>
    <row r="789" s="32" customFormat="1" spans="1:18">
      <c r="A789" s="68">
        <v>541008</v>
      </c>
      <c r="B789" s="68">
        <v>4001</v>
      </c>
      <c r="C789" s="68" t="s">
        <v>947</v>
      </c>
      <c r="D789" s="37" t="s">
        <v>1009</v>
      </c>
      <c r="E789" s="68"/>
      <c r="F789" s="68">
        <v>58</v>
      </c>
      <c r="G789" s="68">
        <v>7000</v>
      </c>
      <c r="H789" s="68"/>
      <c r="I789" s="68"/>
      <c r="J789" s="68">
        <v>4</v>
      </c>
      <c r="N789" s="68">
        <v>2</v>
      </c>
      <c r="P789" s="68">
        <v>2</v>
      </c>
      <c r="R789" s="32" t="s">
        <v>1010</v>
      </c>
    </row>
    <row r="790" s="32" customFormat="1" spans="1:18">
      <c r="A790" s="68">
        <v>541009</v>
      </c>
      <c r="B790" s="68">
        <v>4001</v>
      </c>
      <c r="C790" s="68" t="s">
        <v>947</v>
      </c>
      <c r="D790" s="37" t="s">
        <v>1011</v>
      </c>
      <c r="E790" s="68"/>
      <c r="F790" s="68">
        <v>58</v>
      </c>
      <c r="G790" s="68">
        <v>10000</v>
      </c>
      <c r="H790" s="68"/>
      <c r="I790" s="68"/>
      <c r="J790" s="68">
        <v>4</v>
      </c>
      <c r="N790" s="68">
        <v>2</v>
      </c>
      <c r="P790" s="68">
        <v>2</v>
      </c>
      <c r="R790" s="32" t="s">
        <v>1012</v>
      </c>
    </row>
    <row r="791" s="33" customFormat="1" spans="1:18">
      <c r="A791" s="70">
        <v>550001</v>
      </c>
      <c r="B791" s="70">
        <v>4001</v>
      </c>
      <c r="C791" s="70" t="s">
        <v>1013</v>
      </c>
      <c r="D791" s="71" t="s">
        <v>1014</v>
      </c>
      <c r="E791" s="70"/>
      <c r="F791" s="70">
        <v>65</v>
      </c>
      <c r="G791" s="70">
        <v>10000</v>
      </c>
      <c r="H791" s="70"/>
      <c r="I791" s="70"/>
      <c r="J791" s="70">
        <v>4</v>
      </c>
      <c r="N791" s="70">
        <v>2</v>
      </c>
      <c r="P791" s="70">
        <v>2</v>
      </c>
      <c r="R791" s="1" t="s">
        <v>1015</v>
      </c>
    </row>
    <row r="792" s="33" customFormat="1" ht="16.5" spans="1:18">
      <c r="A792" s="70">
        <v>550002</v>
      </c>
      <c r="B792" s="70">
        <v>4001</v>
      </c>
      <c r="C792" s="70" t="s">
        <v>1013</v>
      </c>
      <c r="D792" s="71" t="s">
        <v>948</v>
      </c>
      <c r="E792" s="70"/>
      <c r="F792" s="70">
        <v>65</v>
      </c>
      <c r="G792" s="70">
        <v>50000</v>
      </c>
      <c r="H792" s="70"/>
      <c r="I792" s="70"/>
      <c r="J792" s="70">
        <v>4</v>
      </c>
      <c r="N792" s="70">
        <v>2</v>
      </c>
      <c r="P792" s="70">
        <v>2</v>
      </c>
      <c r="R792" s="2" t="s">
        <v>1016</v>
      </c>
    </row>
    <row r="793" s="33" customFormat="1" spans="1:18">
      <c r="A793" s="70">
        <v>550003</v>
      </c>
      <c r="B793" s="70">
        <v>4001</v>
      </c>
      <c r="C793" s="72" t="s">
        <v>1013</v>
      </c>
      <c r="D793" s="71" t="s">
        <v>950</v>
      </c>
      <c r="E793" s="70"/>
      <c r="F793" s="70">
        <v>65</v>
      </c>
      <c r="G793" s="70">
        <v>100000</v>
      </c>
      <c r="H793" s="70"/>
      <c r="I793" s="70"/>
      <c r="J793" s="70">
        <v>4</v>
      </c>
      <c r="N793" s="70">
        <v>2</v>
      </c>
      <c r="P793" s="70">
        <v>2</v>
      </c>
      <c r="R793" s="3" t="s">
        <v>1017</v>
      </c>
    </row>
    <row r="794" s="33" customFormat="1" spans="1:18">
      <c r="A794" s="70">
        <v>550004</v>
      </c>
      <c r="B794" s="70">
        <v>4001</v>
      </c>
      <c r="C794" s="70" t="s">
        <v>1013</v>
      </c>
      <c r="D794" s="71" t="s">
        <v>1018</v>
      </c>
      <c r="E794" s="70"/>
      <c r="F794" s="70">
        <v>65</v>
      </c>
      <c r="G794" s="70">
        <v>200000</v>
      </c>
      <c r="H794" s="70"/>
      <c r="I794" s="70"/>
      <c r="J794" s="70">
        <v>4</v>
      </c>
      <c r="N794" s="70">
        <v>2</v>
      </c>
      <c r="P794" s="70">
        <v>2</v>
      </c>
      <c r="R794" s="67" t="s">
        <v>1019</v>
      </c>
    </row>
    <row r="795" s="33" customFormat="1" spans="1:18">
      <c r="A795" s="70">
        <v>550005</v>
      </c>
      <c r="B795" s="70">
        <v>4001</v>
      </c>
      <c r="C795" s="70" t="s">
        <v>1013</v>
      </c>
      <c r="D795" s="71" t="s">
        <v>1020</v>
      </c>
      <c r="E795" s="70"/>
      <c r="F795" s="70">
        <v>65</v>
      </c>
      <c r="G795" s="70">
        <v>400000</v>
      </c>
      <c r="H795" s="70"/>
      <c r="I795" s="70"/>
      <c r="J795" s="70">
        <v>4</v>
      </c>
      <c r="N795" s="70">
        <v>2</v>
      </c>
      <c r="P795" s="70">
        <v>2</v>
      </c>
      <c r="R795" s="67" t="s">
        <v>1021</v>
      </c>
    </row>
    <row r="796" s="33" customFormat="1" spans="1:18">
      <c r="A796" s="70">
        <v>550006</v>
      </c>
      <c r="B796" s="70">
        <v>4001</v>
      </c>
      <c r="C796" s="70" t="s">
        <v>1013</v>
      </c>
      <c r="D796" s="71" t="s">
        <v>1022</v>
      </c>
      <c r="E796" s="70"/>
      <c r="F796" s="70">
        <v>65</v>
      </c>
      <c r="G796" s="70">
        <v>600000</v>
      </c>
      <c r="H796" s="70"/>
      <c r="I796" s="70"/>
      <c r="J796" s="70">
        <v>4</v>
      </c>
      <c r="N796" s="70">
        <v>2</v>
      </c>
      <c r="P796" s="70">
        <v>2</v>
      </c>
      <c r="R796" s="67" t="s">
        <v>1023</v>
      </c>
    </row>
    <row r="797" s="33" customFormat="1" spans="1:18">
      <c r="A797" s="70">
        <v>550007</v>
      </c>
      <c r="B797" s="70">
        <v>4001</v>
      </c>
      <c r="C797" s="70" t="s">
        <v>1013</v>
      </c>
      <c r="D797" s="71" t="s">
        <v>1024</v>
      </c>
      <c r="E797" s="70"/>
      <c r="F797" s="70">
        <v>65</v>
      </c>
      <c r="G797" s="70">
        <v>800000</v>
      </c>
      <c r="H797" s="70"/>
      <c r="I797" s="70"/>
      <c r="J797" s="70">
        <v>4</v>
      </c>
      <c r="N797" s="70">
        <v>2</v>
      </c>
      <c r="P797" s="70">
        <v>2</v>
      </c>
      <c r="R797" s="67" t="s">
        <v>1025</v>
      </c>
    </row>
    <row r="798" s="33" customFormat="1" spans="1:18">
      <c r="A798" s="70">
        <v>550008</v>
      </c>
      <c r="B798" s="70">
        <v>4001</v>
      </c>
      <c r="C798" s="70" t="s">
        <v>1013</v>
      </c>
      <c r="D798" s="71" t="s">
        <v>954</v>
      </c>
      <c r="E798" s="70"/>
      <c r="F798" s="70">
        <v>65</v>
      </c>
      <c r="G798" s="70">
        <v>1000000</v>
      </c>
      <c r="H798" s="70"/>
      <c r="I798" s="70"/>
      <c r="J798" s="70">
        <v>4</v>
      </c>
      <c r="N798" s="70">
        <v>2</v>
      </c>
      <c r="P798" s="70">
        <v>2</v>
      </c>
      <c r="R798" s="67" t="s">
        <v>1026</v>
      </c>
    </row>
    <row r="799" s="33" customFormat="1" spans="1:18">
      <c r="A799" s="70">
        <v>550009</v>
      </c>
      <c r="B799" s="70">
        <v>4001</v>
      </c>
      <c r="C799" s="70" t="s">
        <v>1013</v>
      </c>
      <c r="D799" s="71" t="s">
        <v>958</v>
      </c>
      <c r="E799" s="70"/>
      <c r="F799" s="70">
        <v>65</v>
      </c>
      <c r="G799" s="70">
        <v>2000000</v>
      </c>
      <c r="H799" s="70"/>
      <c r="I799" s="70"/>
      <c r="J799" s="70">
        <v>4</v>
      </c>
      <c r="N799" s="70">
        <v>2</v>
      </c>
      <c r="P799" s="70">
        <v>2</v>
      </c>
      <c r="R799" s="67" t="s">
        <v>1027</v>
      </c>
    </row>
    <row r="800" s="33" customFormat="1" spans="1:18">
      <c r="A800" s="70">
        <v>550010</v>
      </c>
      <c r="B800" s="70">
        <v>4001</v>
      </c>
      <c r="C800" s="70" t="s">
        <v>1013</v>
      </c>
      <c r="D800" s="71" t="s">
        <v>962</v>
      </c>
      <c r="E800" s="70"/>
      <c r="F800" s="70">
        <v>65</v>
      </c>
      <c r="G800" s="70">
        <v>3000000</v>
      </c>
      <c r="H800" s="70"/>
      <c r="I800" s="70"/>
      <c r="J800" s="70">
        <v>4</v>
      </c>
      <c r="N800" s="70">
        <v>2</v>
      </c>
      <c r="P800" s="70">
        <v>2</v>
      </c>
      <c r="R800" s="67" t="s">
        <v>1028</v>
      </c>
    </row>
    <row r="801" s="33" customFormat="1" spans="1:18">
      <c r="A801" s="70">
        <v>550011</v>
      </c>
      <c r="B801" s="70">
        <v>4001</v>
      </c>
      <c r="C801" s="70" t="s">
        <v>1013</v>
      </c>
      <c r="D801" s="71" t="s">
        <v>966</v>
      </c>
      <c r="E801" s="70"/>
      <c r="F801" s="70">
        <v>65</v>
      </c>
      <c r="G801" s="70">
        <v>4000000</v>
      </c>
      <c r="H801" s="70"/>
      <c r="I801" s="70"/>
      <c r="J801" s="70">
        <v>4</v>
      </c>
      <c r="N801" s="70">
        <v>2</v>
      </c>
      <c r="P801" s="70">
        <v>2</v>
      </c>
      <c r="R801" s="67" t="s">
        <v>1029</v>
      </c>
    </row>
    <row r="802" s="33" customFormat="1" spans="1:18">
      <c r="A802" s="70">
        <v>550012</v>
      </c>
      <c r="B802" s="70">
        <v>4001</v>
      </c>
      <c r="C802" s="70" t="s">
        <v>1013</v>
      </c>
      <c r="D802" s="71" t="s">
        <v>970</v>
      </c>
      <c r="E802" s="70"/>
      <c r="F802" s="70">
        <v>65</v>
      </c>
      <c r="G802" s="70">
        <v>5000000</v>
      </c>
      <c r="H802" s="70"/>
      <c r="I802" s="70"/>
      <c r="J802" s="70">
        <v>4</v>
      </c>
      <c r="N802" s="70">
        <v>2</v>
      </c>
      <c r="P802" s="70">
        <v>2</v>
      </c>
      <c r="R802" s="67" t="s">
        <v>1030</v>
      </c>
    </row>
    <row r="803" s="33" customFormat="1" spans="1:18">
      <c r="A803" s="70">
        <v>550013</v>
      </c>
      <c r="B803" s="70">
        <v>4001</v>
      </c>
      <c r="C803" s="70" t="s">
        <v>1013</v>
      </c>
      <c r="D803" s="71" t="s">
        <v>977</v>
      </c>
      <c r="E803" s="70"/>
      <c r="F803" s="70">
        <v>65</v>
      </c>
      <c r="G803" s="70">
        <v>7000000</v>
      </c>
      <c r="H803" s="70"/>
      <c r="I803" s="70"/>
      <c r="J803" s="70">
        <v>4</v>
      </c>
      <c r="N803" s="70">
        <v>2</v>
      </c>
      <c r="P803" s="70">
        <v>2</v>
      </c>
      <c r="R803" s="67" t="s">
        <v>1031</v>
      </c>
    </row>
    <row r="804" s="33" customFormat="1" spans="1:18">
      <c r="A804" s="70">
        <v>550014</v>
      </c>
      <c r="B804" s="70">
        <v>4001</v>
      </c>
      <c r="C804" s="70" t="s">
        <v>1013</v>
      </c>
      <c r="D804" s="71" t="s">
        <v>982</v>
      </c>
      <c r="E804" s="70"/>
      <c r="F804" s="70">
        <v>65</v>
      </c>
      <c r="G804" s="70">
        <v>9000000</v>
      </c>
      <c r="H804" s="70"/>
      <c r="I804" s="70"/>
      <c r="J804" s="70">
        <v>4</v>
      </c>
      <c r="N804" s="70">
        <v>2</v>
      </c>
      <c r="P804" s="70">
        <v>2</v>
      </c>
      <c r="R804" s="67" t="s">
        <v>981</v>
      </c>
    </row>
    <row r="805" s="33" customFormat="1" spans="1:18">
      <c r="A805" s="70">
        <v>550015</v>
      </c>
      <c r="B805" s="70">
        <v>4001</v>
      </c>
      <c r="C805" s="70" t="s">
        <v>1013</v>
      </c>
      <c r="D805" s="71" t="s">
        <v>986</v>
      </c>
      <c r="E805" s="70"/>
      <c r="F805" s="70">
        <v>65</v>
      </c>
      <c r="G805" s="70">
        <v>11000000</v>
      </c>
      <c r="H805" s="70"/>
      <c r="I805" s="70"/>
      <c r="J805" s="70">
        <v>4</v>
      </c>
      <c r="N805" s="70">
        <v>2</v>
      </c>
      <c r="P805" s="70">
        <v>2</v>
      </c>
      <c r="R805" s="67" t="s">
        <v>1032</v>
      </c>
    </row>
    <row r="806" s="33" customFormat="1" spans="1:18">
      <c r="A806" s="70">
        <v>550016</v>
      </c>
      <c r="B806" s="70">
        <v>4001</v>
      </c>
      <c r="C806" s="70" t="s">
        <v>1013</v>
      </c>
      <c r="D806" s="71" t="s">
        <v>990</v>
      </c>
      <c r="E806" s="70"/>
      <c r="F806" s="70">
        <v>65</v>
      </c>
      <c r="G806" s="70">
        <v>13000000</v>
      </c>
      <c r="H806" s="70"/>
      <c r="I806" s="70"/>
      <c r="J806" s="70">
        <v>4</v>
      </c>
      <c r="N806" s="70">
        <v>2</v>
      </c>
      <c r="P806" s="70">
        <v>2</v>
      </c>
      <c r="R806" s="67" t="s">
        <v>1033</v>
      </c>
    </row>
    <row r="807" s="33" customFormat="1" spans="1:18">
      <c r="A807" s="70">
        <v>550017</v>
      </c>
      <c r="B807" s="70">
        <v>4001</v>
      </c>
      <c r="C807" s="70" t="s">
        <v>1013</v>
      </c>
      <c r="D807" s="71" t="s">
        <v>1034</v>
      </c>
      <c r="E807" s="70"/>
      <c r="F807" s="70">
        <v>65</v>
      </c>
      <c r="G807" s="70">
        <v>15000000</v>
      </c>
      <c r="H807" s="70"/>
      <c r="I807" s="70"/>
      <c r="J807" s="70">
        <v>4</v>
      </c>
      <c r="N807" s="70">
        <v>2</v>
      </c>
      <c r="P807" s="70">
        <v>2</v>
      </c>
      <c r="R807" s="67" t="s">
        <v>1035</v>
      </c>
    </row>
    <row r="808" spans="1:18">
      <c r="A808" s="4">
        <v>560001</v>
      </c>
      <c r="B808" s="4">
        <v>101</v>
      </c>
      <c r="C808" s="4" t="s">
        <v>1036</v>
      </c>
      <c r="D808" s="30" t="s">
        <v>1037</v>
      </c>
      <c r="G808" s="4">
        <v>1</v>
      </c>
      <c r="J808" s="4">
        <v>1</v>
      </c>
      <c r="N808" s="4">
        <v>2</v>
      </c>
      <c r="P808" s="4">
        <v>2</v>
      </c>
      <c r="R808" t="s">
        <v>1038</v>
      </c>
    </row>
    <row r="809" spans="1:18">
      <c r="A809" s="4">
        <v>560002</v>
      </c>
      <c r="B809" s="4">
        <v>1402</v>
      </c>
      <c r="C809" s="4" t="s">
        <v>1039</v>
      </c>
      <c r="D809" s="30" t="s">
        <v>1040</v>
      </c>
      <c r="F809" s="4">
        <v>3</v>
      </c>
      <c r="G809" s="4">
        <v>1</v>
      </c>
      <c r="J809" s="4">
        <v>1</v>
      </c>
      <c r="N809" s="4">
        <v>2</v>
      </c>
      <c r="P809" s="4">
        <v>2</v>
      </c>
      <c r="R809" t="s">
        <v>1041</v>
      </c>
    </row>
    <row r="810" spans="1:18">
      <c r="A810" s="4">
        <v>560003</v>
      </c>
      <c r="B810" s="4">
        <v>4002</v>
      </c>
      <c r="C810" s="4" t="s">
        <v>1042</v>
      </c>
      <c r="D810" s="30" t="s">
        <v>1043</v>
      </c>
      <c r="F810" s="4">
        <v>58</v>
      </c>
      <c r="G810" s="4">
        <v>500</v>
      </c>
      <c r="I810" s="4">
        <v>1</v>
      </c>
      <c r="J810" s="4">
        <v>1</v>
      </c>
      <c r="N810" s="4">
        <v>2</v>
      </c>
      <c r="P810" s="4">
        <v>2</v>
      </c>
      <c r="R810" t="s">
        <v>1041</v>
      </c>
    </row>
    <row r="811" spans="1:18">
      <c r="A811" s="4">
        <v>560004</v>
      </c>
      <c r="B811" s="4">
        <v>3101</v>
      </c>
      <c r="C811" s="4" t="s">
        <v>1044</v>
      </c>
      <c r="D811" s="30" t="s">
        <v>1045</v>
      </c>
      <c r="F811" s="4">
        <v>9</v>
      </c>
      <c r="G811" s="4">
        <v>5</v>
      </c>
      <c r="J811" s="4">
        <v>1</v>
      </c>
      <c r="N811" s="4">
        <v>2</v>
      </c>
      <c r="P811" s="4">
        <v>2</v>
      </c>
      <c r="R811" t="s">
        <v>1041</v>
      </c>
    </row>
    <row r="812" spans="1:18">
      <c r="A812" s="4">
        <v>560005</v>
      </c>
      <c r="B812" s="4">
        <v>1211</v>
      </c>
      <c r="C812" s="4" t="s">
        <v>1046</v>
      </c>
      <c r="D812" s="30" t="s">
        <v>1047</v>
      </c>
      <c r="F812" s="4">
        <v>17</v>
      </c>
      <c r="G812" s="4">
        <v>4</v>
      </c>
      <c r="J812" s="4">
        <v>1</v>
      </c>
      <c r="N812" s="4">
        <v>2</v>
      </c>
      <c r="P812" s="4">
        <v>2</v>
      </c>
      <c r="R812" t="s">
        <v>1041</v>
      </c>
    </row>
    <row r="813" spans="1:18">
      <c r="A813" s="4">
        <v>560006</v>
      </c>
      <c r="B813" s="4">
        <v>1603</v>
      </c>
      <c r="C813" s="4" t="s">
        <v>1048</v>
      </c>
      <c r="D813" s="30" t="s">
        <v>1049</v>
      </c>
      <c r="F813" s="4">
        <v>8</v>
      </c>
      <c r="G813" s="4">
        <v>8</v>
      </c>
      <c r="J813" s="4">
        <v>1</v>
      </c>
      <c r="N813" s="4">
        <v>2</v>
      </c>
      <c r="P813" s="4">
        <v>2</v>
      </c>
      <c r="R813" t="s">
        <v>1041</v>
      </c>
    </row>
    <row r="814" ht="14.25" customHeight="1" spans="1:18">
      <c r="A814" s="4">
        <v>560007</v>
      </c>
      <c r="B814" s="4">
        <v>4003</v>
      </c>
      <c r="C814" s="4" t="s">
        <v>1050</v>
      </c>
      <c r="D814" s="30" t="s">
        <v>1051</v>
      </c>
      <c r="F814" s="4">
        <v>72</v>
      </c>
      <c r="G814" s="4">
        <v>100</v>
      </c>
      <c r="J814" s="4">
        <v>1</v>
      </c>
      <c r="N814" s="4">
        <v>2</v>
      </c>
      <c r="P814" s="4">
        <v>2</v>
      </c>
      <c r="R814" t="s">
        <v>1041</v>
      </c>
    </row>
    <row r="815" spans="1:18">
      <c r="A815" s="4">
        <v>561001</v>
      </c>
      <c r="B815" s="4">
        <v>981</v>
      </c>
      <c r="C815" s="4" t="s">
        <v>1052</v>
      </c>
      <c r="D815" s="30" t="s">
        <v>798</v>
      </c>
      <c r="F815" s="4">
        <v>30</v>
      </c>
      <c r="G815" s="4">
        <v>30</v>
      </c>
      <c r="I815" s="4">
        <v>1</v>
      </c>
      <c r="J815" s="4">
        <v>4</v>
      </c>
      <c r="N815" s="4">
        <v>2</v>
      </c>
      <c r="P815" s="4">
        <v>2</v>
      </c>
      <c r="R815" t="s">
        <v>1053</v>
      </c>
    </row>
    <row r="816" spans="1:18">
      <c r="A816" s="4">
        <v>561002</v>
      </c>
      <c r="B816" s="4">
        <v>402</v>
      </c>
      <c r="C816" s="4" t="s">
        <v>1054</v>
      </c>
      <c r="D816" s="30" t="s">
        <v>1055</v>
      </c>
      <c r="F816" s="4">
        <v>56</v>
      </c>
      <c r="G816" s="4">
        <v>30</v>
      </c>
      <c r="I816" s="4">
        <v>2</v>
      </c>
      <c r="J816" s="4">
        <v>4</v>
      </c>
      <c r="N816" s="4">
        <v>2</v>
      </c>
      <c r="P816" s="4">
        <v>2</v>
      </c>
      <c r="R816" t="s">
        <v>1053</v>
      </c>
    </row>
    <row r="817" spans="1:18">
      <c r="A817" s="4">
        <v>561003</v>
      </c>
      <c r="B817" s="4">
        <v>405</v>
      </c>
      <c r="C817" s="4" t="s">
        <v>221</v>
      </c>
      <c r="D817" s="30" t="s">
        <v>1056</v>
      </c>
      <c r="F817" s="4">
        <v>13</v>
      </c>
      <c r="G817" s="4">
        <v>3</v>
      </c>
      <c r="J817" s="4">
        <v>4</v>
      </c>
      <c r="N817" s="4">
        <v>2</v>
      </c>
      <c r="P817" s="4">
        <v>2</v>
      </c>
      <c r="R817" t="s">
        <v>1053</v>
      </c>
    </row>
    <row r="818" spans="1:18">
      <c r="A818" s="4">
        <v>561004</v>
      </c>
      <c r="B818" s="4">
        <v>1603</v>
      </c>
      <c r="C818" s="4" t="s">
        <v>1057</v>
      </c>
      <c r="D818" s="30" t="s">
        <v>1058</v>
      </c>
      <c r="F818" s="4">
        <v>8</v>
      </c>
      <c r="G818" s="4">
        <v>50</v>
      </c>
      <c r="J818" s="4">
        <v>4</v>
      </c>
      <c r="N818" s="4">
        <v>2</v>
      </c>
      <c r="P818" s="4">
        <v>2</v>
      </c>
      <c r="R818" t="s">
        <v>1053</v>
      </c>
    </row>
    <row r="819" spans="1:18">
      <c r="A819" s="4">
        <v>561005</v>
      </c>
      <c r="B819" s="4">
        <v>1002</v>
      </c>
      <c r="C819" s="4" t="s">
        <v>1059</v>
      </c>
      <c r="D819" s="30" t="s">
        <v>1060</v>
      </c>
      <c r="F819" s="4">
        <v>10</v>
      </c>
      <c r="G819" s="4">
        <v>21</v>
      </c>
      <c r="J819" s="4">
        <v>4</v>
      </c>
      <c r="N819" s="4">
        <v>2</v>
      </c>
      <c r="P819" s="4">
        <v>2</v>
      </c>
      <c r="R819" t="s">
        <v>1053</v>
      </c>
    </row>
    <row r="820" spans="1:18">
      <c r="A820" s="4">
        <v>561006</v>
      </c>
      <c r="B820" s="4">
        <v>1004</v>
      </c>
      <c r="C820" s="4" t="s">
        <v>1061</v>
      </c>
      <c r="D820" s="30" t="s">
        <v>309</v>
      </c>
      <c r="F820" s="4">
        <v>4</v>
      </c>
      <c r="G820" s="4">
        <v>5</v>
      </c>
      <c r="I820" s="4">
        <v>4</v>
      </c>
      <c r="J820" s="4">
        <v>4</v>
      </c>
      <c r="N820" s="4">
        <v>2</v>
      </c>
      <c r="P820" s="4">
        <v>2</v>
      </c>
      <c r="R820" t="s">
        <v>1053</v>
      </c>
    </row>
    <row r="821" spans="1:18">
      <c r="A821" s="4">
        <v>561007</v>
      </c>
      <c r="B821" s="4">
        <v>809</v>
      </c>
      <c r="C821" s="4" t="s">
        <v>1062</v>
      </c>
      <c r="D821" s="30" t="s">
        <v>1063</v>
      </c>
      <c r="F821" s="4">
        <v>62</v>
      </c>
      <c r="G821" s="4">
        <v>30</v>
      </c>
      <c r="J821" s="4">
        <v>4</v>
      </c>
      <c r="N821" s="4">
        <v>2</v>
      </c>
      <c r="P821" s="4">
        <v>2</v>
      </c>
      <c r="R821" t="s">
        <v>1053</v>
      </c>
    </row>
    <row r="822" spans="1:18">
      <c r="A822" s="4">
        <v>561008</v>
      </c>
      <c r="B822" s="4">
        <v>1502</v>
      </c>
      <c r="C822" s="4" t="s">
        <v>131</v>
      </c>
      <c r="D822" s="30" t="s">
        <v>904</v>
      </c>
      <c r="F822" s="4">
        <v>6</v>
      </c>
      <c r="G822" s="4">
        <v>25</v>
      </c>
      <c r="J822" s="4">
        <v>4</v>
      </c>
      <c r="N822" s="4">
        <v>2</v>
      </c>
      <c r="P822" s="4">
        <v>2</v>
      </c>
      <c r="R822" t="s">
        <v>1053</v>
      </c>
    </row>
    <row r="823" spans="1:18">
      <c r="A823" s="4">
        <v>561009</v>
      </c>
      <c r="B823" s="4">
        <v>4001</v>
      </c>
      <c r="C823" s="4" t="s">
        <v>1064</v>
      </c>
      <c r="D823" s="30" t="s">
        <v>1065</v>
      </c>
      <c r="F823" s="4">
        <v>58</v>
      </c>
      <c r="G823" s="4">
        <v>1</v>
      </c>
      <c r="J823" s="4">
        <v>4</v>
      </c>
      <c r="N823" s="4">
        <v>2</v>
      </c>
      <c r="P823" s="4">
        <v>2</v>
      </c>
      <c r="R823" t="s">
        <v>1066</v>
      </c>
    </row>
    <row r="824" spans="1:18">
      <c r="A824" s="4">
        <v>570001</v>
      </c>
      <c r="B824" s="4">
        <v>990</v>
      </c>
      <c r="C824" s="4" t="s">
        <v>1067</v>
      </c>
      <c r="D824" s="30" t="s">
        <v>1068</v>
      </c>
      <c r="F824" s="4">
        <v>43</v>
      </c>
      <c r="G824" s="4">
        <v>10</v>
      </c>
      <c r="J824" s="4">
        <v>4</v>
      </c>
      <c r="N824" s="4">
        <v>2</v>
      </c>
      <c r="P824" s="4">
        <v>2</v>
      </c>
      <c r="R824" s="5" t="s">
        <v>1069</v>
      </c>
    </row>
    <row r="825" spans="1:18">
      <c r="A825" s="4">
        <v>570002</v>
      </c>
      <c r="B825" s="4">
        <v>990</v>
      </c>
      <c r="C825" s="4" t="s">
        <v>1067</v>
      </c>
      <c r="D825" s="30" t="s">
        <v>1070</v>
      </c>
      <c r="F825" s="4">
        <v>43</v>
      </c>
      <c r="G825" s="4">
        <v>20</v>
      </c>
      <c r="J825" s="4">
        <v>4</v>
      </c>
      <c r="N825" s="4">
        <v>2</v>
      </c>
      <c r="P825" s="4">
        <v>2</v>
      </c>
      <c r="R825" s="5" t="s">
        <v>1069</v>
      </c>
    </row>
    <row r="826" spans="1:18">
      <c r="A826" s="4">
        <v>570003</v>
      </c>
      <c r="B826" s="4">
        <v>990</v>
      </c>
      <c r="C826" s="4" t="s">
        <v>1067</v>
      </c>
      <c r="D826" s="30" t="s">
        <v>1071</v>
      </c>
      <c r="F826" s="4">
        <v>43</v>
      </c>
      <c r="G826" s="4">
        <v>30</v>
      </c>
      <c r="J826" s="4">
        <v>4</v>
      </c>
      <c r="N826" s="4">
        <v>2</v>
      </c>
      <c r="P826" s="4">
        <v>2</v>
      </c>
      <c r="R826" s="5" t="s">
        <v>1069</v>
      </c>
    </row>
    <row r="827" spans="1:18">
      <c r="A827" s="4">
        <v>570004</v>
      </c>
      <c r="B827" s="4">
        <v>990</v>
      </c>
      <c r="C827" s="4" t="s">
        <v>1067</v>
      </c>
      <c r="D827" s="30" t="s">
        <v>1072</v>
      </c>
      <c r="F827" s="4">
        <v>43</v>
      </c>
      <c r="G827" s="4">
        <v>40</v>
      </c>
      <c r="J827" s="4">
        <v>4</v>
      </c>
      <c r="N827" s="4">
        <v>2</v>
      </c>
      <c r="P827" s="4">
        <v>2</v>
      </c>
      <c r="R827" s="5" t="s">
        <v>1073</v>
      </c>
    </row>
    <row r="828" spans="1:18">
      <c r="A828" s="4">
        <v>570005</v>
      </c>
      <c r="B828" s="4">
        <v>990</v>
      </c>
      <c r="C828" s="4" t="s">
        <v>1067</v>
      </c>
      <c r="D828" s="30" t="s">
        <v>1074</v>
      </c>
      <c r="F828" s="4">
        <v>43</v>
      </c>
      <c r="G828" s="4">
        <v>50</v>
      </c>
      <c r="J828" s="4">
        <v>4</v>
      </c>
      <c r="N828" s="4">
        <v>2</v>
      </c>
      <c r="P828" s="4">
        <v>2</v>
      </c>
      <c r="R828" s="5" t="s">
        <v>1075</v>
      </c>
    </row>
    <row r="829" spans="1:18">
      <c r="A829" s="4">
        <v>570006</v>
      </c>
      <c r="B829" s="4">
        <v>990</v>
      </c>
      <c r="C829" s="4" t="s">
        <v>1067</v>
      </c>
      <c r="D829" s="30" t="s">
        <v>1076</v>
      </c>
      <c r="F829" s="4">
        <v>43</v>
      </c>
      <c r="G829" s="4">
        <v>60</v>
      </c>
      <c r="J829" s="4">
        <v>4</v>
      </c>
      <c r="N829" s="4">
        <v>2</v>
      </c>
      <c r="P829" s="4">
        <v>2</v>
      </c>
      <c r="R829" s="5" t="s">
        <v>1077</v>
      </c>
    </row>
    <row r="830" spans="1:18">
      <c r="A830" s="4">
        <v>570007</v>
      </c>
      <c r="B830" s="4">
        <v>990</v>
      </c>
      <c r="C830" s="4" t="s">
        <v>1067</v>
      </c>
      <c r="D830" s="30" t="s">
        <v>1078</v>
      </c>
      <c r="F830" s="4">
        <v>43</v>
      </c>
      <c r="G830" s="4">
        <v>70</v>
      </c>
      <c r="J830" s="4">
        <v>4</v>
      </c>
      <c r="N830" s="4">
        <v>2</v>
      </c>
      <c r="P830" s="4">
        <v>2</v>
      </c>
      <c r="R830" s="5" t="s">
        <v>1079</v>
      </c>
    </row>
    <row r="831" spans="1:18">
      <c r="A831" s="4">
        <v>570008</v>
      </c>
      <c r="B831" s="4">
        <v>990</v>
      </c>
      <c r="C831" s="4" t="s">
        <v>1067</v>
      </c>
      <c r="D831" s="30" t="s">
        <v>1080</v>
      </c>
      <c r="F831" s="4">
        <v>43</v>
      </c>
      <c r="G831" s="4">
        <v>80</v>
      </c>
      <c r="J831" s="4">
        <v>4</v>
      </c>
      <c r="N831" s="4">
        <v>2</v>
      </c>
      <c r="P831" s="4">
        <v>2</v>
      </c>
      <c r="R831" s="5" t="s">
        <v>1081</v>
      </c>
    </row>
    <row r="832" spans="1:18">
      <c r="A832" s="4">
        <v>570009</v>
      </c>
      <c r="B832" s="4">
        <v>990</v>
      </c>
      <c r="C832" s="4" t="s">
        <v>1067</v>
      </c>
      <c r="D832" s="30" t="s">
        <v>1082</v>
      </c>
      <c r="F832" s="4">
        <v>43</v>
      </c>
      <c r="G832" s="4">
        <v>90</v>
      </c>
      <c r="J832" s="4">
        <v>4</v>
      </c>
      <c r="N832" s="4">
        <v>2</v>
      </c>
      <c r="P832" s="4">
        <v>2</v>
      </c>
      <c r="R832" s="5" t="s">
        <v>1083</v>
      </c>
    </row>
    <row r="833" spans="1:18">
      <c r="A833" s="4">
        <v>570010</v>
      </c>
      <c r="B833" s="4">
        <v>990</v>
      </c>
      <c r="C833" s="4" t="s">
        <v>1067</v>
      </c>
      <c r="D833" s="30" t="s">
        <v>1084</v>
      </c>
      <c r="F833" s="4">
        <v>43</v>
      </c>
      <c r="G833" s="4">
        <v>100</v>
      </c>
      <c r="J833" s="4">
        <v>4</v>
      </c>
      <c r="N833" s="4">
        <v>2</v>
      </c>
      <c r="P833" s="4">
        <v>2</v>
      </c>
      <c r="R833" s="76" t="s">
        <v>1083</v>
      </c>
    </row>
    <row r="834" spans="1:18">
      <c r="A834" s="4">
        <v>580001</v>
      </c>
      <c r="B834" s="4">
        <v>405</v>
      </c>
      <c r="C834" s="4" t="s">
        <v>1085</v>
      </c>
      <c r="D834" s="73" t="s">
        <v>1085</v>
      </c>
      <c r="F834" s="4">
        <v>13</v>
      </c>
      <c r="G834" s="4">
        <v>1</v>
      </c>
      <c r="J834" s="4">
        <v>4</v>
      </c>
      <c r="N834" s="4">
        <v>2</v>
      </c>
      <c r="P834" s="4">
        <v>2</v>
      </c>
      <c r="R834" s="63" t="s">
        <v>1086</v>
      </c>
    </row>
    <row r="835" spans="1:18">
      <c r="A835" s="4">
        <v>580002</v>
      </c>
      <c r="B835" s="4">
        <v>981</v>
      </c>
      <c r="C835" s="4" t="s">
        <v>1087</v>
      </c>
      <c r="D835" s="73" t="s">
        <v>1087</v>
      </c>
      <c r="F835" s="4">
        <v>31</v>
      </c>
      <c r="G835" s="4">
        <v>1</v>
      </c>
      <c r="I835" s="4">
        <v>2</v>
      </c>
      <c r="J835" s="4">
        <v>4</v>
      </c>
      <c r="N835" s="4">
        <v>2</v>
      </c>
      <c r="P835" s="4">
        <v>2</v>
      </c>
      <c r="R835" s="63" t="s">
        <v>1086</v>
      </c>
    </row>
    <row r="836" spans="1:18">
      <c r="A836" s="4">
        <v>580003</v>
      </c>
      <c r="B836" s="4">
        <v>502</v>
      </c>
      <c r="C836" s="4" t="s">
        <v>1088</v>
      </c>
      <c r="D836" s="73" t="s">
        <v>1088</v>
      </c>
      <c r="F836" s="4">
        <v>16</v>
      </c>
      <c r="G836" s="4">
        <v>3</v>
      </c>
      <c r="J836" s="4">
        <v>4</v>
      </c>
      <c r="N836" s="4">
        <v>2</v>
      </c>
      <c r="P836" s="4">
        <v>2</v>
      </c>
      <c r="R836" s="63" t="s">
        <v>1086</v>
      </c>
    </row>
    <row r="837" spans="1:18">
      <c r="A837" s="4">
        <v>580004</v>
      </c>
      <c r="B837" s="4">
        <v>982</v>
      </c>
      <c r="C837" s="4" t="s">
        <v>1089</v>
      </c>
      <c r="D837" s="8" t="s">
        <v>1089</v>
      </c>
      <c r="F837" s="4">
        <v>40</v>
      </c>
      <c r="G837" s="4">
        <v>15</v>
      </c>
      <c r="J837" s="4">
        <v>4</v>
      </c>
      <c r="N837" s="4">
        <v>2</v>
      </c>
      <c r="P837" s="4">
        <v>2</v>
      </c>
      <c r="R837" s="63" t="s">
        <v>1086</v>
      </c>
    </row>
    <row r="838" spans="1:18">
      <c r="A838" s="4">
        <v>580005</v>
      </c>
      <c r="B838" s="4">
        <v>1800</v>
      </c>
      <c r="C838" s="4" t="s">
        <v>1090</v>
      </c>
      <c r="D838" s="73" t="s">
        <v>1090</v>
      </c>
      <c r="F838" s="4">
        <v>74</v>
      </c>
      <c r="G838" s="4">
        <v>4</v>
      </c>
      <c r="J838" s="4">
        <v>4</v>
      </c>
      <c r="N838" s="4">
        <v>2</v>
      </c>
      <c r="P838" s="4">
        <v>2</v>
      </c>
      <c r="R838" s="63" t="s">
        <v>1086</v>
      </c>
    </row>
    <row r="839" spans="1:18">
      <c r="A839" s="4">
        <v>580006</v>
      </c>
      <c r="B839" s="4">
        <v>804</v>
      </c>
      <c r="C839" s="4" t="s">
        <v>1091</v>
      </c>
      <c r="D839" s="73" t="s">
        <v>1091</v>
      </c>
      <c r="F839" s="4">
        <v>48</v>
      </c>
      <c r="G839" s="4">
        <v>1</v>
      </c>
      <c r="J839" s="4">
        <v>4</v>
      </c>
      <c r="N839" s="4">
        <v>2</v>
      </c>
      <c r="P839" s="4">
        <v>2</v>
      </c>
      <c r="R839" s="63" t="s">
        <v>1086</v>
      </c>
    </row>
    <row r="840" spans="1:18">
      <c r="A840" s="4">
        <v>580007</v>
      </c>
      <c r="B840" s="4">
        <v>503</v>
      </c>
      <c r="C840" s="4" t="s">
        <v>1092</v>
      </c>
      <c r="D840" s="8" t="s">
        <v>1092</v>
      </c>
      <c r="F840" s="4">
        <v>44</v>
      </c>
      <c r="G840" s="4">
        <v>1</v>
      </c>
      <c r="J840" s="4">
        <v>4</v>
      </c>
      <c r="N840" s="4">
        <v>2</v>
      </c>
      <c r="P840" s="4">
        <v>2</v>
      </c>
      <c r="R840" s="63" t="s">
        <v>1086</v>
      </c>
    </row>
    <row r="841" spans="1:18">
      <c r="A841" s="4">
        <v>580008</v>
      </c>
      <c r="B841" s="4">
        <v>811</v>
      </c>
      <c r="C841" s="4" t="s">
        <v>1093</v>
      </c>
      <c r="D841" s="73" t="s">
        <v>1093</v>
      </c>
      <c r="F841" s="4">
        <v>44</v>
      </c>
      <c r="G841" s="4">
        <v>1</v>
      </c>
      <c r="J841" s="4">
        <v>4</v>
      </c>
      <c r="N841" s="4">
        <v>2</v>
      </c>
      <c r="P841" s="4">
        <v>2</v>
      </c>
      <c r="R841" s="63" t="s">
        <v>1086</v>
      </c>
    </row>
    <row r="842" spans="1:18">
      <c r="A842" s="4">
        <v>580009</v>
      </c>
      <c r="B842" s="4">
        <v>1701</v>
      </c>
      <c r="C842" s="4" t="s">
        <v>1094</v>
      </c>
      <c r="D842" s="73" t="s">
        <v>1094</v>
      </c>
      <c r="F842" s="4">
        <v>59</v>
      </c>
      <c r="G842" s="4">
        <v>2</v>
      </c>
      <c r="J842" s="4">
        <v>4</v>
      </c>
      <c r="N842" s="4">
        <v>2</v>
      </c>
      <c r="P842" s="4">
        <v>2</v>
      </c>
      <c r="R842" s="63" t="s">
        <v>1086</v>
      </c>
    </row>
    <row r="843" spans="1:18">
      <c r="A843" s="4">
        <v>580010</v>
      </c>
      <c r="B843" s="4">
        <v>809</v>
      </c>
      <c r="C843" s="4" t="s">
        <v>1095</v>
      </c>
      <c r="D843" s="73" t="s">
        <v>1095</v>
      </c>
      <c r="F843" s="4">
        <v>62</v>
      </c>
      <c r="G843" s="4">
        <v>3</v>
      </c>
      <c r="J843" s="4">
        <v>4</v>
      </c>
      <c r="N843" s="4">
        <v>2</v>
      </c>
      <c r="P843" s="4">
        <v>2</v>
      </c>
      <c r="R843" s="63" t="s">
        <v>1086</v>
      </c>
    </row>
    <row r="844" spans="1:18">
      <c r="A844" s="4">
        <v>580011</v>
      </c>
      <c r="B844" s="4">
        <v>1900</v>
      </c>
      <c r="C844" s="4" t="s">
        <v>1096</v>
      </c>
      <c r="D844" s="73" t="s">
        <v>1096</v>
      </c>
      <c r="F844" s="4">
        <v>75</v>
      </c>
      <c r="G844" s="4">
        <v>3</v>
      </c>
      <c r="J844" s="4">
        <v>4</v>
      </c>
      <c r="N844" s="4">
        <v>2</v>
      </c>
      <c r="P844" s="4">
        <v>2</v>
      </c>
      <c r="R844" s="63" t="s">
        <v>1086</v>
      </c>
    </row>
    <row r="845" spans="1:18">
      <c r="A845" s="4">
        <v>580012</v>
      </c>
      <c r="B845" s="4">
        <v>102</v>
      </c>
      <c r="C845" s="4" t="s">
        <v>1097</v>
      </c>
      <c r="D845" s="73" t="s">
        <v>1098</v>
      </c>
      <c r="F845" s="4">
        <v>32</v>
      </c>
      <c r="G845" s="4">
        <v>5</v>
      </c>
      <c r="J845" s="4">
        <v>4</v>
      </c>
      <c r="N845" s="4">
        <v>2</v>
      </c>
      <c r="P845" s="4">
        <v>2</v>
      </c>
      <c r="R845" s="63" t="s">
        <v>1086</v>
      </c>
    </row>
    <row r="846" spans="1:18">
      <c r="A846" s="4">
        <v>580013</v>
      </c>
      <c r="B846" s="4">
        <v>4001</v>
      </c>
      <c r="C846" s="4" t="s">
        <v>1064</v>
      </c>
      <c r="D846" s="30" t="s">
        <v>1065</v>
      </c>
      <c r="F846" s="4">
        <v>58</v>
      </c>
      <c r="G846" s="4">
        <v>1</v>
      </c>
      <c r="J846" s="4">
        <v>4</v>
      </c>
      <c r="N846" s="4">
        <v>2</v>
      </c>
      <c r="P846" s="4">
        <v>2</v>
      </c>
      <c r="R846" s="63" t="s">
        <v>1086</v>
      </c>
    </row>
    <row r="847" spans="1:18">
      <c r="A847" s="4">
        <v>580014</v>
      </c>
      <c r="B847" s="4">
        <v>1603</v>
      </c>
      <c r="C847" s="4" t="s">
        <v>1099</v>
      </c>
      <c r="D847" s="73" t="s">
        <v>1099</v>
      </c>
      <c r="F847" s="4">
        <v>8</v>
      </c>
      <c r="G847" s="4">
        <v>15</v>
      </c>
      <c r="J847" s="4">
        <v>4</v>
      </c>
      <c r="N847" s="4">
        <v>2</v>
      </c>
      <c r="P847" s="4">
        <v>2</v>
      </c>
      <c r="R847" s="63" t="s">
        <v>1086</v>
      </c>
    </row>
    <row r="848" spans="1:18">
      <c r="A848" s="4">
        <v>590001</v>
      </c>
      <c r="B848" s="4">
        <v>809</v>
      </c>
      <c r="C848" s="4" t="s">
        <v>1100</v>
      </c>
      <c r="D848" s="30" t="s">
        <v>1101</v>
      </c>
      <c r="F848" s="4">
        <v>62</v>
      </c>
      <c r="G848" s="4">
        <v>10</v>
      </c>
      <c r="J848" s="4">
        <v>4</v>
      </c>
      <c r="N848" s="4">
        <v>2</v>
      </c>
      <c r="P848" s="4">
        <v>2</v>
      </c>
      <c r="R848" s="5" t="s">
        <v>1102</v>
      </c>
    </row>
    <row r="849" spans="1:18">
      <c r="A849" s="4">
        <v>590002</v>
      </c>
      <c r="B849" s="4">
        <v>809</v>
      </c>
      <c r="C849" s="4" t="s">
        <v>1100</v>
      </c>
      <c r="D849" s="30" t="s">
        <v>1103</v>
      </c>
      <c r="F849" s="4">
        <v>62</v>
      </c>
      <c r="G849" s="4">
        <v>20</v>
      </c>
      <c r="J849" s="4">
        <v>4</v>
      </c>
      <c r="N849" s="4">
        <v>2</v>
      </c>
      <c r="P849" s="4">
        <v>2</v>
      </c>
      <c r="R849" s="5" t="s">
        <v>1102</v>
      </c>
    </row>
    <row r="850" spans="1:18">
      <c r="A850" s="4">
        <v>590003</v>
      </c>
      <c r="B850" s="4">
        <v>809</v>
      </c>
      <c r="C850" s="4" t="s">
        <v>1100</v>
      </c>
      <c r="D850" s="30" t="s">
        <v>1104</v>
      </c>
      <c r="F850" s="4">
        <v>62</v>
      </c>
      <c r="G850" s="4">
        <v>30</v>
      </c>
      <c r="J850" s="4">
        <v>4</v>
      </c>
      <c r="N850" s="4">
        <v>2</v>
      </c>
      <c r="P850" s="4">
        <v>2</v>
      </c>
      <c r="R850" s="5" t="s">
        <v>1102</v>
      </c>
    </row>
    <row r="851" spans="1:18">
      <c r="A851" s="4">
        <v>590004</v>
      </c>
      <c r="B851" s="4">
        <v>809</v>
      </c>
      <c r="C851" s="4" t="s">
        <v>1100</v>
      </c>
      <c r="D851" s="30" t="s">
        <v>1105</v>
      </c>
      <c r="F851" s="4">
        <v>62</v>
      </c>
      <c r="G851" s="4">
        <v>40</v>
      </c>
      <c r="J851" s="4">
        <v>4</v>
      </c>
      <c r="N851" s="4">
        <v>2</v>
      </c>
      <c r="P851" s="4">
        <v>2</v>
      </c>
      <c r="R851" s="5" t="s">
        <v>1106</v>
      </c>
    </row>
    <row r="852" spans="1:18">
      <c r="A852" s="4">
        <v>590005</v>
      </c>
      <c r="B852" s="4">
        <v>809</v>
      </c>
      <c r="C852" s="4" t="s">
        <v>1100</v>
      </c>
      <c r="D852" s="30" t="s">
        <v>1107</v>
      </c>
      <c r="F852" s="4">
        <v>62</v>
      </c>
      <c r="G852" s="4">
        <v>50</v>
      </c>
      <c r="J852" s="4">
        <v>4</v>
      </c>
      <c r="N852" s="4">
        <v>2</v>
      </c>
      <c r="P852" s="4">
        <v>2</v>
      </c>
      <c r="R852" s="5" t="s">
        <v>1108</v>
      </c>
    </row>
    <row r="853" spans="1:18">
      <c r="A853" s="4">
        <v>590006</v>
      </c>
      <c r="B853" s="4">
        <v>809</v>
      </c>
      <c r="C853" s="4" t="s">
        <v>1100</v>
      </c>
      <c r="D853" s="30" t="s">
        <v>1109</v>
      </c>
      <c r="F853" s="4">
        <v>62</v>
      </c>
      <c r="G853" s="4">
        <v>60</v>
      </c>
      <c r="J853" s="4">
        <v>4</v>
      </c>
      <c r="N853" s="4">
        <v>2</v>
      </c>
      <c r="P853" s="4">
        <v>2</v>
      </c>
      <c r="R853" s="5" t="s">
        <v>1110</v>
      </c>
    </row>
    <row r="854" spans="1:18">
      <c r="A854" s="4">
        <v>590007</v>
      </c>
      <c r="B854" s="4">
        <v>809</v>
      </c>
      <c r="C854" s="4" t="s">
        <v>1100</v>
      </c>
      <c r="D854" s="30" t="s">
        <v>1111</v>
      </c>
      <c r="F854" s="4">
        <v>62</v>
      </c>
      <c r="G854" s="4">
        <v>70</v>
      </c>
      <c r="J854" s="4">
        <v>4</v>
      </c>
      <c r="N854" s="4">
        <v>2</v>
      </c>
      <c r="P854" s="4">
        <v>2</v>
      </c>
      <c r="R854" s="5" t="s">
        <v>1112</v>
      </c>
    </row>
    <row r="855" spans="1:18">
      <c r="A855" s="4">
        <v>590008</v>
      </c>
      <c r="B855" s="4">
        <v>809</v>
      </c>
      <c r="C855" s="4" t="s">
        <v>1100</v>
      </c>
      <c r="D855" s="30" t="s">
        <v>1113</v>
      </c>
      <c r="F855" s="4">
        <v>62</v>
      </c>
      <c r="G855" s="4">
        <v>80</v>
      </c>
      <c r="J855" s="4">
        <v>4</v>
      </c>
      <c r="N855" s="4">
        <v>2</v>
      </c>
      <c r="P855" s="4">
        <v>2</v>
      </c>
      <c r="R855" s="5" t="s">
        <v>1114</v>
      </c>
    </row>
    <row r="856" spans="1:18">
      <c r="A856" s="4">
        <v>590009</v>
      </c>
      <c r="B856" s="4">
        <v>809</v>
      </c>
      <c r="C856" s="4" t="s">
        <v>1100</v>
      </c>
      <c r="D856" s="30" t="s">
        <v>1115</v>
      </c>
      <c r="F856" s="4">
        <v>62</v>
      </c>
      <c r="G856" s="4">
        <v>90</v>
      </c>
      <c r="J856" s="4">
        <v>4</v>
      </c>
      <c r="N856" s="4">
        <v>2</v>
      </c>
      <c r="P856" s="4">
        <v>2</v>
      </c>
      <c r="R856" s="5" t="s">
        <v>1116</v>
      </c>
    </row>
    <row r="857" spans="1:18">
      <c r="A857" s="4">
        <v>590010</v>
      </c>
      <c r="B857" s="4">
        <v>809</v>
      </c>
      <c r="C857" s="4" t="s">
        <v>1100</v>
      </c>
      <c r="D857" s="30" t="s">
        <v>1117</v>
      </c>
      <c r="F857" s="4">
        <v>62</v>
      </c>
      <c r="G857" s="4">
        <v>100</v>
      </c>
      <c r="J857" s="4">
        <v>4</v>
      </c>
      <c r="N857" s="4">
        <v>2</v>
      </c>
      <c r="P857" s="4">
        <v>2</v>
      </c>
      <c r="R857" s="5" t="s">
        <v>1118</v>
      </c>
    </row>
    <row r="858" spans="1:18">
      <c r="A858" s="4">
        <v>600001</v>
      </c>
      <c r="B858" s="4">
        <v>413</v>
      </c>
      <c r="C858" s="4" t="s">
        <v>644</v>
      </c>
      <c r="D858" s="30" t="s">
        <v>651</v>
      </c>
      <c r="F858" s="4">
        <v>44</v>
      </c>
      <c r="G858" s="4">
        <v>1</v>
      </c>
      <c r="I858" s="4">
        <v>9</v>
      </c>
      <c r="J858" s="4">
        <v>4</v>
      </c>
      <c r="N858" s="4">
        <v>0</v>
      </c>
      <c r="P858" s="4">
        <v>2</v>
      </c>
      <c r="R858" s="64" t="s">
        <v>654</v>
      </c>
    </row>
    <row r="859" spans="1:18">
      <c r="A859" s="4">
        <v>600002</v>
      </c>
      <c r="B859" s="4">
        <v>413</v>
      </c>
      <c r="C859" s="4" t="s">
        <v>644</v>
      </c>
      <c r="D859" s="30" t="s">
        <v>653</v>
      </c>
      <c r="F859" s="4">
        <v>44</v>
      </c>
      <c r="G859" s="4">
        <v>1</v>
      </c>
      <c r="I859" s="4">
        <v>10</v>
      </c>
      <c r="J859" s="4">
        <v>4</v>
      </c>
      <c r="N859" s="4">
        <v>0</v>
      </c>
      <c r="P859" s="4">
        <v>2</v>
      </c>
      <c r="R859" t="s">
        <v>652</v>
      </c>
    </row>
    <row r="860" spans="1:18">
      <c r="A860" s="4">
        <v>600003</v>
      </c>
      <c r="B860" s="4">
        <v>413</v>
      </c>
      <c r="C860" s="4" t="s">
        <v>644</v>
      </c>
      <c r="D860" s="30" t="s">
        <v>1119</v>
      </c>
      <c r="F860" s="4">
        <v>44</v>
      </c>
      <c r="G860" s="4">
        <v>1</v>
      </c>
      <c r="I860" s="4">
        <v>11</v>
      </c>
      <c r="J860" s="4">
        <v>4</v>
      </c>
      <c r="N860" s="4">
        <v>0</v>
      </c>
      <c r="P860" s="4">
        <v>2</v>
      </c>
      <c r="R860" s="64" t="s">
        <v>1120</v>
      </c>
    </row>
    <row r="861" spans="1:18">
      <c r="A861" s="4">
        <v>610001</v>
      </c>
      <c r="B861" s="4">
        <v>413</v>
      </c>
      <c r="C861" s="4" t="s">
        <v>644</v>
      </c>
      <c r="D861" s="30" t="s">
        <v>645</v>
      </c>
      <c r="F861" s="4">
        <v>44</v>
      </c>
      <c r="G861" s="4">
        <v>1</v>
      </c>
      <c r="I861" s="4">
        <v>6</v>
      </c>
      <c r="J861" s="4">
        <v>4</v>
      </c>
      <c r="N861" s="4">
        <v>0</v>
      </c>
      <c r="P861" s="4">
        <v>2</v>
      </c>
      <c r="R861" s="5" t="s">
        <v>646</v>
      </c>
    </row>
    <row r="862" spans="1:18">
      <c r="A862" s="4">
        <v>610002</v>
      </c>
      <c r="B862" s="4">
        <v>413</v>
      </c>
      <c r="C862" s="4" t="s">
        <v>644</v>
      </c>
      <c r="D862" s="30" t="s">
        <v>647</v>
      </c>
      <c r="F862" s="4">
        <v>44</v>
      </c>
      <c r="G862" s="4">
        <v>1</v>
      </c>
      <c r="I862" s="4">
        <v>7</v>
      </c>
      <c r="J862" s="4">
        <v>4</v>
      </c>
      <c r="N862" s="4">
        <v>0</v>
      </c>
      <c r="P862" s="4">
        <v>2</v>
      </c>
      <c r="R862" s="5" t="s">
        <v>1121</v>
      </c>
    </row>
    <row r="863" spans="1:18">
      <c r="A863" s="4">
        <v>610003</v>
      </c>
      <c r="B863" s="4">
        <v>413</v>
      </c>
      <c r="C863" s="4" t="s">
        <v>644</v>
      </c>
      <c r="D863" s="30" t="s">
        <v>649</v>
      </c>
      <c r="F863" s="4">
        <v>44</v>
      </c>
      <c r="G863" s="4">
        <v>1</v>
      </c>
      <c r="I863" s="4">
        <v>8</v>
      </c>
      <c r="J863" s="4">
        <v>4</v>
      </c>
      <c r="N863" s="4">
        <v>0</v>
      </c>
      <c r="P863" s="4">
        <v>2</v>
      </c>
      <c r="R863" s="5" t="s">
        <v>1122</v>
      </c>
    </row>
    <row r="864" spans="1:18">
      <c r="A864" s="4">
        <v>610004</v>
      </c>
      <c r="B864" s="4">
        <v>413</v>
      </c>
      <c r="C864" s="4" t="s">
        <v>644</v>
      </c>
      <c r="D864" s="30" t="s">
        <v>651</v>
      </c>
      <c r="F864" s="4">
        <v>44</v>
      </c>
      <c r="G864" s="4">
        <v>1</v>
      </c>
      <c r="I864" s="4">
        <v>9</v>
      </c>
      <c r="J864" s="4">
        <v>4</v>
      </c>
      <c r="N864" s="4">
        <v>0</v>
      </c>
      <c r="P864" s="4">
        <v>2</v>
      </c>
      <c r="R864" t="s">
        <v>652</v>
      </c>
    </row>
    <row r="865" spans="1:18">
      <c r="A865" s="4">
        <v>610005</v>
      </c>
      <c r="B865" s="4">
        <v>416</v>
      </c>
      <c r="C865" s="4" t="s">
        <v>644</v>
      </c>
      <c r="D865" s="30" t="s">
        <v>1123</v>
      </c>
      <c r="F865" s="4">
        <v>44</v>
      </c>
      <c r="G865" s="4">
        <v>1</v>
      </c>
      <c r="I865" s="4">
        <v>10</v>
      </c>
      <c r="J865" s="4">
        <v>4</v>
      </c>
      <c r="N865" s="4">
        <v>0</v>
      </c>
      <c r="P865" s="4">
        <v>2</v>
      </c>
      <c r="R865" s="5" t="s">
        <v>1124</v>
      </c>
    </row>
    <row r="866" spans="1:18">
      <c r="A866" s="4">
        <v>620001</v>
      </c>
      <c r="B866" s="4">
        <v>411</v>
      </c>
      <c r="C866" s="4" t="s">
        <v>644</v>
      </c>
      <c r="D866" s="30" t="s">
        <v>1125</v>
      </c>
      <c r="F866" s="4">
        <v>44</v>
      </c>
      <c r="G866" s="4">
        <v>1</v>
      </c>
      <c r="I866" s="4">
        <v>401402</v>
      </c>
      <c r="J866" s="4">
        <v>4</v>
      </c>
      <c r="N866" s="4">
        <v>0</v>
      </c>
      <c r="P866" s="4">
        <v>2</v>
      </c>
      <c r="R866" s="5" t="s">
        <v>1126</v>
      </c>
    </row>
    <row r="867" spans="1:18">
      <c r="A867" s="4">
        <v>620002</v>
      </c>
      <c r="B867" s="4">
        <v>411</v>
      </c>
      <c r="C867" s="4" t="s">
        <v>644</v>
      </c>
      <c r="D867" s="30" t="s">
        <v>1127</v>
      </c>
      <c r="F867" s="4">
        <v>44</v>
      </c>
      <c r="G867" s="4">
        <v>1</v>
      </c>
      <c r="I867" s="4">
        <v>401403</v>
      </c>
      <c r="J867" s="4">
        <v>4</v>
      </c>
      <c r="N867" s="4">
        <v>0</v>
      </c>
      <c r="P867" s="4">
        <v>2</v>
      </c>
      <c r="R867" s="5" t="s">
        <v>1128</v>
      </c>
    </row>
    <row r="868" spans="1:18">
      <c r="A868" s="4">
        <v>620003</v>
      </c>
      <c r="B868" s="4">
        <v>411</v>
      </c>
      <c r="C868" s="4" t="s">
        <v>644</v>
      </c>
      <c r="D868" s="30" t="s">
        <v>1129</v>
      </c>
      <c r="F868" s="4">
        <v>44</v>
      </c>
      <c r="G868" s="4">
        <v>1</v>
      </c>
      <c r="I868" s="4">
        <v>401404</v>
      </c>
      <c r="J868" s="4">
        <v>4</v>
      </c>
      <c r="N868" s="4">
        <v>0</v>
      </c>
      <c r="P868" s="4">
        <v>2</v>
      </c>
      <c r="R868" s="5" t="s">
        <v>1130</v>
      </c>
    </row>
    <row r="869" spans="1:18">
      <c r="A869" s="4">
        <v>620004</v>
      </c>
      <c r="B869" s="4">
        <v>411</v>
      </c>
      <c r="C869" s="4" t="s">
        <v>644</v>
      </c>
      <c r="D869" s="30" t="s">
        <v>1131</v>
      </c>
      <c r="F869" s="4">
        <v>44</v>
      </c>
      <c r="G869" s="4">
        <v>1</v>
      </c>
      <c r="I869" s="4">
        <v>401405</v>
      </c>
      <c r="J869" s="4">
        <v>4</v>
      </c>
      <c r="N869" s="4">
        <v>0</v>
      </c>
      <c r="P869" s="4">
        <v>2</v>
      </c>
      <c r="R869" t="s">
        <v>1132</v>
      </c>
    </row>
    <row r="870" spans="1:18">
      <c r="A870" s="4">
        <v>620005</v>
      </c>
      <c r="B870" s="4">
        <v>411</v>
      </c>
      <c r="C870" s="4" t="s">
        <v>644</v>
      </c>
      <c r="D870" s="30" t="s">
        <v>1133</v>
      </c>
      <c r="F870" s="4">
        <v>44</v>
      </c>
      <c r="G870" s="4">
        <v>1</v>
      </c>
      <c r="I870" s="4">
        <v>401406</v>
      </c>
      <c r="J870" s="4">
        <v>4</v>
      </c>
      <c r="N870" s="4">
        <v>0</v>
      </c>
      <c r="P870" s="4">
        <v>2</v>
      </c>
      <c r="R870" s="5" t="s">
        <v>1134</v>
      </c>
    </row>
    <row r="871" spans="1:18">
      <c r="A871" s="4">
        <v>620101</v>
      </c>
      <c r="B871" s="4">
        <v>411</v>
      </c>
      <c r="C871" s="4" t="s">
        <v>644</v>
      </c>
      <c r="D871" s="30" t="s">
        <v>1135</v>
      </c>
      <c r="F871" s="4">
        <v>44</v>
      </c>
      <c r="G871" s="4">
        <v>1</v>
      </c>
      <c r="I871" s="4">
        <v>500802</v>
      </c>
      <c r="J871" s="4">
        <v>4</v>
      </c>
      <c r="N871" s="4">
        <v>0</v>
      </c>
      <c r="P871" s="4">
        <v>2</v>
      </c>
      <c r="R871" s="5" t="s">
        <v>1126</v>
      </c>
    </row>
    <row r="872" spans="1:18">
      <c r="A872" s="4">
        <v>620102</v>
      </c>
      <c r="B872" s="4">
        <v>411</v>
      </c>
      <c r="C872" s="4" t="s">
        <v>644</v>
      </c>
      <c r="D872" s="30" t="s">
        <v>1136</v>
      </c>
      <c r="F872" s="4">
        <v>44</v>
      </c>
      <c r="G872" s="4">
        <v>1</v>
      </c>
      <c r="I872" s="4">
        <v>500803</v>
      </c>
      <c r="J872" s="4">
        <v>4</v>
      </c>
      <c r="N872" s="4">
        <v>0</v>
      </c>
      <c r="P872" s="4">
        <v>2</v>
      </c>
      <c r="R872" s="5" t="s">
        <v>1128</v>
      </c>
    </row>
    <row r="873" spans="1:18">
      <c r="A873" s="4">
        <v>620103</v>
      </c>
      <c r="B873" s="4">
        <v>411</v>
      </c>
      <c r="C873" s="4" t="s">
        <v>644</v>
      </c>
      <c r="D873" s="30" t="s">
        <v>1137</v>
      </c>
      <c r="F873" s="4">
        <v>44</v>
      </c>
      <c r="G873" s="4">
        <v>1</v>
      </c>
      <c r="I873" s="4">
        <v>500804</v>
      </c>
      <c r="J873" s="4">
        <v>4</v>
      </c>
      <c r="N873" s="4">
        <v>0</v>
      </c>
      <c r="P873" s="4">
        <v>2</v>
      </c>
      <c r="R873" s="5" t="s">
        <v>1130</v>
      </c>
    </row>
    <row r="874" spans="1:18">
      <c r="A874" s="4">
        <v>620104</v>
      </c>
      <c r="B874" s="4">
        <v>411</v>
      </c>
      <c r="C874" s="4" t="s">
        <v>644</v>
      </c>
      <c r="D874" s="30" t="s">
        <v>1138</v>
      </c>
      <c r="F874" s="4">
        <v>44</v>
      </c>
      <c r="G874" s="4">
        <v>1</v>
      </c>
      <c r="I874" s="4">
        <v>500805</v>
      </c>
      <c r="J874" s="4">
        <v>4</v>
      </c>
      <c r="N874" s="4">
        <v>0</v>
      </c>
      <c r="P874" s="4">
        <v>2</v>
      </c>
      <c r="R874" t="s">
        <v>1132</v>
      </c>
    </row>
    <row r="875" spans="1:18">
      <c r="A875" s="4">
        <v>620105</v>
      </c>
      <c r="B875" s="4">
        <v>411</v>
      </c>
      <c r="C875" s="4" t="s">
        <v>644</v>
      </c>
      <c r="D875" s="30" t="s">
        <v>1139</v>
      </c>
      <c r="F875" s="4">
        <v>44</v>
      </c>
      <c r="G875" s="4">
        <v>1</v>
      </c>
      <c r="I875" s="4">
        <v>500806</v>
      </c>
      <c r="J875" s="4">
        <v>4</v>
      </c>
      <c r="N875" s="4">
        <v>0</v>
      </c>
      <c r="P875" s="4">
        <v>2</v>
      </c>
      <c r="R875" s="5" t="s">
        <v>1134</v>
      </c>
    </row>
    <row r="876" spans="1:18">
      <c r="A876" s="4">
        <v>620201</v>
      </c>
      <c r="B876" s="4">
        <v>411</v>
      </c>
      <c r="C876" s="4" t="s">
        <v>644</v>
      </c>
      <c r="D876" s="30" t="s">
        <v>1140</v>
      </c>
      <c r="F876" s="4">
        <v>44</v>
      </c>
      <c r="G876" s="4">
        <v>1</v>
      </c>
      <c r="I876" s="4">
        <v>401002</v>
      </c>
      <c r="J876" s="4">
        <v>4</v>
      </c>
      <c r="N876" s="4">
        <v>0</v>
      </c>
      <c r="P876" s="4">
        <v>2</v>
      </c>
      <c r="R876" s="5" t="s">
        <v>1126</v>
      </c>
    </row>
    <row r="877" spans="1:18">
      <c r="A877" s="4">
        <v>620202</v>
      </c>
      <c r="B877" s="4">
        <v>411</v>
      </c>
      <c r="C877" s="4" t="s">
        <v>644</v>
      </c>
      <c r="D877" s="30" t="s">
        <v>1141</v>
      </c>
      <c r="F877" s="4">
        <v>44</v>
      </c>
      <c r="G877" s="4">
        <v>1</v>
      </c>
      <c r="I877" s="4">
        <v>401003</v>
      </c>
      <c r="J877" s="4">
        <v>4</v>
      </c>
      <c r="N877" s="4">
        <v>0</v>
      </c>
      <c r="P877" s="4">
        <v>2</v>
      </c>
      <c r="R877" s="5" t="s">
        <v>1128</v>
      </c>
    </row>
    <row r="878" spans="1:18">
      <c r="A878" s="4">
        <v>620203</v>
      </c>
      <c r="B878" s="4">
        <v>411</v>
      </c>
      <c r="C878" s="4" t="s">
        <v>644</v>
      </c>
      <c r="D878" s="30" t="s">
        <v>1142</v>
      </c>
      <c r="F878" s="4">
        <v>44</v>
      </c>
      <c r="G878" s="4">
        <v>1</v>
      </c>
      <c r="I878" s="4">
        <v>401004</v>
      </c>
      <c r="J878" s="4">
        <v>4</v>
      </c>
      <c r="N878" s="4">
        <v>0</v>
      </c>
      <c r="P878" s="4">
        <v>2</v>
      </c>
      <c r="R878" s="5" t="s">
        <v>1130</v>
      </c>
    </row>
    <row r="879" spans="1:18">
      <c r="A879" s="4">
        <v>620204</v>
      </c>
      <c r="B879" s="4">
        <v>411</v>
      </c>
      <c r="C879" s="4" t="s">
        <v>644</v>
      </c>
      <c r="D879" s="30" t="s">
        <v>1143</v>
      </c>
      <c r="F879" s="4">
        <v>44</v>
      </c>
      <c r="G879" s="4">
        <v>1</v>
      </c>
      <c r="I879" s="4">
        <v>401005</v>
      </c>
      <c r="J879" s="4">
        <v>4</v>
      </c>
      <c r="N879" s="4">
        <v>0</v>
      </c>
      <c r="P879" s="4">
        <v>2</v>
      </c>
      <c r="R879" t="s">
        <v>1132</v>
      </c>
    </row>
    <row r="880" spans="1:18">
      <c r="A880" s="4">
        <v>620205</v>
      </c>
      <c r="B880" s="4">
        <v>411</v>
      </c>
      <c r="C880" s="4" t="s">
        <v>644</v>
      </c>
      <c r="D880" s="30" t="s">
        <v>1144</v>
      </c>
      <c r="F880" s="4">
        <v>44</v>
      </c>
      <c r="G880" s="4">
        <v>1</v>
      </c>
      <c r="I880" s="4">
        <v>401006</v>
      </c>
      <c r="J880" s="4">
        <v>4</v>
      </c>
      <c r="N880" s="4">
        <v>0</v>
      </c>
      <c r="P880" s="4">
        <v>2</v>
      </c>
      <c r="R880" s="5" t="s">
        <v>1134</v>
      </c>
    </row>
    <row r="881" spans="1:18">
      <c r="A881" s="4">
        <v>620301</v>
      </c>
      <c r="B881" s="4">
        <v>411</v>
      </c>
      <c r="C881" s="4" t="s">
        <v>644</v>
      </c>
      <c r="D881" s="30" t="s">
        <v>1145</v>
      </c>
      <c r="F881" s="4">
        <v>44</v>
      </c>
      <c r="G881" s="4">
        <v>1</v>
      </c>
      <c r="I881" s="4">
        <v>202402</v>
      </c>
      <c r="J881" s="4">
        <v>4</v>
      </c>
      <c r="N881" s="4">
        <v>0</v>
      </c>
      <c r="P881" s="4">
        <v>2</v>
      </c>
      <c r="R881" s="5" t="s">
        <v>1126</v>
      </c>
    </row>
    <row r="882" spans="1:18">
      <c r="A882" s="4">
        <v>620302</v>
      </c>
      <c r="B882" s="4">
        <v>411</v>
      </c>
      <c r="C882" s="4" t="s">
        <v>644</v>
      </c>
      <c r="D882" s="30" t="s">
        <v>1146</v>
      </c>
      <c r="F882" s="4">
        <v>44</v>
      </c>
      <c r="G882" s="4">
        <v>1</v>
      </c>
      <c r="I882" s="4">
        <v>202403</v>
      </c>
      <c r="J882" s="4">
        <v>4</v>
      </c>
      <c r="N882" s="4">
        <v>0</v>
      </c>
      <c r="P882" s="4">
        <v>2</v>
      </c>
      <c r="R882" s="5" t="s">
        <v>1147</v>
      </c>
    </row>
    <row r="883" spans="1:18">
      <c r="A883" s="4">
        <v>620303</v>
      </c>
      <c r="B883" s="4">
        <v>411</v>
      </c>
      <c r="C883" s="4" t="s">
        <v>644</v>
      </c>
      <c r="D883" s="30" t="s">
        <v>1148</v>
      </c>
      <c r="F883" s="4">
        <v>44</v>
      </c>
      <c r="G883" s="4">
        <v>1</v>
      </c>
      <c r="I883" s="4">
        <v>202404</v>
      </c>
      <c r="J883" s="4">
        <v>4</v>
      </c>
      <c r="N883" s="4">
        <v>0</v>
      </c>
      <c r="P883" s="4">
        <v>2</v>
      </c>
      <c r="R883" s="5" t="s">
        <v>1130</v>
      </c>
    </row>
    <row r="884" spans="1:18">
      <c r="A884" s="4">
        <v>620304</v>
      </c>
      <c r="B884" s="4">
        <v>411</v>
      </c>
      <c r="C884" s="4" t="s">
        <v>644</v>
      </c>
      <c r="D884" s="30" t="s">
        <v>1149</v>
      </c>
      <c r="F884" s="4">
        <v>44</v>
      </c>
      <c r="G884" s="4">
        <v>1</v>
      </c>
      <c r="I884" s="4">
        <v>202405</v>
      </c>
      <c r="J884" s="4">
        <v>4</v>
      </c>
      <c r="N884" s="4">
        <v>0</v>
      </c>
      <c r="P884" s="4">
        <v>2</v>
      </c>
      <c r="R884" t="s">
        <v>1132</v>
      </c>
    </row>
    <row r="885" spans="1:18">
      <c r="A885" s="4">
        <v>620305</v>
      </c>
      <c r="B885" s="4">
        <v>411</v>
      </c>
      <c r="C885" s="4" t="s">
        <v>644</v>
      </c>
      <c r="D885" s="30" t="s">
        <v>1150</v>
      </c>
      <c r="F885" s="4">
        <v>44</v>
      </c>
      <c r="G885" s="4">
        <v>1</v>
      </c>
      <c r="I885" s="4">
        <v>202406</v>
      </c>
      <c r="J885" s="4">
        <v>4</v>
      </c>
      <c r="N885" s="4">
        <v>0</v>
      </c>
      <c r="P885" s="4">
        <v>2</v>
      </c>
      <c r="R885" s="5" t="s">
        <v>1134</v>
      </c>
    </row>
    <row r="886" s="27" customFormat="1" spans="1:18">
      <c r="A886" s="17">
        <v>620401</v>
      </c>
      <c r="B886" s="17">
        <v>411</v>
      </c>
      <c r="C886" s="17" t="s">
        <v>644</v>
      </c>
      <c r="D886" s="59" t="s">
        <v>1151</v>
      </c>
      <c r="E886" s="17"/>
      <c r="F886" s="17">
        <v>44</v>
      </c>
      <c r="G886" s="17">
        <v>1</v>
      </c>
      <c r="H886" s="17"/>
      <c r="I886" s="17">
        <v>202302</v>
      </c>
      <c r="J886" s="17">
        <v>4</v>
      </c>
      <c r="N886" s="17">
        <v>0</v>
      </c>
      <c r="P886" s="17">
        <v>2</v>
      </c>
      <c r="R886" s="66" t="s">
        <v>1126</v>
      </c>
    </row>
    <row r="887" s="27" customFormat="1" spans="1:18">
      <c r="A887" s="17">
        <v>620402</v>
      </c>
      <c r="B887" s="17">
        <v>411</v>
      </c>
      <c r="C887" s="17" t="s">
        <v>644</v>
      </c>
      <c r="D887" s="59" t="s">
        <v>1152</v>
      </c>
      <c r="E887" s="17"/>
      <c r="F887" s="17">
        <v>44</v>
      </c>
      <c r="G887" s="17">
        <v>1</v>
      </c>
      <c r="H887" s="17"/>
      <c r="I887" s="17">
        <v>202303</v>
      </c>
      <c r="J887" s="17">
        <v>4</v>
      </c>
      <c r="N887" s="17">
        <v>0</v>
      </c>
      <c r="P887" s="17">
        <v>2</v>
      </c>
      <c r="R887" s="66" t="s">
        <v>1128</v>
      </c>
    </row>
    <row r="888" s="27" customFormat="1" spans="1:18">
      <c r="A888" s="17">
        <v>620403</v>
      </c>
      <c r="B888" s="17">
        <v>411</v>
      </c>
      <c r="C888" s="17" t="s">
        <v>644</v>
      </c>
      <c r="D888" s="59" t="s">
        <v>1153</v>
      </c>
      <c r="E888" s="17"/>
      <c r="F888" s="17">
        <v>44</v>
      </c>
      <c r="G888" s="17">
        <v>1</v>
      </c>
      <c r="H888" s="17"/>
      <c r="I888" s="17">
        <v>202304</v>
      </c>
      <c r="J888" s="17">
        <v>4</v>
      </c>
      <c r="N888" s="17">
        <v>0</v>
      </c>
      <c r="P888" s="17">
        <v>2</v>
      </c>
      <c r="R888" s="66" t="s">
        <v>1130</v>
      </c>
    </row>
    <row r="889" s="27" customFormat="1" spans="1:18">
      <c r="A889" s="17">
        <v>620404</v>
      </c>
      <c r="B889" s="17">
        <v>411</v>
      </c>
      <c r="C889" s="17" t="s">
        <v>644</v>
      </c>
      <c r="D889" s="59" t="s">
        <v>1154</v>
      </c>
      <c r="E889" s="17"/>
      <c r="F889" s="17">
        <v>44</v>
      </c>
      <c r="G889" s="17">
        <v>1</v>
      </c>
      <c r="H889" s="17"/>
      <c r="I889" s="17">
        <v>202305</v>
      </c>
      <c r="J889" s="17">
        <v>4</v>
      </c>
      <c r="N889" s="17">
        <v>0</v>
      </c>
      <c r="P889" s="17">
        <v>2</v>
      </c>
      <c r="R889" s="27" t="s">
        <v>1132</v>
      </c>
    </row>
    <row r="890" s="27" customFormat="1" spans="1:18">
      <c r="A890" s="17">
        <v>620405</v>
      </c>
      <c r="B890" s="17">
        <v>411</v>
      </c>
      <c r="C890" s="17" t="s">
        <v>644</v>
      </c>
      <c r="D890" s="59" t="s">
        <v>1155</v>
      </c>
      <c r="E890" s="17"/>
      <c r="F890" s="17">
        <v>44</v>
      </c>
      <c r="G890" s="17">
        <v>1</v>
      </c>
      <c r="H890" s="17"/>
      <c r="I890" s="17">
        <v>202306</v>
      </c>
      <c r="J890" s="17">
        <v>4</v>
      </c>
      <c r="N890" s="17">
        <v>0</v>
      </c>
      <c r="P890" s="17">
        <v>2</v>
      </c>
      <c r="R890" s="66" t="s">
        <v>1134</v>
      </c>
    </row>
    <row r="891" s="34" customFormat="1" spans="1:18">
      <c r="A891" s="74">
        <v>620501</v>
      </c>
      <c r="B891" s="74">
        <v>411</v>
      </c>
      <c r="C891" s="74" t="s">
        <v>644</v>
      </c>
      <c r="D891" s="75" t="s">
        <v>1156</v>
      </c>
      <c r="E891" s="74"/>
      <c r="F891" s="74">
        <v>44</v>
      </c>
      <c r="G891" s="74">
        <v>1</v>
      </c>
      <c r="H891" s="74"/>
      <c r="I891" s="74">
        <v>501302</v>
      </c>
      <c r="J891" s="74">
        <v>4</v>
      </c>
      <c r="N891" s="74">
        <v>0</v>
      </c>
      <c r="P891" s="74">
        <v>2</v>
      </c>
      <c r="R891" s="77" t="s">
        <v>1126</v>
      </c>
    </row>
    <row r="892" s="34" customFormat="1" spans="1:18">
      <c r="A892" s="74">
        <v>620502</v>
      </c>
      <c r="B892" s="74">
        <v>411</v>
      </c>
      <c r="C892" s="74" t="s">
        <v>644</v>
      </c>
      <c r="D892" s="75" t="s">
        <v>1157</v>
      </c>
      <c r="E892" s="74"/>
      <c r="F892" s="74">
        <v>44</v>
      </c>
      <c r="G892" s="74">
        <v>1</v>
      </c>
      <c r="H892" s="74"/>
      <c r="I892" s="74">
        <v>501303</v>
      </c>
      <c r="J892" s="74">
        <v>4</v>
      </c>
      <c r="N892" s="74">
        <v>0</v>
      </c>
      <c r="P892" s="74">
        <v>2</v>
      </c>
      <c r="R892" s="77" t="s">
        <v>1128</v>
      </c>
    </row>
    <row r="893" s="34" customFormat="1" spans="1:18">
      <c r="A893" s="74">
        <v>620503</v>
      </c>
      <c r="B893" s="74">
        <v>411</v>
      </c>
      <c r="C893" s="74" t="s">
        <v>644</v>
      </c>
      <c r="D893" s="75" t="s">
        <v>1158</v>
      </c>
      <c r="E893" s="74"/>
      <c r="F893" s="74">
        <v>44</v>
      </c>
      <c r="G893" s="74">
        <v>1</v>
      </c>
      <c r="H893" s="74"/>
      <c r="I893" s="74">
        <v>501304</v>
      </c>
      <c r="J893" s="74">
        <v>4</v>
      </c>
      <c r="N893" s="74">
        <v>0</v>
      </c>
      <c r="P893" s="74">
        <v>2</v>
      </c>
      <c r="R893" s="77" t="s">
        <v>1130</v>
      </c>
    </row>
    <row r="894" s="34" customFormat="1" spans="1:18">
      <c r="A894" s="74">
        <v>620504</v>
      </c>
      <c r="B894" s="74">
        <v>411</v>
      </c>
      <c r="C894" s="74" t="s">
        <v>644</v>
      </c>
      <c r="D894" s="75" t="s">
        <v>1159</v>
      </c>
      <c r="E894" s="74"/>
      <c r="F894" s="74">
        <v>44</v>
      </c>
      <c r="G894" s="74">
        <v>1</v>
      </c>
      <c r="H894" s="74"/>
      <c r="I894" s="74">
        <v>501305</v>
      </c>
      <c r="J894" s="74">
        <v>4</v>
      </c>
      <c r="N894" s="74">
        <v>0</v>
      </c>
      <c r="P894" s="74">
        <v>2</v>
      </c>
      <c r="R894" s="34" t="s">
        <v>1132</v>
      </c>
    </row>
    <row r="895" s="34" customFormat="1" spans="1:18">
      <c r="A895" s="74">
        <v>620505</v>
      </c>
      <c r="B895" s="74">
        <v>411</v>
      </c>
      <c r="C895" s="74" t="s">
        <v>644</v>
      </c>
      <c r="D895" s="75" t="s">
        <v>1160</v>
      </c>
      <c r="E895" s="74"/>
      <c r="F895" s="74">
        <v>44</v>
      </c>
      <c r="G895" s="74">
        <v>1</v>
      </c>
      <c r="H895" s="74"/>
      <c r="I895" s="74">
        <v>501306</v>
      </c>
      <c r="J895" s="74">
        <v>4</v>
      </c>
      <c r="N895" s="74">
        <v>0</v>
      </c>
      <c r="P895" s="74">
        <v>2</v>
      </c>
      <c r="R895" s="34" t="s">
        <v>1161</v>
      </c>
    </row>
    <row r="896" s="32" customFormat="1" spans="1:18">
      <c r="A896" s="68">
        <v>620601</v>
      </c>
      <c r="B896" s="68">
        <v>411</v>
      </c>
      <c r="C896" s="68" t="s">
        <v>644</v>
      </c>
      <c r="D896" s="37" t="s">
        <v>1162</v>
      </c>
      <c r="E896" s="68"/>
      <c r="F896" s="68">
        <v>44</v>
      </c>
      <c r="G896" s="68">
        <v>1</v>
      </c>
      <c r="H896" s="68"/>
      <c r="I896" s="68">
        <v>102302</v>
      </c>
      <c r="J896" s="68">
        <v>4</v>
      </c>
      <c r="N896" s="68">
        <v>0</v>
      </c>
      <c r="P896" s="68">
        <v>2</v>
      </c>
      <c r="R896" s="32" t="s">
        <v>1163</v>
      </c>
    </row>
    <row r="897" s="32" customFormat="1" spans="1:18">
      <c r="A897" s="68">
        <v>620602</v>
      </c>
      <c r="B897" s="68">
        <v>411</v>
      </c>
      <c r="C897" s="68" t="s">
        <v>644</v>
      </c>
      <c r="D897" s="37" t="s">
        <v>1164</v>
      </c>
      <c r="E897" s="68"/>
      <c r="F897" s="68">
        <v>44</v>
      </c>
      <c r="G897" s="68">
        <v>1</v>
      </c>
      <c r="H897" s="68"/>
      <c r="I897" s="68">
        <v>102303</v>
      </c>
      <c r="J897" s="68">
        <v>4</v>
      </c>
      <c r="N897" s="68">
        <v>0</v>
      </c>
      <c r="P897" s="68">
        <v>2</v>
      </c>
      <c r="R897" s="32" t="s">
        <v>1165</v>
      </c>
    </row>
    <row r="898" s="32" customFormat="1" spans="1:18">
      <c r="A898" s="68">
        <v>620603</v>
      </c>
      <c r="B898" s="68">
        <v>411</v>
      </c>
      <c r="C898" s="68" t="s">
        <v>644</v>
      </c>
      <c r="D898" s="37" t="s">
        <v>1166</v>
      </c>
      <c r="E898" s="68"/>
      <c r="F898" s="68">
        <v>44</v>
      </c>
      <c r="G898" s="68">
        <v>1</v>
      </c>
      <c r="H898" s="68"/>
      <c r="I898" s="68">
        <v>102304</v>
      </c>
      <c r="J898" s="68">
        <v>4</v>
      </c>
      <c r="N898" s="68">
        <v>0</v>
      </c>
      <c r="P898" s="68">
        <v>2</v>
      </c>
      <c r="R898" s="32" t="s">
        <v>1167</v>
      </c>
    </row>
    <row r="899" s="32" customFormat="1" spans="1:18">
      <c r="A899" s="68">
        <v>620604</v>
      </c>
      <c r="B899" s="68">
        <v>411</v>
      </c>
      <c r="C899" s="68" t="s">
        <v>644</v>
      </c>
      <c r="D899" s="37" t="s">
        <v>1168</v>
      </c>
      <c r="E899" s="68"/>
      <c r="F899" s="68">
        <v>44</v>
      </c>
      <c r="G899" s="68">
        <v>1</v>
      </c>
      <c r="H899" s="68"/>
      <c r="I899" s="68">
        <v>102305</v>
      </c>
      <c r="J899" s="68">
        <v>4</v>
      </c>
      <c r="N899" s="68">
        <v>0</v>
      </c>
      <c r="P899" s="68">
        <v>2</v>
      </c>
      <c r="R899" s="32" t="s">
        <v>1132</v>
      </c>
    </row>
    <row r="900" s="32" customFormat="1" spans="1:18">
      <c r="A900" s="68">
        <v>620605</v>
      </c>
      <c r="B900" s="68">
        <v>411</v>
      </c>
      <c r="C900" s="68" t="s">
        <v>644</v>
      </c>
      <c r="D900" s="37" t="s">
        <v>1169</v>
      </c>
      <c r="E900" s="68"/>
      <c r="F900" s="68">
        <v>44</v>
      </c>
      <c r="G900" s="68">
        <v>1</v>
      </c>
      <c r="H900" s="68"/>
      <c r="I900" s="68">
        <v>102306</v>
      </c>
      <c r="J900" s="68">
        <v>4</v>
      </c>
      <c r="N900" s="68">
        <v>0</v>
      </c>
      <c r="P900" s="68">
        <v>2</v>
      </c>
      <c r="R900" s="32" t="s">
        <v>1161</v>
      </c>
    </row>
    <row r="901" s="27" customFormat="1" spans="1:18">
      <c r="A901" s="17">
        <v>620701</v>
      </c>
      <c r="B901" s="17">
        <v>411</v>
      </c>
      <c r="C901" s="17" t="s">
        <v>644</v>
      </c>
      <c r="D901" s="59" t="s">
        <v>1170</v>
      </c>
      <c r="E901" s="17"/>
      <c r="F901" s="17">
        <v>44</v>
      </c>
      <c r="G901" s="17">
        <v>1</v>
      </c>
      <c r="H901" s="17"/>
      <c r="I901" s="17">
        <v>501402</v>
      </c>
      <c r="J901" s="17">
        <v>4</v>
      </c>
      <c r="N901" s="17">
        <v>0</v>
      </c>
      <c r="P901" s="17">
        <v>2</v>
      </c>
      <c r="R901" s="27" t="s">
        <v>1163</v>
      </c>
    </row>
    <row r="902" s="27" customFormat="1" spans="1:18">
      <c r="A902" s="17">
        <v>620702</v>
      </c>
      <c r="B902" s="17">
        <v>411</v>
      </c>
      <c r="C902" s="17" t="s">
        <v>644</v>
      </c>
      <c r="D902" s="59" t="s">
        <v>1171</v>
      </c>
      <c r="E902" s="17"/>
      <c r="F902" s="17">
        <v>44</v>
      </c>
      <c r="G902" s="17">
        <v>1</v>
      </c>
      <c r="H902" s="17"/>
      <c r="I902" s="17">
        <v>501403</v>
      </c>
      <c r="J902" s="17">
        <v>4</v>
      </c>
      <c r="N902" s="17">
        <v>0</v>
      </c>
      <c r="P902" s="17">
        <v>2</v>
      </c>
      <c r="R902" s="27" t="s">
        <v>1165</v>
      </c>
    </row>
    <row r="903" s="27" customFormat="1" spans="1:18">
      <c r="A903" s="17">
        <v>620703</v>
      </c>
      <c r="B903" s="17">
        <v>411</v>
      </c>
      <c r="C903" s="17" t="s">
        <v>644</v>
      </c>
      <c r="D903" s="59" t="s">
        <v>1172</v>
      </c>
      <c r="E903" s="17"/>
      <c r="F903" s="17">
        <v>44</v>
      </c>
      <c r="G903" s="17">
        <v>1</v>
      </c>
      <c r="H903" s="17"/>
      <c r="I903" s="17">
        <v>501404</v>
      </c>
      <c r="J903" s="17">
        <v>4</v>
      </c>
      <c r="N903" s="17">
        <v>0</v>
      </c>
      <c r="P903" s="17">
        <v>2</v>
      </c>
      <c r="R903" s="27" t="s">
        <v>1167</v>
      </c>
    </row>
    <row r="904" s="27" customFormat="1" spans="1:18">
      <c r="A904" s="17">
        <v>620704</v>
      </c>
      <c r="B904" s="17">
        <v>411</v>
      </c>
      <c r="C904" s="17" t="s">
        <v>644</v>
      </c>
      <c r="D904" s="59" t="s">
        <v>1173</v>
      </c>
      <c r="E904" s="17"/>
      <c r="F904" s="17">
        <v>44</v>
      </c>
      <c r="G904" s="17">
        <v>1</v>
      </c>
      <c r="H904" s="17"/>
      <c r="I904" s="17">
        <v>501405</v>
      </c>
      <c r="J904" s="17">
        <v>4</v>
      </c>
      <c r="N904" s="17">
        <v>0</v>
      </c>
      <c r="P904" s="17">
        <v>2</v>
      </c>
      <c r="R904" s="27" t="s">
        <v>1132</v>
      </c>
    </row>
    <row r="905" s="27" customFormat="1" spans="1:18">
      <c r="A905" s="17">
        <v>620705</v>
      </c>
      <c r="B905" s="17">
        <v>411</v>
      </c>
      <c r="C905" s="17" t="s">
        <v>644</v>
      </c>
      <c r="D905" s="59" t="s">
        <v>1174</v>
      </c>
      <c r="E905" s="17"/>
      <c r="F905" s="17">
        <v>44</v>
      </c>
      <c r="G905" s="17">
        <v>1</v>
      </c>
      <c r="H905" s="17"/>
      <c r="I905" s="17">
        <v>501406</v>
      </c>
      <c r="J905" s="17">
        <v>4</v>
      </c>
      <c r="N905" s="17">
        <v>0</v>
      </c>
      <c r="P905" s="17">
        <v>2</v>
      </c>
      <c r="R905" s="27" t="s">
        <v>1161</v>
      </c>
    </row>
    <row r="906" s="34" customFormat="1" spans="1:18">
      <c r="A906" s="74">
        <v>620801</v>
      </c>
      <c r="B906" s="74">
        <v>411</v>
      </c>
      <c r="C906" s="74" t="s">
        <v>644</v>
      </c>
      <c r="D906" s="75" t="s">
        <v>1175</v>
      </c>
      <c r="E906" s="74"/>
      <c r="F906" s="74">
        <v>44</v>
      </c>
      <c r="G906" s="74">
        <v>1</v>
      </c>
      <c r="H906" s="74"/>
      <c r="I906" s="74">
        <v>302302</v>
      </c>
      <c r="J906" s="74">
        <v>4</v>
      </c>
      <c r="N906" s="74">
        <v>0</v>
      </c>
      <c r="P906" s="74">
        <v>2</v>
      </c>
      <c r="R906" s="34" t="s">
        <v>1163</v>
      </c>
    </row>
    <row r="907" s="34" customFormat="1" spans="1:18">
      <c r="A907" s="74">
        <v>620802</v>
      </c>
      <c r="B907" s="74">
        <v>411</v>
      </c>
      <c r="C907" s="74" t="s">
        <v>644</v>
      </c>
      <c r="D907" s="75" t="s">
        <v>1176</v>
      </c>
      <c r="E907" s="74"/>
      <c r="F907" s="74">
        <v>44</v>
      </c>
      <c r="G907" s="74">
        <v>1</v>
      </c>
      <c r="H907" s="74"/>
      <c r="I907" s="74">
        <v>302303</v>
      </c>
      <c r="J907" s="74">
        <v>4</v>
      </c>
      <c r="N907" s="74">
        <v>0</v>
      </c>
      <c r="P907" s="74">
        <v>2</v>
      </c>
      <c r="R907" s="34" t="s">
        <v>1165</v>
      </c>
    </row>
    <row r="908" s="34" customFormat="1" spans="1:18">
      <c r="A908" s="74">
        <v>620803</v>
      </c>
      <c r="B908" s="74">
        <v>411</v>
      </c>
      <c r="C908" s="74" t="s">
        <v>644</v>
      </c>
      <c r="D908" s="75" t="s">
        <v>1177</v>
      </c>
      <c r="E908" s="74"/>
      <c r="F908" s="74">
        <v>44</v>
      </c>
      <c r="G908" s="74">
        <v>1</v>
      </c>
      <c r="H908" s="74"/>
      <c r="I908" s="74">
        <v>302304</v>
      </c>
      <c r="J908" s="74">
        <v>4</v>
      </c>
      <c r="N908" s="74">
        <v>0</v>
      </c>
      <c r="P908" s="74">
        <v>2</v>
      </c>
      <c r="R908" s="34" t="s">
        <v>1167</v>
      </c>
    </row>
    <row r="909" s="34" customFormat="1" spans="1:18">
      <c r="A909" s="74">
        <v>620804</v>
      </c>
      <c r="B909" s="74">
        <v>411</v>
      </c>
      <c r="C909" s="74" t="s">
        <v>644</v>
      </c>
      <c r="D909" s="75" t="s">
        <v>1178</v>
      </c>
      <c r="E909" s="74"/>
      <c r="F909" s="74">
        <v>44</v>
      </c>
      <c r="G909" s="74">
        <v>1</v>
      </c>
      <c r="H909" s="74"/>
      <c r="I909" s="74">
        <v>302305</v>
      </c>
      <c r="J909" s="74">
        <v>4</v>
      </c>
      <c r="N909" s="74">
        <v>0</v>
      </c>
      <c r="P909" s="74">
        <v>2</v>
      </c>
      <c r="R909" s="34" t="s">
        <v>1132</v>
      </c>
    </row>
    <row r="910" s="34" customFormat="1" spans="1:18">
      <c r="A910" s="74">
        <v>620805</v>
      </c>
      <c r="B910" s="74">
        <v>411</v>
      </c>
      <c r="C910" s="74" t="s">
        <v>644</v>
      </c>
      <c r="D910" s="75" t="s">
        <v>1179</v>
      </c>
      <c r="E910" s="74"/>
      <c r="F910" s="74">
        <v>44</v>
      </c>
      <c r="G910" s="74">
        <v>1</v>
      </c>
      <c r="H910" s="74"/>
      <c r="I910" s="74">
        <v>302306</v>
      </c>
      <c r="J910" s="74">
        <v>4</v>
      </c>
      <c r="N910" s="74">
        <v>0</v>
      </c>
      <c r="P910" s="74">
        <v>2</v>
      </c>
      <c r="R910" s="34" t="s">
        <v>1161</v>
      </c>
    </row>
    <row r="911" s="27" customFormat="1" spans="1:18">
      <c r="A911" s="17">
        <v>620901</v>
      </c>
      <c r="B911" s="17">
        <v>411</v>
      </c>
      <c r="C911" s="17" t="s">
        <v>644</v>
      </c>
      <c r="D911" s="59" t="s">
        <v>1180</v>
      </c>
      <c r="E911" s="17"/>
      <c r="F911" s="17">
        <v>44</v>
      </c>
      <c r="G911" s="17">
        <v>1</v>
      </c>
      <c r="H911" s="17"/>
      <c r="I911" s="17">
        <v>501502</v>
      </c>
      <c r="J911" s="17">
        <v>4</v>
      </c>
      <c r="N911" s="17">
        <v>0</v>
      </c>
      <c r="P911" s="17">
        <v>2</v>
      </c>
      <c r="R911" s="27" t="s">
        <v>1163</v>
      </c>
    </row>
    <row r="912" s="27" customFormat="1" spans="1:18">
      <c r="A912" s="17">
        <v>620902</v>
      </c>
      <c r="B912" s="17">
        <v>411</v>
      </c>
      <c r="C912" s="17" t="s">
        <v>644</v>
      </c>
      <c r="D912" s="59" t="s">
        <v>1181</v>
      </c>
      <c r="E912" s="17"/>
      <c r="F912" s="17">
        <v>44</v>
      </c>
      <c r="G912" s="17">
        <v>1</v>
      </c>
      <c r="H912" s="17"/>
      <c r="I912" s="17">
        <v>501503</v>
      </c>
      <c r="J912" s="17">
        <v>4</v>
      </c>
      <c r="N912" s="17">
        <v>0</v>
      </c>
      <c r="P912" s="17">
        <v>2</v>
      </c>
      <c r="R912" s="27" t="s">
        <v>1165</v>
      </c>
    </row>
    <row r="913" s="27" customFormat="1" spans="1:18">
      <c r="A913" s="17">
        <v>620903</v>
      </c>
      <c r="B913" s="17">
        <v>411</v>
      </c>
      <c r="C913" s="17" t="s">
        <v>644</v>
      </c>
      <c r="D913" s="59" t="s">
        <v>1182</v>
      </c>
      <c r="E913" s="17"/>
      <c r="F913" s="17">
        <v>44</v>
      </c>
      <c r="G913" s="17">
        <v>1</v>
      </c>
      <c r="H913" s="17"/>
      <c r="I913" s="17">
        <v>501504</v>
      </c>
      <c r="J913" s="17">
        <v>4</v>
      </c>
      <c r="N913" s="17">
        <v>0</v>
      </c>
      <c r="P913" s="17">
        <v>2</v>
      </c>
      <c r="R913" s="27" t="s">
        <v>1167</v>
      </c>
    </row>
    <row r="914" s="27" customFormat="1" spans="1:18">
      <c r="A914" s="17">
        <v>620904</v>
      </c>
      <c r="B914" s="17">
        <v>411</v>
      </c>
      <c r="C914" s="17" t="s">
        <v>644</v>
      </c>
      <c r="D914" s="59" t="s">
        <v>1183</v>
      </c>
      <c r="E914" s="17"/>
      <c r="F914" s="17">
        <v>44</v>
      </c>
      <c r="G914" s="17">
        <v>1</v>
      </c>
      <c r="H914" s="17"/>
      <c r="I914" s="17">
        <v>501505</v>
      </c>
      <c r="J914" s="17">
        <v>4</v>
      </c>
      <c r="N914" s="17">
        <v>0</v>
      </c>
      <c r="P914" s="17">
        <v>2</v>
      </c>
      <c r="R914" s="27" t="s">
        <v>1132</v>
      </c>
    </row>
    <row r="915" s="27" customFormat="1" spans="1:18">
      <c r="A915" s="17">
        <v>620905</v>
      </c>
      <c r="B915" s="17">
        <v>411</v>
      </c>
      <c r="C915" s="17" t="s">
        <v>644</v>
      </c>
      <c r="D915" s="59" t="s">
        <v>1184</v>
      </c>
      <c r="E915" s="17"/>
      <c r="F915" s="17">
        <v>44</v>
      </c>
      <c r="G915" s="17">
        <v>1</v>
      </c>
      <c r="H915" s="17"/>
      <c r="I915" s="17">
        <v>501506</v>
      </c>
      <c r="J915" s="17">
        <v>4</v>
      </c>
      <c r="N915" s="17">
        <v>0</v>
      </c>
      <c r="P915" s="17">
        <v>2</v>
      </c>
      <c r="R915" s="27" t="s">
        <v>1161</v>
      </c>
    </row>
    <row r="916" s="32" customFormat="1" spans="1:18">
      <c r="A916" s="68">
        <v>621001</v>
      </c>
      <c r="B916" s="68">
        <v>411</v>
      </c>
      <c r="C916" s="68" t="s">
        <v>644</v>
      </c>
      <c r="D916" s="37" t="s">
        <v>1185</v>
      </c>
      <c r="E916" s="68"/>
      <c r="F916" s="68">
        <v>44</v>
      </c>
      <c r="G916" s="68">
        <v>1</v>
      </c>
      <c r="H916" s="68"/>
      <c r="I916" s="68">
        <v>501602</v>
      </c>
      <c r="J916" s="68">
        <v>4</v>
      </c>
      <c r="N916" s="68">
        <v>0</v>
      </c>
      <c r="P916" s="68">
        <v>2</v>
      </c>
      <c r="R916" s="32" t="s">
        <v>1163</v>
      </c>
    </row>
    <row r="917" s="32" customFormat="1" spans="1:18">
      <c r="A917" s="68">
        <v>621002</v>
      </c>
      <c r="B917" s="68">
        <v>411</v>
      </c>
      <c r="C917" s="68" t="s">
        <v>644</v>
      </c>
      <c r="D917" s="37" t="s">
        <v>1186</v>
      </c>
      <c r="E917" s="68"/>
      <c r="F917" s="68">
        <v>44</v>
      </c>
      <c r="G917" s="68">
        <v>1</v>
      </c>
      <c r="H917" s="68"/>
      <c r="I917" s="68">
        <v>501603</v>
      </c>
      <c r="J917" s="68">
        <v>4</v>
      </c>
      <c r="N917" s="68">
        <v>0</v>
      </c>
      <c r="P917" s="68">
        <v>2</v>
      </c>
      <c r="R917" s="32" t="s">
        <v>1165</v>
      </c>
    </row>
    <row r="918" s="32" customFormat="1" spans="1:18">
      <c r="A918" s="68">
        <v>621003</v>
      </c>
      <c r="B918" s="68">
        <v>411</v>
      </c>
      <c r="C918" s="68" t="s">
        <v>644</v>
      </c>
      <c r="D918" s="37" t="s">
        <v>1187</v>
      </c>
      <c r="E918" s="68"/>
      <c r="F918" s="68">
        <v>44</v>
      </c>
      <c r="G918" s="68">
        <v>1</v>
      </c>
      <c r="H918" s="68"/>
      <c r="I918" s="68">
        <v>501604</v>
      </c>
      <c r="J918" s="68">
        <v>4</v>
      </c>
      <c r="N918" s="68">
        <v>0</v>
      </c>
      <c r="P918" s="68">
        <v>2</v>
      </c>
      <c r="R918" s="32" t="s">
        <v>1167</v>
      </c>
    </row>
    <row r="919" s="32" customFormat="1" spans="1:18">
      <c r="A919" s="68">
        <v>621004</v>
      </c>
      <c r="B919" s="68">
        <v>411</v>
      </c>
      <c r="C919" s="68" t="s">
        <v>644</v>
      </c>
      <c r="D919" s="37" t="s">
        <v>1188</v>
      </c>
      <c r="E919" s="68"/>
      <c r="F919" s="68">
        <v>44</v>
      </c>
      <c r="G919" s="68">
        <v>1</v>
      </c>
      <c r="H919" s="68"/>
      <c r="I919" s="68">
        <v>501605</v>
      </c>
      <c r="J919" s="68">
        <v>4</v>
      </c>
      <c r="N919" s="68">
        <v>0</v>
      </c>
      <c r="P919" s="68">
        <v>2</v>
      </c>
      <c r="R919" s="32" t="s">
        <v>1132</v>
      </c>
    </row>
    <row r="920" s="32" customFormat="1" spans="1:18">
      <c r="A920" s="68">
        <v>621005</v>
      </c>
      <c r="B920" s="68">
        <v>411</v>
      </c>
      <c r="C920" s="68" t="s">
        <v>644</v>
      </c>
      <c r="D920" s="37" t="s">
        <v>1189</v>
      </c>
      <c r="E920" s="68"/>
      <c r="F920" s="68">
        <v>44</v>
      </c>
      <c r="G920" s="68">
        <v>1</v>
      </c>
      <c r="H920" s="68"/>
      <c r="I920" s="68">
        <v>501606</v>
      </c>
      <c r="J920" s="68">
        <v>4</v>
      </c>
      <c r="N920" s="68">
        <v>0</v>
      </c>
      <c r="P920" s="68">
        <v>2</v>
      </c>
      <c r="R920" s="32" t="s">
        <v>1161</v>
      </c>
    </row>
    <row r="921" s="27" customFormat="1" spans="1:18">
      <c r="A921" s="17">
        <v>621101</v>
      </c>
      <c r="B921" s="17">
        <v>411</v>
      </c>
      <c r="C921" s="17" t="s">
        <v>644</v>
      </c>
      <c r="D921" s="59" t="s">
        <v>1190</v>
      </c>
      <c r="E921" s="17"/>
      <c r="F921" s="17">
        <v>44</v>
      </c>
      <c r="G921" s="17">
        <v>1</v>
      </c>
      <c r="H921" s="17"/>
      <c r="I921" s="17">
        <v>401502</v>
      </c>
      <c r="J921" s="17">
        <v>4</v>
      </c>
      <c r="N921" s="17">
        <v>0</v>
      </c>
      <c r="P921" s="17">
        <v>2</v>
      </c>
      <c r="R921" s="27" t="s">
        <v>1163</v>
      </c>
    </row>
    <row r="922" s="27" customFormat="1" spans="1:18">
      <c r="A922" s="17">
        <v>621102</v>
      </c>
      <c r="B922" s="17">
        <v>411</v>
      </c>
      <c r="C922" s="17" t="s">
        <v>644</v>
      </c>
      <c r="D922" s="59" t="s">
        <v>1191</v>
      </c>
      <c r="E922" s="17"/>
      <c r="F922" s="17">
        <v>44</v>
      </c>
      <c r="G922" s="17">
        <v>1</v>
      </c>
      <c r="H922" s="17"/>
      <c r="I922" s="17">
        <v>401503</v>
      </c>
      <c r="J922" s="17">
        <v>4</v>
      </c>
      <c r="N922" s="17">
        <v>0</v>
      </c>
      <c r="P922" s="17">
        <v>2</v>
      </c>
      <c r="R922" s="27" t="s">
        <v>1165</v>
      </c>
    </row>
    <row r="923" s="27" customFormat="1" spans="1:18">
      <c r="A923" s="17">
        <v>621103</v>
      </c>
      <c r="B923" s="17">
        <v>411</v>
      </c>
      <c r="C923" s="17" t="s">
        <v>644</v>
      </c>
      <c r="D923" s="59" t="s">
        <v>1192</v>
      </c>
      <c r="E923" s="17"/>
      <c r="F923" s="17">
        <v>44</v>
      </c>
      <c r="G923" s="17">
        <v>1</v>
      </c>
      <c r="H923" s="17"/>
      <c r="I923" s="17">
        <v>401504</v>
      </c>
      <c r="J923" s="17">
        <v>4</v>
      </c>
      <c r="N923" s="17">
        <v>0</v>
      </c>
      <c r="P923" s="17">
        <v>2</v>
      </c>
      <c r="R923" s="27" t="s">
        <v>1167</v>
      </c>
    </row>
    <row r="924" s="27" customFormat="1" spans="1:18">
      <c r="A924" s="17">
        <v>621104</v>
      </c>
      <c r="B924" s="17">
        <v>411</v>
      </c>
      <c r="C924" s="17" t="s">
        <v>644</v>
      </c>
      <c r="D924" s="59" t="s">
        <v>1193</v>
      </c>
      <c r="E924" s="17"/>
      <c r="F924" s="17">
        <v>44</v>
      </c>
      <c r="G924" s="17">
        <v>1</v>
      </c>
      <c r="H924" s="17"/>
      <c r="I924" s="17">
        <v>401505</v>
      </c>
      <c r="J924" s="17">
        <v>4</v>
      </c>
      <c r="N924" s="17">
        <v>0</v>
      </c>
      <c r="P924" s="17">
        <v>2</v>
      </c>
      <c r="R924" s="27" t="s">
        <v>1132</v>
      </c>
    </row>
    <row r="925" s="27" customFormat="1" spans="1:18">
      <c r="A925" s="17">
        <v>621105</v>
      </c>
      <c r="B925" s="17">
        <v>411</v>
      </c>
      <c r="C925" s="17" t="s">
        <v>644</v>
      </c>
      <c r="D925" s="59" t="s">
        <v>1194</v>
      </c>
      <c r="E925" s="17"/>
      <c r="F925" s="17">
        <v>44</v>
      </c>
      <c r="G925" s="17">
        <v>1</v>
      </c>
      <c r="H925" s="17"/>
      <c r="I925" s="17">
        <v>401506</v>
      </c>
      <c r="J925" s="17">
        <v>4</v>
      </c>
      <c r="N925" s="17">
        <v>0</v>
      </c>
      <c r="P925" s="17">
        <v>2</v>
      </c>
      <c r="R925" s="27" t="s">
        <v>1161</v>
      </c>
    </row>
    <row r="926" s="34" customFormat="1" spans="1:18">
      <c r="A926" s="74">
        <v>621201</v>
      </c>
      <c r="B926" s="74">
        <v>411</v>
      </c>
      <c r="C926" s="74" t="s">
        <v>644</v>
      </c>
      <c r="D926" s="75" t="s">
        <v>1195</v>
      </c>
      <c r="E926" s="74"/>
      <c r="F926" s="74">
        <v>44</v>
      </c>
      <c r="G926" s="74">
        <v>1</v>
      </c>
      <c r="H926" s="74"/>
      <c r="I926" s="74">
        <v>401602</v>
      </c>
      <c r="J926" s="74">
        <v>4</v>
      </c>
      <c r="N926" s="74">
        <v>0</v>
      </c>
      <c r="P926" s="74">
        <v>2</v>
      </c>
      <c r="R926" s="34" t="s">
        <v>1163</v>
      </c>
    </row>
    <row r="927" s="34" customFormat="1" spans="1:18">
      <c r="A927" s="74">
        <v>621202</v>
      </c>
      <c r="B927" s="74">
        <v>411</v>
      </c>
      <c r="C927" s="74" t="s">
        <v>644</v>
      </c>
      <c r="D927" s="75" t="s">
        <v>1196</v>
      </c>
      <c r="E927" s="74"/>
      <c r="F927" s="74">
        <v>44</v>
      </c>
      <c r="G927" s="74">
        <v>1</v>
      </c>
      <c r="H927" s="74"/>
      <c r="I927" s="74">
        <v>401603</v>
      </c>
      <c r="J927" s="74">
        <v>4</v>
      </c>
      <c r="N927" s="74">
        <v>0</v>
      </c>
      <c r="P927" s="74">
        <v>2</v>
      </c>
      <c r="R927" s="34" t="s">
        <v>1165</v>
      </c>
    </row>
    <row r="928" s="34" customFormat="1" spans="1:18">
      <c r="A928" s="74">
        <v>621203</v>
      </c>
      <c r="B928" s="74">
        <v>411</v>
      </c>
      <c r="C928" s="74" t="s">
        <v>644</v>
      </c>
      <c r="D928" s="75" t="s">
        <v>1197</v>
      </c>
      <c r="E928" s="74"/>
      <c r="F928" s="74">
        <v>44</v>
      </c>
      <c r="G928" s="74">
        <v>1</v>
      </c>
      <c r="H928" s="74"/>
      <c r="I928" s="74">
        <v>401604</v>
      </c>
      <c r="J928" s="74">
        <v>4</v>
      </c>
      <c r="N928" s="74">
        <v>0</v>
      </c>
      <c r="P928" s="74">
        <v>2</v>
      </c>
      <c r="R928" s="34" t="s">
        <v>1167</v>
      </c>
    </row>
    <row r="929" s="34" customFormat="1" spans="1:18">
      <c r="A929" s="74">
        <v>621204</v>
      </c>
      <c r="B929" s="74">
        <v>411</v>
      </c>
      <c r="C929" s="74" t="s">
        <v>644</v>
      </c>
      <c r="D929" s="75" t="s">
        <v>1198</v>
      </c>
      <c r="E929" s="74"/>
      <c r="F929" s="74">
        <v>44</v>
      </c>
      <c r="G929" s="74">
        <v>1</v>
      </c>
      <c r="H929" s="74"/>
      <c r="I929" s="74">
        <v>401605</v>
      </c>
      <c r="J929" s="74">
        <v>4</v>
      </c>
      <c r="N929" s="74">
        <v>0</v>
      </c>
      <c r="P929" s="74">
        <v>2</v>
      </c>
      <c r="R929" s="34" t="s">
        <v>1132</v>
      </c>
    </row>
    <row r="930" s="34" customFormat="1" spans="1:18">
      <c r="A930" s="74">
        <v>621205</v>
      </c>
      <c r="B930" s="74">
        <v>411</v>
      </c>
      <c r="C930" s="74" t="s">
        <v>644</v>
      </c>
      <c r="D930" s="75" t="s">
        <v>1199</v>
      </c>
      <c r="E930" s="74"/>
      <c r="F930" s="74">
        <v>44</v>
      </c>
      <c r="G930" s="74">
        <v>1</v>
      </c>
      <c r="H930" s="74"/>
      <c r="I930" s="74">
        <v>401606</v>
      </c>
      <c r="J930" s="74">
        <v>4</v>
      </c>
      <c r="N930" s="74">
        <v>0</v>
      </c>
      <c r="P930" s="74">
        <v>2</v>
      </c>
      <c r="R930" s="34" t="s">
        <v>1161</v>
      </c>
    </row>
    <row r="931" s="27" customFormat="1" spans="1:18">
      <c r="A931" s="17">
        <v>621301</v>
      </c>
      <c r="B931" s="17">
        <v>411</v>
      </c>
      <c r="C931" s="17" t="s">
        <v>644</v>
      </c>
      <c r="D931" s="59" t="s">
        <v>1200</v>
      </c>
      <c r="E931" s="17"/>
      <c r="F931" s="17">
        <v>44</v>
      </c>
      <c r="G931" s="17">
        <v>1</v>
      </c>
      <c r="H931" s="17"/>
      <c r="I931" s="17">
        <v>401702</v>
      </c>
      <c r="J931" s="17">
        <v>4</v>
      </c>
      <c r="N931" s="17">
        <v>0</v>
      </c>
      <c r="P931" s="17">
        <v>2</v>
      </c>
      <c r="R931" s="27" t="s">
        <v>1163</v>
      </c>
    </row>
    <row r="932" s="27" customFormat="1" spans="1:18">
      <c r="A932" s="17">
        <v>621302</v>
      </c>
      <c r="B932" s="17">
        <v>411</v>
      </c>
      <c r="C932" s="17" t="s">
        <v>644</v>
      </c>
      <c r="D932" s="59" t="s">
        <v>1201</v>
      </c>
      <c r="E932" s="17"/>
      <c r="F932" s="17">
        <v>44</v>
      </c>
      <c r="G932" s="17">
        <v>1</v>
      </c>
      <c r="H932" s="17"/>
      <c r="I932" s="17">
        <v>401703</v>
      </c>
      <c r="J932" s="17">
        <v>4</v>
      </c>
      <c r="N932" s="17">
        <v>0</v>
      </c>
      <c r="P932" s="17">
        <v>2</v>
      </c>
      <c r="R932" s="27" t="s">
        <v>1165</v>
      </c>
    </row>
    <row r="933" s="27" customFormat="1" spans="1:18">
      <c r="A933" s="17">
        <v>621303</v>
      </c>
      <c r="B933" s="17">
        <v>411</v>
      </c>
      <c r="C933" s="17" t="s">
        <v>644</v>
      </c>
      <c r="D933" s="59" t="s">
        <v>1202</v>
      </c>
      <c r="E933" s="17"/>
      <c r="F933" s="17">
        <v>44</v>
      </c>
      <c r="G933" s="17">
        <v>1</v>
      </c>
      <c r="H933" s="17"/>
      <c r="I933" s="17">
        <v>401704</v>
      </c>
      <c r="J933" s="17">
        <v>4</v>
      </c>
      <c r="N933" s="17">
        <v>0</v>
      </c>
      <c r="P933" s="17">
        <v>2</v>
      </c>
      <c r="R933" s="27" t="s">
        <v>1167</v>
      </c>
    </row>
    <row r="934" s="27" customFormat="1" spans="1:18">
      <c r="A934" s="17">
        <v>621304</v>
      </c>
      <c r="B934" s="17">
        <v>411</v>
      </c>
      <c r="C934" s="17" t="s">
        <v>644</v>
      </c>
      <c r="D934" s="59" t="s">
        <v>1203</v>
      </c>
      <c r="E934" s="17"/>
      <c r="F934" s="17">
        <v>44</v>
      </c>
      <c r="G934" s="17">
        <v>1</v>
      </c>
      <c r="H934" s="17"/>
      <c r="I934" s="17">
        <v>401705</v>
      </c>
      <c r="J934" s="17">
        <v>4</v>
      </c>
      <c r="N934" s="17">
        <v>0</v>
      </c>
      <c r="P934" s="17">
        <v>2</v>
      </c>
      <c r="R934" s="27" t="s">
        <v>1132</v>
      </c>
    </row>
    <row r="935" s="27" customFormat="1" spans="1:18">
      <c r="A935" s="17">
        <v>621305</v>
      </c>
      <c r="B935" s="17">
        <v>411</v>
      </c>
      <c r="C935" s="17" t="s">
        <v>644</v>
      </c>
      <c r="D935" s="59" t="s">
        <v>1204</v>
      </c>
      <c r="E935" s="17"/>
      <c r="F935" s="17">
        <v>44</v>
      </c>
      <c r="G935" s="17">
        <v>1</v>
      </c>
      <c r="H935" s="17"/>
      <c r="I935" s="17">
        <v>401706</v>
      </c>
      <c r="J935" s="17">
        <v>4</v>
      </c>
      <c r="N935" s="17">
        <v>0</v>
      </c>
      <c r="P935" s="17">
        <v>2</v>
      </c>
      <c r="R935" s="27" t="s">
        <v>1161</v>
      </c>
    </row>
    <row r="936" s="27" customFormat="1" spans="1:19">
      <c r="A936" s="17">
        <v>621306</v>
      </c>
      <c r="B936" s="17">
        <v>411</v>
      </c>
      <c r="C936" s="17" t="s">
        <v>644</v>
      </c>
      <c r="D936" s="59" t="s">
        <v>1205</v>
      </c>
      <c r="E936" s="17"/>
      <c r="F936" s="17">
        <v>44</v>
      </c>
      <c r="G936" s="17">
        <v>1</v>
      </c>
      <c r="H936" s="17"/>
      <c r="I936" s="17">
        <v>401707</v>
      </c>
      <c r="J936" s="17">
        <v>4</v>
      </c>
      <c r="N936" s="17">
        <v>0</v>
      </c>
      <c r="P936" s="17">
        <v>2</v>
      </c>
      <c r="R936" s="66" t="s">
        <v>1206</v>
      </c>
      <c r="S936" s="27" t="s">
        <v>1207</v>
      </c>
    </row>
    <row r="937" s="27" customFormat="1" spans="1:19">
      <c r="A937" s="17">
        <v>621307</v>
      </c>
      <c r="B937" s="17">
        <v>411</v>
      </c>
      <c r="C937" s="17" t="s">
        <v>644</v>
      </c>
      <c r="D937" s="59" t="s">
        <v>1208</v>
      </c>
      <c r="E937" s="17"/>
      <c r="F937" s="17">
        <v>44</v>
      </c>
      <c r="G937" s="17">
        <v>1</v>
      </c>
      <c r="H937" s="17"/>
      <c r="I937" s="17">
        <v>401708</v>
      </c>
      <c r="J937" s="17">
        <v>4</v>
      </c>
      <c r="N937" s="17">
        <v>0</v>
      </c>
      <c r="P937" s="17">
        <v>2</v>
      </c>
      <c r="R937" s="66" t="s">
        <v>1209</v>
      </c>
      <c r="S937" s="27" t="s">
        <v>1210</v>
      </c>
    </row>
    <row r="938" s="27" customFormat="1" spans="1:19">
      <c r="A938" s="17">
        <v>621308</v>
      </c>
      <c r="B938" s="17">
        <v>411</v>
      </c>
      <c r="C938" s="17" t="s">
        <v>644</v>
      </c>
      <c r="D938" s="59" t="s">
        <v>1211</v>
      </c>
      <c r="E938" s="17"/>
      <c r="F938" s="17">
        <v>44</v>
      </c>
      <c r="G938" s="17">
        <v>1</v>
      </c>
      <c r="H938" s="17"/>
      <c r="I938" s="17">
        <v>401709</v>
      </c>
      <c r="J938" s="17">
        <v>4</v>
      </c>
      <c r="N938" s="17">
        <v>0</v>
      </c>
      <c r="P938" s="17">
        <v>2</v>
      </c>
      <c r="R938" s="66" t="s">
        <v>1212</v>
      </c>
      <c r="S938" s="27" t="s">
        <v>1213</v>
      </c>
    </row>
    <row r="939" s="35" customFormat="1" spans="1:18">
      <c r="A939" s="78">
        <v>621401</v>
      </c>
      <c r="B939" s="78">
        <v>411</v>
      </c>
      <c r="C939" s="78" t="s">
        <v>644</v>
      </c>
      <c r="D939" s="39" t="s">
        <v>1214</v>
      </c>
      <c r="E939" s="78"/>
      <c r="F939" s="78">
        <v>44</v>
      </c>
      <c r="G939" s="78">
        <v>1</v>
      </c>
      <c r="H939" s="78"/>
      <c r="I939" s="78">
        <v>501702</v>
      </c>
      <c r="J939" s="78">
        <v>4</v>
      </c>
      <c r="N939" s="78">
        <v>0</v>
      </c>
      <c r="P939" s="78">
        <v>2</v>
      </c>
      <c r="R939" s="35" t="s">
        <v>1163</v>
      </c>
    </row>
    <row r="940" s="35" customFormat="1" spans="1:18">
      <c r="A940" s="78">
        <v>621402</v>
      </c>
      <c r="B940" s="78">
        <v>411</v>
      </c>
      <c r="C940" s="78" t="s">
        <v>644</v>
      </c>
      <c r="D940" s="39" t="s">
        <v>1215</v>
      </c>
      <c r="E940" s="78"/>
      <c r="F940" s="78">
        <v>44</v>
      </c>
      <c r="G940" s="78">
        <v>1</v>
      </c>
      <c r="H940" s="78"/>
      <c r="I940" s="78">
        <v>501703</v>
      </c>
      <c r="J940" s="78">
        <v>4</v>
      </c>
      <c r="N940" s="78">
        <v>0</v>
      </c>
      <c r="P940" s="78">
        <v>2</v>
      </c>
      <c r="R940" s="35" t="s">
        <v>1165</v>
      </c>
    </row>
    <row r="941" s="35" customFormat="1" spans="1:18">
      <c r="A941" s="78">
        <v>621403</v>
      </c>
      <c r="B941" s="78">
        <v>411</v>
      </c>
      <c r="C941" s="78" t="s">
        <v>644</v>
      </c>
      <c r="D941" s="39" t="s">
        <v>1216</v>
      </c>
      <c r="E941" s="78"/>
      <c r="F941" s="78">
        <v>44</v>
      </c>
      <c r="G941" s="78">
        <v>1</v>
      </c>
      <c r="H941" s="78"/>
      <c r="I941" s="78">
        <v>501704</v>
      </c>
      <c r="J941" s="78">
        <v>4</v>
      </c>
      <c r="N941" s="78">
        <v>0</v>
      </c>
      <c r="P941" s="78">
        <v>2</v>
      </c>
      <c r="R941" s="35" t="s">
        <v>1167</v>
      </c>
    </row>
    <row r="942" s="35" customFormat="1" spans="1:18">
      <c r="A942" s="78">
        <v>621404</v>
      </c>
      <c r="B942" s="78">
        <v>411</v>
      </c>
      <c r="C942" s="78" t="s">
        <v>644</v>
      </c>
      <c r="D942" s="39" t="s">
        <v>1217</v>
      </c>
      <c r="E942" s="78"/>
      <c r="F942" s="78">
        <v>44</v>
      </c>
      <c r="G942" s="78">
        <v>1</v>
      </c>
      <c r="H942" s="78"/>
      <c r="I942" s="78">
        <v>501705</v>
      </c>
      <c r="J942" s="78">
        <v>4</v>
      </c>
      <c r="N942" s="78">
        <v>0</v>
      </c>
      <c r="P942" s="78">
        <v>2</v>
      </c>
      <c r="R942" s="35" t="s">
        <v>1132</v>
      </c>
    </row>
    <row r="943" s="35" customFormat="1" spans="1:18">
      <c r="A943" s="78">
        <v>621405</v>
      </c>
      <c r="B943" s="78">
        <v>411</v>
      </c>
      <c r="C943" s="78" t="s">
        <v>644</v>
      </c>
      <c r="D943" s="39" t="s">
        <v>1218</v>
      </c>
      <c r="E943" s="78"/>
      <c r="F943" s="78">
        <v>44</v>
      </c>
      <c r="G943" s="78">
        <v>1</v>
      </c>
      <c r="H943" s="78"/>
      <c r="I943" s="78">
        <v>501706</v>
      </c>
      <c r="J943" s="78">
        <v>4</v>
      </c>
      <c r="N943" s="78">
        <v>0</v>
      </c>
      <c r="P943" s="78">
        <v>2</v>
      </c>
      <c r="R943" s="35" t="s">
        <v>1161</v>
      </c>
    </row>
    <row r="944" s="27" customFormat="1" spans="1:18">
      <c r="A944" s="17">
        <v>621501</v>
      </c>
      <c r="B944" s="17">
        <v>411</v>
      </c>
      <c r="C944" s="17" t="s">
        <v>644</v>
      </c>
      <c r="D944" s="79" t="s">
        <v>1219</v>
      </c>
      <c r="E944" s="17"/>
      <c r="F944" s="17">
        <v>44</v>
      </c>
      <c r="G944" s="17">
        <v>1</v>
      </c>
      <c r="H944" s="17"/>
      <c r="I944" s="17">
        <v>401902</v>
      </c>
      <c r="J944" s="17">
        <v>4</v>
      </c>
      <c r="N944" s="17">
        <v>0</v>
      </c>
      <c r="P944" s="17">
        <v>2</v>
      </c>
      <c r="R944" s="27" t="s">
        <v>1163</v>
      </c>
    </row>
    <row r="945" s="27" customFormat="1" spans="1:18">
      <c r="A945" s="17">
        <v>621502</v>
      </c>
      <c r="B945" s="17">
        <v>411</v>
      </c>
      <c r="C945" s="17" t="s">
        <v>644</v>
      </c>
      <c r="D945" s="59" t="s">
        <v>1220</v>
      </c>
      <c r="E945" s="17"/>
      <c r="F945" s="17">
        <v>44</v>
      </c>
      <c r="G945" s="17">
        <v>1</v>
      </c>
      <c r="H945" s="17"/>
      <c r="I945" s="17">
        <v>401903</v>
      </c>
      <c r="J945" s="17">
        <v>4</v>
      </c>
      <c r="N945" s="17">
        <v>0</v>
      </c>
      <c r="P945" s="17">
        <v>2</v>
      </c>
      <c r="R945" s="27" t="s">
        <v>1165</v>
      </c>
    </row>
    <row r="946" s="27" customFormat="1" spans="1:18">
      <c r="A946" s="17">
        <v>621503</v>
      </c>
      <c r="B946" s="17">
        <v>411</v>
      </c>
      <c r="C946" s="17" t="s">
        <v>644</v>
      </c>
      <c r="D946" s="59" t="s">
        <v>1221</v>
      </c>
      <c r="E946" s="17"/>
      <c r="F946" s="17">
        <v>44</v>
      </c>
      <c r="G946" s="17">
        <v>1</v>
      </c>
      <c r="H946" s="17"/>
      <c r="I946" s="17">
        <v>401904</v>
      </c>
      <c r="J946" s="17">
        <v>4</v>
      </c>
      <c r="N946" s="17">
        <v>0</v>
      </c>
      <c r="P946" s="17">
        <v>2</v>
      </c>
      <c r="R946" s="27" t="s">
        <v>1167</v>
      </c>
    </row>
    <row r="947" s="27" customFormat="1" spans="1:18">
      <c r="A947" s="17">
        <v>621504</v>
      </c>
      <c r="B947" s="17">
        <v>411</v>
      </c>
      <c r="C947" s="17" t="s">
        <v>644</v>
      </c>
      <c r="D947" s="59" t="s">
        <v>1222</v>
      </c>
      <c r="E947" s="17"/>
      <c r="F947" s="17">
        <v>44</v>
      </c>
      <c r="G947" s="17">
        <v>1</v>
      </c>
      <c r="H947" s="17"/>
      <c r="I947" s="17">
        <v>401905</v>
      </c>
      <c r="J947" s="17">
        <v>4</v>
      </c>
      <c r="N947" s="17">
        <v>0</v>
      </c>
      <c r="P947" s="17">
        <v>2</v>
      </c>
      <c r="R947" s="27" t="s">
        <v>1132</v>
      </c>
    </row>
    <row r="948" s="27" customFormat="1" spans="1:18">
      <c r="A948" s="17">
        <v>621505</v>
      </c>
      <c r="B948" s="17">
        <v>411</v>
      </c>
      <c r="C948" s="17" t="s">
        <v>644</v>
      </c>
      <c r="D948" s="59" t="s">
        <v>1223</v>
      </c>
      <c r="E948" s="17"/>
      <c r="F948" s="17">
        <v>44</v>
      </c>
      <c r="G948" s="17">
        <v>1</v>
      </c>
      <c r="H948" s="17"/>
      <c r="I948" s="17">
        <v>401906</v>
      </c>
      <c r="J948" s="17">
        <v>4</v>
      </c>
      <c r="N948" s="17">
        <v>0</v>
      </c>
      <c r="P948" s="17">
        <v>2</v>
      </c>
      <c r="R948" s="27" t="s">
        <v>1161</v>
      </c>
    </row>
    <row r="949" s="27" customFormat="1" spans="1:18">
      <c r="A949" s="17">
        <v>621506</v>
      </c>
      <c r="B949" s="17">
        <v>411</v>
      </c>
      <c r="C949" s="17" t="s">
        <v>644</v>
      </c>
      <c r="D949" s="59" t="s">
        <v>1224</v>
      </c>
      <c r="E949" s="17"/>
      <c r="F949" s="17">
        <v>44</v>
      </c>
      <c r="G949" s="17">
        <v>1</v>
      </c>
      <c r="H949" s="17"/>
      <c r="I949" s="17">
        <v>401907</v>
      </c>
      <c r="J949" s="17">
        <v>4</v>
      </c>
      <c r="N949" s="17">
        <v>0</v>
      </c>
      <c r="P949" s="17">
        <v>2</v>
      </c>
      <c r="R949" s="66" t="s">
        <v>1225</v>
      </c>
    </row>
    <row r="950" s="27" customFormat="1" spans="1:18">
      <c r="A950" s="17">
        <v>621507</v>
      </c>
      <c r="B950" s="17">
        <v>411</v>
      </c>
      <c r="C950" s="17" t="s">
        <v>644</v>
      </c>
      <c r="D950" s="79" t="s">
        <v>1226</v>
      </c>
      <c r="E950" s="17"/>
      <c r="F950" s="17">
        <v>44</v>
      </c>
      <c r="G950" s="17">
        <v>1</v>
      </c>
      <c r="H950" s="17"/>
      <c r="I950" s="17">
        <v>401908</v>
      </c>
      <c r="J950" s="17">
        <v>4</v>
      </c>
      <c r="N950" s="17">
        <v>0</v>
      </c>
      <c r="P950" s="17">
        <v>2</v>
      </c>
      <c r="R950" s="66" t="s">
        <v>1227</v>
      </c>
    </row>
    <row r="951" s="27" customFormat="1" spans="1:18">
      <c r="A951" s="17">
        <v>621508</v>
      </c>
      <c r="B951" s="17">
        <v>411</v>
      </c>
      <c r="C951" s="17" t="s">
        <v>644</v>
      </c>
      <c r="D951" s="79" t="s">
        <v>1228</v>
      </c>
      <c r="E951" s="17"/>
      <c r="F951" s="17">
        <v>44</v>
      </c>
      <c r="G951" s="17">
        <v>1</v>
      </c>
      <c r="H951" s="17"/>
      <c r="I951" s="17">
        <v>401909</v>
      </c>
      <c r="J951" s="17">
        <v>4</v>
      </c>
      <c r="N951" s="17">
        <v>0</v>
      </c>
      <c r="P951" s="17">
        <v>2</v>
      </c>
      <c r="R951" s="66" t="s">
        <v>1229</v>
      </c>
    </row>
    <row r="952" s="34" customFormat="1" spans="1:18">
      <c r="A952" s="74">
        <v>621601</v>
      </c>
      <c r="B952" s="74">
        <v>411</v>
      </c>
      <c r="C952" s="74" t="s">
        <v>644</v>
      </c>
      <c r="D952" s="80" t="s">
        <v>1230</v>
      </c>
      <c r="E952" s="74"/>
      <c r="F952" s="74">
        <v>44</v>
      </c>
      <c r="G952" s="74">
        <v>1</v>
      </c>
      <c r="H952" s="74"/>
      <c r="I952" s="74">
        <v>600102</v>
      </c>
      <c r="J952" s="74">
        <v>4</v>
      </c>
      <c r="N952" s="74">
        <v>0</v>
      </c>
      <c r="P952" s="74">
        <v>2</v>
      </c>
      <c r="R952" s="34" t="s">
        <v>1163</v>
      </c>
    </row>
    <row r="953" s="34" customFormat="1" spans="1:18">
      <c r="A953" s="74">
        <v>621602</v>
      </c>
      <c r="B953" s="74">
        <v>411</v>
      </c>
      <c r="C953" s="74" t="s">
        <v>644</v>
      </c>
      <c r="D953" s="75" t="s">
        <v>1231</v>
      </c>
      <c r="E953" s="74"/>
      <c r="F953" s="74">
        <v>44</v>
      </c>
      <c r="G953" s="74">
        <v>1</v>
      </c>
      <c r="H953" s="74"/>
      <c r="I953" s="74">
        <v>600103</v>
      </c>
      <c r="J953" s="74">
        <v>4</v>
      </c>
      <c r="N953" s="74">
        <v>0</v>
      </c>
      <c r="P953" s="74">
        <v>2</v>
      </c>
      <c r="R953" s="34" t="s">
        <v>1165</v>
      </c>
    </row>
    <row r="954" s="34" customFormat="1" spans="1:18">
      <c r="A954" s="74">
        <v>621603</v>
      </c>
      <c r="B954" s="74">
        <v>411</v>
      </c>
      <c r="C954" s="74" t="s">
        <v>644</v>
      </c>
      <c r="D954" s="75" t="s">
        <v>1232</v>
      </c>
      <c r="E954" s="74"/>
      <c r="F954" s="74">
        <v>44</v>
      </c>
      <c r="G954" s="74">
        <v>1</v>
      </c>
      <c r="H954" s="74"/>
      <c r="I954" s="74">
        <v>600104</v>
      </c>
      <c r="J954" s="74">
        <v>4</v>
      </c>
      <c r="N954" s="74">
        <v>0</v>
      </c>
      <c r="P954" s="74">
        <v>2</v>
      </c>
      <c r="R954" s="34" t="s">
        <v>1167</v>
      </c>
    </row>
    <row r="955" s="34" customFormat="1" spans="1:18">
      <c r="A955" s="74">
        <v>621604</v>
      </c>
      <c r="B955" s="74">
        <v>411</v>
      </c>
      <c r="C955" s="74" t="s">
        <v>644</v>
      </c>
      <c r="D955" s="75" t="s">
        <v>1233</v>
      </c>
      <c r="E955" s="74"/>
      <c r="F955" s="74">
        <v>44</v>
      </c>
      <c r="G955" s="74">
        <v>1</v>
      </c>
      <c r="H955" s="74"/>
      <c r="I955" s="74">
        <v>600105</v>
      </c>
      <c r="J955" s="74">
        <v>4</v>
      </c>
      <c r="N955" s="74">
        <v>0</v>
      </c>
      <c r="P955" s="74">
        <v>2</v>
      </c>
      <c r="R955" s="34" t="s">
        <v>1132</v>
      </c>
    </row>
    <row r="956" s="34" customFormat="1" spans="1:18">
      <c r="A956" s="74">
        <v>621605</v>
      </c>
      <c r="B956" s="74">
        <v>411</v>
      </c>
      <c r="C956" s="74" t="s">
        <v>644</v>
      </c>
      <c r="D956" s="75" t="s">
        <v>1234</v>
      </c>
      <c r="E956" s="74"/>
      <c r="F956" s="74">
        <v>44</v>
      </c>
      <c r="G956" s="74">
        <v>1</v>
      </c>
      <c r="H956" s="74"/>
      <c r="I956" s="74">
        <v>600106</v>
      </c>
      <c r="J956" s="74">
        <v>4</v>
      </c>
      <c r="N956" s="74">
        <v>0</v>
      </c>
      <c r="P956" s="74">
        <v>2</v>
      </c>
      <c r="R956" s="34" t="s">
        <v>1161</v>
      </c>
    </row>
    <row r="957" s="34" customFormat="1" spans="1:18">
      <c r="A957" s="74">
        <v>621606</v>
      </c>
      <c r="B957" s="74">
        <v>411</v>
      </c>
      <c r="C957" s="74" t="s">
        <v>644</v>
      </c>
      <c r="D957" s="75" t="s">
        <v>1235</v>
      </c>
      <c r="E957" s="74"/>
      <c r="F957" s="74">
        <v>44</v>
      </c>
      <c r="G957" s="74">
        <v>1</v>
      </c>
      <c r="H957" s="74"/>
      <c r="I957" s="74">
        <v>600107</v>
      </c>
      <c r="J957" s="74">
        <v>4</v>
      </c>
      <c r="N957" s="74">
        <v>0</v>
      </c>
      <c r="P957" s="74">
        <v>2</v>
      </c>
      <c r="R957" s="77" t="s">
        <v>1225</v>
      </c>
    </row>
    <row r="958" s="34" customFormat="1" spans="1:18">
      <c r="A958" s="74">
        <v>621607</v>
      </c>
      <c r="B958" s="74">
        <v>411</v>
      </c>
      <c r="C958" s="74" t="s">
        <v>644</v>
      </c>
      <c r="D958" s="80" t="s">
        <v>1236</v>
      </c>
      <c r="E958" s="74"/>
      <c r="F958" s="74">
        <v>44</v>
      </c>
      <c r="G958" s="74">
        <v>1</v>
      </c>
      <c r="H958" s="74"/>
      <c r="I958" s="74">
        <v>600108</v>
      </c>
      <c r="J958" s="74">
        <v>4</v>
      </c>
      <c r="N958" s="74">
        <v>0</v>
      </c>
      <c r="P958" s="74">
        <v>2</v>
      </c>
      <c r="R958" s="77" t="s">
        <v>1237</v>
      </c>
    </row>
    <row r="959" s="34" customFormat="1" spans="1:18">
      <c r="A959" s="74">
        <v>621608</v>
      </c>
      <c r="B959" s="74">
        <v>411</v>
      </c>
      <c r="C959" s="74" t="s">
        <v>644</v>
      </c>
      <c r="D959" s="80" t="s">
        <v>1238</v>
      </c>
      <c r="E959" s="74"/>
      <c r="F959" s="74">
        <v>44</v>
      </c>
      <c r="G959" s="74">
        <v>1</v>
      </c>
      <c r="H959" s="74"/>
      <c r="I959" s="74">
        <v>600109</v>
      </c>
      <c r="J959" s="74">
        <v>4</v>
      </c>
      <c r="N959" s="74">
        <v>0</v>
      </c>
      <c r="P959" s="74">
        <v>2</v>
      </c>
      <c r="R959" s="77" t="s">
        <v>1239</v>
      </c>
    </row>
    <row r="960" s="27" customFormat="1" spans="1:18">
      <c r="A960" s="17">
        <v>621701</v>
      </c>
      <c r="B960" s="17">
        <v>411</v>
      </c>
      <c r="C960" s="17" t="s">
        <v>644</v>
      </c>
      <c r="D960" s="79" t="s">
        <v>1240</v>
      </c>
      <c r="E960" s="17"/>
      <c r="F960" s="17">
        <v>44</v>
      </c>
      <c r="G960" s="17">
        <v>1</v>
      </c>
      <c r="H960" s="17"/>
      <c r="I960" s="17">
        <v>302402</v>
      </c>
      <c r="J960" s="17">
        <v>4</v>
      </c>
      <c r="N960" s="17">
        <v>0</v>
      </c>
      <c r="P960" s="17">
        <v>2</v>
      </c>
      <c r="R960" s="27" t="s">
        <v>1163</v>
      </c>
    </row>
    <row r="961" s="27" customFormat="1" spans="1:18">
      <c r="A961" s="17">
        <v>621702</v>
      </c>
      <c r="B961" s="17">
        <v>411</v>
      </c>
      <c r="C961" s="17" t="s">
        <v>644</v>
      </c>
      <c r="D961" s="59" t="s">
        <v>1241</v>
      </c>
      <c r="E961" s="17"/>
      <c r="F961" s="17">
        <v>44</v>
      </c>
      <c r="G961" s="17">
        <v>1</v>
      </c>
      <c r="H961" s="17"/>
      <c r="I961" s="17">
        <v>302403</v>
      </c>
      <c r="J961" s="17">
        <v>4</v>
      </c>
      <c r="N961" s="17">
        <v>0</v>
      </c>
      <c r="P961" s="17">
        <v>2</v>
      </c>
      <c r="R961" s="27" t="s">
        <v>1165</v>
      </c>
    </row>
    <row r="962" s="27" customFormat="1" spans="1:18">
      <c r="A962" s="17">
        <v>621703</v>
      </c>
      <c r="B962" s="17">
        <v>411</v>
      </c>
      <c r="C962" s="17" t="s">
        <v>644</v>
      </c>
      <c r="D962" s="59" t="s">
        <v>1242</v>
      </c>
      <c r="E962" s="17"/>
      <c r="F962" s="17">
        <v>44</v>
      </c>
      <c r="G962" s="17">
        <v>1</v>
      </c>
      <c r="H962" s="17"/>
      <c r="I962" s="17">
        <v>302404</v>
      </c>
      <c r="J962" s="17">
        <v>4</v>
      </c>
      <c r="N962" s="17">
        <v>0</v>
      </c>
      <c r="P962" s="17">
        <v>2</v>
      </c>
      <c r="R962" s="27" t="s">
        <v>1167</v>
      </c>
    </row>
    <row r="963" s="27" customFormat="1" spans="1:18">
      <c r="A963" s="17">
        <v>621704</v>
      </c>
      <c r="B963" s="17">
        <v>411</v>
      </c>
      <c r="C963" s="17" t="s">
        <v>644</v>
      </c>
      <c r="D963" s="59" t="s">
        <v>1243</v>
      </c>
      <c r="E963" s="17"/>
      <c r="F963" s="17">
        <v>44</v>
      </c>
      <c r="G963" s="17">
        <v>1</v>
      </c>
      <c r="H963" s="17"/>
      <c r="I963" s="17">
        <v>302405</v>
      </c>
      <c r="J963" s="17">
        <v>4</v>
      </c>
      <c r="N963" s="17">
        <v>0</v>
      </c>
      <c r="P963" s="17">
        <v>2</v>
      </c>
      <c r="R963" s="27" t="s">
        <v>1132</v>
      </c>
    </row>
    <row r="964" s="27" customFormat="1" spans="1:18">
      <c r="A964" s="17">
        <v>621705</v>
      </c>
      <c r="B964" s="17">
        <v>411</v>
      </c>
      <c r="C964" s="17" t="s">
        <v>644</v>
      </c>
      <c r="D964" s="59" t="s">
        <v>1244</v>
      </c>
      <c r="E964" s="17"/>
      <c r="F964" s="17">
        <v>44</v>
      </c>
      <c r="G964" s="17">
        <v>1</v>
      </c>
      <c r="H964" s="17"/>
      <c r="I964" s="17">
        <v>302406</v>
      </c>
      <c r="J964" s="17">
        <v>4</v>
      </c>
      <c r="N964" s="17">
        <v>0</v>
      </c>
      <c r="P964" s="17">
        <v>2</v>
      </c>
      <c r="R964" s="27" t="s">
        <v>1161</v>
      </c>
    </row>
    <row r="965" s="27" customFormat="1" spans="1:18">
      <c r="A965" s="17">
        <v>621706</v>
      </c>
      <c r="B965" s="17">
        <v>411</v>
      </c>
      <c r="C965" s="17" t="s">
        <v>644</v>
      </c>
      <c r="D965" s="59" t="s">
        <v>1245</v>
      </c>
      <c r="E965" s="17"/>
      <c r="F965" s="17">
        <v>44</v>
      </c>
      <c r="G965" s="17">
        <v>1</v>
      </c>
      <c r="H965" s="17"/>
      <c r="I965" s="17">
        <v>302407</v>
      </c>
      <c r="J965" s="17">
        <v>4</v>
      </c>
      <c r="N965" s="17">
        <v>0</v>
      </c>
      <c r="P965" s="17">
        <v>2</v>
      </c>
      <c r="R965" s="66" t="s">
        <v>1225</v>
      </c>
    </row>
    <row r="966" s="27" customFormat="1" spans="1:18">
      <c r="A966" s="17">
        <v>621707</v>
      </c>
      <c r="B966" s="17">
        <v>411</v>
      </c>
      <c r="C966" s="17" t="s">
        <v>644</v>
      </c>
      <c r="D966" s="79" t="s">
        <v>1246</v>
      </c>
      <c r="E966" s="17"/>
      <c r="F966" s="17">
        <v>44</v>
      </c>
      <c r="G966" s="17">
        <v>1</v>
      </c>
      <c r="H966" s="17"/>
      <c r="I966" s="17">
        <v>302408</v>
      </c>
      <c r="J966" s="17">
        <v>4</v>
      </c>
      <c r="N966" s="17">
        <v>0</v>
      </c>
      <c r="P966" s="17">
        <v>2</v>
      </c>
      <c r="R966" s="66" t="s">
        <v>1227</v>
      </c>
    </row>
    <row r="967" s="27" customFormat="1" spans="1:18">
      <c r="A967" s="17">
        <v>621708</v>
      </c>
      <c r="B967" s="17">
        <v>411</v>
      </c>
      <c r="C967" s="17" t="s">
        <v>644</v>
      </c>
      <c r="D967" s="79" t="s">
        <v>1247</v>
      </c>
      <c r="E967" s="17"/>
      <c r="F967" s="17">
        <v>44</v>
      </c>
      <c r="G967" s="17">
        <v>1</v>
      </c>
      <c r="H967" s="17"/>
      <c r="I967" s="17">
        <v>302409</v>
      </c>
      <c r="J967" s="17">
        <v>4</v>
      </c>
      <c r="N967" s="17">
        <v>0</v>
      </c>
      <c r="P967" s="17">
        <v>2</v>
      </c>
      <c r="R967" s="66" t="s">
        <v>1229</v>
      </c>
    </row>
    <row r="968" s="34" customFormat="1" spans="1:18">
      <c r="A968" s="74">
        <v>621801</v>
      </c>
      <c r="B968" s="74">
        <v>411</v>
      </c>
      <c r="C968" s="74" t="s">
        <v>644</v>
      </c>
      <c r="D968" s="80" t="s">
        <v>1248</v>
      </c>
      <c r="E968" s="74"/>
      <c r="F968" s="74">
        <v>44</v>
      </c>
      <c r="G968" s="74">
        <v>1</v>
      </c>
      <c r="H968" s="74"/>
      <c r="I968" s="74">
        <v>600202</v>
      </c>
      <c r="J968" s="74">
        <v>4</v>
      </c>
      <c r="N968" s="74">
        <v>0</v>
      </c>
      <c r="P968" s="74">
        <v>2</v>
      </c>
      <c r="R968" s="34" t="s">
        <v>1163</v>
      </c>
    </row>
    <row r="969" s="34" customFormat="1" spans="1:18">
      <c r="A969" s="74">
        <v>621802</v>
      </c>
      <c r="B969" s="74">
        <v>411</v>
      </c>
      <c r="C969" s="74" t="s">
        <v>644</v>
      </c>
      <c r="D969" s="75" t="s">
        <v>1249</v>
      </c>
      <c r="E969" s="74"/>
      <c r="F969" s="74">
        <v>44</v>
      </c>
      <c r="G969" s="74">
        <v>1</v>
      </c>
      <c r="H969" s="74"/>
      <c r="I969" s="74">
        <v>600203</v>
      </c>
      <c r="J969" s="74">
        <v>4</v>
      </c>
      <c r="N969" s="74">
        <v>0</v>
      </c>
      <c r="P969" s="74">
        <v>2</v>
      </c>
      <c r="R969" s="34" t="s">
        <v>1165</v>
      </c>
    </row>
    <row r="970" s="34" customFormat="1" spans="1:18">
      <c r="A970" s="74">
        <v>621803</v>
      </c>
      <c r="B970" s="74">
        <v>411</v>
      </c>
      <c r="C970" s="74" t="s">
        <v>644</v>
      </c>
      <c r="D970" s="75" t="s">
        <v>1250</v>
      </c>
      <c r="E970" s="74"/>
      <c r="F970" s="74">
        <v>44</v>
      </c>
      <c r="G970" s="74">
        <v>1</v>
      </c>
      <c r="H970" s="74"/>
      <c r="I970" s="74">
        <v>600204</v>
      </c>
      <c r="J970" s="74">
        <v>4</v>
      </c>
      <c r="N970" s="74">
        <v>0</v>
      </c>
      <c r="P970" s="74">
        <v>2</v>
      </c>
      <c r="R970" s="34" t="s">
        <v>1167</v>
      </c>
    </row>
    <row r="971" s="34" customFormat="1" spans="1:18">
      <c r="A971" s="74">
        <v>621804</v>
      </c>
      <c r="B971" s="74">
        <v>411</v>
      </c>
      <c r="C971" s="74" t="s">
        <v>644</v>
      </c>
      <c r="D971" s="75" t="s">
        <v>1251</v>
      </c>
      <c r="E971" s="74"/>
      <c r="F971" s="74">
        <v>44</v>
      </c>
      <c r="G971" s="74">
        <v>1</v>
      </c>
      <c r="H971" s="74"/>
      <c r="I971" s="74">
        <v>600205</v>
      </c>
      <c r="J971" s="74">
        <v>4</v>
      </c>
      <c r="N971" s="74">
        <v>0</v>
      </c>
      <c r="P971" s="74">
        <v>2</v>
      </c>
      <c r="R971" s="34" t="s">
        <v>1132</v>
      </c>
    </row>
    <row r="972" s="34" customFormat="1" spans="1:18">
      <c r="A972" s="74">
        <v>621805</v>
      </c>
      <c r="B972" s="74">
        <v>411</v>
      </c>
      <c r="C972" s="74" t="s">
        <v>644</v>
      </c>
      <c r="D972" s="75" t="s">
        <v>1252</v>
      </c>
      <c r="E972" s="74"/>
      <c r="F972" s="74">
        <v>44</v>
      </c>
      <c r="G972" s="74">
        <v>1</v>
      </c>
      <c r="H972" s="74"/>
      <c r="I972" s="74">
        <v>600206</v>
      </c>
      <c r="J972" s="74">
        <v>4</v>
      </c>
      <c r="N972" s="74">
        <v>0</v>
      </c>
      <c r="P972" s="74">
        <v>2</v>
      </c>
      <c r="R972" s="34" t="s">
        <v>1161</v>
      </c>
    </row>
    <row r="973" s="34" customFormat="1" spans="1:18">
      <c r="A973" s="74">
        <v>621806</v>
      </c>
      <c r="B973" s="74">
        <v>411</v>
      </c>
      <c r="C973" s="74" t="s">
        <v>644</v>
      </c>
      <c r="D973" s="75" t="s">
        <v>1253</v>
      </c>
      <c r="E973" s="74"/>
      <c r="F973" s="74">
        <v>44</v>
      </c>
      <c r="G973" s="74">
        <v>1</v>
      </c>
      <c r="H973" s="74"/>
      <c r="I973" s="74">
        <v>600207</v>
      </c>
      <c r="J973" s="74">
        <v>4</v>
      </c>
      <c r="N973" s="74">
        <v>0</v>
      </c>
      <c r="P973" s="74">
        <v>2</v>
      </c>
      <c r="R973" s="77" t="s">
        <v>1225</v>
      </c>
    </row>
    <row r="974" s="34" customFormat="1" spans="1:18">
      <c r="A974" s="74">
        <v>621807</v>
      </c>
      <c r="B974" s="74">
        <v>411</v>
      </c>
      <c r="C974" s="74" t="s">
        <v>644</v>
      </c>
      <c r="D974" s="80" t="s">
        <v>1254</v>
      </c>
      <c r="E974" s="74"/>
      <c r="F974" s="74">
        <v>44</v>
      </c>
      <c r="G974" s="74">
        <v>1</v>
      </c>
      <c r="H974" s="74"/>
      <c r="I974" s="74">
        <v>600208</v>
      </c>
      <c r="J974" s="74">
        <v>4</v>
      </c>
      <c r="N974" s="74">
        <v>0</v>
      </c>
      <c r="P974" s="74">
        <v>2</v>
      </c>
      <c r="R974" s="77" t="s">
        <v>1237</v>
      </c>
    </row>
    <row r="975" s="34" customFormat="1" spans="1:18">
      <c r="A975" s="74">
        <v>621808</v>
      </c>
      <c r="B975" s="74">
        <v>411</v>
      </c>
      <c r="C975" s="74" t="s">
        <v>644</v>
      </c>
      <c r="D975" s="80" t="s">
        <v>1255</v>
      </c>
      <c r="E975" s="74"/>
      <c r="F975" s="74">
        <v>44</v>
      </c>
      <c r="G975" s="74">
        <v>1</v>
      </c>
      <c r="H975" s="74"/>
      <c r="I975" s="74">
        <v>600209</v>
      </c>
      <c r="J975" s="74">
        <v>4</v>
      </c>
      <c r="N975" s="74">
        <v>0</v>
      </c>
      <c r="P975" s="74">
        <v>2</v>
      </c>
      <c r="R975" s="77" t="s">
        <v>1256</v>
      </c>
    </row>
    <row r="976" s="27" customFormat="1" ht="16.5" spans="1:18">
      <c r="A976" s="81">
        <v>621901</v>
      </c>
      <c r="B976" s="17">
        <v>411</v>
      </c>
      <c r="C976" s="17" t="s">
        <v>644</v>
      </c>
      <c r="D976" s="79" t="s">
        <v>1257</v>
      </c>
      <c r="E976" s="17"/>
      <c r="F976" s="17">
        <v>44</v>
      </c>
      <c r="G976" s="17">
        <v>1</v>
      </c>
      <c r="H976" s="17"/>
      <c r="I976" s="86">
        <v>401802</v>
      </c>
      <c r="J976" s="17">
        <v>4</v>
      </c>
      <c r="N976" s="17">
        <v>0</v>
      </c>
      <c r="P976" s="17">
        <v>2</v>
      </c>
      <c r="R976" s="27" t="s">
        <v>1163</v>
      </c>
    </row>
    <row r="977" s="27" customFormat="1" ht="16.5" spans="1:18">
      <c r="A977" s="81">
        <v>621902</v>
      </c>
      <c r="B977" s="17">
        <v>411</v>
      </c>
      <c r="C977" s="17" t="s">
        <v>644</v>
      </c>
      <c r="D977" s="59" t="s">
        <v>1258</v>
      </c>
      <c r="E977" s="17"/>
      <c r="F977" s="17">
        <v>44</v>
      </c>
      <c r="G977" s="17">
        <v>1</v>
      </c>
      <c r="H977" s="17"/>
      <c r="I977" s="86">
        <v>401803</v>
      </c>
      <c r="J977" s="17">
        <v>4</v>
      </c>
      <c r="N977" s="17">
        <v>0</v>
      </c>
      <c r="P977" s="17">
        <v>2</v>
      </c>
      <c r="R977" s="27" t="s">
        <v>1165</v>
      </c>
    </row>
    <row r="978" s="27" customFormat="1" ht="16.5" spans="1:18">
      <c r="A978" s="81">
        <v>621903</v>
      </c>
      <c r="B978" s="17">
        <v>411</v>
      </c>
      <c r="C978" s="17" t="s">
        <v>644</v>
      </c>
      <c r="D978" s="59" t="s">
        <v>1259</v>
      </c>
      <c r="E978" s="17"/>
      <c r="F978" s="17">
        <v>44</v>
      </c>
      <c r="G978" s="17">
        <v>1</v>
      </c>
      <c r="H978" s="17"/>
      <c r="I978" s="86">
        <v>401804</v>
      </c>
      <c r="J978" s="17">
        <v>4</v>
      </c>
      <c r="N978" s="17">
        <v>0</v>
      </c>
      <c r="P978" s="17">
        <v>2</v>
      </c>
      <c r="R978" s="27" t="s">
        <v>1167</v>
      </c>
    </row>
    <row r="979" s="27" customFormat="1" ht="16.5" spans="1:18">
      <c r="A979" s="81">
        <v>621904</v>
      </c>
      <c r="B979" s="17">
        <v>411</v>
      </c>
      <c r="C979" s="17" t="s">
        <v>644</v>
      </c>
      <c r="D979" s="59" t="s">
        <v>1260</v>
      </c>
      <c r="E979" s="17"/>
      <c r="F979" s="17">
        <v>44</v>
      </c>
      <c r="G979" s="17">
        <v>1</v>
      </c>
      <c r="H979" s="17"/>
      <c r="I979" s="86">
        <v>401805</v>
      </c>
      <c r="J979" s="17">
        <v>4</v>
      </c>
      <c r="N979" s="17">
        <v>0</v>
      </c>
      <c r="P979" s="17">
        <v>2</v>
      </c>
      <c r="R979" s="27" t="s">
        <v>1132</v>
      </c>
    </row>
    <row r="980" s="27" customFormat="1" ht="16.5" spans="1:18">
      <c r="A980" s="81">
        <v>621905</v>
      </c>
      <c r="B980" s="17">
        <v>411</v>
      </c>
      <c r="C980" s="17" t="s">
        <v>644</v>
      </c>
      <c r="D980" s="59" t="s">
        <v>1261</v>
      </c>
      <c r="E980" s="17"/>
      <c r="F980" s="17">
        <v>44</v>
      </c>
      <c r="G980" s="17">
        <v>1</v>
      </c>
      <c r="H980" s="17"/>
      <c r="I980" s="86">
        <v>401806</v>
      </c>
      <c r="J980" s="17">
        <v>4</v>
      </c>
      <c r="N980" s="17">
        <v>0</v>
      </c>
      <c r="P980" s="17">
        <v>2</v>
      </c>
      <c r="R980" s="27" t="s">
        <v>1161</v>
      </c>
    </row>
    <row r="981" s="27" customFormat="1" ht="16.5" spans="1:18">
      <c r="A981" s="81">
        <v>621906</v>
      </c>
      <c r="B981" s="17">
        <v>411</v>
      </c>
      <c r="C981" s="17" t="s">
        <v>644</v>
      </c>
      <c r="D981" s="59" t="s">
        <v>1262</v>
      </c>
      <c r="E981" s="17"/>
      <c r="F981" s="17">
        <v>44</v>
      </c>
      <c r="G981" s="17">
        <v>1</v>
      </c>
      <c r="H981" s="17"/>
      <c r="I981" s="86">
        <v>401807</v>
      </c>
      <c r="J981" s="17">
        <v>4</v>
      </c>
      <c r="N981" s="17">
        <v>0</v>
      </c>
      <c r="P981" s="17">
        <v>2</v>
      </c>
      <c r="R981" s="66" t="s">
        <v>1225</v>
      </c>
    </row>
    <row r="982" s="27" customFormat="1" ht="16.5" spans="1:18">
      <c r="A982" s="81">
        <v>621907</v>
      </c>
      <c r="B982" s="17">
        <v>411</v>
      </c>
      <c r="C982" s="17" t="s">
        <v>644</v>
      </c>
      <c r="D982" s="79" t="s">
        <v>1263</v>
      </c>
      <c r="E982" s="17"/>
      <c r="F982" s="17">
        <v>44</v>
      </c>
      <c r="G982" s="17">
        <v>1</v>
      </c>
      <c r="H982" s="17"/>
      <c r="I982" s="86">
        <v>401808</v>
      </c>
      <c r="J982" s="17">
        <v>4</v>
      </c>
      <c r="N982" s="17">
        <v>0</v>
      </c>
      <c r="P982" s="17">
        <v>2</v>
      </c>
      <c r="R982" s="66" t="s">
        <v>1227</v>
      </c>
    </row>
    <row r="983" s="27" customFormat="1" ht="16.5" spans="1:18">
      <c r="A983" s="81">
        <v>621908</v>
      </c>
      <c r="B983" s="17">
        <v>411</v>
      </c>
      <c r="C983" s="17" t="s">
        <v>644</v>
      </c>
      <c r="D983" s="79" t="s">
        <v>1264</v>
      </c>
      <c r="E983" s="17"/>
      <c r="F983" s="17">
        <v>44</v>
      </c>
      <c r="G983" s="17">
        <v>1</v>
      </c>
      <c r="H983" s="17"/>
      <c r="I983" s="86">
        <v>401809</v>
      </c>
      <c r="J983" s="17">
        <v>4</v>
      </c>
      <c r="N983" s="17">
        <v>0</v>
      </c>
      <c r="P983" s="17">
        <v>2</v>
      </c>
      <c r="R983" s="66" t="s">
        <v>1229</v>
      </c>
    </row>
    <row r="984" s="27" customFormat="1" ht="16.5" spans="1:18">
      <c r="A984" s="81">
        <v>622001</v>
      </c>
      <c r="B984" s="17">
        <v>411</v>
      </c>
      <c r="C984" s="17" t="s">
        <v>644</v>
      </c>
      <c r="D984" s="79" t="s">
        <v>1265</v>
      </c>
      <c r="E984" s="17"/>
      <c r="F984" s="17">
        <v>44</v>
      </c>
      <c r="G984" s="17">
        <v>1</v>
      </c>
      <c r="H984" s="17"/>
      <c r="I984" s="87">
        <v>501802</v>
      </c>
      <c r="J984" s="17">
        <v>4</v>
      </c>
      <c r="N984" s="17">
        <v>0</v>
      </c>
      <c r="P984" s="17">
        <v>2</v>
      </c>
      <c r="R984" s="27" t="s">
        <v>1163</v>
      </c>
    </row>
    <row r="985" s="27" customFormat="1" ht="16.5" spans="1:18">
      <c r="A985" s="81">
        <v>622002</v>
      </c>
      <c r="B985" s="17">
        <v>411</v>
      </c>
      <c r="C985" s="17" t="s">
        <v>644</v>
      </c>
      <c r="D985" s="59" t="s">
        <v>1266</v>
      </c>
      <c r="E985" s="17"/>
      <c r="F985" s="17">
        <v>44</v>
      </c>
      <c r="G985" s="17">
        <v>1</v>
      </c>
      <c r="H985" s="17"/>
      <c r="I985" s="87">
        <v>501803</v>
      </c>
      <c r="J985" s="17">
        <v>4</v>
      </c>
      <c r="N985" s="17">
        <v>0</v>
      </c>
      <c r="P985" s="17">
        <v>2</v>
      </c>
      <c r="R985" s="27" t="s">
        <v>1165</v>
      </c>
    </row>
    <row r="986" s="27" customFormat="1" ht="16.5" spans="1:18">
      <c r="A986" s="81">
        <v>622003</v>
      </c>
      <c r="B986" s="17">
        <v>411</v>
      </c>
      <c r="C986" s="17" t="s">
        <v>644</v>
      </c>
      <c r="D986" s="59" t="s">
        <v>1267</v>
      </c>
      <c r="E986" s="17"/>
      <c r="F986" s="17">
        <v>44</v>
      </c>
      <c r="G986" s="17">
        <v>1</v>
      </c>
      <c r="H986" s="17"/>
      <c r="I986" s="87">
        <v>501804</v>
      </c>
      <c r="J986" s="17">
        <v>4</v>
      </c>
      <c r="N986" s="17">
        <v>0</v>
      </c>
      <c r="P986" s="17">
        <v>2</v>
      </c>
      <c r="R986" s="27" t="s">
        <v>1167</v>
      </c>
    </row>
    <row r="987" s="27" customFormat="1" ht="16.5" spans="1:18">
      <c r="A987" s="81">
        <v>622004</v>
      </c>
      <c r="B987" s="17">
        <v>411</v>
      </c>
      <c r="C987" s="17" t="s">
        <v>644</v>
      </c>
      <c r="D987" s="59" t="s">
        <v>1268</v>
      </c>
      <c r="E987" s="17"/>
      <c r="F987" s="17">
        <v>44</v>
      </c>
      <c r="G987" s="17">
        <v>1</v>
      </c>
      <c r="H987" s="17"/>
      <c r="I987" s="87">
        <v>501805</v>
      </c>
      <c r="J987" s="17">
        <v>4</v>
      </c>
      <c r="N987" s="17">
        <v>0</v>
      </c>
      <c r="P987" s="17">
        <v>2</v>
      </c>
      <c r="R987" s="27" t="s">
        <v>1132</v>
      </c>
    </row>
    <row r="988" s="27" customFormat="1" ht="16.5" spans="1:18">
      <c r="A988" s="81">
        <v>622005</v>
      </c>
      <c r="B988" s="17">
        <v>411</v>
      </c>
      <c r="C988" s="17" t="s">
        <v>644</v>
      </c>
      <c r="D988" s="59" t="s">
        <v>1269</v>
      </c>
      <c r="E988" s="17"/>
      <c r="F988" s="17">
        <v>44</v>
      </c>
      <c r="G988" s="17">
        <v>1</v>
      </c>
      <c r="H988" s="17"/>
      <c r="I988" s="87">
        <v>501806</v>
      </c>
      <c r="J988" s="17">
        <v>4</v>
      </c>
      <c r="N988" s="17">
        <v>0</v>
      </c>
      <c r="P988" s="17">
        <v>2</v>
      </c>
      <c r="R988" s="27" t="s">
        <v>1161</v>
      </c>
    </row>
    <row r="989" s="27" customFormat="1" ht="16.5" spans="1:18">
      <c r="A989" s="81">
        <v>622006</v>
      </c>
      <c r="B989" s="17">
        <v>411</v>
      </c>
      <c r="C989" s="17" t="s">
        <v>644</v>
      </c>
      <c r="D989" s="59" t="s">
        <v>1270</v>
      </c>
      <c r="E989" s="17"/>
      <c r="F989" s="17">
        <v>44</v>
      </c>
      <c r="G989" s="17">
        <v>1</v>
      </c>
      <c r="H989" s="17"/>
      <c r="I989" s="87">
        <v>501807</v>
      </c>
      <c r="J989" s="17">
        <v>4</v>
      </c>
      <c r="N989" s="17">
        <v>0</v>
      </c>
      <c r="P989" s="17">
        <v>2</v>
      </c>
      <c r="R989" s="66" t="s">
        <v>1225</v>
      </c>
    </row>
    <row r="990" s="27" customFormat="1" ht="16.5" spans="1:18">
      <c r="A990" s="81">
        <v>622007</v>
      </c>
      <c r="B990" s="17">
        <v>411</v>
      </c>
      <c r="C990" s="17" t="s">
        <v>644</v>
      </c>
      <c r="D990" s="79" t="s">
        <v>1271</v>
      </c>
      <c r="E990" s="17"/>
      <c r="F990" s="17">
        <v>44</v>
      </c>
      <c r="G990" s="17">
        <v>1</v>
      </c>
      <c r="H990" s="17"/>
      <c r="I990" s="87">
        <v>501808</v>
      </c>
      <c r="J990" s="17">
        <v>4</v>
      </c>
      <c r="N990" s="17">
        <v>0</v>
      </c>
      <c r="P990" s="17">
        <v>2</v>
      </c>
      <c r="R990" s="66" t="s">
        <v>1227</v>
      </c>
    </row>
    <row r="991" s="27" customFormat="1" ht="16.5" spans="1:18">
      <c r="A991" s="81">
        <v>622008</v>
      </c>
      <c r="B991" s="17">
        <v>411</v>
      </c>
      <c r="C991" s="17" t="s">
        <v>644</v>
      </c>
      <c r="D991" s="79" t="s">
        <v>1272</v>
      </c>
      <c r="E991" s="17"/>
      <c r="F991" s="17">
        <v>44</v>
      </c>
      <c r="G991" s="17">
        <v>1</v>
      </c>
      <c r="H991" s="17"/>
      <c r="I991" s="87">
        <v>501809</v>
      </c>
      <c r="J991" s="17">
        <v>4</v>
      </c>
      <c r="N991" s="17">
        <v>0</v>
      </c>
      <c r="P991" s="17">
        <v>2</v>
      </c>
      <c r="R991" s="66" t="s">
        <v>1229</v>
      </c>
    </row>
    <row r="992" s="34" customFormat="1" ht="16.5" spans="1:18">
      <c r="A992" s="82">
        <v>623001</v>
      </c>
      <c r="B992" s="74">
        <v>411</v>
      </c>
      <c r="C992" s="74" t="s">
        <v>644</v>
      </c>
      <c r="D992" s="80" t="s">
        <v>1273</v>
      </c>
      <c r="E992" s="74"/>
      <c r="F992" s="74">
        <v>44</v>
      </c>
      <c r="G992" s="74">
        <v>1</v>
      </c>
      <c r="H992" s="74"/>
      <c r="I992" s="74">
        <v>600302</v>
      </c>
      <c r="J992" s="74">
        <v>4</v>
      </c>
      <c r="N992" s="74">
        <v>0</v>
      </c>
      <c r="P992" s="74">
        <v>2</v>
      </c>
      <c r="R992" s="34" t="s">
        <v>1163</v>
      </c>
    </row>
    <row r="993" s="34" customFormat="1" ht="16.5" spans="1:18">
      <c r="A993" s="82">
        <v>623002</v>
      </c>
      <c r="B993" s="74">
        <v>411</v>
      </c>
      <c r="C993" s="74" t="s">
        <v>644</v>
      </c>
      <c r="D993" s="75" t="s">
        <v>1274</v>
      </c>
      <c r="E993" s="74"/>
      <c r="F993" s="74">
        <v>44</v>
      </c>
      <c r="G993" s="74">
        <v>1</v>
      </c>
      <c r="H993" s="74"/>
      <c r="I993" s="74">
        <v>600303</v>
      </c>
      <c r="J993" s="74">
        <v>4</v>
      </c>
      <c r="N993" s="74">
        <v>0</v>
      </c>
      <c r="P993" s="74">
        <v>2</v>
      </c>
      <c r="R993" s="34" t="s">
        <v>1165</v>
      </c>
    </row>
    <row r="994" s="34" customFormat="1" ht="16.5" spans="1:18">
      <c r="A994" s="82">
        <v>623003</v>
      </c>
      <c r="B994" s="74">
        <v>411</v>
      </c>
      <c r="C994" s="74" t="s">
        <v>644</v>
      </c>
      <c r="D994" s="75" t="s">
        <v>1275</v>
      </c>
      <c r="E994" s="74"/>
      <c r="F994" s="74">
        <v>44</v>
      </c>
      <c r="G994" s="74">
        <v>1</v>
      </c>
      <c r="H994" s="74"/>
      <c r="I994" s="74">
        <v>600304</v>
      </c>
      <c r="J994" s="74">
        <v>4</v>
      </c>
      <c r="N994" s="74">
        <v>0</v>
      </c>
      <c r="P994" s="74">
        <v>2</v>
      </c>
      <c r="R994" s="34" t="s">
        <v>1167</v>
      </c>
    </row>
    <row r="995" s="34" customFormat="1" ht="16.5" spans="1:18">
      <c r="A995" s="82">
        <v>623004</v>
      </c>
      <c r="B995" s="74">
        <v>411</v>
      </c>
      <c r="C995" s="74" t="s">
        <v>644</v>
      </c>
      <c r="D995" s="75" t="s">
        <v>1276</v>
      </c>
      <c r="E995" s="74"/>
      <c r="F995" s="74">
        <v>44</v>
      </c>
      <c r="G995" s="74">
        <v>1</v>
      </c>
      <c r="H995" s="74"/>
      <c r="I995" s="74">
        <v>600305</v>
      </c>
      <c r="J995" s="74">
        <v>4</v>
      </c>
      <c r="N995" s="74">
        <v>0</v>
      </c>
      <c r="P995" s="74">
        <v>2</v>
      </c>
      <c r="R995" s="34" t="s">
        <v>1132</v>
      </c>
    </row>
    <row r="996" s="34" customFormat="1" ht="16.5" spans="1:18">
      <c r="A996" s="82">
        <v>623005</v>
      </c>
      <c r="B996" s="74">
        <v>411</v>
      </c>
      <c r="C996" s="74" t="s">
        <v>644</v>
      </c>
      <c r="D996" s="75" t="s">
        <v>1277</v>
      </c>
      <c r="E996" s="74"/>
      <c r="F996" s="74">
        <v>44</v>
      </c>
      <c r="G996" s="74">
        <v>1</v>
      </c>
      <c r="H996" s="74"/>
      <c r="I996" s="74">
        <v>600306</v>
      </c>
      <c r="J996" s="74">
        <v>4</v>
      </c>
      <c r="N996" s="74">
        <v>0</v>
      </c>
      <c r="P996" s="74">
        <v>2</v>
      </c>
      <c r="R996" s="34" t="s">
        <v>1161</v>
      </c>
    </row>
    <row r="997" s="34" customFormat="1" ht="16.5" spans="1:18">
      <c r="A997" s="82">
        <v>623006</v>
      </c>
      <c r="B997" s="74">
        <v>411</v>
      </c>
      <c r="C997" s="74" t="s">
        <v>644</v>
      </c>
      <c r="D997" s="75" t="s">
        <v>1278</v>
      </c>
      <c r="E997" s="74"/>
      <c r="F997" s="74">
        <v>44</v>
      </c>
      <c r="G997" s="74">
        <v>1</v>
      </c>
      <c r="H997" s="74"/>
      <c r="I997" s="74">
        <v>600307</v>
      </c>
      <c r="J997" s="74">
        <v>4</v>
      </c>
      <c r="N997" s="74">
        <v>0</v>
      </c>
      <c r="P997" s="74">
        <v>2</v>
      </c>
      <c r="R997" s="77" t="s">
        <v>1225</v>
      </c>
    </row>
    <row r="998" s="34" customFormat="1" ht="16.5" spans="1:18">
      <c r="A998" s="82">
        <v>623007</v>
      </c>
      <c r="B998" s="74">
        <v>411</v>
      </c>
      <c r="C998" s="74" t="s">
        <v>644</v>
      </c>
      <c r="D998" s="80" t="s">
        <v>1279</v>
      </c>
      <c r="E998" s="74"/>
      <c r="F998" s="74">
        <v>44</v>
      </c>
      <c r="G998" s="74">
        <v>1</v>
      </c>
      <c r="H998" s="74"/>
      <c r="I998" s="74">
        <v>600308</v>
      </c>
      <c r="J998" s="74">
        <v>4</v>
      </c>
      <c r="N998" s="74">
        <v>0</v>
      </c>
      <c r="P998" s="74">
        <v>2</v>
      </c>
      <c r="R998" s="77" t="s">
        <v>1237</v>
      </c>
    </row>
    <row r="999" s="34" customFormat="1" ht="16.5" spans="1:18">
      <c r="A999" s="82">
        <v>623008</v>
      </c>
      <c r="B999" s="74">
        <v>411</v>
      </c>
      <c r="C999" s="74" t="s">
        <v>644</v>
      </c>
      <c r="D999" s="80" t="s">
        <v>1280</v>
      </c>
      <c r="E999" s="74"/>
      <c r="F999" s="74">
        <v>44</v>
      </c>
      <c r="G999" s="74">
        <v>1</v>
      </c>
      <c r="H999" s="74"/>
      <c r="I999" s="74">
        <v>600309</v>
      </c>
      <c r="J999" s="74">
        <v>4</v>
      </c>
      <c r="N999" s="74">
        <v>0</v>
      </c>
      <c r="P999" s="74">
        <v>2</v>
      </c>
      <c r="R999" s="77" t="s">
        <v>1281</v>
      </c>
    </row>
    <row r="1000" s="27" customFormat="1" ht="16.5" spans="1:19">
      <c r="A1000" s="81">
        <v>624001</v>
      </c>
      <c r="B1000" s="17">
        <v>411</v>
      </c>
      <c r="C1000" s="17" t="s">
        <v>644</v>
      </c>
      <c r="D1000" s="79" t="s">
        <v>1282</v>
      </c>
      <c r="E1000" s="17"/>
      <c r="F1000" s="17">
        <v>44</v>
      </c>
      <c r="G1000" s="17">
        <v>1</v>
      </c>
      <c r="H1000" s="17"/>
      <c r="I1000" s="17">
        <v>600402</v>
      </c>
      <c r="J1000" s="17">
        <v>4</v>
      </c>
      <c r="N1000" s="17">
        <v>0</v>
      </c>
      <c r="P1000" s="17">
        <v>2</v>
      </c>
      <c r="R1000" s="27" t="s">
        <v>1163</v>
      </c>
      <c r="S1000" s="27" t="s">
        <v>1283</v>
      </c>
    </row>
    <row r="1001" s="27" customFormat="1" ht="16.5" spans="1:19">
      <c r="A1001" s="81">
        <v>624002</v>
      </c>
      <c r="B1001" s="17">
        <v>411</v>
      </c>
      <c r="C1001" s="17" t="s">
        <v>644</v>
      </c>
      <c r="D1001" s="79" t="s">
        <v>1284</v>
      </c>
      <c r="E1001" s="17"/>
      <c r="F1001" s="17">
        <v>44</v>
      </c>
      <c r="G1001" s="17">
        <v>1</v>
      </c>
      <c r="H1001" s="17"/>
      <c r="I1001" s="17">
        <v>600403</v>
      </c>
      <c r="J1001" s="17">
        <v>4</v>
      </c>
      <c r="N1001" s="17">
        <v>0</v>
      </c>
      <c r="P1001" s="17">
        <v>2</v>
      </c>
      <c r="R1001" s="27" t="s">
        <v>1165</v>
      </c>
      <c r="S1001" s="27" t="s">
        <v>1285</v>
      </c>
    </row>
    <row r="1002" s="27" customFormat="1" ht="16.5" spans="1:19">
      <c r="A1002" s="81">
        <v>624003</v>
      </c>
      <c r="B1002" s="17">
        <v>411</v>
      </c>
      <c r="C1002" s="17" t="s">
        <v>644</v>
      </c>
      <c r="D1002" s="79" t="s">
        <v>1286</v>
      </c>
      <c r="E1002" s="17"/>
      <c r="F1002" s="17">
        <v>44</v>
      </c>
      <c r="G1002" s="17">
        <v>1</v>
      </c>
      <c r="H1002" s="17"/>
      <c r="I1002" s="17">
        <v>600404</v>
      </c>
      <c r="J1002" s="17">
        <v>4</v>
      </c>
      <c r="N1002" s="17">
        <v>0</v>
      </c>
      <c r="P1002" s="17">
        <v>2</v>
      </c>
      <c r="R1002" s="27" t="s">
        <v>1167</v>
      </c>
      <c r="S1002" s="27" t="s">
        <v>1287</v>
      </c>
    </row>
    <row r="1003" s="27" customFormat="1" ht="16.5" spans="1:19">
      <c r="A1003" s="81">
        <v>624004</v>
      </c>
      <c r="B1003" s="17">
        <v>411</v>
      </c>
      <c r="C1003" s="17" t="s">
        <v>644</v>
      </c>
      <c r="D1003" s="79" t="s">
        <v>1288</v>
      </c>
      <c r="E1003" s="17"/>
      <c r="F1003" s="17">
        <v>44</v>
      </c>
      <c r="G1003" s="17">
        <v>1</v>
      </c>
      <c r="H1003" s="17"/>
      <c r="I1003" s="17">
        <v>600405</v>
      </c>
      <c r="J1003" s="17">
        <v>4</v>
      </c>
      <c r="N1003" s="17">
        <v>0</v>
      </c>
      <c r="P1003" s="17">
        <v>2</v>
      </c>
      <c r="R1003" s="27" t="s">
        <v>1132</v>
      </c>
      <c r="S1003" s="27" t="s">
        <v>1289</v>
      </c>
    </row>
    <row r="1004" s="27" customFormat="1" ht="16.5" spans="1:19">
      <c r="A1004" s="81">
        <v>624005</v>
      </c>
      <c r="B1004" s="17">
        <v>411</v>
      </c>
      <c r="C1004" s="17" t="s">
        <v>644</v>
      </c>
      <c r="D1004" s="79" t="s">
        <v>1290</v>
      </c>
      <c r="E1004" s="17"/>
      <c r="F1004" s="17">
        <v>44</v>
      </c>
      <c r="G1004" s="17">
        <v>1</v>
      </c>
      <c r="H1004" s="17"/>
      <c r="I1004" s="17">
        <v>600406</v>
      </c>
      <c r="J1004" s="17">
        <v>4</v>
      </c>
      <c r="N1004" s="17">
        <v>0</v>
      </c>
      <c r="P1004" s="17">
        <v>2</v>
      </c>
      <c r="R1004" s="27" t="s">
        <v>1291</v>
      </c>
      <c r="S1004" s="27" t="s">
        <v>1292</v>
      </c>
    </row>
    <row r="1005" s="27" customFormat="1" ht="16.5" spans="1:19">
      <c r="A1005" s="81">
        <v>624006</v>
      </c>
      <c r="B1005" s="17">
        <v>411</v>
      </c>
      <c r="C1005" s="17" t="s">
        <v>644</v>
      </c>
      <c r="D1005" s="79" t="s">
        <v>1293</v>
      </c>
      <c r="E1005" s="17"/>
      <c r="F1005" s="17">
        <v>44</v>
      </c>
      <c r="G1005" s="17">
        <v>1</v>
      </c>
      <c r="H1005" s="17"/>
      <c r="I1005" s="17">
        <v>600407</v>
      </c>
      <c r="J1005" s="17">
        <v>4</v>
      </c>
      <c r="N1005" s="17">
        <v>0</v>
      </c>
      <c r="P1005" s="17">
        <v>2</v>
      </c>
      <c r="R1005" s="66" t="s">
        <v>1206</v>
      </c>
      <c r="S1005" s="27" t="s">
        <v>1207</v>
      </c>
    </row>
    <row r="1006" s="27" customFormat="1" ht="16.5" spans="1:19">
      <c r="A1006" s="81">
        <v>624007</v>
      </c>
      <c r="B1006" s="17">
        <v>411</v>
      </c>
      <c r="C1006" s="17" t="s">
        <v>644</v>
      </c>
      <c r="D1006" s="79" t="s">
        <v>1294</v>
      </c>
      <c r="E1006" s="17"/>
      <c r="F1006" s="17">
        <v>44</v>
      </c>
      <c r="G1006" s="17">
        <v>1</v>
      </c>
      <c r="H1006" s="17"/>
      <c r="I1006" s="17">
        <v>600408</v>
      </c>
      <c r="J1006" s="17">
        <v>4</v>
      </c>
      <c r="N1006" s="17">
        <v>0</v>
      </c>
      <c r="P1006" s="17">
        <v>2</v>
      </c>
      <c r="R1006" s="66" t="s">
        <v>1237</v>
      </c>
      <c r="S1006" s="27" t="s">
        <v>1295</v>
      </c>
    </row>
    <row r="1007" s="27" customFormat="1" ht="16.5" spans="1:19">
      <c r="A1007" s="81">
        <v>624008</v>
      </c>
      <c r="B1007" s="17">
        <v>411</v>
      </c>
      <c r="C1007" s="17" t="s">
        <v>644</v>
      </c>
      <c r="D1007" s="79" t="s">
        <v>1296</v>
      </c>
      <c r="E1007" s="17"/>
      <c r="F1007" s="17">
        <v>44</v>
      </c>
      <c r="G1007" s="17">
        <v>1</v>
      </c>
      <c r="H1007" s="17"/>
      <c r="I1007" s="17">
        <v>600409</v>
      </c>
      <c r="J1007" s="17">
        <v>4</v>
      </c>
      <c r="N1007" s="17">
        <v>0</v>
      </c>
      <c r="P1007" s="17">
        <v>2</v>
      </c>
      <c r="R1007" s="66" t="s">
        <v>1297</v>
      </c>
      <c r="S1007" s="27" t="s">
        <v>1298</v>
      </c>
    </row>
    <row r="1008" s="36" customFormat="1" ht="16.5" spans="1:19">
      <c r="A1008" s="83">
        <v>625001</v>
      </c>
      <c r="B1008" s="84">
        <v>411</v>
      </c>
      <c r="C1008" s="84" t="s">
        <v>644</v>
      </c>
      <c r="D1008" s="85" t="s">
        <v>1299</v>
      </c>
      <c r="E1008" s="84"/>
      <c r="F1008" s="84">
        <v>44</v>
      </c>
      <c r="G1008" s="84">
        <v>1</v>
      </c>
      <c r="H1008" s="84"/>
      <c r="I1008" s="88">
        <v>102402</v>
      </c>
      <c r="J1008" s="17">
        <v>4</v>
      </c>
      <c r="N1008" s="17">
        <v>0</v>
      </c>
      <c r="P1008" s="17">
        <v>2</v>
      </c>
      <c r="R1008" s="36" t="s">
        <v>1163</v>
      </c>
      <c r="S1008" s="36" t="s">
        <v>1283</v>
      </c>
    </row>
    <row r="1009" s="36" customFormat="1" ht="16.5" spans="1:19">
      <c r="A1009" s="83">
        <v>625002</v>
      </c>
      <c r="B1009" s="84">
        <v>411</v>
      </c>
      <c r="C1009" s="84" t="s">
        <v>644</v>
      </c>
      <c r="D1009" s="85" t="s">
        <v>1300</v>
      </c>
      <c r="E1009" s="84"/>
      <c r="F1009" s="84">
        <v>44</v>
      </c>
      <c r="G1009" s="84">
        <v>1</v>
      </c>
      <c r="H1009" s="84"/>
      <c r="I1009" s="88">
        <v>102403</v>
      </c>
      <c r="J1009" s="17">
        <v>4</v>
      </c>
      <c r="N1009" s="17">
        <v>0</v>
      </c>
      <c r="P1009" s="17">
        <v>2</v>
      </c>
      <c r="R1009" s="36" t="s">
        <v>1165</v>
      </c>
      <c r="S1009" s="36" t="s">
        <v>1285</v>
      </c>
    </row>
    <row r="1010" s="36" customFormat="1" ht="16.5" spans="1:19">
      <c r="A1010" s="83">
        <v>625003</v>
      </c>
      <c r="B1010" s="84">
        <v>411</v>
      </c>
      <c r="C1010" s="84" t="s">
        <v>644</v>
      </c>
      <c r="D1010" s="85" t="s">
        <v>1301</v>
      </c>
      <c r="E1010" s="84"/>
      <c r="F1010" s="84">
        <v>44</v>
      </c>
      <c r="G1010" s="84">
        <v>1</v>
      </c>
      <c r="H1010" s="84"/>
      <c r="I1010" s="88">
        <v>102404</v>
      </c>
      <c r="J1010" s="17">
        <v>4</v>
      </c>
      <c r="N1010" s="17">
        <v>0</v>
      </c>
      <c r="P1010" s="17">
        <v>2</v>
      </c>
      <c r="R1010" s="36" t="s">
        <v>1167</v>
      </c>
      <c r="S1010" s="36" t="s">
        <v>1287</v>
      </c>
    </row>
    <row r="1011" s="36" customFormat="1" ht="16.5" spans="1:19">
      <c r="A1011" s="83">
        <v>625004</v>
      </c>
      <c r="B1011" s="84">
        <v>411</v>
      </c>
      <c r="C1011" s="84" t="s">
        <v>644</v>
      </c>
      <c r="D1011" s="85" t="s">
        <v>1302</v>
      </c>
      <c r="E1011" s="84"/>
      <c r="F1011" s="84">
        <v>44</v>
      </c>
      <c r="G1011" s="84">
        <v>1</v>
      </c>
      <c r="H1011" s="84"/>
      <c r="I1011" s="88">
        <v>102405</v>
      </c>
      <c r="J1011" s="17">
        <v>4</v>
      </c>
      <c r="N1011" s="17">
        <v>0</v>
      </c>
      <c r="P1011" s="17">
        <v>2</v>
      </c>
      <c r="R1011" s="36" t="s">
        <v>1132</v>
      </c>
      <c r="S1011" s="36" t="s">
        <v>1289</v>
      </c>
    </row>
    <row r="1012" s="36" customFormat="1" ht="16.5" spans="1:19">
      <c r="A1012" s="83">
        <v>625005</v>
      </c>
      <c r="B1012" s="84">
        <v>411</v>
      </c>
      <c r="C1012" s="84" t="s">
        <v>644</v>
      </c>
      <c r="D1012" s="85" t="s">
        <v>1303</v>
      </c>
      <c r="E1012" s="84"/>
      <c r="F1012" s="84">
        <v>44</v>
      </c>
      <c r="G1012" s="84">
        <v>1</v>
      </c>
      <c r="H1012" s="84"/>
      <c r="I1012" s="88">
        <v>102406</v>
      </c>
      <c r="J1012" s="17">
        <v>4</v>
      </c>
      <c r="N1012" s="17">
        <v>0</v>
      </c>
      <c r="P1012" s="17">
        <v>2</v>
      </c>
      <c r="R1012" s="36" t="s">
        <v>1161</v>
      </c>
      <c r="S1012" s="36" t="s">
        <v>1292</v>
      </c>
    </row>
    <row r="1013" s="36" customFormat="1" ht="16.5" spans="1:19">
      <c r="A1013" s="83">
        <v>625006</v>
      </c>
      <c r="B1013" s="84">
        <v>411</v>
      </c>
      <c r="C1013" s="84" t="s">
        <v>644</v>
      </c>
      <c r="D1013" s="85" t="s">
        <v>1304</v>
      </c>
      <c r="E1013" s="84"/>
      <c r="F1013" s="84">
        <v>44</v>
      </c>
      <c r="G1013" s="84">
        <v>1</v>
      </c>
      <c r="H1013" s="84"/>
      <c r="I1013" s="88">
        <v>102407</v>
      </c>
      <c r="J1013" s="17">
        <v>4</v>
      </c>
      <c r="N1013" s="17">
        <v>0</v>
      </c>
      <c r="P1013" s="17">
        <v>2</v>
      </c>
      <c r="R1013" s="89" t="s">
        <v>1206</v>
      </c>
      <c r="S1013" s="36" t="s">
        <v>1207</v>
      </c>
    </row>
    <row r="1014" s="36" customFormat="1" ht="16.5" spans="1:19">
      <c r="A1014" s="83">
        <v>625007</v>
      </c>
      <c r="B1014" s="84">
        <v>411</v>
      </c>
      <c r="C1014" s="84" t="s">
        <v>644</v>
      </c>
      <c r="D1014" s="85" t="s">
        <v>1305</v>
      </c>
      <c r="E1014" s="84"/>
      <c r="F1014" s="84">
        <v>44</v>
      </c>
      <c r="G1014" s="84">
        <v>1</v>
      </c>
      <c r="H1014" s="84"/>
      <c r="I1014" s="88">
        <v>102408</v>
      </c>
      <c r="J1014" s="17">
        <v>4</v>
      </c>
      <c r="N1014" s="17">
        <v>0</v>
      </c>
      <c r="P1014" s="17">
        <v>2</v>
      </c>
      <c r="R1014" s="89" t="s">
        <v>1306</v>
      </c>
      <c r="S1014" s="36" t="s">
        <v>1307</v>
      </c>
    </row>
    <row r="1015" s="36" customFormat="1" ht="16.5" spans="1:19">
      <c r="A1015" s="83">
        <v>625008</v>
      </c>
      <c r="B1015" s="84">
        <v>411</v>
      </c>
      <c r="C1015" s="84" t="s">
        <v>644</v>
      </c>
      <c r="D1015" s="85" t="s">
        <v>1308</v>
      </c>
      <c r="E1015" s="84"/>
      <c r="F1015" s="84">
        <v>44</v>
      </c>
      <c r="G1015" s="84">
        <v>1</v>
      </c>
      <c r="H1015" s="84"/>
      <c r="I1015" s="88">
        <v>102409</v>
      </c>
      <c r="J1015" s="17">
        <v>4</v>
      </c>
      <c r="N1015" s="17">
        <v>0</v>
      </c>
      <c r="P1015" s="17">
        <v>2</v>
      </c>
      <c r="R1015" s="89" t="s">
        <v>1309</v>
      </c>
      <c r="S1015" s="36" t="s">
        <v>1310</v>
      </c>
    </row>
    <row r="1016" s="27" customFormat="1" ht="16.5" spans="1:19">
      <c r="A1016" s="81">
        <v>626001</v>
      </c>
      <c r="B1016" s="17">
        <v>411</v>
      </c>
      <c r="C1016" s="17" t="s">
        <v>644</v>
      </c>
      <c r="D1016" s="79" t="s">
        <v>1311</v>
      </c>
      <c r="E1016" s="17"/>
      <c r="F1016" s="17">
        <v>44</v>
      </c>
      <c r="G1016" s="17">
        <v>1</v>
      </c>
      <c r="H1016" s="17"/>
      <c r="I1016" s="17">
        <v>600602</v>
      </c>
      <c r="J1016" s="17">
        <v>4</v>
      </c>
      <c r="N1016" s="17">
        <v>0</v>
      </c>
      <c r="P1016" s="17">
        <v>2</v>
      </c>
      <c r="R1016" s="27" t="s">
        <v>1163</v>
      </c>
      <c r="S1016" s="27" t="s">
        <v>1283</v>
      </c>
    </row>
    <row r="1017" s="27" customFormat="1" ht="16.5" spans="1:19">
      <c r="A1017" s="81">
        <v>626002</v>
      </c>
      <c r="B1017" s="17">
        <v>411</v>
      </c>
      <c r="C1017" s="17" t="s">
        <v>644</v>
      </c>
      <c r="D1017" s="79" t="s">
        <v>1312</v>
      </c>
      <c r="E1017" s="17"/>
      <c r="F1017" s="17">
        <v>44</v>
      </c>
      <c r="G1017" s="17">
        <v>1</v>
      </c>
      <c r="H1017" s="17"/>
      <c r="I1017" s="17">
        <v>600603</v>
      </c>
      <c r="J1017" s="17">
        <v>4</v>
      </c>
      <c r="N1017" s="17">
        <v>0</v>
      </c>
      <c r="P1017" s="17">
        <v>2</v>
      </c>
      <c r="R1017" s="27" t="s">
        <v>1165</v>
      </c>
      <c r="S1017" s="27" t="s">
        <v>1285</v>
      </c>
    </row>
    <row r="1018" s="27" customFormat="1" ht="16.5" spans="1:19">
      <c r="A1018" s="81">
        <v>626003</v>
      </c>
      <c r="B1018" s="17">
        <v>411</v>
      </c>
      <c r="C1018" s="17" t="s">
        <v>644</v>
      </c>
      <c r="D1018" s="79" t="s">
        <v>1313</v>
      </c>
      <c r="E1018" s="17"/>
      <c r="F1018" s="17">
        <v>44</v>
      </c>
      <c r="G1018" s="17">
        <v>1</v>
      </c>
      <c r="H1018" s="17"/>
      <c r="I1018" s="17">
        <v>600604</v>
      </c>
      <c r="J1018" s="17">
        <v>4</v>
      </c>
      <c r="N1018" s="17">
        <v>0</v>
      </c>
      <c r="P1018" s="17">
        <v>2</v>
      </c>
      <c r="R1018" s="27" t="s">
        <v>1167</v>
      </c>
      <c r="S1018" s="27" t="s">
        <v>1287</v>
      </c>
    </row>
    <row r="1019" s="27" customFormat="1" ht="16.5" spans="1:19">
      <c r="A1019" s="81">
        <v>626004</v>
      </c>
      <c r="B1019" s="17">
        <v>411</v>
      </c>
      <c r="C1019" s="17" t="s">
        <v>644</v>
      </c>
      <c r="D1019" s="79" t="s">
        <v>1314</v>
      </c>
      <c r="E1019" s="17"/>
      <c r="F1019" s="17">
        <v>44</v>
      </c>
      <c r="G1019" s="17">
        <v>1</v>
      </c>
      <c r="H1019" s="17"/>
      <c r="I1019" s="17">
        <v>600605</v>
      </c>
      <c r="J1019" s="17">
        <v>4</v>
      </c>
      <c r="N1019" s="17">
        <v>0</v>
      </c>
      <c r="P1019" s="17">
        <v>2</v>
      </c>
      <c r="R1019" s="27" t="s">
        <v>1132</v>
      </c>
      <c r="S1019" s="27" t="s">
        <v>1289</v>
      </c>
    </row>
    <row r="1020" s="27" customFormat="1" ht="16.5" spans="1:19">
      <c r="A1020" s="81">
        <v>626005</v>
      </c>
      <c r="B1020" s="17">
        <v>411</v>
      </c>
      <c r="C1020" s="17" t="s">
        <v>644</v>
      </c>
      <c r="D1020" s="79" t="s">
        <v>1315</v>
      </c>
      <c r="E1020" s="17"/>
      <c r="F1020" s="17">
        <v>44</v>
      </c>
      <c r="G1020" s="17">
        <v>1</v>
      </c>
      <c r="H1020" s="17"/>
      <c r="I1020" s="17">
        <v>600606</v>
      </c>
      <c r="J1020" s="17">
        <v>4</v>
      </c>
      <c r="N1020" s="17">
        <v>0</v>
      </c>
      <c r="P1020" s="17">
        <v>2</v>
      </c>
      <c r="R1020" s="27" t="s">
        <v>1316</v>
      </c>
      <c r="S1020" s="27" t="s">
        <v>1292</v>
      </c>
    </row>
    <row r="1021" s="27" customFormat="1" ht="16.5" spans="1:19">
      <c r="A1021" s="81">
        <v>626006</v>
      </c>
      <c r="B1021" s="17">
        <v>411</v>
      </c>
      <c r="C1021" s="17" t="s">
        <v>644</v>
      </c>
      <c r="D1021" s="79" t="s">
        <v>1317</v>
      </c>
      <c r="E1021" s="17"/>
      <c r="F1021" s="17">
        <v>44</v>
      </c>
      <c r="G1021" s="17">
        <v>1</v>
      </c>
      <c r="H1021" s="17"/>
      <c r="I1021" s="17">
        <v>600607</v>
      </c>
      <c r="J1021" s="17">
        <v>4</v>
      </c>
      <c r="N1021" s="17">
        <v>0</v>
      </c>
      <c r="P1021" s="17">
        <v>2</v>
      </c>
      <c r="R1021" s="66" t="s">
        <v>1206</v>
      </c>
      <c r="S1021" s="27" t="s">
        <v>1207</v>
      </c>
    </row>
    <row r="1022" s="27" customFormat="1" ht="16.5" spans="1:19">
      <c r="A1022" s="81">
        <v>626007</v>
      </c>
      <c r="B1022" s="17">
        <v>411</v>
      </c>
      <c r="C1022" s="17" t="s">
        <v>644</v>
      </c>
      <c r="D1022" s="79" t="s">
        <v>1318</v>
      </c>
      <c r="E1022" s="17"/>
      <c r="F1022" s="17">
        <v>44</v>
      </c>
      <c r="G1022" s="17">
        <v>1</v>
      </c>
      <c r="H1022" s="17"/>
      <c r="I1022" s="17">
        <v>600608</v>
      </c>
      <c r="J1022" s="17">
        <v>4</v>
      </c>
      <c r="N1022" s="17">
        <v>0</v>
      </c>
      <c r="P1022" s="17">
        <v>2</v>
      </c>
      <c r="R1022" s="66" t="s">
        <v>1237</v>
      </c>
      <c r="S1022" s="27" t="s">
        <v>1295</v>
      </c>
    </row>
    <row r="1023" s="27" customFormat="1" ht="16.5" spans="1:19">
      <c r="A1023" s="81">
        <v>626008</v>
      </c>
      <c r="B1023" s="17">
        <v>411</v>
      </c>
      <c r="C1023" s="17" t="s">
        <v>644</v>
      </c>
      <c r="D1023" s="79" t="s">
        <v>1319</v>
      </c>
      <c r="E1023" s="17"/>
      <c r="F1023" s="17">
        <v>44</v>
      </c>
      <c r="G1023" s="17">
        <v>1</v>
      </c>
      <c r="H1023" s="17"/>
      <c r="I1023" s="17">
        <v>600609</v>
      </c>
      <c r="J1023" s="17">
        <v>4</v>
      </c>
      <c r="N1023" s="17">
        <v>0</v>
      </c>
      <c r="P1023" s="17">
        <v>2</v>
      </c>
      <c r="R1023" s="66" t="s">
        <v>1320</v>
      </c>
      <c r="S1023" s="27" t="s">
        <v>1298</v>
      </c>
    </row>
    <row r="1024" s="27" customFormat="1" ht="16.5" spans="1:19">
      <c r="A1024" s="81">
        <v>627001</v>
      </c>
      <c r="B1024" s="17">
        <v>411</v>
      </c>
      <c r="C1024" s="17" t="s">
        <v>644</v>
      </c>
      <c r="D1024" s="79" t="s">
        <v>1321</v>
      </c>
      <c r="E1024" s="17"/>
      <c r="F1024" s="17">
        <v>44</v>
      </c>
      <c r="G1024" s="17">
        <v>1</v>
      </c>
      <c r="H1024" s="17"/>
      <c r="I1024" s="17">
        <v>600702</v>
      </c>
      <c r="J1024" s="17">
        <v>4</v>
      </c>
      <c r="N1024" s="17">
        <v>0</v>
      </c>
      <c r="P1024" s="17">
        <v>2</v>
      </c>
      <c r="R1024" s="27" t="s">
        <v>1163</v>
      </c>
      <c r="S1024" s="27" t="s">
        <v>1283</v>
      </c>
    </row>
    <row r="1025" s="27" customFormat="1" ht="16.5" spans="1:19">
      <c r="A1025" s="81">
        <v>627002</v>
      </c>
      <c r="B1025" s="17">
        <v>411</v>
      </c>
      <c r="C1025" s="17" t="s">
        <v>644</v>
      </c>
      <c r="D1025" s="79" t="s">
        <v>1322</v>
      </c>
      <c r="E1025" s="17"/>
      <c r="F1025" s="17">
        <v>44</v>
      </c>
      <c r="G1025" s="17">
        <v>1</v>
      </c>
      <c r="H1025" s="17"/>
      <c r="I1025" s="17">
        <v>600703</v>
      </c>
      <c r="J1025" s="17">
        <v>4</v>
      </c>
      <c r="N1025" s="17">
        <v>0</v>
      </c>
      <c r="P1025" s="17">
        <v>2</v>
      </c>
      <c r="R1025" s="27" t="s">
        <v>1165</v>
      </c>
      <c r="S1025" s="27" t="s">
        <v>1285</v>
      </c>
    </row>
    <row r="1026" s="27" customFormat="1" ht="16.5" spans="1:19">
      <c r="A1026" s="81">
        <v>627003</v>
      </c>
      <c r="B1026" s="17">
        <v>411</v>
      </c>
      <c r="C1026" s="17" t="s">
        <v>644</v>
      </c>
      <c r="D1026" s="79" t="s">
        <v>1323</v>
      </c>
      <c r="E1026" s="17"/>
      <c r="F1026" s="17">
        <v>44</v>
      </c>
      <c r="G1026" s="17">
        <v>1</v>
      </c>
      <c r="H1026" s="17"/>
      <c r="I1026" s="17">
        <v>600704</v>
      </c>
      <c r="J1026" s="17">
        <v>4</v>
      </c>
      <c r="N1026" s="17">
        <v>0</v>
      </c>
      <c r="P1026" s="17">
        <v>2</v>
      </c>
      <c r="R1026" s="27" t="s">
        <v>1167</v>
      </c>
      <c r="S1026" s="27" t="s">
        <v>1287</v>
      </c>
    </row>
    <row r="1027" s="27" customFormat="1" ht="16.5" spans="1:19">
      <c r="A1027" s="81">
        <v>627004</v>
      </c>
      <c r="B1027" s="17">
        <v>411</v>
      </c>
      <c r="C1027" s="17" t="s">
        <v>644</v>
      </c>
      <c r="D1027" s="79" t="s">
        <v>1324</v>
      </c>
      <c r="E1027" s="17"/>
      <c r="F1027" s="17">
        <v>44</v>
      </c>
      <c r="G1027" s="17">
        <v>1</v>
      </c>
      <c r="H1027" s="17"/>
      <c r="I1027" s="17">
        <v>600705</v>
      </c>
      <c r="J1027" s="17">
        <v>4</v>
      </c>
      <c r="N1027" s="17">
        <v>0</v>
      </c>
      <c r="P1027" s="17">
        <v>2</v>
      </c>
      <c r="R1027" s="27" t="s">
        <v>1132</v>
      </c>
      <c r="S1027" s="27" t="s">
        <v>1289</v>
      </c>
    </row>
    <row r="1028" s="27" customFormat="1" ht="16.5" spans="1:19">
      <c r="A1028" s="81">
        <v>627005</v>
      </c>
      <c r="B1028" s="17">
        <v>411</v>
      </c>
      <c r="C1028" s="17" t="s">
        <v>644</v>
      </c>
      <c r="D1028" s="79" t="s">
        <v>1325</v>
      </c>
      <c r="E1028" s="17"/>
      <c r="F1028" s="17">
        <v>44</v>
      </c>
      <c r="G1028" s="17">
        <v>1</v>
      </c>
      <c r="H1028" s="17"/>
      <c r="I1028" s="17">
        <v>600706</v>
      </c>
      <c r="J1028" s="17">
        <v>4</v>
      </c>
      <c r="N1028" s="17">
        <v>0</v>
      </c>
      <c r="P1028" s="17">
        <v>2</v>
      </c>
      <c r="R1028" s="27" t="s">
        <v>1326</v>
      </c>
      <c r="S1028" s="27" t="s">
        <v>1292</v>
      </c>
    </row>
    <row r="1029" s="27" customFormat="1" ht="16.5" spans="1:19">
      <c r="A1029" s="81">
        <v>627006</v>
      </c>
      <c r="B1029" s="17">
        <v>411</v>
      </c>
      <c r="C1029" s="17" t="s">
        <v>644</v>
      </c>
      <c r="D1029" s="79" t="s">
        <v>1327</v>
      </c>
      <c r="E1029" s="17"/>
      <c r="F1029" s="17">
        <v>44</v>
      </c>
      <c r="G1029" s="17">
        <v>1</v>
      </c>
      <c r="H1029" s="17"/>
      <c r="I1029" s="17">
        <v>600707</v>
      </c>
      <c r="J1029" s="17">
        <v>4</v>
      </c>
      <c r="N1029" s="17">
        <v>0</v>
      </c>
      <c r="P1029" s="17">
        <v>2</v>
      </c>
      <c r="R1029" s="66" t="s">
        <v>1206</v>
      </c>
      <c r="S1029" s="27" t="s">
        <v>1207</v>
      </c>
    </row>
    <row r="1030" s="27" customFormat="1" ht="16.5" spans="1:19">
      <c r="A1030" s="81">
        <v>627007</v>
      </c>
      <c r="B1030" s="17">
        <v>411</v>
      </c>
      <c r="C1030" s="17" t="s">
        <v>644</v>
      </c>
      <c r="D1030" s="79" t="s">
        <v>1328</v>
      </c>
      <c r="E1030" s="17"/>
      <c r="F1030" s="17">
        <v>44</v>
      </c>
      <c r="G1030" s="17">
        <v>1</v>
      </c>
      <c r="H1030" s="17"/>
      <c r="I1030" s="17">
        <v>600708</v>
      </c>
      <c r="J1030" s="17">
        <v>4</v>
      </c>
      <c r="N1030" s="17">
        <v>0</v>
      </c>
      <c r="P1030" s="17">
        <v>2</v>
      </c>
      <c r="R1030" s="66" t="s">
        <v>1237</v>
      </c>
      <c r="S1030" s="27" t="s">
        <v>1295</v>
      </c>
    </row>
    <row r="1031" s="27" customFormat="1" ht="16.5" spans="1:19">
      <c r="A1031" s="81">
        <v>627008</v>
      </c>
      <c r="B1031" s="17">
        <v>411</v>
      </c>
      <c r="C1031" s="17" t="s">
        <v>644</v>
      </c>
      <c r="D1031" s="79" t="s">
        <v>1329</v>
      </c>
      <c r="E1031" s="17"/>
      <c r="F1031" s="17">
        <v>44</v>
      </c>
      <c r="G1031" s="17">
        <v>1</v>
      </c>
      <c r="H1031" s="17"/>
      <c r="I1031" s="17">
        <v>600709</v>
      </c>
      <c r="J1031" s="17">
        <v>4</v>
      </c>
      <c r="N1031" s="17">
        <v>0</v>
      </c>
      <c r="P1031" s="17">
        <v>2</v>
      </c>
      <c r="R1031" s="66" t="s">
        <v>1330</v>
      </c>
      <c r="S1031" s="27" t="s">
        <v>1298</v>
      </c>
    </row>
    <row r="1032" s="27" customFormat="1" ht="16.5" spans="1:19">
      <c r="A1032" s="81">
        <v>628001</v>
      </c>
      <c r="B1032" s="17">
        <v>411</v>
      </c>
      <c r="C1032" s="17" t="s">
        <v>644</v>
      </c>
      <c r="D1032" s="79" t="s">
        <v>1331</v>
      </c>
      <c r="E1032" s="17"/>
      <c r="F1032" s="17">
        <v>44</v>
      </c>
      <c r="G1032" s="17">
        <v>1</v>
      </c>
      <c r="H1032" s="17"/>
      <c r="I1032" s="17">
        <v>600502</v>
      </c>
      <c r="J1032" s="17">
        <v>4</v>
      </c>
      <c r="N1032" s="17">
        <v>0</v>
      </c>
      <c r="P1032" s="17">
        <v>2</v>
      </c>
      <c r="R1032" s="27" t="s">
        <v>1163</v>
      </c>
      <c r="S1032" s="27" t="s">
        <v>1283</v>
      </c>
    </row>
    <row r="1033" s="27" customFormat="1" ht="16.5" spans="1:19">
      <c r="A1033" s="81">
        <v>628002</v>
      </c>
      <c r="B1033" s="17">
        <v>411</v>
      </c>
      <c r="C1033" s="17" t="s">
        <v>644</v>
      </c>
      <c r="D1033" s="79" t="s">
        <v>1332</v>
      </c>
      <c r="E1033" s="17"/>
      <c r="F1033" s="17">
        <v>44</v>
      </c>
      <c r="G1033" s="17">
        <v>1</v>
      </c>
      <c r="H1033" s="17"/>
      <c r="I1033" s="17">
        <v>600503</v>
      </c>
      <c r="J1033" s="17">
        <v>4</v>
      </c>
      <c r="N1033" s="17">
        <v>0</v>
      </c>
      <c r="P1033" s="17">
        <v>2</v>
      </c>
      <c r="R1033" s="27" t="s">
        <v>1165</v>
      </c>
      <c r="S1033" s="27" t="s">
        <v>1285</v>
      </c>
    </row>
    <row r="1034" s="27" customFormat="1" ht="16.5" spans="1:19">
      <c r="A1034" s="81">
        <v>628003</v>
      </c>
      <c r="B1034" s="17">
        <v>411</v>
      </c>
      <c r="C1034" s="17" t="s">
        <v>644</v>
      </c>
      <c r="D1034" s="79" t="s">
        <v>1333</v>
      </c>
      <c r="E1034" s="17"/>
      <c r="F1034" s="17">
        <v>44</v>
      </c>
      <c r="G1034" s="17">
        <v>1</v>
      </c>
      <c r="H1034" s="17"/>
      <c r="I1034" s="17">
        <v>600504</v>
      </c>
      <c r="J1034" s="17">
        <v>4</v>
      </c>
      <c r="N1034" s="17">
        <v>0</v>
      </c>
      <c r="P1034" s="17">
        <v>2</v>
      </c>
      <c r="R1034" s="27" t="s">
        <v>1167</v>
      </c>
      <c r="S1034" s="27" t="s">
        <v>1287</v>
      </c>
    </row>
    <row r="1035" s="27" customFormat="1" ht="16.5" spans="1:19">
      <c r="A1035" s="81">
        <v>628004</v>
      </c>
      <c r="B1035" s="17">
        <v>411</v>
      </c>
      <c r="C1035" s="17" t="s">
        <v>644</v>
      </c>
      <c r="D1035" s="79" t="s">
        <v>1334</v>
      </c>
      <c r="E1035" s="17"/>
      <c r="F1035" s="17">
        <v>44</v>
      </c>
      <c r="G1035" s="17">
        <v>1</v>
      </c>
      <c r="H1035" s="17"/>
      <c r="I1035" s="17">
        <v>600505</v>
      </c>
      <c r="J1035" s="17">
        <v>4</v>
      </c>
      <c r="N1035" s="17">
        <v>0</v>
      </c>
      <c r="P1035" s="17">
        <v>2</v>
      </c>
      <c r="R1035" s="27" t="s">
        <v>1132</v>
      </c>
      <c r="S1035" s="27" t="s">
        <v>1289</v>
      </c>
    </row>
    <row r="1036" s="27" customFormat="1" ht="16.5" spans="1:19">
      <c r="A1036" s="81">
        <v>628005</v>
      </c>
      <c r="B1036" s="17">
        <v>411</v>
      </c>
      <c r="C1036" s="17" t="s">
        <v>644</v>
      </c>
      <c r="D1036" s="79" t="s">
        <v>1335</v>
      </c>
      <c r="E1036" s="17"/>
      <c r="F1036" s="17">
        <v>44</v>
      </c>
      <c r="G1036" s="17">
        <v>1</v>
      </c>
      <c r="H1036" s="17"/>
      <c r="I1036" s="17">
        <v>600506</v>
      </c>
      <c r="J1036" s="17">
        <v>4</v>
      </c>
      <c r="N1036" s="17">
        <v>0</v>
      </c>
      <c r="P1036" s="17">
        <v>2</v>
      </c>
      <c r="R1036" s="27" t="s">
        <v>1336</v>
      </c>
      <c r="S1036" s="27" t="s">
        <v>1292</v>
      </c>
    </row>
    <row r="1037" s="27" customFormat="1" ht="16.5" spans="1:19">
      <c r="A1037" s="81">
        <v>628006</v>
      </c>
      <c r="B1037" s="17">
        <v>411</v>
      </c>
      <c r="C1037" s="17" t="s">
        <v>644</v>
      </c>
      <c r="D1037" s="79" t="s">
        <v>1337</v>
      </c>
      <c r="E1037" s="17"/>
      <c r="F1037" s="17">
        <v>44</v>
      </c>
      <c r="G1037" s="17">
        <v>1</v>
      </c>
      <c r="H1037" s="17"/>
      <c r="I1037" s="17">
        <v>600507</v>
      </c>
      <c r="J1037" s="17">
        <v>4</v>
      </c>
      <c r="N1037" s="17">
        <v>0</v>
      </c>
      <c r="P1037" s="17">
        <v>2</v>
      </c>
      <c r="R1037" s="66" t="s">
        <v>1206</v>
      </c>
      <c r="S1037" s="27" t="s">
        <v>1207</v>
      </c>
    </row>
    <row r="1038" s="27" customFormat="1" ht="16.5" spans="1:19">
      <c r="A1038" s="81">
        <v>628007</v>
      </c>
      <c r="B1038" s="17">
        <v>411</v>
      </c>
      <c r="C1038" s="17" t="s">
        <v>644</v>
      </c>
      <c r="D1038" s="79" t="s">
        <v>1338</v>
      </c>
      <c r="E1038" s="17"/>
      <c r="F1038" s="17">
        <v>44</v>
      </c>
      <c r="G1038" s="17">
        <v>1</v>
      </c>
      <c r="H1038" s="17"/>
      <c r="I1038" s="17">
        <v>600508</v>
      </c>
      <c r="J1038" s="17">
        <v>4</v>
      </c>
      <c r="N1038" s="17">
        <v>0</v>
      </c>
      <c r="P1038" s="17">
        <v>2</v>
      </c>
      <c r="R1038" s="66" t="s">
        <v>1237</v>
      </c>
      <c r="S1038" s="27" t="s">
        <v>1295</v>
      </c>
    </row>
    <row r="1039" s="27" customFormat="1" ht="16.5" spans="1:19">
      <c r="A1039" s="81">
        <v>628008</v>
      </c>
      <c r="B1039" s="17">
        <v>411</v>
      </c>
      <c r="C1039" s="17" t="s">
        <v>644</v>
      </c>
      <c r="D1039" s="79" t="s">
        <v>1339</v>
      </c>
      <c r="E1039" s="17"/>
      <c r="F1039" s="17">
        <v>44</v>
      </c>
      <c r="G1039" s="17">
        <v>1</v>
      </c>
      <c r="H1039" s="17"/>
      <c r="I1039" s="17">
        <v>600509</v>
      </c>
      <c r="J1039" s="17">
        <v>4</v>
      </c>
      <c r="N1039" s="17">
        <v>0</v>
      </c>
      <c r="P1039" s="17">
        <v>2</v>
      </c>
      <c r="R1039" s="66" t="s">
        <v>1340</v>
      </c>
      <c r="S1039" s="27" t="s">
        <v>1298</v>
      </c>
    </row>
    <row r="1040" spans="1:18">
      <c r="A1040" s="4">
        <v>630001</v>
      </c>
      <c r="B1040" s="4">
        <v>102</v>
      </c>
      <c r="C1040" s="4" t="s">
        <v>631</v>
      </c>
      <c r="D1040" s="30" t="s">
        <v>632</v>
      </c>
      <c r="F1040" s="4">
        <v>32</v>
      </c>
      <c r="G1040" s="4">
        <v>1</v>
      </c>
      <c r="I1040" s="92"/>
      <c r="J1040" s="4">
        <v>4</v>
      </c>
      <c r="N1040" s="4">
        <v>2</v>
      </c>
      <c r="P1040" s="4">
        <v>2</v>
      </c>
      <c r="R1040" s="63" t="s">
        <v>1341</v>
      </c>
    </row>
    <row r="1041" spans="1:18">
      <c r="A1041" s="4">
        <v>630002</v>
      </c>
      <c r="B1041" s="4">
        <v>102</v>
      </c>
      <c r="C1041" s="4" t="s">
        <v>631</v>
      </c>
      <c r="D1041" s="30" t="s">
        <v>634</v>
      </c>
      <c r="F1041" s="4">
        <v>32</v>
      </c>
      <c r="G1041" s="4">
        <v>2</v>
      </c>
      <c r="J1041" s="4">
        <v>4</v>
      </c>
      <c r="N1041" s="4">
        <v>2</v>
      </c>
      <c r="P1041" s="4">
        <v>2</v>
      </c>
      <c r="R1041" s="63" t="s">
        <v>351</v>
      </c>
    </row>
    <row r="1042" spans="1:18">
      <c r="A1042" s="4">
        <v>630003</v>
      </c>
      <c r="B1042" s="4">
        <v>102</v>
      </c>
      <c r="C1042" s="4" t="s">
        <v>631</v>
      </c>
      <c r="D1042" s="30" t="s">
        <v>636</v>
      </c>
      <c r="F1042" s="4">
        <v>32</v>
      </c>
      <c r="G1042" s="4">
        <v>3</v>
      </c>
      <c r="J1042" s="4">
        <v>4</v>
      </c>
      <c r="N1042" s="4">
        <v>2</v>
      </c>
      <c r="P1042" s="4">
        <v>2</v>
      </c>
      <c r="R1042" s="63" t="s">
        <v>638</v>
      </c>
    </row>
    <row r="1043" spans="1:18">
      <c r="A1043" s="4">
        <v>630004</v>
      </c>
      <c r="B1043" s="4">
        <v>102</v>
      </c>
      <c r="C1043" s="4" t="s">
        <v>631</v>
      </c>
      <c r="D1043" s="30" t="s">
        <v>637</v>
      </c>
      <c r="F1043" s="4">
        <v>32</v>
      </c>
      <c r="G1043" s="4">
        <v>4</v>
      </c>
      <c r="J1043" s="4">
        <v>4</v>
      </c>
      <c r="N1043" s="4">
        <v>2</v>
      </c>
      <c r="P1043" s="4">
        <v>2</v>
      </c>
      <c r="R1043" s="63" t="s">
        <v>351</v>
      </c>
    </row>
    <row r="1044" spans="1:18">
      <c r="A1044" s="4">
        <v>630005</v>
      </c>
      <c r="B1044" s="4">
        <v>102</v>
      </c>
      <c r="C1044" s="4" t="s">
        <v>631</v>
      </c>
      <c r="D1044" s="30" t="s">
        <v>639</v>
      </c>
      <c r="F1044" s="4">
        <v>32</v>
      </c>
      <c r="G1044" s="4">
        <v>5</v>
      </c>
      <c r="J1044" s="4">
        <v>4</v>
      </c>
      <c r="N1044" s="4">
        <v>2</v>
      </c>
      <c r="P1044" s="4">
        <v>2</v>
      </c>
      <c r="R1044" s="63" t="s">
        <v>641</v>
      </c>
    </row>
    <row r="1045" spans="1:18">
      <c r="A1045" s="4">
        <v>630006</v>
      </c>
      <c r="B1045" s="4">
        <v>102</v>
      </c>
      <c r="C1045" s="4" t="s">
        <v>631</v>
      </c>
      <c r="D1045" s="30" t="s">
        <v>640</v>
      </c>
      <c r="F1045" s="4">
        <v>32</v>
      </c>
      <c r="G1045" s="4">
        <v>6</v>
      </c>
      <c r="J1045" s="4">
        <v>4</v>
      </c>
      <c r="N1045" s="4">
        <v>2</v>
      </c>
      <c r="P1045" s="4">
        <v>2</v>
      </c>
      <c r="R1045" s="63" t="s">
        <v>643</v>
      </c>
    </row>
    <row r="1046" s="32" customFormat="1" spans="1:18">
      <c r="A1046" s="68">
        <v>640001</v>
      </c>
      <c r="B1046" s="68">
        <v>101</v>
      </c>
      <c r="C1046" s="68" t="s">
        <v>1342</v>
      </c>
      <c r="D1046" s="37" t="s">
        <v>1343</v>
      </c>
      <c r="E1046" s="68"/>
      <c r="F1046" s="68"/>
      <c r="G1046" s="68">
        <v>1</v>
      </c>
      <c r="H1046" s="68"/>
      <c r="I1046" s="68"/>
      <c r="J1046" s="68">
        <v>1</v>
      </c>
      <c r="N1046" s="68">
        <v>2</v>
      </c>
      <c r="P1046" s="68">
        <v>2</v>
      </c>
      <c r="R1046" s="32" t="s">
        <v>1344</v>
      </c>
    </row>
    <row r="1047" s="32" customFormat="1" spans="1:18">
      <c r="A1047" s="68">
        <v>640002</v>
      </c>
      <c r="B1047" s="68">
        <v>302</v>
      </c>
      <c r="C1047" s="68" t="s">
        <v>1345</v>
      </c>
      <c r="D1047" s="37" t="s">
        <v>112</v>
      </c>
      <c r="E1047" s="68"/>
      <c r="F1047" s="68">
        <v>1</v>
      </c>
      <c r="G1047" s="68">
        <v>5</v>
      </c>
      <c r="H1047" s="68"/>
      <c r="I1047" s="68"/>
      <c r="J1047" s="68">
        <v>1</v>
      </c>
      <c r="N1047" s="68">
        <v>2</v>
      </c>
      <c r="P1047" s="68">
        <v>2</v>
      </c>
      <c r="R1047" s="32" t="s">
        <v>1346</v>
      </c>
    </row>
    <row r="1048" s="32" customFormat="1" spans="1:18">
      <c r="A1048" s="68">
        <v>640003</v>
      </c>
      <c r="B1048" s="68">
        <v>4002</v>
      </c>
      <c r="C1048" s="68" t="s">
        <v>1347</v>
      </c>
      <c r="D1048" s="37" t="s">
        <v>1043</v>
      </c>
      <c r="E1048" s="68"/>
      <c r="F1048" s="68">
        <v>58</v>
      </c>
      <c r="G1048" s="68">
        <v>500</v>
      </c>
      <c r="H1048" s="68"/>
      <c r="I1048" s="68">
        <v>1</v>
      </c>
      <c r="J1048" s="68">
        <v>1</v>
      </c>
      <c r="N1048" s="68">
        <v>2</v>
      </c>
      <c r="P1048" s="68">
        <v>2</v>
      </c>
      <c r="R1048" s="32" t="s">
        <v>1346</v>
      </c>
    </row>
    <row r="1049" s="32" customFormat="1" spans="1:18">
      <c r="A1049" s="68">
        <v>640004</v>
      </c>
      <c r="B1049" s="68">
        <v>1202</v>
      </c>
      <c r="C1049" s="68" t="s">
        <v>1348</v>
      </c>
      <c r="D1049" s="37" t="s">
        <v>121</v>
      </c>
      <c r="E1049" s="68"/>
      <c r="F1049" s="68">
        <v>18</v>
      </c>
      <c r="G1049" s="68">
        <v>1</v>
      </c>
      <c r="H1049" s="68"/>
      <c r="I1049" s="68"/>
      <c r="J1049" s="68">
        <v>1</v>
      </c>
      <c r="N1049" s="68">
        <v>2</v>
      </c>
      <c r="P1049" s="68">
        <v>2</v>
      </c>
      <c r="R1049" s="32" t="s">
        <v>1346</v>
      </c>
    </row>
    <row r="1050" s="32" customFormat="1" spans="1:18">
      <c r="A1050" s="68">
        <v>640005</v>
      </c>
      <c r="B1050" s="68">
        <v>1303</v>
      </c>
      <c r="C1050" s="68" t="s">
        <v>1349</v>
      </c>
      <c r="D1050" s="37" t="s">
        <v>1350</v>
      </c>
      <c r="E1050" s="68"/>
      <c r="F1050" s="68">
        <v>7</v>
      </c>
      <c r="G1050" s="68">
        <v>4</v>
      </c>
      <c r="H1050" s="68"/>
      <c r="I1050" s="68"/>
      <c r="J1050" s="68">
        <v>4</v>
      </c>
      <c r="N1050" s="68">
        <v>2</v>
      </c>
      <c r="P1050" s="68">
        <v>2</v>
      </c>
      <c r="R1050" s="32" t="s">
        <v>1346</v>
      </c>
    </row>
    <row r="1051" s="32" customFormat="1" spans="1:18">
      <c r="A1051" s="68">
        <v>640006</v>
      </c>
      <c r="B1051" s="68">
        <v>1002</v>
      </c>
      <c r="C1051" s="68" t="s">
        <v>1351</v>
      </c>
      <c r="D1051" s="37" t="s">
        <v>141</v>
      </c>
      <c r="E1051" s="68"/>
      <c r="F1051" s="68">
        <v>10</v>
      </c>
      <c r="G1051" s="68">
        <v>3</v>
      </c>
      <c r="H1051" s="68"/>
      <c r="I1051" s="68"/>
      <c r="J1051" s="68">
        <v>1</v>
      </c>
      <c r="N1051" s="68">
        <v>2</v>
      </c>
      <c r="P1051" s="68">
        <v>2</v>
      </c>
      <c r="R1051" s="32" t="s">
        <v>1346</v>
      </c>
    </row>
    <row r="1052" s="32" customFormat="1" spans="1:18">
      <c r="A1052" s="68">
        <v>640007</v>
      </c>
      <c r="B1052" s="68">
        <v>603</v>
      </c>
      <c r="C1052" s="68" t="s">
        <v>1352</v>
      </c>
      <c r="D1052" s="37" t="s">
        <v>588</v>
      </c>
      <c r="E1052" s="68"/>
      <c r="F1052" s="68">
        <v>15</v>
      </c>
      <c r="G1052" s="68">
        <v>1</v>
      </c>
      <c r="H1052" s="68"/>
      <c r="I1052" s="68"/>
      <c r="J1052" s="68">
        <v>4</v>
      </c>
      <c r="N1052" s="68">
        <v>0</v>
      </c>
      <c r="P1052" s="68">
        <v>2</v>
      </c>
      <c r="R1052" s="32" t="s">
        <v>1346</v>
      </c>
    </row>
    <row r="1053" s="32" customFormat="1" spans="1:18">
      <c r="A1053" s="68">
        <v>641001</v>
      </c>
      <c r="B1053" s="68">
        <v>804</v>
      </c>
      <c r="C1053" s="68" t="s">
        <v>1353</v>
      </c>
      <c r="D1053" s="90" t="s">
        <v>1091</v>
      </c>
      <c r="E1053" s="68"/>
      <c r="F1053" s="68">
        <v>48</v>
      </c>
      <c r="G1053" s="68">
        <v>1</v>
      </c>
      <c r="H1053" s="68"/>
      <c r="I1053" s="68"/>
      <c r="J1053" s="68">
        <v>4</v>
      </c>
      <c r="N1053" s="68">
        <v>2</v>
      </c>
      <c r="P1053" s="68">
        <v>2</v>
      </c>
      <c r="R1053" s="93" t="s">
        <v>1354</v>
      </c>
    </row>
    <row r="1054" s="32" customFormat="1" spans="1:18">
      <c r="A1054" s="68">
        <v>641002</v>
      </c>
      <c r="B1054" s="68">
        <v>402</v>
      </c>
      <c r="C1054" s="68" t="s">
        <v>1355</v>
      </c>
      <c r="D1054" s="37" t="s">
        <v>211</v>
      </c>
      <c r="E1054" s="68"/>
      <c r="F1054" s="68">
        <v>56</v>
      </c>
      <c r="G1054" s="68">
        <v>30</v>
      </c>
      <c r="H1054" s="68"/>
      <c r="I1054" s="68">
        <v>2</v>
      </c>
      <c r="J1054" s="68">
        <v>4</v>
      </c>
      <c r="N1054" s="68">
        <v>2</v>
      </c>
      <c r="P1054" s="68">
        <v>2</v>
      </c>
      <c r="R1054" s="93" t="s">
        <v>1354</v>
      </c>
    </row>
    <row r="1055" s="32" customFormat="1" spans="1:18">
      <c r="A1055" s="68">
        <v>641003</v>
      </c>
      <c r="B1055" s="68">
        <v>503</v>
      </c>
      <c r="C1055" s="68" t="s">
        <v>1356</v>
      </c>
      <c r="D1055" s="37" t="s">
        <v>1357</v>
      </c>
      <c r="E1055" s="68"/>
      <c r="F1055" s="68">
        <v>44</v>
      </c>
      <c r="G1055" s="68">
        <v>20</v>
      </c>
      <c r="H1055" s="68"/>
      <c r="I1055" s="68"/>
      <c r="J1055" s="68">
        <v>4</v>
      </c>
      <c r="N1055" s="68">
        <v>2</v>
      </c>
      <c r="P1055" s="68">
        <v>2</v>
      </c>
      <c r="R1055" s="93" t="s">
        <v>1354</v>
      </c>
    </row>
    <row r="1056" s="37" customFormat="1" spans="1:18">
      <c r="A1056" s="68">
        <v>641004</v>
      </c>
      <c r="B1056" s="68">
        <v>982</v>
      </c>
      <c r="C1056" s="68" t="s">
        <v>1358</v>
      </c>
      <c r="D1056" s="37" t="s">
        <v>1359</v>
      </c>
      <c r="E1056" s="68"/>
      <c r="F1056" s="68">
        <v>40</v>
      </c>
      <c r="G1056" s="68">
        <v>20</v>
      </c>
      <c r="H1056" s="68"/>
      <c r="I1056" s="68"/>
      <c r="J1056" s="68">
        <v>4</v>
      </c>
      <c r="N1056" s="68">
        <v>0</v>
      </c>
      <c r="P1056" s="68">
        <v>2</v>
      </c>
      <c r="R1056" s="93" t="s">
        <v>1354</v>
      </c>
    </row>
    <row r="1057" s="32" customFormat="1" spans="1:18">
      <c r="A1057" s="68">
        <v>641005</v>
      </c>
      <c r="B1057" s="68">
        <v>811</v>
      </c>
      <c r="C1057" s="68" t="s">
        <v>1360</v>
      </c>
      <c r="D1057" s="90" t="s">
        <v>1361</v>
      </c>
      <c r="E1057" s="68"/>
      <c r="F1057" s="68">
        <v>44</v>
      </c>
      <c r="G1057" s="68">
        <v>20</v>
      </c>
      <c r="H1057" s="68"/>
      <c r="I1057" s="68"/>
      <c r="J1057" s="68">
        <v>4</v>
      </c>
      <c r="N1057" s="68">
        <v>2</v>
      </c>
      <c r="P1057" s="68">
        <v>2</v>
      </c>
      <c r="R1057" s="93" t="s">
        <v>1354</v>
      </c>
    </row>
    <row r="1058" s="32" customFormat="1" spans="1:18">
      <c r="A1058" s="68">
        <v>641006</v>
      </c>
      <c r="B1058" s="68">
        <v>1701</v>
      </c>
      <c r="C1058" s="68" t="s">
        <v>1362</v>
      </c>
      <c r="D1058" s="90" t="s">
        <v>1363</v>
      </c>
      <c r="E1058" s="68"/>
      <c r="F1058" s="68">
        <v>59</v>
      </c>
      <c r="G1058" s="68">
        <v>14</v>
      </c>
      <c r="H1058" s="68"/>
      <c r="I1058" s="68"/>
      <c r="J1058" s="68">
        <v>4</v>
      </c>
      <c r="N1058" s="68">
        <v>2</v>
      </c>
      <c r="P1058" s="68">
        <v>2</v>
      </c>
      <c r="R1058" s="93" t="s">
        <v>1354</v>
      </c>
    </row>
    <row r="1059" s="32" customFormat="1" spans="1:18">
      <c r="A1059" s="68">
        <v>641007</v>
      </c>
      <c r="B1059" s="68">
        <v>809</v>
      </c>
      <c r="C1059" s="68" t="s">
        <v>1364</v>
      </c>
      <c r="D1059" s="37" t="s">
        <v>1063</v>
      </c>
      <c r="E1059" s="68"/>
      <c r="F1059" s="68">
        <v>62</v>
      </c>
      <c r="G1059" s="68">
        <v>30</v>
      </c>
      <c r="H1059" s="68"/>
      <c r="I1059" s="68"/>
      <c r="J1059" s="68">
        <v>4</v>
      </c>
      <c r="N1059" s="68">
        <v>2</v>
      </c>
      <c r="P1059" s="68">
        <v>2</v>
      </c>
      <c r="R1059" s="93" t="s">
        <v>1354</v>
      </c>
    </row>
    <row r="1060" s="32" customFormat="1" spans="1:18">
      <c r="A1060" s="68">
        <v>641008</v>
      </c>
      <c r="B1060" s="68">
        <v>502</v>
      </c>
      <c r="C1060" s="68" t="s">
        <v>1365</v>
      </c>
      <c r="D1060" s="37" t="s">
        <v>1366</v>
      </c>
      <c r="E1060" s="68"/>
      <c r="F1060" s="68">
        <v>16</v>
      </c>
      <c r="G1060" s="68">
        <v>7</v>
      </c>
      <c r="H1060" s="68"/>
      <c r="I1060" s="68"/>
      <c r="J1060" s="68">
        <v>4</v>
      </c>
      <c r="N1060" s="68">
        <v>2</v>
      </c>
      <c r="P1060" s="68">
        <v>2</v>
      </c>
      <c r="R1060" s="93" t="s">
        <v>1354</v>
      </c>
    </row>
    <row r="1061" s="32" customFormat="1" spans="1:18">
      <c r="A1061" s="68">
        <v>641009</v>
      </c>
      <c r="B1061" s="68">
        <v>4001</v>
      </c>
      <c r="C1061" s="68" t="s">
        <v>1367</v>
      </c>
      <c r="D1061" s="37" t="s">
        <v>1065</v>
      </c>
      <c r="E1061" s="68"/>
      <c r="F1061" s="68">
        <v>58</v>
      </c>
      <c r="G1061" s="68">
        <v>1</v>
      </c>
      <c r="H1061" s="68"/>
      <c r="I1061" s="68"/>
      <c r="J1061" s="68">
        <v>4</v>
      </c>
      <c r="N1061" s="68">
        <v>2</v>
      </c>
      <c r="P1061" s="68">
        <v>2</v>
      </c>
      <c r="R1061" s="32" t="s">
        <v>1368</v>
      </c>
    </row>
    <row r="1062" s="38" customFormat="1" spans="1:18">
      <c r="A1062" s="91">
        <v>650001</v>
      </c>
      <c r="B1062" s="91">
        <v>101</v>
      </c>
      <c r="C1062" s="91" t="s">
        <v>1369</v>
      </c>
      <c r="D1062" s="38" t="s">
        <v>663</v>
      </c>
      <c r="E1062" s="91"/>
      <c r="F1062" s="91"/>
      <c r="G1062" s="91">
        <v>1</v>
      </c>
      <c r="H1062" s="91"/>
      <c r="I1062" s="91"/>
      <c r="J1062" s="91">
        <v>4</v>
      </c>
      <c r="N1062" s="91">
        <v>2</v>
      </c>
      <c r="P1062" s="91">
        <v>2</v>
      </c>
      <c r="R1062" s="94" t="s">
        <v>818</v>
      </c>
    </row>
    <row r="1063" s="38" customFormat="1" spans="1:18">
      <c r="A1063" s="91">
        <v>650002</v>
      </c>
      <c r="B1063" s="91">
        <v>302</v>
      </c>
      <c r="C1063" s="91" t="s">
        <v>1369</v>
      </c>
      <c r="D1063" s="38" t="s">
        <v>112</v>
      </c>
      <c r="E1063" s="91"/>
      <c r="F1063" s="91">
        <v>1</v>
      </c>
      <c r="G1063" s="91">
        <v>5</v>
      </c>
      <c r="H1063" s="91"/>
      <c r="I1063" s="91"/>
      <c r="J1063" s="91">
        <v>4</v>
      </c>
      <c r="N1063" s="91">
        <v>2</v>
      </c>
      <c r="P1063" s="91">
        <v>2</v>
      </c>
      <c r="R1063" s="94" t="s">
        <v>1370</v>
      </c>
    </row>
    <row r="1064" s="38" customFormat="1" spans="1:18">
      <c r="A1064" s="91">
        <v>650003</v>
      </c>
      <c r="B1064" s="91">
        <v>401</v>
      </c>
      <c r="C1064" s="91" t="s">
        <v>1369</v>
      </c>
      <c r="D1064" s="38" t="s">
        <v>115</v>
      </c>
      <c r="E1064" s="91"/>
      <c r="F1064" s="91">
        <v>2</v>
      </c>
      <c r="G1064" s="91">
        <v>3</v>
      </c>
      <c r="H1064" s="91"/>
      <c r="I1064" s="91"/>
      <c r="J1064" s="91">
        <v>4</v>
      </c>
      <c r="N1064" s="91">
        <v>2</v>
      </c>
      <c r="P1064" s="91">
        <v>2</v>
      </c>
      <c r="R1064" s="94" t="s">
        <v>351</v>
      </c>
    </row>
    <row r="1065" s="38" customFormat="1" spans="1:18">
      <c r="A1065" s="91">
        <v>650004</v>
      </c>
      <c r="B1065" s="91">
        <v>1211</v>
      </c>
      <c r="C1065" s="91" t="s">
        <v>1369</v>
      </c>
      <c r="D1065" s="38" t="s">
        <v>118</v>
      </c>
      <c r="E1065" s="91"/>
      <c r="F1065" s="91">
        <v>17</v>
      </c>
      <c r="G1065" s="91">
        <v>3</v>
      </c>
      <c r="H1065" s="91"/>
      <c r="I1065" s="91"/>
      <c r="J1065" s="91">
        <v>4</v>
      </c>
      <c r="N1065" s="91">
        <v>2</v>
      </c>
      <c r="P1065" s="91">
        <v>2</v>
      </c>
      <c r="R1065" s="94" t="s">
        <v>1371</v>
      </c>
    </row>
    <row r="1066" s="38" customFormat="1" spans="1:18">
      <c r="A1066" s="91">
        <v>650005</v>
      </c>
      <c r="B1066" s="91">
        <v>1202</v>
      </c>
      <c r="C1066" s="91" t="s">
        <v>1369</v>
      </c>
      <c r="D1066" s="38" t="s">
        <v>121</v>
      </c>
      <c r="E1066" s="91"/>
      <c r="F1066" s="91">
        <v>18</v>
      </c>
      <c r="G1066" s="91">
        <v>1</v>
      </c>
      <c r="H1066" s="91"/>
      <c r="I1066" s="91"/>
      <c r="J1066" s="91">
        <v>4</v>
      </c>
      <c r="N1066" s="91">
        <v>2</v>
      </c>
      <c r="P1066" s="91">
        <v>2</v>
      </c>
      <c r="R1066" s="94" t="s">
        <v>597</v>
      </c>
    </row>
    <row r="1067" s="38" customFormat="1" spans="1:18">
      <c r="A1067" s="91">
        <v>650006</v>
      </c>
      <c r="B1067" s="91">
        <v>1402</v>
      </c>
      <c r="C1067" s="91" t="s">
        <v>1369</v>
      </c>
      <c r="D1067" s="38" t="s">
        <v>124</v>
      </c>
      <c r="E1067" s="91"/>
      <c r="F1067" s="91">
        <v>3</v>
      </c>
      <c r="G1067" s="91">
        <v>1</v>
      </c>
      <c r="H1067" s="91"/>
      <c r="I1067" s="91"/>
      <c r="J1067" s="91">
        <v>4</v>
      </c>
      <c r="N1067" s="91">
        <v>2</v>
      </c>
      <c r="P1067" s="91">
        <v>2</v>
      </c>
      <c r="R1067" s="94" t="s">
        <v>641</v>
      </c>
    </row>
    <row r="1068" s="38" customFormat="1" spans="1:18">
      <c r="A1068" s="91">
        <v>650007</v>
      </c>
      <c r="B1068" s="91">
        <v>1003</v>
      </c>
      <c r="C1068" s="91" t="s">
        <v>1369</v>
      </c>
      <c r="D1068" s="38" t="s">
        <v>127</v>
      </c>
      <c r="E1068" s="91"/>
      <c r="F1068" s="91">
        <v>4</v>
      </c>
      <c r="G1068" s="91">
        <v>3</v>
      </c>
      <c r="H1068" s="91"/>
      <c r="I1068" s="91"/>
      <c r="J1068" s="91">
        <v>4</v>
      </c>
      <c r="N1068" s="91">
        <v>2</v>
      </c>
      <c r="P1068" s="91">
        <v>2</v>
      </c>
      <c r="R1068" s="94" t="s">
        <v>1372</v>
      </c>
    </row>
    <row r="1069" s="38" customFormat="1" spans="1:18">
      <c r="A1069" s="91">
        <v>650008</v>
      </c>
      <c r="B1069" s="91">
        <v>1101</v>
      </c>
      <c r="C1069" s="91" t="s">
        <v>1369</v>
      </c>
      <c r="D1069" s="38" t="s">
        <v>130</v>
      </c>
      <c r="E1069" s="91"/>
      <c r="F1069" s="91">
        <v>5</v>
      </c>
      <c r="G1069" s="91">
        <v>2</v>
      </c>
      <c r="H1069" s="91"/>
      <c r="I1069" s="91"/>
      <c r="J1069" s="91">
        <v>4</v>
      </c>
      <c r="N1069" s="91">
        <v>2</v>
      </c>
      <c r="P1069" s="91">
        <v>2</v>
      </c>
      <c r="R1069" s="94" t="s">
        <v>1373</v>
      </c>
    </row>
    <row r="1070" s="38" customFormat="1" spans="1:18">
      <c r="A1070" s="91">
        <v>650009</v>
      </c>
      <c r="B1070" s="91">
        <v>1502</v>
      </c>
      <c r="C1070" s="91" t="s">
        <v>1369</v>
      </c>
      <c r="D1070" s="38" t="s">
        <v>132</v>
      </c>
      <c r="E1070" s="91"/>
      <c r="F1070" s="91">
        <v>6</v>
      </c>
      <c r="G1070" s="91">
        <v>3</v>
      </c>
      <c r="H1070" s="91"/>
      <c r="I1070" s="91"/>
      <c r="J1070" s="91">
        <v>4</v>
      </c>
      <c r="N1070" s="91">
        <v>2</v>
      </c>
      <c r="P1070" s="91">
        <v>2</v>
      </c>
      <c r="R1070" s="94" t="s">
        <v>1374</v>
      </c>
    </row>
    <row r="1071" s="38" customFormat="1" spans="1:18">
      <c r="A1071" s="91">
        <v>650010</v>
      </c>
      <c r="B1071" s="91">
        <v>1301</v>
      </c>
      <c r="C1071" s="91" t="s">
        <v>1369</v>
      </c>
      <c r="D1071" s="38" t="s">
        <v>135</v>
      </c>
      <c r="E1071" s="91"/>
      <c r="F1071" s="91">
        <v>7</v>
      </c>
      <c r="G1071" s="91">
        <v>3</v>
      </c>
      <c r="H1071" s="91"/>
      <c r="I1071" s="91"/>
      <c r="J1071" s="91">
        <v>4</v>
      </c>
      <c r="N1071" s="91">
        <v>2</v>
      </c>
      <c r="P1071" s="91">
        <v>2</v>
      </c>
      <c r="R1071" s="94" t="s">
        <v>1375</v>
      </c>
    </row>
    <row r="1072" s="38" customFormat="1" spans="1:18">
      <c r="A1072" s="91">
        <v>650011</v>
      </c>
      <c r="B1072" s="91">
        <v>3101</v>
      </c>
      <c r="C1072" s="91" t="s">
        <v>1369</v>
      </c>
      <c r="D1072" s="38" t="s">
        <v>138</v>
      </c>
      <c r="E1072" s="91"/>
      <c r="F1072" s="91">
        <v>9</v>
      </c>
      <c r="G1072" s="91">
        <v>3</v>
      </c>
      <c r="H1072" s="91"/>
      <c r="I1072" s="91"/>
      <c r="J1072" s="91">
        <v>4</v>
      </c>
      <c r="N1072" s="91">
        <v>2</v>
      </c>
      <c r="P1072" s="91">
        <v>2</v>
      </c>
      <c r="R1072" s="94" t="s">
        <v>1376</v>
      </c>
    </row>
    <row r="1073" s="38" customFormat="1" spans="1:18">
      <c r="A1073" s="91">
        <v>650012</v>
      </c>
      <c r="B1073" s="91">
        <v>1002</v>
      </c>
      <c r="C1073" s="91" t="s">
        <v>1369</v>
      </c>
      <c r="D1073" s="38" t="s">
        <v>141</v>
      </c>
      <c r="E1073" s="91"/>
      <c r="F1073" s="91">
        <v>10</v>
      </c>
      <c r="G1073" s="91">
        <v>3</v>
      </c>
      <c r="H1073" s="91"/>
      <c r="I1073" s="91"/>
      <c r="J1073" s="91">
        <v>4</v>
      </c>
      <c r="N1073" s="91">
        <v>2</v>
      </c>
      <c r="P1073" s="91">
        <v>2</v>
      </c>
      <c r="R1073" s="94" t="s">
        <v>1377</v>
      </c>
    </row>
    <row r="1074" s="38" customFormat="1" spans="1:18">
      <c r="A1074" s="91">
        <v>650013</v>
      </c>
      <c r="B1074" s="91">
        <v>405</v>
      </c>
      <c r="C1074" s="91" t="s">
        <v>1369</v>
      </c>
      <c r="D1074" s="38" t="s">
        <v>593</v>
      </c>
      <c r="E1074" s="91"/>
      <c r="F1074" s="91">
        <v>13</v>
      </c>
      <c r="G1074" s="91">
        <v>1</v>
      </c>
      <c r="H1074" s="91"/>
      <c r="I1074" s="91"/>
      <c r="J1074" s="91">
        <v>4</v>
      </c>
      <c r="N1074" s="91">
        <v>0</v>
      </c>
      <c r="P1074" s="91">
        <v>2</v>
      </c>
      <c r="R1074" s="94" t="s">
        <v>1374</v>
      </c>
    </row>
    <row r="1075" s="38" customFormat="1" spans="1:18">
      <c r="A1075" s="91">
        <v>650014</v>
      </c>
      <c r="B1075" s="91">
        <v>981</v>
      </c>
      <c r="C1075" s="91" t="s">
        <v>1369</v>
      </c>
      <c r="D1075" s="38" t="s">
        <v>484</v>
      </c>
      <c r="E1075" s="91"/>
      <c r="F1075" s="91">
        <v>30</v>
      </c>
      <c r="G1075" s="91">
        <v>1</v>
      </c>
      <c r="H1075" s="91"/>
      <c r="I1075" s="91">
        <v>1</v>
      </c>
      <c r="J1075" s="91">
        <v>4</v>
      </c>
      <c r="N1075" s="91">
        <v>0</v>
      </c>
      <c r="P1075" s="91">
        <v>2</v>
      </c>
      <c r="R1075" s="94" t="s">
        <v>1373</v>
      </c>
    </row>
    <row r="1076" s="38" customFormat="1" spans="1:18">
      <c r="A1076" s="91">
        <v>650015</v>
      </c>
      <c r="B1076" s="91">
        <v>820</v>
      </c>
      <c r="C1076" s="91" t="s">
        <v>1369</v>
      </c>
      <c r="D1076" s="38" t="s">
        <v>656</v>
      </c>
      <c r="E1076" s="91"/>
      <c r="F1076" s="91">
        <v>77</v>
      </c>
      <c r="G1076" s="91">
        <v>1</v>
      </c>
      <c r="H1076" s="91"/>
      <c r="I1076" s="91"/>
      <c r="J1076" s="91">
        <v>4</v>
      </c>
      <c r="N1076" s="91">
        <v>2</v>
      </c>
      <c r="P1076" s="91">
        <v>2</v>
      </c>
      <c r="R1076" s="94" t="s">
        <v>1378</v>
      </c>
    </row>
    <row r="1077" spans="1:18">
      <c r="A1077" s="4">
        <v>660001</v>
      </c>
      <c r="B1077" s="4">
        <v>417</v>
      </c>
      <c r="C1077" s="4" t="s">
        <v>1379</v>
      </c>
      <c r="D1077" s="30" t="s">
        <v>1380</v>
      </c>
      <c r="F1077" s="4">
        <v>56</v>
      </c>
      <c r="G1077" s="4">
        <v>100</v>
      </c>
      <c r="J1077" s="4">
        <v>4</v>
      </c>
      <c r="N1077" s="4">
        <v>2</v>
      </c>
      <c r="P1077" s="4">
        <v>2</v>
      </c>
      <c r="R1077" s="5" t="s">
        <v>1381</v>
      </c>
    </row>
    <row r="1078" spans="1:18">
      <c r="A1078" s="4">
        <v>660002</v>
      </c>
      <c r="B1078" s="4">
        <v>417</v>
      </c>
      <c r="C1078" s="4" t="s">
        <v>1379</v>
      </c>
      <c r="D1078" s="30" t="s">
        <v>1382</v>
      </c>
      <c r="F1078" s="4">
        <v>56</v>
      </c>
      <c r="G1078" s="4">
        <v>200</v>
      </c>
      <c r="J1078" s="4">
        <v>4</v>
      </c>
      <c r="N1078" s="4">
        <v>2</v>
      </c>
      <c r="P1078" s="4">
        <v>2</v>
      </c>
      <c r="R1078" s="5" t="s">
        <v>1383</v>
      </c>
    </row>
    <row r="1079" spans="1:18">
      <c r="A1079" s="4">
        <v>660003</v>
      </c>
      <c r="B1079" s="4">
        <v>417</v>
      </c>
      <c r="C1079" s="4" t="s">
        <v>1379</v>
      </c>
      <c r="D1079" s="30" t="s">
        <v>1384</v>
      </c>
      <c r="F1079" s="4">
        <v>56</v>
      </c>
      <c r="G1079" s="4">
        <v>300</v>
      </c>
      <c r="J1079" s="4">
        <v>4</v>
      </c>
      <c r="N1079" s="4">
        <v>2</v>
      </c>
      <c r="P1079" s="4">
        <v>2</v>
      </c>
      <c r="R1079" s="5" t="s">
        <v>1385</v>
      </c>
    </row>
    <row r="1080" spans="1:18">
      <c r="A1080" s="4">
        <v>660004</v>
      </c>
      <c r="B1080" s="4">
        <v>417</v>
      </c>
      <c r="C1080" s="4" t="s">
        <v>1379</v>
      </c>
      <c r="D1080" s="30" t="s">
        <v>1386</v>
      </c>
      <c r="F1080" s="4">
        <v>56</v>
      </c>
      <c r="G1080" s="4">
        <v>400</v>
      </c>
      <c r="J1080" s="4">
        <v>4</v>
      </c>
      <c r="N1080" s="4">
        <v>2</v>
      </c>
      <c r="P1080" s="4">
        <v>2</v>
      </c>
      <c r="R1080" s="5" t="s">
        <v>1387</v>
      </c>
    </row>
    <row r="1081" spans="1:18">
      <c r="A1081" s="4">
        <v>660005</v>
      </c>
      <c r="B1081" s="4">
        <v>417</v>
      </c>
      <c r="C1081" s="4" t="s">
        <v>1379</v>
      </c>
      <c r="D1081" s="30" t="s">
        <v>1388</v>
      </c>
      <c r="F1081" s="4">
        <v>56</v>
      </c>
      <c r="G1081" s="4">
        <v>500</v>
      </c>
      <c r="J1081" s="4">
        <v>4</v>
      </c>
      <c r="N1081" s="4">
        <v>2</v>
      </c>
      <c r="P1081" s="4">
        <v>2</v>
      </c>
      <c r="R1081" s="5" t="s">
        <v>1389</v>
      </c>
    </row>
    <row r="1082" spans="1:18">
      <c r="A1082" s="4">
        <v>660006</v>
      </c>
      <c r="B1082" s="4">
        <v>417</v>
      </c>
      <c r="C1082" s="4" t="s">
        <v>1379</v>
      </c>
      <c r="D1082" s="30" t="s">
        <v>1390</v>
      </c>
      <c r="F1082" s="4">
        <v>56</v>
      </c>
      <c r="G1082" s="4">
        <v>600</v>
      </c>
      <c r="J1082" s="4">
        <v>4</v>
      </c>
      <c r="N1082" s="4">
        <v>2</v>
      </c>
      <c r="P1082" s="4">
        <v>2</v>
      </c>
      <c r="R1082" s="5" t="s">
        <v>1391</v>
      </c>
    </row>
    <row r="1083" spans="1:18">
      <c r="A1083" s="4">
        <v>660007</v>
      </c>
      <c r="B1083" s="4">
        <v>417</v>
      </c>
      <c r="C1083" s="4" t="s">
        <v>1379</v>
      </c>
      <c r="D1083" s="30" t="s">
        <v>1392</v>
      </c>
      <c r="F1083" s="4">
        <v>56</v>
      </c>
      <c r="G1083" s="4">
        <v>800</v>
      </c>
      <c r="J1083" s="4">
        <v>4</v>
      </c>
      <c r="N1083" s="4">
        <v>2</v>
      </c>
      <c r="P1083" s="4">
        <v>2</v>
      </c>
      <c r="R1083" s="5" t="s">
        <v>1393</v>
      </c>
    </row>
    <row r="1084" spans="1:18">
      <c r="A1084" s="4">
        <v>660008</v>
      </c>
      <c r="B1084" s="4">
        <v>417</v>
      </c>
      <c r="C1084" s="4" t="s">
        <v>1379</v>
      </c>
      <c r="D1084" s="30" t="s">
        <v>1394</v>
      </c>
      <c r="F1084" s="4">
        <v>56</v>
      </c>
      <c r="G1084" s="4">
        <v>1000</v>
      </c>
      <c r="J1084" s="4">
        <v>4</v>
      </c>
      <c r="N1084" s="4">
        <v>2</v>
      </c>
      <c r="P1084" s="4">
        <v>2</v>
      </c>
      <c r="R1084" s="5" t="s">
        <v>1395</v>
      </c>
    </row>
    <row r="1085" spans="1:18">
      <c r="A1085" s="4">
        <v>660009</v>
      </c>
      <c r="B1085" s="4">
        <v>417</v>
      </c>
      <c r="C1085" s="4" t="s">
        <v>1379</v>
      </c>
      <c r="D1085" s="65" t="s">
        <v>1396</v>
      </c>
      <c r="F1085" s="4">
        <v>56</v>
      </c>
      <c r="G1085" s="4">
        <v>2500</v>
      </c>
      <c r="J1085" s="4">
        <v>4</v>
      </c>
      <c r="N1085" s="4">
        <v>2</v>
      </c>
      <c r="P1085" s="4">
        <v>2</v>
      </c>
      <c r="R1085" s="5" t="s">
        <v>1397</v>
      </c>
    </row>
    <row r="1086" spans="1:18">
      <c r="A1086" s="4">
        <v>660010</v>
      </c>
      <c r="B1086" s="4">
        <v>417</v>
      </c>
      <c r="C1086" s="4" t="s">
        <v>1379</v>
      </c>
      <c r="D1086" s="65" t="s">
        <v>1398</v>
      </c>
      <c r="F1086" s="4">
        <v>56</v>
      </c>
      <c r="G1086" s="4">
        <v>5000</v>
      </c>
      <c r="J1086" s="4">
        <v>4</v>
      </c>
      <c r="N1086" s="4">
        <v>2</v>
      </c>
      <c r="P1086" s="4">
        <v>2</v>
      </c>
      <c r="R1086" s="5" t="s">
        <v>1399</v>
      </c>
    </row>
    <row r="1087" spans="1:18">
      <c r="A1087" s="4">
        <v>660011</v>
      </c>
      <c r="B1087" s="4">
        <v>417</v>
      </c>
      <c r="C1087" s="4" t="s">
        <v>1379</v>
      </c>
      <c r="D1087" s="65" t="s">
        <v>1400</v>
      </c>
      <c r="F1087" s="4">
        <v>56</v>
      </c>
      <c r="G1087" s="4">
        <v>7500</v>
      </c>
      <c r="J1087" s="4">
        <v>4</v>
      </c>
      <c r="N1087" s="4">
        <v>2</v>
      </c>
      <c r="P1087" s="4">
        <v>2</v>
      </c>
      <c r="R1087" s="5" t="s">
        <v>1401</v>
      </c>
    </row>
    <row r="1088" spans="1:18">
      <c r="A1088" s="4">
        <v>660012</v>
      </c>
      <c r="B1088" s="4">
        <v>417</v>
      </c>
      <c r="C1088" s="4" t="s">
        <v>1379</v>
      </c>
      <c r="D1088" s="65" t="s">
        <v>1402</v>
      </c>
      <c r="F1088" s="4">
        <v>56</v>
      </c>
      <c r="G1088" s="4">
        <v>10000</v>
      </c>
      <c r="J1088" s="4">
        <v>4</v>
      </c>
      <c r="N1088" s="4">
        <v>2</v>
      </c>
      <c r="P1088" s="4">
        <v>2</v>
      </c>
      <c r="R1088" s="5" t="s">
        <v>1403</v>
      </c>
    </row>
    <row r="1089" spans="1:18">
      <c r="A1089" s="4">
        <v>660013</v>
      </c>
      <c r="B1089" s="4">
        <v>417</v>
      </c>
      <c r="C1089" s="4" t="s">
        <v>1379</v>
      </c>
      <c r="D1089" s="65" t="s">
        <v>1404</v>
      </c>
      <c r="F1089" s="4">
        <v>56</v>
      </c>
      <c r="G1089" s="4">
        <v>12500</v>
      </c>
      <c r="J1089" s="4">
        <v>4</v>
      </c>
      <c r="N1089" s="4">
        <v>2</v>
      </c>
      <c r="P1089" s="4">
        <v>2</v>
      </c>
      <c r="R1089" s="5" t="s">
        <v>1405</v>
      </c>
    </row>
    <row r="1090" spans="1:18">
      <c r="A1090" s="4">
        <v>660014</v>
      </c>
      <c r="B1090" s="4">
        <v>417</v>
      </c>
      <c r="C1090" s="4" t="s">
        <v>1379</v>
      </c>
      <c r="D1090" s="65" t="s">
        <v>1406</v>
      </c>
      <c r="F1090" s="4">
        <v>56</v>
      </c>
      <c r="G1090" s="4">
        <v>15000</v>
      </c>
      <c r="J1090" s="4">
        <v>4</v>
      </c>
      <c r="N1090" s="4">
        <v>2</v>
      </c>
      <c r="P1090" s="4">
        <v>2</v>
      </c>
      <c r="R1090" s="5" t="s">
        <v>1407</v>
      </c>
    </row>
    <row r="1091" spans="1:18">
      <c r="A1091" s="4">
        <v>660015</v>
      </c>
      <c r="B1091" s="4">
        <v>417</v>
      </c>
      <c r="C1091" s="4" t="s">
        <v>1379</v>
      </c>
      <c r="D1091" s="65" t="s">
        <v>1408</v>
      </c>
      <c r="F1091" s="4">
        <v>56</v>
      </c>
      <c r="G1091" s="4">
        <v>17500</v>
      </c>
      <c r="J1091" s="4">
        <v>4</v>
      </c>
      <c r="N1091" s="4">
        <v>2</v>
      </c>
      <c r="P1091" s="4">
        <v>2</v>
      </c>
      <c r="R1091" s="5" t="s">
        <v>1409</v>
      </c>
    </row>
    <row r="1092" spans="1:18">
      <c r="A1092" s="4">
        <v>660016</v>
      </c>
      <c r="B1092" s="4">
        <v>417</v>
      </c>
      <c r="C1092" s="4" t="s">
        <v>1379</v>
      </c>
      <c r="D1092" s="65" t="s">
        <v>1410</v>
      </c>
      <c r="F1092" s="4">
        <v>56</v>
      </c>
      <c r="G1092" s="4">
        <v>20000</v>
      </c>
      <c r="J1092" s="4">
        <v>4</v>
      </c>
      <c r="N1092" s="4">
        <v>2</v>
      </c>
      <c r="P1092" s="4">
        <v>2</v>
      </c>
      <c r="R1092" s="5" t="s">
        <v>1411</v>
      </c>
    </row>
    <row r="1093" s="27" customFormat="1" spans="1:18">
      <c r="A1093" s="17">
        <v>661001</v>
      </c>
      <c r="B1093" s="17">
        <v>417</v>
      </c>
      <c r="C1093" s="17" t="s">
        <v>1379</v>
      </c>
      <c r="D1093" s="59" t="s">
        <v>1380</v>
      </c>
      <c r="E1093" s="17"/>
      <c r="F1093" s="17">
        <v>56</v>
      </c>
      <c r="G1093" s="17">
        <v>100</v>
      </c>
      <c r="H1093" s="17"/>
      <c r="I1093" s="17"/>
      <c r="J1093" s="17">
        <v>4</v>
      </c>
      <c r="N1093" s="17">
        <v>2</v>
      </c>
      <c r="P1093" s="17">
        <v>2</v>
      </c>
      <c r="R1093" s="27" t="s">
        <v>1412</v>
      </c>
    </row>
    <row r="1094" s="27" customFormat="1" spans="1:18">
      <c r="A1094" s="17">
        <v>661002</v>
      </c>
      <c r="B1094" s="17">
        <v>417</v>
      </c>
      <c r="C1094" s="17" t="s">
        <v>1379</v>
      </c>
      <c r="D1094" s="59" t="s">
        <v>1382</v>
      </c>
      <c r="E1094" s="17"/>
      <c r="F1094" s="17">
        <v>56</v>
      </c>
      <c r="G1094" s="17">
        <v>200</v>
      </c>
      <c r="H1094" s="17"/>
      <c r="I1094" s="17"/>
      <c r="J1094" s="17">
        <v>4</v>
      </c>
      <c r="N1094" s="17">
        <v>2</v>
      </c>
      <c r="P1094" s="17">
        <v>2</v>
      </c>
      <c r="R1094" s="27" t="s">
        <v>1413</v>
      </c>
    </row>
    <row r="1095" s="27" customFormat="1" spans="1:18">
      <c r="A1095" s="17">
        <v>661003</v>
      </c>
      <c r="B1095" s="17">
        <v>417</v>
      </c>
      <c r="C1095" s="17" t="s">
        <v>1379</v>
      </c>
      <c r="D1095" s="59" t="s">
        <v>1384</v>
      </c>
      <c r="E1095" s="17"/>
      <c r="F1095" s="17">
        <v>56</v>
      </c>
      <c r="G1095" s="17">
        <v>300</v>
      </c>
      <c r="H1095" s="17"/>
      <c r="I1095" s="17"/>
      <c r="J1095" s="17">
        <v>4</v>
      </c>
      <c r="N1095" s="17">
        <v>2</v>
      </c>
      <c r="P1095" s="17">
        <v>2</v>
      </c>
      <c r="R1095" s="27" t="s">
        <v>1414</v>
      </c>
    </row>
    <row r="1096" s="27" customFormat="1" spans="1:18">
      <c r="A1096" s="17">
        <v>661004</v>
      </c>
      <c r="B1096" s="17">
        <v>417</v>
      </c>
      <c r="C1096" s="17" t="s">
        <v>1379</v>
      </c>
      <c r="D1096" s="59" t="s">
        <v>1386</v>
      </c>
      <c r="E1096" s="17"/>
      <c r="F1096" s="17">
        <v>56</v>
      </c>
      <c r="G1096" s="17">
        <v>400</v>
      </c>
      <c r="H1096" s="17"/>
      <c r="I1096" s="17"/>
      <c r="J1096" s="17">
        <v>4</v>
      </c>
      <c r="N1096" s="17">
        <v>2</v>
      </c>
      <c r="P1096" s="17">
        <v>2</v>
      </c>
      <c r="R1096" s="27" t="s">
        <v>1415</v>
      </c>
    </row>
    <row r="1097" s="27" customFormat="1" spans="1:18">
      <c r="A1097" s="17">
        <v>661005</v>
      </c>
      <c r="B1097" s="17">
        <v>417</v>
      </c>
      <c r="C1097" s="17" t="s">
        <v>1379</v>
      </c>
      <c r="D1097" s="59" t="s">
        <v>1388</v>
      </c>
      <c r="E1097" s="17"/>
      <c r="F1097" s="17">
        <v>56</v>
      </c>
      <c r="G1097" s="17">
        <v>500</v>
      </c>
      <c r="H1097" s="17"/>
      <c r="I1097" s="17"/>
      <c r="J1097" s="17">
        <v>4</v>
      </c>
      <c r="N1097" s="17">
        <v>2</v>
      </c>
      <c r="P1097" s="17">
        <v>2</v>
      </c>
      <c r="R1097" s="27" t="s">
        <v>1416</v>
      </c>
    </row>
    <row r="1098" s="27" customFormat="1" spans="1:18">
      <c r="A1098" s="17">
        <v>661006</v>
      </c>
      <c r="B1098" s="17">
        <v>417</v>
      </c>
      <c r="C1098" s="17" t="s">
        <v>1379</v>
      </c>
      <c r="D1098" s="59" t="s">
        <v>1390</v>
      </c>
      <c r="E1098" s="17"/>
      <c r="F1098" s="17">
        <v>56</v>
      </c>
      <c r="G1098" s="17">
        <v>600</v>
      </c>
      <c r="H1098" s="17"/>
      <c r="I1098" s="17"/>
      <c r="J1098" s="17">
        <v>4</v>
      </c>
      <c r="N1098" s="17">
        <v>2</v>
      </c>
      <c r="P1098" s="17">
        <v>2</v>
      </c>
      <c r="R1098" s="27" t="s">
        <v>1417</v>
      </c>
    </row>
    <row r="1099" s="35" customFormat="1" spans="1:18">
      <c r="A1099" s="78">
        <v>670001</v>
      </c>
      <c r="B1099" s="78">
        <v>101</v>
      </c>
      <c r="C1099" s="78" t="s">
        <v>1418</v>
      </c>
      <c r="D1099" s="39" t="s">
        <v>1343</v>
      </c>
      <c r="E1099" s="78"/>
      <c r="F1099" s="78"/>
      <c r="G1099" s="78">
        <v>1</v>
      </c>
      <c r="H1099" s="78"/>
      <c r="I1099" s="78"/>
      <c r="J1099" s="78">
        <v>1</v>
      </c>
      <c r="N1099" s="78">
        <v>2</v>
      </c>
      <c r="P1099" s="78">
        <v>2</v>
      </c>
      <c r="R1099" s="35" t="s">
        <v>1419</v>
      </c>
    </row>
    <row r="1100" s="35" customFormat="1" spans="1:18">
      <c r="A1100" s="78">
        <v>670002</v>
      </c>
      <c r="B1100" s="78">
        <v>820</v>
      </c>
      <c r="C1100" s="78" t="s">
        <v>1420</v>
      </c>
      <c r="D1100" s="39" t="s">
        <v>656</v>
      </c>
      <c r="E1100" s="78"/>
      <c r="F1100" s="78">
        <v>77</v>
      </c>
      <c r="G1100" s="78">
        <v>1</v>
      </c>
      <c r="H1100" s="78"/>
      <c r="I1100" s="78"/>
      <c r="J1100" s="78">
        <v>4</v>
      </c>
      <c r="N1100" s="78">
        <v>2</v>
      </c>
      <c r="P1100" s="78">
        <v>2</v>
      </c>
      <c r="R1100" s="35" t="s">
        <v>1421</v>
      </c>
    </row>
    <row r="1101" s="35" customFormat="1" spans="1:18">
      <c r="A1101" s="78">
        <v>670003</v>
      </c>
      <c r="B1101" s="78">
        <v>981</v>
      </c>
      <c r="C1101" s="78" t="s">
        <v>1422</v>
      </c>
      <c r="D1101" s="39" t="s">
        <v>484</v>
      </c>
      <c r="E1101" s="78"/>
      <c r="F1101" s="78">
        <v>30</v>
      </c>
      <c r="G1101" s="78">
        <v>1</v>
      </c>
      <c r="H1101" s="78"/>
      <c r="I1101" s="78">
        <v>1</v>
      </c>
      <c r="J1101" s="78">
        <v>4</v>
      </c>
      <c r="N1101" s="78">
        <v>0</v>
      </c>
      <c r="P1101" s="78">
        <v>2</v>
      </c>
      <c r="R1101" s="35" t="s">
        <v>1421</v>
      </c>
    </row>
    <row r="1102" s="35" customFormat="1" spans="1:18">
      <c r="A1102" s="78">
        <v>670004</v>
      </c>
      <c r="B1102" s="78">
        <v>3101</v>
      </c>
      <c r="C1102" s="78" t="s">
        <v>1423</v>
      </c>
      <c r="D1102" s="39" t="s">
        <v>138</v>
      </c>
      <c r="E1102" s="78"/>
      <c r="F1102" s="78">
        <v>9</v>
      </c>
      <c r="G1102" s="78">
        <v>3</v>
      </c>
      <c r="H1102" s="78"/>
      <c r="I1102" s="78"/>
      <c r="J1102" s="78">
        <v>4</v>
      </c>
      <c r="N1102" s="78">
        <v>2</v>
      </c>
      <c r="P1102" s="78">
        <v>2</v>
      </c>
      <c r="R1102" s="35" t="s">
        <v>1421</v>
      </c>
    </row>
    <row r="1103" s="35" customFormat="1" spans="1:18">
      <c r="A1103" s="78">
        <v>670005</v>
      </c>
      <c r="B1103" s="78">
        <v>1402</v>
      </c>
      <c r="C1103" s="78" t="s">
        <v>1424</v>
      </c>
      <c r="D1103" s="39" t="s">
        <v>124</v>
      </c>
      <c r="E1103" s="78"/>
      <c r="F1103" s="78">
        <v>3</v>
      </c>
      <c r="G1103" s="78">
        <v>1</v>
      </c>
      <c r="H1103" s="78"/>
      <c r="I1103" s="78"/>
      <c r="J1103" s="78">
        <v>4</v>
      </c>
      <c r="N1103" s="78">
        <v>2</v>
      </c>
      <c r="P1103" s="78">
        <v>2</v>
      </c>
      <c r="R1103" s="35" t="s">
        <v>1421</v>
      </c>
    </row>
    <row r="1104" s="35" customFormat="1" spans="1:18">
      <c r="A1104" s="78">
        <v>670006</v>
      </c>
      <c r="B1104" s="78">
        <v>401</v>
      </c>
      <c r="C1104" s="78" t="s">
        <v>1355</v>
      </c>
      <c r="D1104" s="39" t="s">
        <v>115</v>
      </c>
      <c r="E1104" s="78"/>
      <c r="F1104" s="78">
        <v>2</v>
      </c>
      <c r="G1104" s="78">
        <v>3</v>
      </c>
      <c r="H1104" s="78"/>
      <c r="I1104" s="78"/>
      <c r="J1104" s="78">
        <v>4</v>
      </c>
      <c r="N1104" s="78">
        <v>2</v>
      </c>
      <c r="P1104" s="78">
        <v>2</v>
      </c>
      <c r="R1104" s="35" t="s">
        <v>1421</v>
      </c>
    </row>
    <row r="1105" s="35" customFormat="1" spans="1:18">
      <c r="A1105" s="78">
        <v>670007</v>
      </c>
      <c r="B1105" s="78">
        <v>982</v>
      </c>
      <c r="C1105" s="78" t="s">
        <v>1425</v>
      </c>
      <c r="D1105" s="39" t="s">
        <v>1426</v>
      </c>
      <c r="E1105" s="78"/>
      <c r="F1105" s="78">
        <v>40</v>
      </c>
      <c r="G1105" s="78">
        <v>1</v>
      </c>
      <c r="H1105" s="78"/>
      <c r="I1105" s="78"/>
      <c r="J1105" s="78">
        <v>4</v>
      </c>
      <c r="N1105" s="78">
        <v>2</v>
      </c>
      <c r="P1105" s="78">
        <v>2</v>
      </c>
      <c r="R1105" s="35" t="s">
        <v>1421</v>
      </c>
    </row>
    <row r="1106" s="35" customFormat="1" spans="1:18">
      <c r="A1106" s="78">
        <v>671001</v>
      </c>
      <c r="B1106" s="78">
        <v>402</v>
      </c>
      <c r="C1106" s="78" t="s">
        <v>1355</v>
      </c>
      <c r="D1106" s="95" t="s">
        <v>211</v>
      </c>
      <c r="E1106" s="78"/>
      <c r="F1106" s="78">
        <v>56</v>
      </c>
      <c r="G1106" s="78">
        <v>30</v>
      </c>
      <c r="H1106" s="78"/>
      <c r="I1106" s="78">
        <v>2</v>
      </c>
      <c r="J1106" s="78">
        <v>4</v>
      </c>
      <c r="N1106" s="78">
        <v>2</v>
      </c>
      <c r="P1106" s="78">
        <v>2</v>
      </c>
      <c r="R1106" s="100" t="s">
        <v>1427</v>
      </c>
    </row>
    <row r="1107" s="35" customFormat="1" spans="1:18">
      <c r="A1107" s="78">
        <v>671002</v>
      </c>
      <c r="B1107" s="78">
        <v>1701</v>
      </c>
      <c r="C1107" s="78" t="s">
        <v>1362</v>
      </c>
      <c r="D1107" s="39" t="s">
        <v>1363</v>
      </c>
      <c r="E1107" s="78"/>
      <c r="F1107" s="78">
        <v>59</v>
      </c>
      <c r="G1107" s="78">
        <v>14</v>
      </c>
      <c r="H1107" s="78"/>
      <c r="I1107" s="78"/>
      <c r="J1107" s="78">
        <v>4</v>
      </c>
      <c r="N1107" s="78">
        <v>2</v>
      </c>
      <c r="P1107" s="78">
        <v>2</v>
      </c>
      <c r="R1107" s="100" t="s">
        <v>1427</v>
      </c>
    </row>
    <row r="1108" s="35" customFormat="1" spans="1:18">
      <c r="A1108" s="78">
        <v>671003</v>
      </c>
      <c r="B1108" s="78">
        <v>503</v>
      </c>
      <c r="C1108" s="78" t="s">
        <v>1428</v>
      </c>
      <c r="D1108" s="39" t="s">
        <v>1429</v>
      </c>
      <c r="E1108" s="78"/>
      <c r="F1108" s="78">
        <v>44</v>
      </c>
      <c r="G1108" s="78">
        <v>30</v>
      </c>
      <c r="H1108" s="78"/>
      <c r="I1108" s="78"/>
      <c r="J1108" s="78">
        <v>4</v>
      </c>
      <c r="N1108" s="78">
        <v>2</v>
      </c>
      <c r="P1108" s="78">
        <v>2</v>
      </c>
      <c r="R1108" s="100" t="s">
        <v>1427</v>
      </c>
    </row>
    <row r="1109" s="39" customFormat="1" spans="1:18">
      <c r="A1109" s="78">
        <v>671004</v>
      </c>
      <c r="B1109" s="78">
        <v>1603</v>
      </c>
      <c r="C1109" s="78" t="s">
        <v>1048</v>
      </c>
      <c r="D1109" s="39" t="s">
        <v>1430</v>
      </c>
      <c r="E1109" s="78"/>
      <c r="F1109" s="78">
        <v>8</v>
      </c>
      <c r="G1109" s="78">
        <v>20</v>
      </c>
      <c r="H1109" s="78"/>
      <c r="I1109" s="78"/>
      <c r="J1109" s="78">
        <v>4</v>
      </c>
      <c r="N1109" s="78">
        <v>2</v>
      </c>
      <c r="P1109" s="78">
        <v>2</v>
      </c>
      <c r="R1109" s="100" t="s">
        <v>1427</v>
      </c>
    </row>
    <row r="1110" s="35" customFormat="1" spans="1:18">
      <c r="A1110" s="78">
        <v>671005</v>
      </c>
      <c r="B1110" s="78">
        <v>990</v>
      </c>
      <c r="C1110" s="78" t="s">
        <v>1067</v>
      </c>
      <c r="D1110" s="95" t="s">
        <v>1070</v>
      </c>
      <c r="E1110" s="78"/>
      <c r="F1110" s="78">
        <v>43</v>
      </c>
      <c r="G1110" s="78">
        <v>20</v>
      </c>
      <c r="H1110" s="78"/>
      <c r="I1110" s="78"/>
      <c r="J1110" s="78">
        <v>4</v>
      </c>
      <c r="N1110" s="78">
        <v>2</v>
      </c>
      <c r="P1110" s="78">
        <v>2</v>
      </c>
      <c r="R1110" s="100" t="s">
        <v>1427</v>
      </c>
    </row>
    <row r="1111" s="35" customFormat="1" spans="1:18">
      <c r="A1111" s="78">
        <v>671006</v>
      </c>
      <c r="B1111" s="78">
        <v>1303</v>
      </c>
      <c r="C1111" s="78" t="s">
        <v>1349</v>
      </c>
      <c r="D1111" s="95" t="s">
        <v>1431</v>
      </c>
      <c r="E1111" s="78"/>
      <c r="F1111" s="78">
        <v>7</v>
      </c>
      <c r="G1111" s="78">
        <v>20</v>
      </c>
      <c r="H1111" s="78"/>
      <c r="I1111" s="78"/>
      <c r="J1111" s="78">
        <v>4</v>
      </c>
      <c r="N1111" s="78">
        <v>2</v>
      </c>
      <c r="P1111" s="78">
        <v>2</v>
      </c>
      <c r="R1111" s="100" t="s">
        <v>1427</v>
      </c>
    </row>
    <row r="1112" s="35" customFormat="1" spans="1:18">
      <c r="A1112" s="78">
        <v>671007</v>
      </c>
      <c r="B1112" s="78">
        <v>1202</v>
      </c>
      <c r="C1112" s="78" t="s">
        <v>1348</v>
      </c>
      <c r="D1112" s="39" t="s">
        <v>1432</v>
      </c>
      <c r="E1112" s="78"/>
      <c r="F1112" s="78">
        <v>18</v>
      </c>
      <c r="G1112" s="78">
        <v>7</v>
      </c>
      <c r="H1112" s="78"/>
      <c r="I1112" s="78"/>
      <c r="J1112" s="78">
        <v>4</v>
      </c>
      <c r="N1112" s="78">
        <v>2</v>
      </c>
      <c r="P1112" s="78">
        <v>2</v>
      </c>
      <c r="R1112" s="100" t="s">
        <v>1427</v>
      </c>
    </row>
    <row r="1113" s="35" customFormat="1" spans="1:18">
      <c r="A1113" s="78">
        <v>671008</v>
      </c>
      <c r="B1113" s="78">
        <v>603</v>
      </c>
      <c r="C1113" s="78" t="s">
        <v>1352</v>
      </c>
      <c r="D1113" s="39" t="s">
        <v>1433</v>
      </c>
      <c r="E1113" s="78"/>
      <c r="F1113" s="78">
        <v>15</v>
      </c>
      <c r="G1113" s="78">
        <v>7</v>
      </c>
      <c r="H1113" s="78"/>
      <c r="I1113" s="78"/>
      <c r="J1113" s="78">
        <v>4</v>
      </c>
      <c r="N1113" s="78">
        <v>0</v>
      </c>
      <c r="P1113" s="78">
        <v>2</v>
      </c>
      <c r="R1113" s="100" t="s">
        <v>1427</v>
      </c>
    </row>
    <row r="1114" s="35" customFormat="1" spans="1:18">
      <c r="A1114" s="78">
        <v>671009</v>
      </c>
      <c r="B1114" s="78">
        <v>4001</v>
      </c>
      <c r="C1114" s="78" t="s">
        <v>1367</v>
      </c>
      <c r="D1114" s="39" t="s">
        <v>1065</v>
      </c>
      <c r="E1114" s="78"/>
      <c r="F1114" s="78">
        <v>58</v>
      </c>
      <c r="G1114" s="78">
        <v>1</v>
      </c>
      <c r="H1114" s="78"/>
      <c r="I1114" s="78"/>
      <c r="J1114" s="78">
        <v>4</v>
      </c>
      <c r="N1114" s="78">
        <v>2</v>
      </c>
      <c r="P1114" s="78">
        <v>2</v>
      </c>
      <c r="R1114" s="35" t="s">
        <v>1434</v>
      </c>
    </row>
    <row r="1115" s="32" customFormat="1" spans="1:18">
      <c r="A1115" s="68">
        <v>680001</v>
      </c>
      <c r="B1115" s="68">
        <v>101</v>
      </c>
      <c r="C1115" s="68" t="s">
        <v>1342</v>
      </c>
      <c r="D1115" s="37" t="s">
        <v>1343</v>
      </c>
      <c r="E1115" s="68"/>
      <c r="F1115" s="68"/>
      <c r="G1115" s="68">
        <v>1</v>
      </c>
      <c r="H1115" s="68"/>
      <c r="I1115" s="68"/>
      <c r="J1115" s="68">
        <v>1</v>
      </c>
      <c r="N1115" s="68">
        <v>2</v>
      </c>
      <c r="P1115" s="68">
        <v>2</v>
      </c>
      <c r="R1115" s="32" t="s">
        <v>1435</v>
      </c>
    </row>
    <row r="1116" s="32" customFormat="1" spans="1:18">
      <c r="A1116" s="68">
        <v>680002</v>
      </c>
      <c r="B1116" s="68">
        <v>302</v>
      </c>
      <c r="C1116" s="68" t="s">
        <v>1345</v>
      </c>
      <c r="D1116" s="37" t="s">
        <v>112</v>
      </c>
      <c r="E1116" s="68"/>
      <c r="F1116" s="68">
        <v>1</v>
      </c>
      <c r="G1116" s="68">
        <v>5</v>
      </c>
      <c r="H1116" s="68"/>
      <c r="I1116" s="68"/>
      <c r="J1116" s="68">
        <v>1</v>
      </c>
      <c r="N1116" s="68">
        <v>2</v>
      </c>
      <c r="P1116" s="68">
        <v>2</v>
      </c>
      <c r="R1116" s="32" t="s">
        <v>1436</v>
      </c>
    </row>
    <row r="1117" s="32" customFormat="1" spans="1:18">
      <c r="A1117" s="68">
        <v>680003</v>
      </c>
      <c r="B1117" s="68">
        <v>4002</v>
      </c>
      <c r="C1117" s="68" t="s">
        <v>1347</v>
      </c>
      <c r="D1117" s="37" t="s">
        <v>1043</v>
      </c>
      <c r="E1117" s="68"/>
      <c r="F1117" s="68">
        <v>58</v>
      </c>
      <c r="G1117" s="68">
        <v>500</v>
      </c>
      <c r="H1117" s="68"/>
      <c r="I1117" s="68">
        <v>1</v>
      </c>
      <c r="J1117" s="68">
        <v>1</v>
      </c>
      <c r="N1117" s="68">
        <v>2</v>
      </c>
      <c r="P1117" s="68">
        <v>2</v>
      </c>
      <c r="R1117" s="32" t="s">
        <v>1436</v>
      </c>
    </row>
    <row r="1118" s="32" customFormat="1" spans="1:18">
      <c r="A1118" s="68">
        <v>680004</v>
      </c>
      <c r="B1118" s="68">
        <v>1202</v>
      </c>
      <c r="C1118" s="68" t="s">
        <v>1348</v>
      </c>
      <c r="D1118" s="37" t="s">
        <v>121</v>
      </c>
      <c r="E1118" s="68"/>
      <c r="F1118" s="68">
        <v>18</v>
      </c>
      <c r="G1118" s="68">
        <v>1</v>
      </c>
      <c r="H1118" s="68"/>
      <c r="I1118" s="68"/>
      <c r="J1118" s="68">
        <v>1</v>
      </c>
      <c r="N1118" s="68">
        <v>2</v>
      </c>
      <c r="P1118" s="68">
        <v>2</v>
      </c>
      <c r="R1118" s="32" t="s">
        <v>1436</v>
      </c>
    </row>
    <row r="1119" s="32" customFormat="1" spans="1:18">
      <c r="A1119" s="68">
        <v>680005</v>
      </c>
      <c r="B1119" s="68">
        <v>1303</v>
      </c>
      <c r="C1119" s="68" t="s">
        <v>1349</v>
      </c>
      <c r="D1119" s="37" t="s">
        <v>1350</v>
      </c>
      <c r="E1119" s="68"/>
      <c r="F1119" s="68">
        <v>7</v>
      </c>
      <c r="G1119" s="68">
        <v>4</v>
      </c>
      <c r="H1119" s="68"/>
      <c r="I1119" s="68"/>
      <c r="J1119" s="68">
        <v>4</v>
      </c>
      <c r="N1119" s="68">
        <v>2</v>
      </c>
      <c r="P1119" s="68">
        <v>2</v>
      </c>
      <c r="R1119" s="32" t="s">
        <v>1436</v>
      </c>
    </row>
    <row r="1120" s="32" customFormat="1" spans="1:18">
      <c r="A1120" s="68">
        <v>680006</v>
      </c>
      <c r="B1120" s="68">
        <v>1002</v>
      </c>
      <c r="C1120" s="68" t="s">
        <v>1351</v>
      </c>
      <c r="D1120" s="37" t="s">
        <v>141</v>
      </c>
      <c r="E1120" s="68"/>
      <c r="F1120" s="68">
        <v>10</v>
      </c>
      <c r="G1120" s="68">
        <v>3</v>
      </c>
      <c r="H1120" s="68"/>
      <c r="I1120" s="68"/>
      <c r="J1120" s="68">
        <v>1</v>
      </c>
      <c r="N1120" s="68">
        <v>2</v>
      </c>
      <c r="P1120" s="68">
        <v>2</v>
      </c>
      <c r="R1120" s="32" t="s">
        <v>1436</v>
      </c>
    </row>
    <row r="1121" s="32" customFormat="1" spans="1:18">
      <c r="A1121" s="68">
        <v>680007</v>
      </c>
      <c r="B1121" s="68">
        <v>603</v>
      </c>
      <c r="C1121" s="68" t="s">
        <v>1352</v>
      </c>
      <c r="D1121" s="37" t="s">
        <v>588</v>
      </c>
      <c r="E1121" s="68"/>
      <c r="F1121" s="68">
        <v>15</v>
      </c>
      <c r="G1121" s="68">
        <v>1</v>
      </c>
      <c r="H1121" s="68"/>
      <c r="I1121" s="68"/>
      <c r="J1121" s="68">
        <v>4</v>
      </c>
      <c r="N1121" s="68">
        <v>0</v>
      </c>
      <c r="P1121" s="68">
        <v>2</v>
      </c>
      <c r="R1121" s="32" t="s">
        <v>1436</v>
      </c>
    </row>
    <row r="1122" s="32" customFormat="1" spans="1:18">
      <c r="A1122" s="68">
        <v>681001</v>
      </c>
      <c r="B1122" s="68">
        <v>804</v>
      </c>
      <c r="C1122" s="68" t="s">
        <v>1353</v>
      </c>
      <c r="D1122" s="90" t="s">
        <v>1091</v>
      </c>
      <c r="E1122" s="68"/>
      <c r="F1122" s="68">
        <v>48</v>
      </c>
      <c r="G1122" s="68">
        <v>1</v>
      </c>
      <c r="H1122" s="68"/>
      <c r="I1122" s="68"/>
      <c r="J1122" s="68">
        <v>4</v>
      </c>
      <c r="N1122" s="68">
        <v>2</v>
      </c>
      <c r="P1122" s="68">
        <v>2</v>
      </c>
      <c r="R1122" s="93" t="s">
        <v>1437</v>
      </c>
    </row>
    <row r="1123" s="32" customFormat="1" spans="1:18">
      <c r="A1123" s="68">
        <v>681002</v>
      </c>
      <c r="B1123" s="68">
        <v>402</v>
      </c>
      <c r="C1123" s="68" t="s">
        <v>1355</v>
      </c>
      <c r="D1123" s="37" t="s">
        <v>211</v>
      </c>
      <c r="E1123" s="68"/>
      <c r="F1123" s="68">
        <v>56</v>
      </c>
      <c r="G1123" s="68">
        <v>30</v>
      </c>
      <c r="H1123" s="68"/>
      <c r="I1123" s="68">
        <v>2</v>
      </c>
      <c r="J1123" s="68">
        <v>4</v>
      </c>
      <c r="N1123" s="68">
        <v>2</v>
      </c>
      <c r="P1123" s="68">
        <v>2</v>
      </c>
      <c r="R1123" s="93" t="s">
        <v>1437</v>
      </c>
    </row>
    <row r="1124" s="32" customFormat="1" spans="1:18">
      <c r="A1124" s="68">
        <v>681003</v>
      </c>
      <c r="B1124" s="68">
        <v>503</v>
      </c>
      <c r="C1124" s="68" t="s">
        <v>1356</v>
      </c>
      <c r="D1124" s="37" t="s">
        <v>1357</v>
      </c>
      <c r="E1124" s="68"/>
      <c r="F1124" s="68">
        <v>44</v>
      </c>
      <c r="G1124" s="68">
        <v>20</v>
      </c>
      <c r="H1124" s="68"/>
      <c r="I1124" s="68"/>
      <c r="J1124" s="68">
        <v>4</v>
      </c>
      <c r="N1124" s="68">
        <v>2</v>
      </c>
      <c r="P1124" s="68">
        <v>2</v>
      </c>
      <c r="R1124" s="93" t="s">
        <v>1437</v>
      </c>
    </row>
    <row r="1125" s="37" customFormat="1" spans="1:18">
      <c r="A1125" s="68">
        <v>681004</v>
      </c>
      <c r="B1125" s="68">
        <v>982</v>
      </c>
      <c r="C1125" s="68" t="s">
        <v>1358</v>
      </c>
      <c r="D1125" s="37" t="s">
        <v>1359</v>
      </c>
      <c r="E1125" s="68"/>
      <c r="F1125" s="68">
        <v>40</v>
      </c>
      <c r="G1125" s="68">
        <v>20</v>
      </c>
      <c r="H1125" s="68"/>
      <c r="I1125" s="68"/>
      <c r="J1125" s="68">
        <v>4</v>
      </c>
      <c r="N1125" s="68">
        <v>0</v>
      </c>
      <c r="P1125" s="68">
        <v>2</v>
      </c>
      <c r="R1125" s="93" t="s">
        <v>1437</v>
      </c>
    </row>
    <row r="1126" s="32" customFormat="1" spans="1:18">
      <c r="A1126" s="68">
        <v>681005</v>
      </c>
      <c r="B1126" s="68">
        <v>811</v>
      </c>
      <c r="C1126" s="68" t="s">
        <v>1360</v>
      </c>
      <c r="D1126" s="90" t="s">
        <v>1361</v>
      </c>
      <c r="E1126" s="68"/>
      <c r="F1126" s="68">
        <v>44</v>
      </c>
      <c r="G1126" s="68">
        <v>20</v>
      </c>
      <c r="H1126" s="68"/>
      <c r="I1126" s="68"/>
      <c r="J1126" s="68">
        <v>4</v>
      </c>
      <c r="N1126" s="68">
        <v>2</v>
      </c>
      <c r="P1126" s="68">
        <v>2</v>
      </c>
      <c r="R1126" s="93" t="s">
        <v>1437</v>
      </c>
    </row>
    <row r="1127" s="32" customFormat="1" spans="1:18">
      <c r="A1127" s="68">
        <v>681006</v>
      </c>
      <c r="B1127" s="68">
        <v>1701</v>
      </c>
      <c r="C1127" s="68" t="s">
        <v>1362</v>
      </c>
      <c r="D1127" s="90" t="s">
        <v>1363</v>
      </c>
      <c r="E1127" s="68"/>
      <c r="F1127" s="68">
        <v>59</v>
      </c>
      <c r="G1127" s="68">
        <v>14</v>
      </c>
      <c r="H1127" s="68"/>
      <c r="I1127" s="68"/>
      <c r="J1127" s="68">
        <v>4</v>
      </c>
      <c r="N1127" s="68">
        <v>2</v>
      </c>
      <c r="P1127" s="68">
        <v>2</v>
      </c>
      <c r="R1127" s="93" t="s">
        <v>1437</v>
      </c>
    </row>
    <row r="1128" s="32" customFormat="1" spans="1:18">
      <c r="A1128" s="68">
        <v>681007</v>
      </c>
      <c r="B1128" s="68">
        <v>809</v>
      </c>
      <c r="C1128" s="68" t="s">
        <v>1364</v>
      </c>
      <c r="D1128" s="37" t="s">
        <v>1063</v>
      </c>
      <c r="E1128" s="68"/>
      <c r="F1128" s="68">
        <v>62</v>
      </c>
      <c r="G1128" s="68">
        <v>30</v>
      </c>
      <c r="H1128" s="68"/>
      <c r="I1128" s="68"/>
      <c r="J1128" s="68">
        <v>4</v>
      </c>
      <c r="N1128" s="68">
        <v>2</v>
      </c>
      <c r="P1128" s="68">
        <v>2</v>
      </c>
      <c r="R1128" s="93" t="s">
        <v>1437</v>
      </c>
    </row>
    <row r="1129" s="32" customFormat="1" spans="1:18">
      <c r="A1129" s="68">
        <v>681008</v>
      </c>
      <c r="B1129" s="68">
        <v>502</v>
      </c>
      <c r="C1129" s="68" t="s">
        <v>1365</v>
      </c>
      <c r="D1129" s="37" t="s">
        <v>1366</v>
      </c>
      <c r="E1129" s="68"/>
      <c r="F1129" s="68">
        <v>16</v>
      </c>
      <c r="G1129" s="68">
        <v>7</v>
      </c>
      <c r="H1129" s="68"/>
      <c r="I1129" s="68"/>
      <c r="J1129" s="68">
        <v>4</v>
      </c>
      <c r="N1129" s="68">
        <v>2</v>
      </c>
      <c r="P1129" s="68">
        <v>2</v>
      </c>
      <c r="R1129" s="93" t="s">
        <v>1437</v>
      </c>
    </row>
    <row r="1130" s="32" customFormat="1" spans="1:18">
      <c r="A1130" s="68">
        <v>681009</v>
      </c>
      <c r="B1130" s="68">
        <v>4001</v>
      </c>
      <c r="C1130" s="68" t="s">
        <v>1367</v>
      </c>
      <c r="D1130" s="37" t="s">
        <v>1065</v>
      </c>
      <c r="E1130" s="68"/>
      <c r="F1130" s="68">
        <v>58</v>
      </c>
      <c r="G1130" s="68">
        <v>1</v>
      </c>
      <c r="H1130" s="68"/>
      <c r="I1130" s="68"/>
      <c r="J1130" s="68">
        <v>4</v>
      </c>
      <c r="N1130" s="68">
        <v>2</v>
      </c>
      <c r="P1130" s="68">
        <v>2</v>
      </c>
      <c r="R1130" s="32" t="s">
        <v>1438</v>
      </c>
    </row>
    <row r="1131" s="40" customFormat="1" spans="1:18">
      <c r="A1131" s="96">
        <v>681010</v>
      </c>
      <c r="B1131" s="96">
        <v>101</v>
      </c>
      <c r="C1131" s="96" t="s">
        <v>1342</v>
      </c>
      <c r="D1131" s="41" t="s">
        <v>1343</v>
      </c>
      <c r="E1131" s="96"/>
      <c r="F1131" s="96"/>
      <c r="G1131" s="96">
        <v>1</v>
      </c>
      <c r="H1131" s="96"/>
      <c r="I1131" s="96"/>
      <c r="J1131" s="96">
        <v>1</v>
      </c>
      <c r="N1131" s="96">
        <v>2</v>
      </c>
      <c r="P1131" s="96">
        <v>2</v>
      </c>
      <c r="R1131" s="101" t="s">
        <v>1439</v>
      </c>
    </row>
    <row r="1132" s="40" customFormat="1" spans="1:18">
      <c r="A1132" s="96">
        <v>681011</v>
      </c>
      <c r="B1132" s="96">
        <v>302</v>
      </c>
      <c r="C1132" s="96" t="s">
        <v>1345</v>
      </c>
      <c r="D1132" s="41" t="s">
        <v>112</v>
      </c>
      <c r="E1132" s="96"/>
      <c r="F1132" s="96">
        <v>1</v>
      </c>
      <c r="G1132" s="96">
        <v>5</v>
      </c>
      <c r="H1132" s="96"/>
      <c r="I1132" s="96"/>
      <c r="J1132" s="96">
        <v>1</v>
      </c>
      <c r="N1132" s="96">
        <v>2</v>
      </c>
      <c r="P1132" s="96">
        <v>2</v>
      </c>
      <c r="R1132" s="101" t="s">
        <v>1440</v>
      </c>
    </row>
    <row r="1133" s="40" customFormat="1" spans="1:18">
      <c r="A1133" s="96">
        <v>681012</v>
      </c>
      <c r="B1133" s="96">
        <v>4002</v>
      </c>
      <c r="C1133" s="96" t="s">
        <v>1347</v>
      </c>
      <c r="D1133" s="41" t="s">
        <v>1043</v>
      </c>
      <c r="E1133" s="96"/>
      <c r="F1133" s="96">
        <v>58</v>
      </c>
      <c r="G1133" s="96">
        <v>500</v>
      </c>
      <c r="H1133" s="96"/>
      <c r="I1133" s="96">
        <v>1</v>
      </c>
      <c r="J1133" s="96">
        <v>1</v>
      </c>
      <c r="N1133" s="96">
        <v>2</v>
      </c>
      <c r="P1133" s="96">
        <v>2</v>
      </c>
      <c r="R1133" s="101" t="s">
        <v>1440</v>
      </c>
    </row>
    <row r="1134" s="40" customFormat="1" spans="1:18">
      <c r="A1134" s="96">
        <v>681013</v>
      </c>
      <c r="B1134" s="96">
        <v>1202</v>
      </c>
      <c r="C1134" s="96" t="s">
        <v>1348</v>
      </c>
      <c r="D1134" s="41" t="s">
        <v>121</v>
      </c>
      <c r="E1134" s="96"/>
      <c r="F1134" s="96">
        <v>18</v>
      </c>
      <c r="G1134" s="96">
        <v>1</v>
      </c>
      <c r="H1134" s="96"/>
      <c r="I1134" s="96"/>
      <c r="J1134" s="96">
        <v>1</v>
      </c>
      <c r="N1134" s="96">
        <v>2</v>
      </c>
      <c r="P1134" s="96">
        <v>2</v>
      </c>
      <c r="R1134" s="101" t="s">
        <v>1440</v>
      </c>
    </row>
    <row r="1135" s="40" customFormat="1" spans="1:18">
      <c r="A1135" s="96">
        <v>681014</v>
      </c>
      <c r="B1135" s="96">
        <v>1303</v>
      </c>
      <c r="C1135" s="96" t="s">
        <v>1349</v>
      </c>
      <c r="D1135" s="41" t="s">
        <v>1350</v>
      </c>
      <c r="E1135" s="96"/>
      <c r="F1135" s="96">
        <v>7</v>
      </c>
      <c r="G1135" s="96">
        <v>4</v>
      </c>
      <c r="H1135" s="96"/>
      <c r="I1135" s="96"/>
      <c r="J1135" s="96">
        <v>4</v>
      </c>
      <c r="N1135" s="96">
        <v>2</v>
      </c>
      <c r="P1135" s="96">
        <v>2</v>
      </c>
      <c r="R1135" s="101" t="s">
        <v>1440</v>
      </c>
    </row>
    <row r="1136" s="40" customFormat="1" spans="1:18">
      <c r="A1136" s="96">
        <v>681015</v>
      </c>
      <c r="B1136" s="96">
        <v>1002</v>
      </c>
      <c r="C1136" s="96" t="s">
        <v>1351</v>
      </c>
      <c r="D1136" s="41" t="s">
        <v>141</v>
      </c>
      <c r="E1136" s="96"/>
      <c r="F1136" s="96">
        <v>10</v>
      </c>
      <c r="G1136" s="96">
        <v>3</v>
      </c>
      <c r="H1136" s="96"/>
      <c r="I1136" s="96"/>
      <c r="J1136" s="96">
        <v>1</v>
      </c>
      <c r="N1136" s="96">
        <v>2</v>
      </c>
      <c r="P1136" s="96">
        <v>2</v>
      </c>
      <c r="R1136" s="101" t="s">
        <v>1440</v>
      </c>
    </row>
    <row r="1137" s="40" customFormat="1" spans="1:18">
      <c r="A1137" s="96">
        <v>681016</v>
      </c>
      <c r="B1137" s="96">
        <v>603</v>
      </c>
      <c r="C1137" s="96" t="s">
        <v>1352</v>
      </c>
      <c r="D1137" s="41" t="s">
        <v>588</v>
      </c>
      <c r="E1137" s="96"/>
      <c r="F1137" s="96">
        <v>15</v>
      </c>
      <c r="G1137" s="96">
        <v>1</v>
      </c>
      <c r="H1137" s="96"/>
      <c r="I1137" s="96"/>
      <c r="J1137" s="96">
        <v>4</v>
      </c>
      <c r="N1137" s="96">
        <v>0</v>
      </c>
      <c r="P1137" s="96">
        <v>2</v>
      </c>
      <c r="R1137" s="101" t="s">
        <v>1440</v>
      </c>
    </row>
    <row r="1138" s="40" customFormat="1" spans="1:18">
      <c r="A1138" s="96">
        <v>681017</v>
      </c>
      <c r="B1138" s="96">
        <v>804</v>
      </c>
      <c r="C1138" s="96" t="s">
        <v>1353</v>
      </c>
      <c r="D1138" s="97" t="s">
        <v>1091</v>
      </c>
      <c r="E1138" s="96"/>
      <c r="F1138" s="96">
        <v>48</v>
      </c>
      <c r="G1138" s="96">
        <v>1</v>
      </c>
      <c r="H1138" s="96"/>
      <c r="I1138" s="96"/>
      <c r="J1138" s="96">
        <v>4</v>
      </c>
      <c r="N1138" s="96">
        <v>2</v>
      </c>
      <c r="P1138" s="96">
        <v>2</v>
      </c>
      <c r="R1138" s="102" t="s">
        <v>1441</v>
      </c>
    </row>
    <row r="1139" s="40" customFormat="1" spans="1:18">
      <c r="A1139" s="96">
        <v>681018</v>
      </c>
      <c r="B1139" s="96">
        <v>402</v>
      </c>
      <c r="C1139" s="96" t="s">
        <v>1355</v>
      </c>
      <c r="D1139" s="41" t="s">
        <v>211</v>
      </c>
      <c r="E1139" s="96"/>
      <c r="F1139" s="96">
        <v>56</v>
      </c>
      <c r="G1139" s="96">
        <v>30</v>
      </c>
      <c r="H1139" s="96"/>
      <c r="I1139" s="96">
        <v>2</v>
      </c>
      <c r="J1139" s="96">
        <v>4</v>
      </c>
      <c r="N1139" s="96">
        <v>2</v>
      </c>
      <c r="P1139" s="96">
        <v>2</v>
      </c>
      <c r="R1139" s="102" t="s">
        <v>1441</v>
      </c>
    </row>
    <row r="1140" s="40" customFormat="1" spans="1:18">
      <c r="A1140" s="96">
        <v>681019</v>
      </c>
      <c r="B1140" s="96">
        <v>503</v>
      </c>
      <c r="C1140" s="96" t="s">
        <v>1356</v>
      </c>
      <c r="D1140" s="41" t="s">
        <v>1357</v>
      </c>
      <c r="E1140" s="96"/>
      <c r="F1140" s="96">
        <v>44</v>
      </c>
      <c r="G1140" s="96">
        <v>20</v>
      </c>
      <c r="H1140" s="96"/>
      <c r="I1140" s="96"/>
      <c r="J1140" s="96">
        <v>4</v>
      </c>
      <c r="N1140" s="96">
        <v>2</v>
      </c>
      <c r="P1140" s="96">
        <v>2</v>
      </c>
      <c r="R1140" s="102" t="s">
        <v>1441</v>
      </c>
    </row>
    <row r="1141" s="41" customFormat="1" spans="1:18">
      <c r="A1141" s="96">
        <v>681020</v>
      </c>
      <c r="B1141" s="96">
        <v>982</v>
      </c>
      <c r="C1141" s="96" t="s">
        <v>1358</v>
      </c>
      <c r="D1141" s="41" t="s">
        <v>1359</v>
      </c>
      <c r="E1141" s="96"/>
      <c r="F1141" s="96">
        <v>40</v>
      </c>
      <c r="G1141" s="96">
        <v>20</v>
      </c>
      <c r="H1141" s="96"/>
      <c r="I1141" s="96"/>
      <c r="J1141" s="96">
        <v>4</v>
      </c>
      <c r="N1141" s="96">
        <v>0</v>
      </c>
      <c r="P1141" s="96">
        <v>2</v>
      </c>
      <c r="R1141" s="102" t="s">
        <v>1441</v>
      </c>
    </row>
    <row r="1142" s="40" customFormat="1" spans="1:18">
      <c r="A1142" s="96">
        <v>681021</v>
      </c>
      <c r="B1142" s="96">
        <v>811</v>
      </c>
      <c r="C1142" s="96" t="s">
        <v>1360</v>
      </c>
      <c r="D1142" s="97" t="s">
        <v>1361</v>
      </c>
      <c r="E1142" s="96"/>
      <c r="F1142" s="96">
        <v>44</v>
      </c>
      <c r="G1142" s="96">
        <v>20</v>
      </c>
      <c r="H1142" s="96"/>
      <c r="I1142" s="96"/>
      <c r="J1142" s="96">
        <v>4</v>
      </c>
      <c r="N1142" s="96">
        <v>2</v>
      </c>
      <c r="P1142" s="96">
        <v>2</v>
      </c>
      <c r="R1142" s="102" t="s">
        <v>1441</v>
      </c>
    </row>
    <row r="1143" s="40" customFormat="1" spans="1:18">
      <c r="A1143" s="96">
        <v>681022</v>
      </c>
      <c r="B1143" s="96">
        <v>1701</v>
      </c>
      <c r="C1143" s="96" t="s">
        <v>1362</v>
      </c>
      <c r="D1143" s="97" t="s">
        <v>1363</v>
      </c>
      <c r="E1143" s="96"/>
      <c r="F1143" s="96">
        <v>59</v>
      </c>
      <c r="G1143" s="96">
        <v>14</v>
      </c>
      <c r="H1143" s="96"/>
      <c r="I1143" s="96"/>
      <c r="J1143" s="96">
        <v>4</v>
      </c>
      <c r="N1143" s="96">
        <v>2</v>
      </c>
      <c r="P1143" s="96">
        <v>2</v>
      </c>
      <c r="R1143" s="102" t="s">
        <v>1441</v>
      </c>
    </row>
    <row r="1144" s="40" customFormat="1" spans="1:18">
      <c r="A1144" s="96">
        <v>681023</v>
      </c>
      <c r="B1144" s="96">
        <v>809</v>
      </c>
      <c r="C1144" s="96" t="s">
        <v>1364</v>
      </c>
      <c r="D1144" s="41" t="s">
        <v>1063</v>
      </c>
      <c r="E1144" s="96"/>
      <c r="F1144" s="96">
        <v>62</v>
      </c>
      <c r="G1144" s="96">
        <v>30</v>
      </c>
      <c r="H1144" s="96"/>
      <c r="I1144" s="96"/>
      <c r="J1144" s="96">
        <v>4</v>
      </c>
      <c r="N1144" s="96">
        <v>2</v>
      </c>
      <c r="P1144" s="96">
        <v>2</v>
      </c>
      <c r="R1144" s="102" t="s">
        <v>1441</v>
      </c>
    </row>
    <row r="1145" s="40" customFormat="1" spans="1:18">
      <c r="A1145" s="96">
        <v>681024</v>
      </c>
      <c r="B1145" s="96">
        <v>502</v>
      </c>
      <c r="C1145" s="96" t="s">
        <v>1365</v>
      </c>
      <c r="D1145" s="41" t="s">
        <v>1366</v>
      </c>
      <c r="E1145" s="96"/>
      <c r="F1145" s="96">
        <v>16</v>
      </c>
      <c r="G1145" s="96">
        <v>7</v>
      </c>
      <c r="H1145" s="96"/>
      <c r="I1145" s="96"/>
      <c r="J1145" s="96">
        <v>4</v>
      </c>
      <c r="N1145" s="96">
        <v>2</v>
      </c>
      <c r="P1145" s="96">
        <v>2</v>
      </c>
      <c r="R1145" s="102" t="s">
        <v>1441</v>
      </c>
    </row>
    <row r="1146" s="40" customFormat="1" spans="1:18">
      <c r="A1146" s="96">
        <v>681025</v>
      </c>
      <c r="B1146" s="96">
        <v>4001</v>
      </c>
      <c r="C1146" s="96" t="s">
        <v>1367</v>
      </c>
      <c r="D1146" s="41" t="s">
        <v>1065</v>
      </c>
      <c r="E1146" s="96"/>
      <c r="F1146" s="96">
        <v>58</v>
      </c>
      <c r="G1146" s="96">
        <v>1</v>
      </c>
      <c r="H1146" s="96"/>
      <c r="I1146" s="96"/>
      <c r="J1146" s="96">
        <v>4</v>
      </c>
      <c r="N1146" s="96">
        <v>2</v>
      </c>
      <c r="P1146" s="96">
        <v>2</v>
      </c>
      <c r="R1146" s="101" t="s">
        <v>1442</v>
      </c>
    </row>
    <row r="1147" s="27" customFormat="1" spans="1:18">
      <c r="A1147" s="17">
        <v>682001</v>
      </c>
      <c r="B1147" s="17">
        <v>101</v>
      </c>
      <c r="C1147" s="17" t="s">
        <v>1342</v>
      </c>
      <c r="D1147" s="59" t="s">
        <v>1343</v>
      </c>
      <c r="E1147" s="17"/>
      <c r="F1147" s="17"/>
      <c r="G1147" s="17">
        <v>1</v>
      </c>
      <c r="H1147" s="17"/>
      <c r="I1147" s="17"/>
      <c r="J1147" s="17">
        <v>1</v>
      </c>
      <c r="N1147" s="17">
        <v>2</v>
      </c>
      <c r="P1147" s="17">
        <v>2</v>
      </c>
      <c r="R1147" s="66" t="s">
        <v>1443</v>
      </c>
    </row>
    <row r="1148" s="27" customFormat="1" spans="1:18">
      <c r="A1148" s="17">
        <v>682002</v>
      </c>
      <c r="B1148" s="17">
        <v>1303</v>
      </c>
      <c r="C1148" s="17" t="s">
        <v>1349</v>
      </c>
      <c r="D1148" s="59" t="s">
        <v>1350</v>
      </c>
      <c r="E1148" s="17"/>
      <c r="F1148" s="17">
        <v>7</v>
      </c>
      <c r="G1148" s="17">
        <v>4</v>
      </c>
      <c r="H1148" s="17"/>
      <c r="I1148" s="17"/>
      <c r="J1148" s="17">
        <v>4</v>
      </c>
      <c r="N1148" s="17">
        <v>2</v>
      </c>
      <c r="P1148" s="17">
        <v>2</v>
      </c>
      <c r="R1148" s="27" t="s">
        <v>1443</v>
      </c>
    </row>
    <row r="1149" s="27" customFormat="1" spans="1:18">
      <c r="A1149" s="17">
        <v>682003</v>
      </c>
      <c r="B1149" s="17">
        <v>1002</v>
      </c>
      <c r="C1149" s="17" t="s">
        <v>1351</v>
      </c>
      <c r="D1149" s="59" t="s">
        <v>141</v>
      </c>
      <c r="E1149" s="17"/>
      <c r="F1149" s="17">
        <v>10</v>
      </c>
      <c r="G1149" s="17">
        <v>3</v>
      </c>
      <c r="H1149" s="17"/>
      <c r="I1149" s="17"/>
      <c r="J1149" s="17">
        <v>1</v>
      </c>
      <c r="N1149" s="17">
        <v>2</v>
      </c>
      <c r="P1149" s="17">
        <v>2</v>
      </c>
      <c r="R1149" s="27" t="s">
        <v>1443</v>
      </c>
    </row>
    <row r="1150" s="27" customFormat="1" spans="1:18">
      <c r="A1150" s="17">
        <v>682004</v>
      </c>
      <c r="B1150" s="17">
        <v>603</v>
      </c>
      <c r="C1150" s="17" t="s">
        <v>1352</v>
      </c>
      <c r="D1150" s="59" t="s">
        <v>588</v>
      </c>
      <c r="E1150" s="17"/>
      <c r="F1150" s="17">
        <v>15</v>
      </c>
      <c r="G1150" s="17">
        <v>1</v>
      </c>
      <c r="H1150" s="17"/>
      <c r="I1150" s="17"/>
      <c r="J1150" s="17">
        <v>4</v>
      </c>
      <c r="N1150" s="17">
        <v>0</v>
      </c>
      <c r="P1150" s="17">
        <v>2</v>
      </c>
      <c r="R1150" s="27" t="s">
        <v>1443</v>
      </c>
    </row>
    <row r="1151" s="27" customFormat="1" spans="1:18">
      <c r="A1151" s="17">
        <v>682005</v>
      </c>
      <c r="B1151" s="17">
        <v>1202</v>
      </c>
      <c r="C1151" s="17" t="s">
        <v>1348</v>
      </c>
      <c r="D1151" s="59" t="s">
        <v>121</v>
      </c>
      <c r="E1151" s="17"/>
      <c r="F1151" s="17">
        <v>18</v>
      </c>
      <c r="G1151" s="17">
        <v>1</v>
      </c>
      <c r="H1151" s="17"/>
      <c r="I1151" s="17"/>
      <c r="J1151" s="17">
        <v>1</v>
      </c>
      <c r="N1151" s="17">
        <v>2</v>
      </c>
      <c r="P1151" s="17">
        <v>2</v>
      </c>
      <c r="R1151" s="27" t="s">
        <v>1443</v>
      </c>
    </row>
    <row r="1152" s="42" customFormat="1" spans="1:18">
      <c r="A1152" s="98">
        <v>682012</v>
      </c>
      <c r="B1152" s="98">
        <v>4002</v>
      </c>
      <c r="C1152" s="98" t="s">
        <v>1347</v>
      </c>
      <c r="D1152" s="99" t="s">
        <v>1043</v>
      </c>
      <c r="E1152" s="98"/>
      <c r="F1152" s="98">
        <v>58</v>
      </c>
      <c r="G1152" s="98">
        <v>500</v>
      </c>
      <c r="H1152" s="98"/>
      <c r="I1152" s="98">
        <v>1</v>
      </c>
      <c r="J1152" s="98">
        <v>1</v>
      </c>
      <c r="N1152" s="98">
        <v>2</v>
      </c>
      <c r="P1152" s="98">
        <v>2</v>
      </c>
      <c r="R1152" s="42" t="s">
        <v>1444</v>
      </c>
    </row>
    <row r="1153" s="42" customFormat="1" spans="1:18">
      <c r="A1153" s="98">
        <v>682013</v>
      </c>
      <c r="B1153" s="98">
        <v>1303</v>
      </c>
      <c r="C1153" s="98" t="s">
        <v>1349</v>
      </c>
      <c r="D1153" s="99" t="s">
        <v>1350</v>
      </c>
      <c r="E1153" s="98"/>
      <c r="F1153" s="98">
        <v>7</v>
      </c>
      <c r="G1153" s="98">
        <v>4</v>
      </c>
      <c r="H1153" s="98"/>
      <c r="I1153" s="98"/>
      <c r="J1153" s="98">
        <v>4</v>
      </c>
      <c r="N1153" s="98">
        <v>2</v>
      </c>
      <c r="P1153" s="98">
        <v>2</v>
      </c>
      <c r="R1153" s="42" t="s">
        <v>1444</v>
      </c>
    </row>
    <row r="1154" s="42" customFormat="1" spans="1:18">
      <c r="A1154" s="98">
        <v>682014</v>
      </c>
      <c r="B1154" s="98">
        <v>1002</v>
      </c>
      <c r="C1154" s="98" t="s">
        <v>1351</v>
      </c>
      <c r="D1154" s="99" t="s">
        <v>141</v>
      </c>
      <c r="E1154" s="98"/>
      <c r="F1154" s="98">
        <v>10</v>
      </c>
      <c r="G1154" s="98">
        <v>3</v>
      </c>
      <c r="H1154" s="98"/>
      <c r="I1154" s="98"/>
      <c r="J1154" s="98">
        <v>1</v>
      </c>
      <c r="N1154" s="98">
        <v>2</v>
      </c>
      <c r="P1154" s="98">
        <v>2</v>
      </c>
      <c r="R1154" s="42" t="s">
        <v>1444</v>
      </c>
    </row>
    <row r="1155" s="42" customFormat="1" spans="1:18">
      <c r="A1155" s="98">
        <v>682015</v>
      </c>
      <c r="B1155" s="98">
        <v>809</v>
      </c>
      <c r="C1155" s="98" t="s">
        <v>1364</v>
      </c>
      <c r="D1155" s="99" t="s">
        <v>1445</v>
      </c>
      <c r="E1155" s="98"/>
      <c r="F1155" s="98">
        <v>62</v>
      </c>
      <c r="G1155" s="98">
        <v>50</v>
      </c>
      <c r="H1155" s="98"/>
      <c r="I1155" s="98"/>
      <c r="J1155" s="98">
        <v>4</v>
      </c>
      <c r="N1155" s="98">
        <v>2</v>
      </c>
      <c r="P1155" s="98">
        <v>2</v>
      </c>
      <c r="R1155" s="42" t="s">
        <v>1444</v>
      </c>
    </row>
    <row r="1156" s="42" customFormat="1" spans="1:18">
      <c r="A1156" s="98">
        <v>682016</v>
      </c>
      <c r="B1156" s="98">
        <v>4000</v>
      </c>
      <c r="C1156" s="98" t="s">
        <v>1446</v>
      </c>
      <c r="D1156" s="103" t="s">
        <v>1447</v>
      </c>
      <c r="E1156" s="98"/>
      <c r="F1156" s="98">
        <v>21</v>
      </c>
      <c r="G1156" s="98">
        <v>2000</v>
      </c>
      <c r="H1156" s="98"/>
      <c r="I1156" s="98">
        <v>1</v>
      </c>
      <c r="J1156" s="98">
        <v>4</v>
      </c>
      <c r="N1156" s="98">
        <v>2</v>
      </c>
      <c r="P1156" s="98">
        <v>2</v>
      </c>
      <c r="R1156" s="42" t="s">
        <v>1444</v>
      </c>
    </row>
    <row r="1157" s="32" customFormat="1" spans="1:18">
      <c r="A1157" s="17">
        <v>682006</v>
      </c>
      <c r="B1157" s="68">
        <v>4001</v>
      </c>
      <c r="C1157" s="68" t="s">
        <v>1448</v>
      </c>
      <c r="D1157" s="37" t="s">
        <v>1065</v>
      </c>
      <c r="E1157" s="68"/>
      <c r="F1157" s="68">
        <v>58</v>
      </c>
      <c r="G1157" s="68">
        <v>1</v>
      </c>
      <c r="H1157" s="68"/>
      <c r="I1157" s="68"/>
      <c r="J1157" s="68">
        <v>4</v>
      </c>
      <c r="N1157" s="68">
        <v>2</v>
      </c>
      <c r="P1157" s="68">
        <v>2</v>
      </c>
      <c r="R1157" s="27" t="s">
        <v>1449</v>
      </c>
    </row>
    <row r="1158" s="32" customFormat="1" spans="1:18">
      <c r="A1158" s="17">
        <v>682007</v>
      </c>
      <c r="B1158" s="68">
        <v>302</v>
      </c>
      <c r="C1158" s="68" t="s">
        <v>1345</v>
      </c>
      <c r="D1158" s="37" t="s">
        <v>112</v>
      </c>
      <c r="E1158" s="68"/>
      <c r="F1158" s="68">
        <v>1</v>
      </c>
      <c r="G1158" s="68">
        <v>5</v>
      </c>
      <c r="H1158" s="68"/>
      <c r="I1158" s="68"/>
      <c r="J1158" s="68">
        <v>1</v>
      </c>
      <c r="N1158" s="68">
        <v>2</v>
      </c>
      <c r="P1158" s="68">
        <v>2</v>
      </c>
      <c r="R1158" s="27" t="s">
        <v>1443</v>
      </c>
    </row>
    <row r="1159" s="32" customFormat="1" spans="1:18">
      <c r="A1159" s="17">
        <v>682008</v>
      </c>
      <c r="B1159" s="68">
        <v>4002</v>
      </c>
      <c r="C1159" s="68" t="s">
        <v>1347</v>
      </c>
      <c r="D1159" s="37" t="s">
        <v>1450</v>
      </c>
      <c r="E1159" s="68"/>
      <c r="F1159" s="68">
        <v>58</v>
      </c>
      <c r="G1159" s="68">
        <v>2000</v>
      </c>
      <c r="H1159" s="68"/>
      <c r="I1159" s="68">
        <v>1</v>
      </c>
      <c r="J1159" s="68">
        <v>1</v>
      </c>
      <c r="N1159" s="68">
        <v>2</v>
      </c>
      <c r="P1159" s="68">
        <v>2</v>
      </c>
      <c r="R1159" s="27" t="s">
        <v>1443</v>
      </c>
    </row>
    <row r="1160" s="32" customFormat="1" spans="1:18">
      <c r="A1160" s="17">
        <v>682009</v>
      </c>
      <c r="B1160" s="68">
        <v>811</v>
      </c>
      <c r="C1160" s="68" t="s">
        <v>1360</v>
      </c>
      <c r="D1160" s="104" t="s">
        <v>1451</v>
      </c>
      <c r="E1160" s="68"/>
      <c r="F1160" s="68">
        <v>44</v>
      </c>
      <c r="G1160" s="68">
        <v>5</v>
      </c>
      <c r="H1160" s="68"/>
      <c r="I1160" s="68"/>
      <c r="J1160" s="68">
        <v>4</v>
      </c>
      <c r="N1160" s="68">
        <v>2</v>
      </c>
      <c r="P1160" s="68">
        <v>2</v>
      </c>
      <c r="R1160" s="27" t="s">
        <v>1443</v>
      </c>
    </row>
    <row r="1161" s="32" customFormat="1" spans="1:18">
      <c r="A1161" s="17">
        <v>682010</v>
      </c>
      <c r="B1161" s="68">
        <v>502</v>
      </c>
      <c r="C1161" s="68" t="s">
        <v>1365</v>
      </c>
      <c r="D1161" s="69" t="s">
        <v>269</v>
      </c>
      <c r="E1161" s="68"/>
      <c r="F1161" s="68">
        <v>16</v>
      </c>
      <c r="G1161" s="68">
        <v>1</v>
      </c>
      <c r="H1161" s="68"/>
      <c r="I1161" s="68"/>
      <c r="J1161" s="68">
        <v>4</v>
      </c>
      <c r="N1161" s="68">
        <v>2</v>
      </c>
      <c r="P1161" s="68">
        <v>2</v>
      </c>
      <c r="R1161" s="27" t="s">
        <v>1443</v>
      </c>
    </row>
    <row r="1162" s="43" customFormat="1" spans="1:18">
      <c r="A1162" s="17">
        <v>682011</v>
      </c>
      <c r="B1162" s="105">
        <v>4000</v>
      </c>
      <c r="C1162" s="105" t="s">
        <v>1446</v>
      </c>
      <c r="D1162" s="106" t="s">
        <v>1447</v>
      </c>
      <c r="E1162" s="105"/>
      <c r="F1162" s="105">
        <v>141</v>
      </c>
      <c r="G1162" s="105">
        <v>2000</v>
      </c>
      <c r="H1162" s="105"/>
      <c r="I1162" s="105">
        <v>1</v>
      </c>
      <c r="J1162" s="105">
        <v>4</v>
      </c>
      <c r="N1162" s="105">
        <v>2</v>
      </c>
      <c r="P1162" s="105">
        <v>2</v>
      </c>
      <c r="R1162" s="27" t="s">
        <v>1443</v>
      </c>
    </row>
    <row r="1163" s="35" customFormat="1" spans="1:18">
      <c r="A1163" s="78">
        <v>683001</v>
      </c>
      <c r="B1163" s="78">
        <v>101</v>
      </c>
      <c r="C1163" s="78" t="s">
        <v>1342</v>
      </c>
      <c r="D1163" s="39" t="s">
        <v>1343</v>
      </c>
      <c r="E1163" s="78"/>
      <c r="F1163" s="78"/>
      <c r="G1163" s="78">
        <v>1</v>
      </c>
      <c r="H1163" s="78"/>
      <c r="I1163" s="78"/>
      <c r="J1163" s="78">
        <v>1</v>
      </c>
      <c r="N1163" s="78">
        <v>2</v>
      </c>
      <c r="P1163" s="78">
        <v>2</v>
      </c>
      <c r="R1163" s="35" t="s">
        <v>1452</v>
      </c>
    </row>
    <row r="1164" s="35" customFormat="1" spans="1:18">
      <c r="A1164" s="78">
        <v>683002</v>
      </c>
      <c r="B1164" s="78">
        <v>302</v>
      </c>
      <c r="C1164" s="78" t="s">
        <v>1345</v>
      </c>
      <c r="D1164" s="39" t="s">
        <v>112</v>
      </c>
      <c r="E1164" s="78"/>
      <c r="F1164" s="78">
        <v>1</v>
      </c>
      <c r="G1164" s="78">
        <v>5</v>
      </c>
      <c r="H1164" s="78"/>
      <c r="I1164" s="78"/>
      <c r="J1164" s="78">
        <v>1</v>
      </c>
      <c r="N1164" s="78">
        <v>2</v>
      </c>
      <c r="P1164" s="78">
        <v>2</v>
      </c>
      <c r="R1164" s="35" t="s">
        <v>1452</v>
      </c>
    </row>
    <row r="1165" s="35" customFormat="1" spans="1:18">
      <c r="A1165" s="78">
        <v>683003</v>
      </c>
      <c r="B1165" s="78">
        <v>1202</v>
      </c>
      <c r="C1165" s="78" t="s">
        <v>1348</v>
      </c>
      <c r="D1165" s="39" t="s">
        <v>121</v>
      </c>
      <c r="E1165" s="78"/>
      <c r="F1165" s="78">
        <v>18</v>
      </c>
      <c r="G1165" s="78">
        <v>1</v>
      </c>
      <c r="H1165" s="78"/>
      <c r="I1165" s="78"/>
      <c r="J1165" s="78">
        <v>1</v>
      </c>
      <c r="N1165" s="78">
        <v>2</v>
      </c>
      <c r="P1165" s="78">
        <v>2</v>
      </c>
      <c r="R1165" s="35" t="s">
        <v>1452</v>
      </c>
    </row>
    <row r="1166" s="35" customFormat="1" spans="1:18">
      <c r="A1166" s="78">
        <v>683004</v>
      </c>
      <c r="B1166" s="78">
        <v>1303</v>
      </c>
      <c r="C1166" s="78" t="s">
        <v>1349</v>
      </c>
      <c r="D1166" s="39" t="s">
        <v>1350</v>
      </c>
      <c r="E1166" s="78"/>
      <c r="F1166" s="78">
        <v>7</v>
      </c>
      <c r="G1166" s="78">
        <v>4</v>
      </c>
      <c r="H1166" s="78"/>
      <c r="I1166" s="78"/>
      <c r="J1166" s="78">
        <v>4</v>
      </c>
      <c r="N1166" s="78">
        <v>2</v>
      </c>
      <c r="P1166" s="78">
        <v>2</v>
      </c>
      <c r="R1166" s="35" t="s">
        <v>1452</v>
      </c>
    </row>
    <row r="1167" s="35" customFormat="1" spans="1:18">
      <c r="A1167" s="78">
        <v>683005</v>
      </c>
      <c r="B1167" s="78">
        <v>1002</v>
      </c>
      <c r="C1167" s="78" t="s">
        <v>1351</v>
      </c>
      <c r="D1167" s="39" t="s">
        <v>141</v>
      </c>
      <c r="E1167" s="78"/>
      <c r="F1167" s="78">
        <v>10</v>
      </c>
      <c r="G1167" s="78">
        <v>3</v>
      </c>
      <c r="H1167" s="78"/>
      <c r="I1167" s="78"/>
      <c r="J1167" s="78">
        <v>1</v>
      </c>
      <c r="N1167" s="78">
        <v>2</v>
      </c>
      <c r="P1167" s="78">
        <v>2</v>
      </c>
      <c r="R1167" s="35" t="s">
        <v>1452</v>
      </c>
    </row>
    <row r="1168" s="35" customFormat="1" spans="1:18">
      <c r="A1168" s="78">
        <v>683006</v>
      </c>
      <c r="B1168" s="78">
        <v>603</v>
      </c>
      <c r="C1168" s="78" t="s">
        <v>1352</v>
      </c>
      <c r="D1168" s="39" t="s">
        <v>588</v>
      </c>
      <c r="E1168" s="78"/>
      <c r="F1168" s="78">
        <v>15</v>
      </c>
      <c r="G1168" s="78">
        <v>1</v>
      </c>
      <c r="H1168" s="78"/>
      <c r="I1168" s="78"/>
      <c r="J1168" s="78">
        <v>4</v>
      </c>
      <c r="N1168" s="78">
        <v>0</v>
      </c>
      <c r="P1168" s="78">
        <v>2</v>
      </c>
      <c r="R1168" s="35" t="s">
        <v>1452</v>
      </c>
    </row>
    <row r="1169" s="27" customFormat="1" spans="1:18">
      <c r="A1169" s="17">
        <v>684001</v>
      </c>
      <c r="B1169" s="17">
        <v>101</v>
      </c>
      <c r="C1169" s="17" t="s">
        <v>1342</v>
      </c>
      <c r="D1169" s="59" t="s">
        <v>1343</v>
      </c>
      <c r="E1169" s="17"/>
      <c r="F1169" s="17"/>
      <c r="G1169" s="17">
        <v>1</v>
      </c>
      <c r="H1169" s="17"/>
      <c r="I1169" s="17"/>
      <c r="J1169" s="17">
        <v>1</v>
      </c>
      <c r="N1169" s="17">
        <v>2</v>
      </c>
      <c r="P1169" s="17">
        <v>2</v>
      </c>
      <c r="R1169" s="66" t="s">
        <v>1453</v>
      </c>
    </row>
    <row r="1170" s="27" customFormat="1" spans="1:18">
      <c r="A1170" s="17">
        <v>684002</v>
      </c>
      <c r="B1170" s="17">
        <v>302</v>
      </c>
      <c r="C1170" s="17" t="s">
        <v>1345</v>
      </c>
      <c r="D1170" s="59" t="s">
        <v>112</v>
      </c>
      <c r="E1170" s="17"/>
      <c r="F1170" s="17">
        <v>1</v>
      </c>
      <c r="G1170" s="17">
        <v>5</v>
      </c>
      <c r="H1170" s="17"/>
      <c r="I1170" s="17"/>
      <c r="J1170" s="17">
        <v>1</v>
      </c>
      <c r="N1170" s="17">
        <v>2</v>
      </c>
      <c r="P1170" s="17">
        <v>2</v>
      </c>
      <c r="R1170" s="66" t="s">
        <v>1453</v>
      </c>
    </row>
    <row r="1171" s="27" customFormat="1" spans="1:18">
      <c r="A1171" s="17">
        <v>684003</v>
      </c>
      <c r="B1171" s="17">
        <v>1202</v>
      </c>
      <c r="C1171" s="17" t="s">
        <v>1348</v>
      </c>
      <c r="D1171" s="59" t="s">
        <v>121</v>
      </c>
      <c r="E1171" s="17"/>
      <c r="F1171" s="17">
        <v>18</v>
      </c>
      <c r="G1171" s="17">
        <v>1</v>
      </c>
      <c r="H1171" s="17"/>
      <c r="I1171" s="17"/>
      <c r="J1171" s="17">
        <v>1</v>
      </c>
      <c r="N1171" s="17">
        <v>2</v>
      </c>
      <c r="P1171" s="17">
        <v>2</v>
      </c>
      <c r="R1171" s="66" t="s">
        <v>1453</v>
      </c>
    </row>
    <row r="1172" s="27" customFormat="1" spans="1:18">
      <c r="A1172" s="17">
        <v>684004</v>
      </c>
      <c r="B1172" s="17">
        <v>1303</v>
      </c>
      <c r="C1172" s="17" t="s">
        <v>1349</v>
      </c>
      <c r="D1172" s="59" t="s">
        <v>1350</v>
      </c>
      <c r="E1172" s="17"/>
      <c r="F1172" s="17">
        <v>7</v>
      </c>
      <c r="G1172" s="17">
        <v>4</v>
      </c>
      <c r="H1172" s="17"/>
      <c r="I1172" s="17"/>
      <c r="J1172" s="17">
        <v>4</v>
      </c>
      <c r="N1172" s="17">
        <v>2</v>
      </c>
      <c r="P1172" s="17">
        <v>2</v>
      </c>
      <c r="R1172" s="66" t="s">
        <v>1453</v>
      </c>
    </row>
    <row r="1173" s="27" customFormat="1" spans="1:18">
      <c r="A1173" s="17">
        <v>684005</v>
      </c>
      <c r="B1173" s="17">
        <v>1002</v>
      </c>
      <c r="C1173" s="17" t="s">
        <v>1351</v>
      </c>
      <c r="D1173" s="59" t="s">
        <v>141</v>
      </c>
      <c r="E1173" s="17"/>
      <c r="F1173" s="17">
        <v>10</v>
      </c>
      <c r="G1173" s="17">
        <v>3</v>
      </c>
      <c r="H1173" s="17"/>
      <c r="I1173" s="17"/>
      <c r="J1173" s="17">
        <v>1</v>
      </c>
      <c r="N1173" s="17">
        <v>2</v>
      </c>
      <c r="P1173" s="17">
        <v>2</v>
      </c>
      <c r="R1173" s="66" t="s">
        <v>1453</v>
      </c>
    </row>
    <row r="1174" s="27" customFormat="1" spans="1:18">
      <c r="A1174" s="17">
        <v>684006</v>
      </c>
      <c r="B1174" s="17">
        <v>603</v>
      </c>
      <c r="C1174" s="17" t="s">
        <v>1352</v>
      </c>
      <c r="D1174" s="59" t="s">
        <v>588</v>
      </c>
      <c r="E1174" s="17"/>
      <c r="F1174" s="17">
        <v>15</v>
      </c>
      <c r="G1174" s="17">
        <v>1</v>
      </c>
      <c r="H1174" s="17"/>
      <c r="I1174" s="17"/>
      <c r="J1174" s="17">
        <v>4</v>
      </c>
      <c r="N1174" s="17">
        <v>0</v>
      </c>
      <c r="P1174" s="17">
        <v>2</v>
      </c>
      <c r="R1174" s="66" t="s">
        <v>1453</v>
      </c>
    </row>
    <row r="1175" s="32" customFormat="1" spans="1:18">
      <c r="A1175" s="68">
        <v>690001</v>
      </c>
      <c r="B1175" s="68">
        <v>101</v>
      </c>
      <c r="C1175" s="68" t="s">
        <v>1342</v>
      </c>
      <c r="D1175" s="37" t="s">
        <v>1343</v>
      </c>
      <c r="E1175" s="68"/>
      <c r="F1175" s="68"/>
      <c r="G1175" s="68">
        <v>1</v>
      </c>
      <c r="H1175" s="68"/>
      <c r="I1175" s="68"/>
      <c r="J1175" s="68">
        <v>1</v>
      </c>
      <c r="N1175" s="68">
        <v>2</v>
      </c>
      <c r="P1175" s="68">
        <v>2</v>
      </c>
      <c r="R1175" s="32" t="s">
        <v>1454</v>
      </c>
    </row>
    <row r="1176" s="32" customFormat="1" spans="1:18">
      <c r="A1176" s="68">
        <v>690002</v>
      </c>
      <c r="B1176" s="68">
        <v>302</v>
      </c>
      <c r="C1176" s="68" t="s">
        <v>1345</v>
      </c>
      <c r="D1176" s="37" t="s">
        <v>112</v>
      </c>
      <c r="E1176" s="68"/>
      <c r="F1176" s="68">
        <v>1</v>
      </c>
      <c r="G1176" s="68">
        <v>5</v>
      </c>
      <c r="H1176" s="68"/>
      <c r="I1176" s="68"/>
      <c r="J1176" s="68">
        <v>1</v>
      </c>
      <c r="N1176" s="68">
        <v>2</v>
      </c>
      <c r="P1176" s="68">
        <v>2</v>
      </c>
      <c r="R1176" s="32" t="s">
        <v>1455</v>
      </c>
    </row>
    <row r="1177" s="32" customFormat="1" spans="1:18">
      <c r="A1177" s="68">
        <v>690003</v>
      </c>
      <c r="B1177" s="68">
        <v>4002</v>
      </c>
      <c r="C1177" s="68" t="s">
        <v>1347</v>
      </c>
      <c r="D1177" s="37" t="s">
        <v>1043</v>
      </c>
      <c r="E1177" s="68"/>
      <c r="F1177" s="68">
        <v>58</v>
      </c>
      <c r="G1177" s="68">
        <v>500</v>
      </c>
      <c r="H1177" s="68"/>
      <c r="I1177" s="68">
        <v>1</v>
      </c>
      <c r="J1177" s="68">
        <v>1</v>
      </c>
      <c r="N1177" s="68">
        <v>2</v>
      </c>
      <c r="P1177" s="68">
        <v>2</v>
      </c>
      <c r="R1177" s="32" t="s">
        <v>1455</v>
      </c>
    </row>
    <row r="1178" s="32" customFormat="1" spans="1:18">
      <c r="A1178" s="68">
        <v>690004</v>
      </c>
      <c r="B1178" s="68">
        <v>1202</v>
      </c>
      <c r="C1178" s="68" t="s">
        <v>1348</v>
      </c>
      <c r="D1178" s="37" t="s">
        <v>121</v>
      </c>
      <c r="E1178" s="68"/>
      <c r="F1178" s="68">
        <v>18</v>
      </c>
      <c r="G1178" s="68">
        <v>1</v>
      </c>
      <c r="H1178" s="68"/>
      <c r="I1178" s="68"/>
      <c r="J1178" s="68">
        <v>1</v>
      </c>
      <c r="N1178" s="68">
        <v>2</v>
      </c>
      <c r="P1178" s="68">
        <v>2</v>
      </c>
      <c r="R1178" s="32" t="s">
        <v>1455</v>
      </c>
    </row>
    <row r="1179" s="32" customFormat="1" spans="1:18">
      <c r="A1179" s="68">
        <v>690005</v>
      </c>
      <c r="B1179" s="68">
        <v>1303</v>
      </c>
      <c r="C1179" s="68" t="s">
        <v>1349</v>
      </c>
      <c r="D1179" s="37" t="s">
        <v>1350</v>
      </c>
      <c r="E1179" s="68"/>
      <c r="F1179" s="68">
        <v>7</v>
      </c>
      <c r="G1179" s="68">
        <v>4</v>
      </c>
      <c r="H1179" s="68"/>
      <c r="I1179" s="68"/>
      <c r="J1179" s="68">
        <v>4</v>
      </c>
      <c r="N1179" s="68">
        <v>2</v>
      </c>
      <c r="P1179" s="68">
        <v>2</v>
      </c>
      <c r="R1179" s="32" t="s">
        <v>1455</v>
      </c>
    </row>
    <row r="1180" s="32" customFormat="1" spans="1:18">
      <c r="A1180" s="68">
        <v>690006</v>
      </c>
      <c r="B1180" s="68">
        <v>1002</v>
      </c>
      <c r="C1180" s="68" t="s">
        <v>1351</v>
      </c>
      <c r="D1180" s="37" t="s">
        <v>141</v>
      </c>
      <c r="E1180" s="68"/>
      <c r="F1180" s="68">
        <v>10</v>
      </c>
      <c r="G1180" s="68">
        <v>3</v>
      </c>
      <c r="H1180" s="68"/>
      <c r="I1180" s="68"/>
      <c r="J1180" s="68">
        <v>1</v>
      </c>
      <c r="N1180" s="68">
        <v>2</v>
      </c>
      <c r="P1180" s="68">
        <v>2</v>
      </c>
      <c r="R1180" s="32" t="s">
        <v>1455</v>
      </c>
    </row>
    <row r="1181" s="32" customFormat="1" spans="1:18">
      <c r="A1181" s="68">
        <v>690007</v>
      </c>
      <c r="B1181" s="68">
        <v>603</v>
      </c>
      <c r="C1181" s="68" t="s">
        <v>1352</v>
      </c>
      <c r="D1181" s="37" t="s">
        <v>588</v>
      </c>
      <c r="E1181" s="68"/>
      <c r="F1181" s="68">
        <v>15</v>
      </c>
      <c r="G1181" s="68">
        <v>1</v>
      </c>
      <c r="H1181" s="68"/>
      <c r="I1181" s="68"/>
      <c r="J1181" s="68">
        <v>4</v>
      </c>
      <c r="N1181" s="68">
        <v>0</v>
      </c>
      <c r="P1181" s="68">
        <v>2</v>
      </c>
      <c r="R1181" s="32" t="s">
        <v>1455</v>
      </c>
    </row>
    <row r="1182" s="32" customFormat="1" spans="1:18">
      <c r="A1182" s="68">
        <v>691001</v>
      </c>
      <c r="B1182" s="68">
        <v>804</v>
      </c>
      <c r="C1182" s="68" t="s">
        <v>1353</v>
      </c>
      <c r="D1182" s="90" t="s">
        <v>1091</v>
      </c>
      <c r="E1182" s="68"/>
      <c r="F1182" s="68">
        <v>48</v>
      </c>
      <c r="G1182" s="68">
        <v>1</v>
      </c>
      <c r="H1182" s="68"/>
      <c r="I1182" s="68"/>
      <c r="J1182" s="68">
        <v>4</v>
      </c>
      <c r="N1182" s="68">
        <v>2</v>
      </c>
      <c r="P1182" s="68">
        <v>2</v>
      </c>
      <c r="R1182" s="32" t="s">
        <v>1456</v>
      </c>
    </row>
    <row r="1183" s="32" customFormat="1" spans="1:18">
      <c r="A1183" s="68">
        <v>691002</v>
      </c>
      <c r="B1183" s="68">
        <v>402</v>
      </c>
      <c r="C1183" s="68" t="s">
        <v>1355</v>
      </c>
      <c r="D1183" s="37" t="s">
        <v>211</v>
      </c>
      <c r="E1183" s="68"/>
      <c r="F1183" s="68">
        <v>56</v>
      </c>
      <c r="G1183" s="68">
        <v>30</v>
      </c>
      <c r="H1183" s="68"/>
      <c r="I1183" s="68">
        <v>2</v>
      </c>
      <c r="J1183" s="68">
        <v>4</v>
      </c>
      <c r="N1183" s="68">
        <v>2</v>
      </c>
      <c r="P1183" s="68">
        <v>2</v>
      </c>
      <c r="R1183" s="32" t="s">
        <v>1456</v>
      </c>
    </row>
    <row r="1184" s="32" customFormat="1" spans="1:18">
      <c r="A1184" s="68">
        <v>691003</v>
      </c>
      <c r="B1184" s="68">
        <v>503</v>
      </c>
      <c r="C1184" s="68" t="s">
        <v>1356</v>
      </c>
      <c r="D1184" s="37" t="s">
        <v>1357</v>
      </c>
      <c r="E1184" s="68"/>
      <c r="F1184" s="68">
        <v>44</v>
      </c>
      <c r="G1184" s="68">
        <v>20</v>
      </c>
      <c r="H1184" s="68"/>
      <c r="I1184" s="68"/>
      <c r="J1184" s="68">
        <v>4</v>
      </c>
      <c r="N1184" s="68">
        <v>2</v>
      </c>
      <c r="P1184" s="68">
        <v>2</v>
      </c>
      <c r="R1184" s="32" t="s">
        <v>1456</v>
      </c>
    </row>
    <row r="1185" s="37" customFormat="1" spans="1:18">
      <c r="A1185" s="68">
        <v>691004</v>
      </c>
      <c r="B1185" s="68">
        <v>982</v>
      </c>
      <c r="C1185" s="68" t="s">
        <v>1358</v>
      </c>
      <c r="D1185" s="37" t="s">
        <v>1359</v>
      </c>
      <c r="E1185" s="68"/>
      <c r="F1185" s="68">
        <v>40</v>
      </c>
      <c r="G1185" s="68">
        <v>20</v>
      </c>
      <c r="H1185" s="68"/>
      <c r="I1185" s="68"/>
      <c r="J1185" s="68">
        <v>4</v>
      </c>
      <c r="N1185" s="68">
        <v>0</v>
      </c>
      <c r="P1185" s="68">
        <v>2</v>
      </c>
      <c r="R1185" s="32" t="s">
        <v>1456</v>
      </c>
    </row>
    <row r="1186" s="32" customFormat="1" spans="1:18">
      <c r="A1186" s="68">
        <v>691005</v>
      </c>
      <c r="B1186" s="68">
        <v>811</v>
      </c>
      <c r="C1186" s="68" t="s">
        <v>1360</v>
      </c>
      <c r="D1186" s="90" t="s">
        <v>1361</v>
      </c>
      <c r="E1186" s="68"/>
      <c r="F1186" s="68">
        <v>44</v>
      </c>
      <c r="G1186" s="68">
        <v>20</v>
      </c>
      <c r="H1186" s="68"/>
      <c r="I1186" s="68"/>
      <c r="J1186" s="68">
        <v>4</v>
      </c>
      <c r="N1186" s="68">
        <v>2</v>
      </c>
      <c r="P1186" s="68">
        <v>2</v>
      </c>
      <c r="R1186" s="32" t="s">
        <v>1456</v>
      </c>
    </row>
    <row r="1187" s="32" customFormat="1" spans="1:18">
      <c r="A1187" s="68">
        <v>691006</v>
      </c>
      <c r="B1187" s="68">
        <v>1701</v>
      </c>
      <c r="C1187" s="68" t="s">
        <v>1362</v>
      </c>
      <c r="D1187" s="90" t="s">
        <v>1363</v>
      </c>
      <c r="E1187" s="68"/>
      <c r="F1187" s="68">
        <v>59</v>
      </c>
      <c r="G1187" s="68">
        <v>14</v>
      </c>
      <c r="H1187" s="68"/>
      <c r="I1187" s="68"/>
      <c r="J1187" s="68">
        <v>4</v>
      </c>
      <c r="N1187" s="68">
        <v>2</v>
      </c>
      <c r="P1187" s="68">
        <v>2</v>
      </c>
      <c r="R1187" s="32" t="s">
        <v>1456</v>
      </c>
    </row>
    <row r="1188" s="32" customFormat="1" spans="1:18">
      <c r="A1188" s="68">
        <v>691007</v>
      </c>
      <c r="B1188" s="68">
        <v>809</v>
      </c>
      <c r="C1188" s="68" t="s">
        <v>1364</v>
      </c>
      <c r="D1188" s="37" t="s">
        <v>1063</v>
      </c>
      <c r="E1188" s="68"/>
      <c r="F1188" s="68">
        <v>62</v>
      </c>
      <c r="G1188" s="68">
        <v>30</v>
      </c>
      <c r="H1188" s="68"/>
      <c r="I1188" s="68"/>
      <c r="J1188" s="68">
        <v>4</v>
      </c>
      <c r="N1188" s="68">
        <v>2</v>
      </c>
      <c r="P1188" s="68">
        <v>2</v>
      </c>
      <c r="R1188" s="32" t="s">
        <v>1456</v>
      </c>
    </row>
    <row r="1189" s="32" customFormat="1" spans="1:18">
      <c r="A1189" s="68">
        <v>691008</v>
      </c>
      <c r="B1189" s="68">
        <v>502</v>
      </c>
      <c r="C1189" s="68" t="s">
        <v>1365</v>
      </c>
      <c r="D1189" s="37" t="s">
        <v>1366</v>
      </c>
      <c r="E1189" s="68"/>
      <c r="F1189" s="68">
        <v>16</v>
      </c>
      <c r="G1189" s="68">
        <v>7</v>
      </c>
      <c r="H1189" s="68"/>
      <c r="I1189" s="68"/>
      <c r="J1189" s="68">
        <v>4</v>
      </c>
      <c r="N1189" s="68">
        <v>2</v>
      </c>
      <c r="P1189" s="68">
        <v>2</v>
      </c>
      <c r="R1189" s="32" t="s">
        <v>1456</v>
      </c>
    </row>
    <row r="1190" s="32" customFormat="1" spans="1:18">
      <c r="A1190" s="68">
        <v>691009</v>
      </c>
      <c r="B1190" s="68">
        <v>4001</v>
      </c>
      <c r="C1190" s="68" t="s">
        <v>1367</v>
      </c>
      <c r="D1190" s="37" t="s">
        <v>1065</v>
      </c>
      <c r="E1190" s="68"/>
      <c r="F1190" s="68">
        <v>58</v>
      </c>
      <c r="G1190" s="68">
        <v>1</v>
      </c>
      <c r="H1190" s="68"/>
      <c r="I1190" s="68"/>
      <c r="J1190" s="68">
        <v>4</v>
      </c>
      <c r="N1190" s="68">
        <v>2</v>
      </c>
      <c r="P1190" s="68">
        <v>2</v>
      </c>
      <c r="R1190" s="32" t="s">
        <v>1457</v>
      </c>
    </row>
    <row r="1191" spans="1:18">
      <c r="A1191" s="4">
        <v>700001</v>
      </c>
      <c r="B1191" s="4">
        <v>1305</v>
      </c>
      <c r="C1191" s="107" t="s">
        <v>1458</v>
      </c>
      <c r="D1191" s="65" t="s">
        <v>1459</v>
      </c>
      <c r="F1191" s="4">
        <v>131</v>
      </c>
      <c r="G1191" s="4">
        <v>1</v>
      </c>
      <c r="J1191" s="4">
        <v>4</v>
      </c>
      <c r="N1191" s="4">
        <v>2</v>
      </c>
      <c r="P1191" s="4">
        <v>2</v>
      </c>
      <c r="R1191" s="5" t="s">
        <v>1460</v>
      </c>
    </row>
    <row r="1192" spans="1:18">
      <c r="A1192" s="4">
        <v>700002</v>
      </c>
      <c r="B1192" s="4">
        <v>1305</v>
      </c>
      <c r="C1192" s="107" t="s">
        <v>1458</v>
      </c>
      <c r="D1192" s="65" t="s">
        <v>1461</v>
      </c>
      <c r="F1192" s="4">
        <v>131</v>
      </c>
      <c r="G1192" s="4">
        <v>3</v>
      </c>
      <c r="J1192" s="4">
        <v>4</v>
      </c>
      <c r="N1192" s="4">
        <v>2</v>
      </c>
      <c r="P1192" s="4">
        <v>2</v>
      </c>
      <c r="R1192" s="5" t="s">
        <v>1460</v>
      </c>
    </row>
    <row r="1193" spans="1:18">
      <c r="A1193" s="4">
        <v>700003</v>
      </c>
      <c r="B1193" s="4">
        <v>1305</v>
      </c>
      <c r="C1193" s="107" t="s">
        <v>1458</v>
      </c>
      <c r="D1193" s="65" t="s">
        <v>1462</v>
      </c>
      <c r="F1193" s="4">
        <v>131</v>
      </c>
      <c r="G1193" s="4">
        <v>5</v>
      </c>
      <c r="J1193" s="4">
        <v>4</v>
      </c>
      <c r="N1193" s="4">
        <v>2</v>
      </c>
      <c r="P1193" s="4">
        <v>2</v>
      </c>
      <c r="R1193" s="5" t="s">
        <v>1460</v>
      </c>
    </row>
    <row r="1194" spans="1:18">
      <c r="A1194" s="4">
        <v>700004</v>
      </c>
      <c r="B1194" s="4">
        <v>1305</v>
      </c>
      <c r="C1194" s="107" t="s">
        <v>1458</v>
      </c>
      <c r="D1194" s="65" t="s">
        <v>1463</v>
      </c>
      <c r="F1194" s="4">
        <v>131</v>
      </c>
      <c r="G1194" s="4">
        <v>8</v>
      </c>
      <c r="J1194" s="4">
        <v>4</v>
      </c>
      <c r="N1194" s="4">
        <v>2</v>
      </c>
      <c r="P1194" s="4">
        <v>2</v>
      </c>
      <c r="R1194" s="5" t="s">
        <v>1460</v>
      </c>
    </row>
    <row r="1195" spans="1:18">
      <c r="A1195" s="4">
        <v>700005</v>
      </c>
      <c r="B1195" s="4">
        <v>1305</v>
      </c>
      <c r="C1195" s="107" t="s">
        <v>1458</v>
      </c>
      <c r="D1195" s="65" t="s">
        <v>1464</v>
      </c>
      <c r="F1195" s="4">
        <v>131</v>
      </c>
      <c r="G1195" s="4">
        <v>12</v>
      </c>
      <c r="J1195" s="4">
        <v>4</v>
      </c>
      <c r="N1195" s="4">
        <v>2</v>
      </c>
      <c r="P1195" s="4">
        <v>2</v>
      </c>
      <c r="R1195" s="5" t="s">
        <v>1465</v>
      </c>
    </row>
    <row r="1196" spans="1:18">
      <c r="A1196" s="4">
        <v>710001</v>
      </c>
      <c r="B1196" s="4">
        <v>1304</v>
      </c>
      <c r="C1196" s="107" t="s">
        <v>1458</v>
      </c>
      <c r="D1196" s="65" t="s">
        <v>1466</v>
      </c>
      <c r="F1196" s="4">
        <v>131</v>
      </c>
      <c r="G1196" s="4">
        <v>5</v>
      </c>
      <c r="J1196" s="4">
        <v>4</v>
      </c>
      <c r="N1196" s="4">
        <v>2</v>
      </c>
      <c r="P1196" s="4">
        <v>2</v>
      </c>
      <c r="R1196" s="5" t="s">
        <v>1460</v>
      </c>
    </row>
    <row r="1197" spans="1:18">
      <c r="A1197" s="4">
        <v>710002</v>
      </c>
      <c r="B1197" s="4">
        <v>1304</v>
      </c>
      <c r="C1197" s="107" t="s">
        <v>1458</v>
      </c>
      <c r="D1197" s="65" t="s">
        <v>1467</v>
      </c>
      <c r="F1197" s="4">
        <v>131</v>
      </c>
      <c r="G1197" s="4">
        <v>10</v>
      </c>
      <c r="J1197" s="4">
        <v>4</v>
      </c>
      <c r="N1197" s="4">
        <v>2</v>
      </c>
      <c r="P1197" s="4">
        <v>2</v>
      </c>
      <c r="R1197" s="5" t="s">
        <v>1460</v>
      </c>
    </row>
    <row r="1198" spans="1:18">
      <c r="A1198" s="4">
        <v>710003</v>
      </c>
      <c r="B1198" s="4">
        <v>1304</v>
      </c>
      <c r="C1198" s="107" t="s">
        <v>1458</v>
      </c>
      <c r="D1198" s="65" t="s">
        <v>1468</v>
      </c>
      <c r="F1198" s="4">
        <v>131</v>
      </c>
      <c r="G1198" s="4">
        <v>15</v>
      </c>
      <c r="J1198" s="4">
        <v>4</v>
      </c>
      <c r="N1198" s="4">
        <v>2</v>
      </c>
      <c r="P1198" s="4">
        <v>2</v>
      </c>
      <c r="R1198" s="5" t="s">
        <v>1465</v>
      </c>
    </row>
    <row r="1199" spans="1:18">
      <c r="A1199" s="4">
        <v>710004</v>
      </c>
      <c r="B1199" s="4">
        <v>1304</v>
      </c>
      <c r="C1199" s="107" t="s">
        <v>1458</v>
      </c>
      <c r="D1199" s="65" t="s">
        <v>1469</v>
      </c>
      <c r="F1199" s="4">
        <v>131</v>
      </c>
      <c r="G1199" s="4">
        <v>20</v>
      </c>
      <c r="J1199" s="4">
        <v>4</v>
      </c>
      <c r="N1199" s="4">
        <v>2</v>
      </c>
      <c r="P1199" s="4">
        <v>2</v>
      </c>
      <c r="R1199" s="5" t="s">
        <v>1465</v>
      </c>
    </row>
    <row r="1200" spans="1:18">
      <c r="A1200" s="4">
        <v>710005</v>
      </c>
      <c r="B1200" s="4">
        <v>1304</v>
      </c>
      <c r="C1200" s="107" t="s">
        <v>1458</v>
      </c>
      <c r="D1200" s="65" t="s">
        <v>1470</v>
      </c>
      <c r="F1200" s="4">
        <v>131</v>
      </c>
      <c r="G1200" s="4">
        <v>25</v>
      </c>
      <c r="J1200" s="4">
        <v>4</v>
      </c>
      <c r="N1200" s="4">
        <v>2</v>
      </c>
      <c r="P1200" s="4">
        <v>2</v>
      </c>
      <c r="R1200" s="5" t="s">
        <v>1471</v>
      </c>
    </row>
    <row r="1201" spans="1:18">
      <c r="A1201" s="4">
        <v>710006</v>
      </c>
      <c r="B1201" s="4">
        <v>1304</v>
      </c>
      <c r="C1201" s="107" t="s">
        <v>1458</v>
      </c>
      <c r="D1201" s="65" t="s">
        <v>1472</v>
      </c>
      <c r="F1201" s="4">
        <v>131</v>
      </c>
      <c r="G1201" s="4">
        <v>30</v>
      </c>
      <c r="J1201" s="4">
        <v>4</v>
      </c>
      <c r="N1201" s="4">
        <v>2</v>
      </c>
      <c r="P1201" s="4">
        <v>2</v>
      </c>
      <c r="R1201" s="5" t="s">
        <v>1473</v>
      </c>
    </row>
    <row r="1202" s="32" customFormat="1" spans="1:18">
      <c r="A1202" s="68">
        <v>720001</v>
      </c>
      <c r="B1202" s="68">
        <v>101</v>
      </c>
      <c r="C1202" s="68" t="s">
        <v>1342</v>
      </c>
      <c r="D1202" s="37" t="s">
        <v>1343</v>
      </c>
      <c r="E1202" s="68"/>
      <c r="F1202" s="68"/>
      <c r="G1202" s="68">
        <v>1</v>
      </c>
      <c r="H1202" s="68"/>
      <c r="I1202" s="68"/>
      <c r="J1202" s="68">
        <v>1</v>
      </c>
      <c r="N1202" s="68">
        <v>2</v>
      </c>
      <c r="P1202" s="68">
        <v>2</v>
      </c>
      <c r="R1202" s="108" t="s">
        <v>1474</v>
      </c>
    </row>
    <row r="1203" s="32" customFormat="1" spans="1:18">
      <c r="A1203" s="68">
        <v>720002</v>
      </c>
      <c r="B1203" s="68">
        <v>302</v>
      </c>
      <c r="C1203" s="68" t="s">
        <v>1345</v>
      </c>
      <c r="D1203" s="37" t="s">
        <v>112</v>
      </c>
      <c r="E1203" s="68"/>
      <c r="F1203" s="68">
        <v>1</v>
      </c>
      <c r="G1203" s="68">
        <v>5</v>
      </c>
      <c r="H1203" s="68"/>
      <c r="I1203" s="68"/>
      <c r="J1203" s="68">
        <v>1</v>
      </c>
      <c r="N1203" s="68">
        <v>2</v>
      </c>
      <c r="P1203" s="68">
        <v>2</v>
      </c>
      <c r="R1203" s="108" t="s">
        <v>1474</v>
      </c>
    </row>
    <row r="1204" s="32" customFormat="1" spans="1:18">
      <c r="A1204" s="68">
        <v>720003</v>
      </c>
      <c r="B1204" s="68">
        <v>4002</v>
      </c>
      <c r="C1204" s="68" t="s">
        <v>1347</v>
      </c>
      <c r="D1204" s="37" t="s">
        <v>1043</v>
      </c>
      <c r="E1204" s="68"/>
      <c r="F1204" s="68">
        <v>58</v>
      </c>
      <c r="G1204" s="68">
        <v>500</v>
      </c>
      <c r="H1204" s="68"/>
      <c r="I1204" s="68">
        <v>1</v>
      </c>
      <c r="J1204" s="68">
        <v>1</v>
      </c>
      <c r="N1204" s="68">
        <v>2</v>
      </c>
      <c r="P1204" s="68">
        <v>2</v>
      </c>
      <c r="R1204" s="108" t="s">
        <v>1474</v>
      </c>
    </row>
    <row r="1205" s="32" customFormat="1" spans="1:18">
      <c r="A1205" s="68">
        <v>720004</v>
      </c>
      <c r="B1205" s="68">
        <v>1202</v>
      </c>
      <c r="C1205" s="68" t="s">
        <v>1348</v>
      </c>
      <c r="D1205" s="37" t="s">
        <v>121</v>
      </c>
      <c r="E1205" s="68"/>
      <c r="F1205" s="68">
        <v>18</v>
      </c>
      <c r="G1205" s="68">
        <v>1</v>
      </c>
      <c r="H1205" s="68"/>
      <c r="I1205" s="68"/>
      <c r="J1205" s="68">
        <v>1</v>
      </c>
      <c r="N1205" s="68">
        <v>2</v>
      </c>
      <c r="P1205" s="68">
        <v>2</v>
      </c>
      <c r="R1205" s="108" t="s">
        <v>1475</v>
      </c>
    </row>
    <row r="1206" s="32" customFormat="1" spans="1:18">
      <c r="A1206" s="68">
        <v>720005</v>
      </c>
      <c r="B1206" s="68">
        <v>1303</v>
      </c>
      <c r="C1206" s="68" t="s">
        <v>1349</v>
      </c>
      <c r="D1206" s="37" t="s">
        <v>1350</v>
      </c>
      <c r="E1206" s="68"/>
      <c r="F1206" s="68">
        <v>7</v>
      </c>
      <c r="G1206" s="68">
        <v>4</v>
      </c>
      <c r="H1206" s="68"/>
      <c r="I1206" s="68"/>
      <c r="J1206" s="68">
        <v>4</v>
      </c>
      <c r="N1206" s="68">
        <v>2</v>
      </c>
      <c r="P1206" s="68">
        <v>2</v>
      </c>
      <c r="R1206" s="108" t="s">
        <v>1475</v>
      </c>
    </row>
    <row r="1207" s="32" customFormat="1" spans="1:18">
      <c r="A1207" s="68">
        <v>720006</v>
      </c>
      <c r="B1207" s="68">
        <v>1002</v>
      </c>
      <c r="C1207" s="68" t="s">
        <v>1351</v>
      </c>
      <c r="D1207" s="37" t="s">
        <v>141</v>
      </c>
      <c r="E1207" s="68"/>
      <c r="F1207" s="68">
        <v>10</v>
      </c>
      <c r="G1207" s="68">
        <v>3</v>
      </c>
      <c r="H1207" s="68"/>
      <c r="I1207" s="68"/>
      <c r="J1207" s="68">
        <v>1</v>
      </c>
      <c r="N1207" s="68">
        <v>2</v>
      </c>
      <c r="P1207" s="68">
        <v>2</v>
      </c>
      <c r="R1207" s="108" t="s">
        <v>1475</v>
      </c>
    </row>
    <row r="1208" s="32" customFormat="1" spans="1:18">
      <c r="A1208" s="68">
        <v>720007</v>
      </c>
      <c r="B1208" s="68">
        <v>603</v>
      </c>
      <c r="C1208" s="68" t="s">
        <v>1352</v>
      </c>
      <c r="D1208" s="37" t="s">
        <v>588</v>
      </c>
      <c r="E1208" s="68"/>
      <c r="F1208" s="68">
        <v>15</v>
      </c>
      <c r="G1208" s="68">
        <v>1</v>
      </c>
      <c r="H1208" s="68"/>
      <c r="I1208" s="68"/>
      <c r="J1208" s="68">
        <v>4</v>
      </c>
      <c r="N1208" s="68">
        <v>0</v>
      </c>
      <c r="P1208" s="68">
        <v>2</v>
      </c>
      <c r="R1208" s="108" t="s">
        <v>1475</v>
      </c>
    </row>
    <row r="1209" s="32" customFormat="1" spans="1:18">
      <c r="A1209" s="68">
        <v>721001</v>
      </c>
      <c r="B1209" s="68">
        <v>804</v>
      </c>
      <c r="C1209" s="68" t="s">
        <v>1353</v>
      </c>
      <c r="D1209" s="90" t="s">
        <v>1091</v>
      </c>
      <c r="E1209" s="68"/>
      <c r="F1209" s="68">
        <v>48</v>
      </c>
      <c r="G1209" s="68">
        <v>1</v>
      </c>
      <c r="H1209" s="68"/>
      <c r="I1209" s="68"/>
      <c r="J1209" s="68">
        <v>4</v>
      </c>
      <c r="N1209" s="68">
        <v>2</v>
      </c>
      <c r="P1209" s="68">
        <v>2</v>
      </c>
      <c r="R1209" s="108" t="s">
        <v>1476</v>
      </c>
    </row>
    <row r="1210" s="32" customFormat="1" spans="1:18">
      <c r="A1210" s="68">
        <v>721002</v>
      </c>
      <c r="B1210" s="68">
        <v>402</v>
      </c>
      <c r="C1210" s="68" t="s">
        <v>1355</v>
      </c>
      <c r="D1210" s="37" t="s">
        <v>211</v>
      </c>
      <c r="E1210" s="68"/>
      <c r="F1210" s="68">
        <v>56</v>
      </c>
      <c r="G1210" s="68">
        <v>30</v>
      </c>
      <c r="H1210" s="68"/>
      <c r="I1210" s="68">
        <v>2</v>
      </c>
      <c r="J1210" s="68">
        <v>4</v>
      </c>
      <c r="N1210" s="68">
        <v>2</v>
      </c>
      <c r="P1210" s="68">
        <v>2</v>
      </c>
      <c r="R1210" s="108" t="s">
        <v>1476</v>
      </c>
    </row>
    <row r="1211" s="32" customFormat="1" spans="1:18">
      <c r="A1211" s="68">
        <v>721003</v>
      </c>
      <c r="B1211" s="68">
        <v>503</v>
      </c>
      <c r="C1211" s="68" t="s">
        <v>1356</v>
      </c>
      <c r="D1211" s="37" t="s">
        <v>1357</v>
      </c>
      <c r="E1211" s="68"/>
      <c r="F1211" s="68">
        <v>44</v>
      </c>
      <c r="G1211" s="68">
        <v>20</v>
      </c>
      <c r="H1211" s="68"/>
      <c r="I1211" s="68"/>
      <c r="J1211" s="68">
        <v>4</v>
      </c>
      <c r="N1211" s="68">
        <v>2</v>
      </c>
      <c r="P1211" s="68">
        <v>2</v>
      </c>
      <c r="R1211" s="108" t="s">
        <v>1476</v>
      </c>
    </row>
    <row r="1212" s="37" customFormat="1" spans="1:19">
      <c r="A1212" s="68">
        <v>721004</v>
      </c>
      <c r="B1212" s="68">
        <v>982</v>
      </c>
      <c r="C1212" s="68" t="s">
        <v>1358</v>
      </c>
      <c r="D1212" s="37" t="s">
        <v>1359</v>
      </c>
      <c r="E1212" s="68"/>
      <c r="F1212" s="68">
        <v>40</v>
      </c>
      <c r="G1212" s="68">
        <v>20</v>
      </c>
      <c r="H1212" s="68"/>
      <c r="I1212" s="68"/>
      <c r="J1212" s="68">
        <v>4</v>
      </c>
      <c r="N1212" s="68">
        <v>0</v>
      </c>
      <c r="P1212" s="68">
        <v>2</v>
      </c>
      <c r="R1212" s="108" t="s">
        <v>1476</v>
      </c>
      <c r="S1212" s="32"/>
    </row>
    <row r="1213" s="32" customFormat="1" spans="1:18">
      <c r="A1213" s="68">
        <v>721005</v>
      </c>
      <c r="B1213" s="68">
        <v>811</v>
      </c>
      <c r="C1213" s="68" t="s">
        <v>1360</v>
      </c>
      <c r="D1213" s="90" t="s">
        <v>1361</v>
      </c>
      <c r="E1213" s="68"/>
      <c r="F1213" s="68">
        <v>44</v>
      </c>
      <c r="G1213" s="68">
        <v>20</v>
      </c>
      <c r="H1213" s="68"/>
      <c r="I1213" s="68"/>
      <c r="J1213" s="68">
        <v>4</v>
      </c>
      <c r="N1213" s="68">
        <v>2</v>
      </c>
      <c r="P1213" s="68">
        <v>2</v>
      </c>
      <c r="R1213" s="108" t="s">
        <v>1476</v>
      </c>
    </row>
    <row r="1214" s="32" customFormat="1" spans="1:18">
      <c r="A1214" s="68">
        <v>721006</v>
      </c>
      <c r="B1214" s="68">
        <v>1701</v>
      </c>
      <c r="C1214" s="68" t="s">
        <v>1362</v>
      </c>
      <c r="D1214" s="90" t="s">
        <v>1363</v>
      </c>
      <c r="E1214" s="68"/>
      <c r="F1214" s="68">
        <v>59</v>
      </c>
      <c r="G1214" s="68">
        <v>14</v>
      </c>
      <c r="H1214" s="68"/>
      <c r="I1214" s="68"/>
      <c r="J1214" s="68">
        <v>4</v>
      </c>
      <c r="N1214" s="68">
        <v>2</v>
      </c>
      <c r="P1214" s="68">
        <v>2</v>
      </c>
      <c r="R1214" s="108" t="s">
        <v>1477</v>
      </c>
    </row>
    <row r="1215" s="32" customFormat="1" spans="1:18">
      <c r="A1215" s="68">
        <v>721007</v>
      </c>
      <c r="B1215" s="68">
        <v>809</v>
      </c>
      <c r="C1215" s="68" t="s">
        <v>1364</v>
      </c>
      <c r="D1215" s="37" t="s">
        <v>1063</v>
      </c>
      <c r="E1215" s="68"/>
      <c r="F1215" s="68">
        <v>62</v>
      </c>
      <c r="G1215" s="68">
        <v>30</v>
      </c>
      <c r="H1215" s="68"/>
      <c r="I1215" s="68"/>
      <c r="J1215" s="68">
        <v>4</v>
      </c>
      <c r="N1215" s="68">
        <v>2</v>
      </c>
      <c r="P1215" s="68">
        <v>2</v>
      </c>
      <c r="R1215" s="108" t="s">
        <v>1477</v>
      </c>
    </row>
    <row r="1216" s="32" customFormat="1" spans="1:18">
      <c r="A1216" s="68">
        <v>721008</v>
      </c>
      <c r="B1216" s="68">
        <v>502</v>
      </c>
      <c r="C1216" s="68" t="s">
        <v>1365</v>
      </c>
      <c r="D1216" s="37" t="s">
        <v>1366</v>
      </c>
      <c r="E1216" s="68"/>
      <c r="F1216" s="68">
        <v>16</v>
      </c>
      <c r="G1216" s="68">
        <v>7</v>
      </c>
      <c r="H1216" s="68"/>
      <c r="I1216" s="68"/>
      <c r="J1216" s="68">
        <v>4</v>
      </c>
      <c r="N1216" s="68">
        <v>2</v>
      </c>
      <c r="P1216" s="68">
        <v>2</v>
      </c>
      <c r="R1216" s="108" t="s">
        <v>1477</v>
      </c>
    </row>
    <row r="1217" s="27" customFormat="1" spans="1:18">
      <c r="A1217" s="17">
        <v>730001</v>
      </c>
      <c r="B1217" s="17">
        <v>101</v>
      </c>
      <c r="C1217" s="17" t="s">
        <v>1342</v>
      </c>
      <c r="D1217" s="59" t="s">
        <v>1343</v>
      </c>
      <c r="E1217" s="17"/>
      <c r="F1217" s="17"/>
      <c r="G1217" s="17">
        <v>1</v>
      </c>
      <c r="H1217" s="17"/>
      <c r="I1217" s="17"/>
      <c r="J1217" s="17">
        <v>1</v>
      </c>
      <c r="N1217" s="17">
        <v>2</v>
      </c>
      <c r="P1217" s="17">
        <v>2</v>
      </c>
      <c r="R1217" s="66" t="s">
        <v>1478</v>
      </c>
    </row>
    <row r="1218" s="27" customFormat="1" spans="1:18">
      <c r="A1218" s="17">
        <v>730002</v>
      </c>
      <c r="B1218" s="17">
        <v>302</v>
      </c>
      <c r="C1218" s="17" t="s">
        <v>1345</v>
      </c>
      <c r="D1218" s="59" t="s">
        <v>112</v>
      </c>
      <c r="E1218" s="17"/>
      <c r="F1218" s="17">
        <v>1</v>
      </c>
      <c r="G1218" s="17">
        <v>5</v>
      </c>
      <c r="H1218" s="17"/>
      <c r="I1218" s="17"/>
      <c r="J1218" s="17">
        <v>1</v>
      </c>
      <c r="N1218" s="17">
        <v>2</v>
      </c>
      <c r="P1218" s="17">
        <v>2</v>
      </c>
      <c r="R1218" s="66" t="s">
        <v>1478</v>
      </c>
    </row>
    <row r="1219" s="27" customFormat="1" spans="1:18">
      <c r="A1219" s="17">
        <v>730003</v>
      </c>
      <c r="B1219" s="17">
        <v>4002</v>
      </c>
      <c r="C1219" s="17" t="s">
        <v>1347</v>
      </c>
      <c r="D1219" s="59" t="s">
        <v>1043</v>
      </c>
      <c r="E1219" s="17"/>
      <c r="F1219" s="17">
        <v>58</v>
      </c>
      <c r="G1219" s="17">
        <v>500</v>
      </c>
      <c r="H1219" s="17"/>
      <c r="I1219" s="17">
        <v>1</v>
      </c>
      <c r="J1219" s="17">
        <v>1</v>
      </c>
      <c r="N1219" s="17">
        <v>2</v>
      </c>
      <c r="P1219" s="17">
        <v>2</v>
      </c>
      <c r="R1219" s="66" t="s">
        <v>1479</v>
      </c>
    </row>
    <row r="1220" s="27" customFormat="1" spans="1:18">
      <c r="A1220" s="17">
        <v>730004</v>
      </c>
      <c r="B1220" s="17">
        <v>1202</v>
      </c>
      <c r="C1220" s="17" t="s">
        <v>1348</v>
      </c>
      <c r="D1220" s="59" t="s">
        <v>121</v>
      </c>
      <c r="E1220" s="17"/>
      <c r="F1220" s="17">
        <v>18</v>
      </c>
      <c r="G1220" s="17">
        <v>1</v>
      </c>
      <c r="H1220" s="17"/>
      <c r="I1220" s="17"/>
      <c r="J1220" s="17">
        <v>1</v>
      </c>
      <c r="N1220" s="17">
        <v>2</v>
      </c>
      <c r="P1220" s="17">
        <v>2</v>
      </c>
      <c r="R1220" s="66" t="s">
        <v>1480</v>
      </c>
    </row>
    <row r="1221" s="27" customFormat="1" spans="1:18">
      <c r="A1221" s="17">
        <v>730005</v>
      </c>
      <c r="B1221" s="17">
        <v>1303</v>
      </c>
      <c r="C1221" s="17" t="s">
        <v>1349</v>
      </c>
      <c r="D1221" s="59" t="s">
        <v>835</v>
      </c>
      <c r="E1221" s="17"/>
      <c r="F1221" s="17">
        <v>7</v>
      </c>
      <c r="G1221" s="17">
        <v>1</v>
      </c>
      <c r="H1221" s="17"/>
      <c r="I1221" s="17"/>
      <c r="J1221" s="17">
        <v>1</v>
      </c>
      <c r="N1221" s="17">
        <v>2</v>
      </c>
      <c r="P1221" s="17">
        <v>2</v>
      </c>
      <c r="R1221" s="66" t="s">
        <v>1480</v>
      </c>
    </row>
    <row r="1222" s="27" customFormat="1" spans="1:18">
      <c r="A1222" s="17">
        <v>730006</v>
      </c>
      <c r="B1222" s="17">
        <v>1002</v>
      </c>
      <c r="C1222" s="17" t="s">
        <v>1351</v>
      </c>
      <c r="D1222" s="59" t="s">
        <v>141</v>
      </c>
      <c r="E1222" s="17"/>
      <c r="F1222" s="17">
        <v>10</v>
      </c>
      <c r="G1222" s="17">
        <v>3</v>
      </c>
      <c r="H1222" s="17"/>
      <c r="I1222" s="17"/>
      <c r="J1222" s="17">
        <v>1</v>
      </c>
      <c r="N1222" s="17">
        <v>2</v>
      </c>
      <c r="P1222" s="17">
        <v>2</v>
      </c>
      <c r="R1222" s="66" t="s">
        <v>1480</v>
      </c>
    </row>
    <row r="1223" s="27" customFormat="1" spans="1:18">
      <c r="A1223" s="17">
        <v>730007</v>
      </c>
      <c r="B1223" s="17">
        <v>603</v>
      </c>
      <c r="C1223" s="17" t="s">
        <v>1352</v>
      </c>
      <c r="D1223" s="59" t="s">
        <v>588</v>
      </c>
      <c r="E1223" s="17"/>
      <c r="F1223" s="17">
        <v>15</v>
      </c>
      <c r="G1223" s="17">
        <v>1</v>
      </c>
      <c r="H1223" s="17"/>
      <c r="I1223" s="17"/>
      <c r="J1223" s="17">
        <v>1</v>
      </c>
      <c r="N1223" s="17">
        <v>0</v>
      </c>
      <c r="P1223" s="17">
        <v>2</v>
      </c>
      <c r="R1223" s="66" t="s">
        <v>1480</v>
      </c>
    </row>
    <row r="1224" s="27" customFormat="1" spans="1:18">
      <c r="A1224" s="17">
        <v>730008</v>
      </c>
      <c r="B1224" s="17">
        <v>402</v>
      </c>
      <c r="C1224" s="17" t="s">
        <v>1355</v>
      </c>
      <c r="D1224" s="59" t="s">
        <v>209</v>
      </c>
      <c r="E1224" s="17"/>
      <c r="F1224" s="17">
        <v>56</v>
      </c>
      <c r="G1224" s="17">
        <v>10</v>
      </c>
      <c r="H1224" s="17"/>
      <c r="I1224" s="17">
        <v>2</v>
      </c>
      <c r="J1224" s="17">
        <v>1</v>
      </c>
      <c r="N1224" s="17">
        <v>2</v>
      </c>
      <c r="P1224" s="17">
        <v>2</v>
      </c>
      <c r="R1224" s="66" t="s">
        <v>1481</v>
      </c>
    </row>
    <row r="1225" s="27" customFormat="1" spans="1:18">
      <c r="A1225" s="17">
        <v>730009</v>
      </c>
      <c r="B1225" s="17">
        <v>4001</v>
      </c>
      <c r="C1225" s="17" t="s">
        <v>1367</v>
      </c>
      <c r="D1225" s="59" t="s">
        <v>1065</v>
      </c>
      <c r="E1225" s="17"/>
      <c r="F1225" s="17">
        <v>58</v>
      </c>
      <c r="G1225" s="17">
        <v>1</v>
      </c>
      <c r="H1225" s="17"/>
      <c r="I1225" s="17"/>
      <c r="J1225" s="17">
        <v>1</v>
      </c>
      <c r="N1225" s="17">
        <v>2</v>
      </c>
      <c r="P1225" s="17">
        <v>2</v>
      </c>
      <c r="R1225" s="66" t="s">
        <v>1481</v>
      </c>
    </row>
    <row r="1226" s="27" customFormat="1" spans="1:18">
      <c r="A1226" s="17">
        <v>730010</v>
      </c>
      <c r="B1226" s="17">
        <v>23101</v>
      </c>
      <c r="C1226" s="17" t="s">
        <v>1482</v>
      </c>
      <c r="D1226" s="17" t="s">
        <v>1483</v>
      </c>
      <c r="E1226" s="17"/>
      <c r="F1226" s="17">
        <v>136</v>
      </c>
      <c r="G1226" s="17">
        <v>3</v>
      </c>
      <c r="H1226" s="17"/>
      <c r="I1226" s="17"/>
      <c r="J1226" s="17">
        <v>4</v>
      </c>
      <c r="N1226" s="17"/>
      <c r="P1226" s="17"/>
      <c r="R1226" s="66" t="s">
        <v>1484</v>
      </c>
    </row>
    <row r="1227" s="27" customFormat="1" spans="1:18">
      <c r="A1227" s="17">
        <v>730011</v>
      </c>
      <c r="B1227" s="17">
        <v>23102</v>
      </c>
      <c r="C1227" s="17" t="s">
        <v>1485</v>
      </c>
      <c r="D1227" s="17" t="s">
        <v>1486</v>
      </c>
      <c r="E1227" s="17"/>
      <c r="F1227" s="17">
        <v>136</v>
      </c>
      <c r="G1227" s="17">
        <v>3</v>
      </c>
      <c r="H1227" s="17"/>
      <c r="I1227" s="17"/>
      <c r="J1227" s="17">
        <v>4</v>
      </c>
      <c r="N1227" s="17"/>
      <c r="P1227" s="17"/>
      <c r="R1227" s="66" t="s">
        <v>1484</v>
      </c>
    </row>
    <row r="1228" s="27" customFormat="1" spans="1:18">
      <c r="A1228" s="17">
        <v>730012</v>
      </c>
      <c r="B1228" s="17">
        <v>23103</v>
      </c>
      <c r="C1228" s="17" t="s">
        <v>1487</v>
      </c>
      <c r="D1228" s="17" t="s">
        <v>1488</v>
      </c>
      <c r="E1228" s="17"/>
      <c r="F1228" s="17">
        <v>136</v>
      </c>
      <c r="G1228" s="17">
        <v>3</v>
      </c>
      <c r="H1228" s="17"/>
      <c r="I1228" s="17"/>
      <c r="J1228" s="17">
        <v>4</v>
      </c>
      <c r="N1228" s="17"/>
      <c r="P1228" s="17"/>
      <c r="R1228" s="66" t="s">
        <v>1484</v>
      </c>
    </row>
    <row r="1229" s="27" customFormat="1" spans="1:18">
      <c r="A1229" s="17">
        <v>730013</v>
      </c>
      <c r="B1229" s="17">
        <v>23104</v>
      </c>
      <c r="C1229" s="17" t="s">
        <v>1489</v>
      </c>
      <c r="D1229" s="17" t="s">
        <v>1490</v>
      </c>
      <c r="E1229" s="17"/>
      <c r="F1229" s="17">
        <v>136</v>
      </c>
      <c r="G1229" s="17">
        <v>3</v>
      </c>
      <c r="H1229" s="17"/>
      <c r="I1229" s="17"/>
      <c r="J1229" s="17">
        <v>4</v>
      </c>
      <c r="N1229" s="17"/>
      <c r="P1229" s="17"/>
      <c r="R1229" s="66" t="s">
        <v>1484</v>
      </c>
    </row>
    <row r="1230" s="27" customFormat="1" spans="1:18">
      <c r="A1230" s="17">
        <v>730014</v>
      </c>
      <c r="B1230" s="17">
        <v>23105</v>
      </c>
      <c r="C1230" s="17" t="s">
        <v>1491</v>
      </c>
      <c r="D1230" s="17" t="s">
        <v>1492</v>
      </c>
      <c r="E1230" s="17"/>
      <c r="F1230" s="17">
        <v>136</v>
      </c>
      <c r="G1230" s="17">
        <v>3</v>
      </c>
      <c r="H1230" s="17"/>
      <c r="I1230" s="17"/>
      <c r="J1230" s="17">
        <v>4</v>
      </c>
      <c r="N1230" s="17"/>
      <c r="P1230" s="17"/>
      <c r="R1230" s="66" t="s">
        <v>1484</v>
      </c>
    </row>
    <row r="1231" spans="1:18">
      <c r="A1231" s="17">
        <v>800000</v>
      </c>
      <c r="B1231" s="4">
        <v>201</v>
      </c>
      <c r="C1231" s="4" t="s">
        <v>161</v>
      </c>
      <c r="D1231" s="4" t="s">
        <v>161</v>
      </c>
      <c r="F1231" s="4">
        <v>33</v>
      </c>
      <c r="G1231" s="4">
        <v>10</v>
      </c>
      <c r="J1231" s="4">
        <v>4</v>
      </c>
      <c r="N1231" s="4">
        <v>2</v>
      </c>
      <c r="P1231" s="4">
        <v>2</v>
      </c>
      <c r="R1231" s="69" t="s">
        <v>1493</v>
      </c>
    </row>
    <row r="1232" spans="1:18">
      <c r="A1232" s="17">
        <v>800001</v>
      </c>
      <c r="B1232" s="4">
        <v>201</v>
      </c>
      <c r="C1232" s="4" t="s">
        <v>163</v>
      </c>
      <c r="D1232" s="4" t="s">
        <v>163</v>
      </c>
      <c r="F1232" s="4">
        <v>33</v>
      </c>
      <c r="G1232" s="4">
        <v>20</v>
      </c>
      <c r="J1232" s="4">
        <v>4</v>
      </c>
      <c r="N1232" s="4">
        <v>2</v>
      </c>
      <c r="P1232" s="4">
        <v>2</v>
      </c>
      <c r="R1232" s="110" t="s">
        <v>1494</v>
      </c>
    </row>
    <row r="1233" spans="1:18">
      <c r="A1233" s="17">
        <v>800002</v>
      </c>
      <c r="B1233" s="4">
        <v>201</v>
      </c>
      <c r="C1233" s="4" t="s">
        <v>146</v>
      </c>
      <c r="D1233" s="4" t="s">
        <v>146</v>
      </c>
      <c r="F1233" s="4">
        <v>33</v>
      </c>
      <c r="G1233" s="4">
        <v>30</v>
      </c>
      <c r="J1233" s="4">
        <v>4</v>
      </c>
      <c r="N1233" s="4">
        <v>2</v>
      </c>
      <c r="P1233" s="4">
        <v>2</v>
      </c>
      <c r="R1233" s="110" t="s">
        <v>658</v>
      </c>
    </row>
    <row r="1234" spans="1:18">
      <c r="A1234" s="17">
        <v>800003</v>
      </c>
      <c r="B1234" s="4">
        <v>201</v>
      </c>
      <c r="C1234" s="4" t="s">
        <v>148</v>
      </c>
      <c r="D1234" s="4" t="s">
        <v>148</v>
      </c>
      <c r="F1234" s="4">
        <v>33</v>
      </c>
      <c r="G1234" s="4">
        <v>40</v>
      </c>
      <c r="J1234" s="4">
        <v>4</v>
      </c>
      <c r="N1234" s="4">
        <v>2</v>
      </c>
      <c r="P1234" s="4">
        <v>2</v>
      </c>
      <c r="R1234" s="110" t="s">
        <v>1495</v>
      </c>
    </row>
    <row r="1235" spans="1:18">
      <c r="A1235" s="17">
        <v>800004</v>
      </c>
      <c r="B1235" s="4">
        <v>201</v>
      </c>
      <c r="C1235" s="4" t="s">
        <v>149</v>
      </c>
      <c r="D1235" s="4" t="s">
        <v>149</v>
      </c>
      <c r="F1235" s="4">
        <v>33</v>
      </c>
      <c r="G1235" s="4">
        <v>50</v>
      </c>
      <c r="J1235" s="4">
        <v>4</v>
      </c>
      <c r="N1235" s="4">
        <v>2</v>
      </c>
      <c r="P1235" s="4">
        <v>2</v>
      </c>
      <c r="R1235" s="110" t="s">
        <v>1496</v>
      </c>
    </row>
    <row r="1236" spans="1:18">
      <c r="A1236" s="17">
        <v>800005</v>
      </c>
      <c r="B1236" s="4">
        <v>201</v>
      </c>
      <c r="C1236" s="4" t="s">
        <v>150</v>
      </c>
      <c r="D1236" s="4" t="s">
        <v>150</v>
      </c>
      <c r="F1236" s="4">
        <v>33</v>
      </c>
      <c r="G1236" s="4">
        <v>60</v>
      </c>
      <c r="J1236" s="4">
        <v>4</v>
      </c>
      <c r="N1236" s="4">
        <v>2</v>
      </c>
      <c r="P1236" s="4">
        <v>2</v>
      </c>
      <c r="R1236" s="110" t="s">
        <v>1495</v>
      </c>
    </row>
    <row r="1237" spans="1:18">
      <c r="A1237" s="17">
        <v>800006</v>
      </c>
      <c r="B1237" s="4">
        <v>201</v>
      </c>
      <c r="C1237" s="4" t="s">
        <v>151</v>
      </c>
      <c r="D1237" s="4" t="s">
        <v>151</v>
      </c>
      <c r="F1237" s="4">
        <v>33</v>
      </c>
      <c r="G1237" s="4">
        <v>70</v>
      </c>
      <c r="J1237" s="4">
        <v>4</v>
      </c>
      <c r="N1237" s="4">
        <v>2</v>
      </c>
      <c r="P1237" s="4">
        <v>2</v>
      </c>
      <c r="R1237" s="110" t="s">
        <v>1497</v>
      </c>
    </row>
    <row r="1238" spans="1:18">
      <c r="A1238" s="17">
        <v>800007</v>
      </c>
      <c r="B1238" s="4">
        <v>201</v>
      </c>
      <c r="C1238" s="4" t="s">
        <v>152</v>
      </c>
      <c r="D1238" s="4" t="s">
        <v>152</v>
      </c>
      <c r="F1238" s="4">
        <v>33</v>
      </c>
      <c r="G1238" s="4">
        <v>80</v>
      </c>
      <c r="J1238" s="4">
        <v>4</v>
      </c>
      <c r="N1238" s="4">
        <v>2</v>
      </c>
      <c r="P1238" s="4">
        <v>2</v>
      </c>
      <c r="R1238" s="110" t="s">
        <v>1498</v>
      </c>
    </row>
    <row r="1239" spans="1:18">
      <c r="A1239" s="17">
        <v>800008</v>
      </c>
      <c r="B1239" s="4">
        <v>201</v>
      </c>
      <c r="C1239" s="4" t="s">
        <v>153</v>
      </c>
      <c r="D1239" s="4" t="s">
        <v>153</v>
      </c>
      <c r="F1239" s="4">
        <v>33</v>
      </c>
      <c r="G1239" s="4">
        <v>90</v>
      </c>
      <c r="J1239" s="4">
        <v>4</v>
      </c>
      <c r="N1239" s="4">
        <v>2</v>
      </c>
      <c r="P1239" s="4">
        <v>2</v>
      </c>
      <c r="R1239" s="110" t="s">
        <v>1499</v>
      </c>
    </row>
    <row r="1240" spans="1:18">
      <c r="A1240" s="17">
        <v>800009</v>
      </c>
      <c r="B1240" s="4">
        <v>201</v>
      </c>
      <c r="C1240" s="4" t="s">
        <v>154</v>
      </c>
      <c r="D1240" s="4" t="s">
        <v>154</v>
      </c>
      <c r="F1240" s="4">
        <v>33</v>
      </c>
      <c r="G1240" s="4">
        <v>100</v>
      </c>
      <c r="J1240" s="4">
        <v>4</v>
      </c>
      <c r="N1240" s="4">
        <v>2</v>
      </c>
      <c r="P1240" s="4">
        <v>2</v>
      </c>
      <c r="R1240" s="110" t="s">
        <v>1500</v>
      </c>
    </row>
    <row r="1241" spans="1:18">
      <c r="A1241" s="17">
        <v>800010</v>
      </c>
      <c r="B1241" s="4">
        <v>201</v>
      </c>
      <c r="C1241" s="4" t="s">
        <v>1501</v>
      </c>
      <c r="D1241" s="4" t="s">
        <v>1501</v>
      </c>
      <c r="F1241" s="4">
        <v>33</v>
      </c>
      <c r="G1241" s="4">
        <v>110</v>
      </c>
      <c r="J1241" s="4">
        <v>4</v>
      </c>
      <c r="N1241" s="4">
        <v>2</v>
      </c>
      <c r="P1241" s="4">
        <v>2</v>
      </c>
      <c r="R1241" s="110" t="s">
        <v>1496</v>
      </c>
    </row>
    <row r="1242" spans="1:18">
      <c r="A1242" s="17">
        <v>800011</v>
      </c>
      <c r="B1242" s="4">
        <v>201</v>
      </c>
      <c r="C1242" s="4" t="s">
        <v>155</v>
      </c>
      <c r="D1242" s="4" t="s">
        <v>155</v>
      </c>
      <c r="F1242" s="4">
        <v>33</v>
      </c>
      <c r="G1242" s="4">
        <v>120</v>
      </c>
      <c r="J1242" s="4">
        <v>4</v>
      </c>
      <c r="N1242" s="4">
        <v>2</v>
      </c>
      <c r="P1242" s="4">
        <v>2</v>
      </c>
      <c r="R1242" s="110" t="s">
        <v>1502</v>
      </c>
    </row>
    <row r="1243" spans="1:18">
      <c r="A1243" s="17">
        <v>800012</v>
      </c>
      <c r="B1243" s="4">
        <v>201</v>
      </c>
      <c r="C1243" s="4" t="s">
        <v>1503</v>
      </c>
      <c r="D1243" s="4" t="s">
        <v>1503</v>
      </c>
      <c r="F1243" s="4">
        <v>33</v>
      </c>
      <c r="G1243" s="4">
        <v>130</v>
      </c>
      <c r="J1243" s="4">
        <v>4</v>
      </c>
      <c r="N1243" s="4">
        <v>2</v>
      </c>
      <c r="P1243" s="4">
        <v>2</v>
      </c>
      <c r="R1243" s="110" t="s">
        <v>1504</v>
      </c>
    </row>
    <row r="1244" spans="1:18">
      <c r="A1244" s="17">
        <v>800013</v>
      </c>
      <c r="B1244" s="4">
        <v>201</v>
      </c>
      <c r="C1244" s="4" t="s">
        <v>156</v>
      </c>
      <c r="D1244" s="4" t="s">
        <v>156</v>
      </c>
      <c r="F1244" s="4">
        <v>33</v>
      </c>
      <c r="G1244" s="4">
        <v>140</v>
      </c>
      <c r="J1244" s="4">
        <v>4</v>
      </c>
      <c r="N1244" s="4">
        <v>2</v>
      </c>
      <c r="P1244" s="4">
        <v>2</v>
      </c>
      <c r="R1244" s="110" t="s">
        <v>1505</v>
      </c>
    </row>
    <row r="1245" spans="1:18">
      <c r="A1245" s="17">
        <v>800014</v>
      </c>
      <c r="B1245" s="4">
        <v>201</v>
      </c>
      <c r="C1245" s="4" t="s">
        <v>1506</v>
      </c>
      <c r="D1245" s="4" t="s">
        <v>1506</v>
      </c>
      <c r="F1245" s="4">
        <v>33</v>
      </c>
      <c r="G1245" s="4">
        <v>150</v>
      </c>
      <c r="J1245" s="4">
        <v>4</v>
      </c>
      <c r="N1245" s="4">
        <v>2</v>
      </c>
      <c r="P1245" s="4">
        <v>2</v>
      </c>
      <c r="R1245" s="110" t="s">
        <v>1507</v>
      </c>
    </row>
    <row r="1246" spans="1:18">
      <c r="A1246" s="17">
        <v>800015</v>
      </c>
      <c r="B1246" s="4">
        <v>201</v>
      </c>
      <c r="C1246" s="4" t="s">
        <v>1508</v>
      </c>
      <c r="D1246" s="4" t="s">
        <v>1508</v>
      </c>
      <c r="F1246" s="4">
        <v>33</v>
      </c>
      <c r="G1246" s="4">
        <v>155</v>
      </c>
      <c r="J1246" s="4">
        <v>4</v>
      </c>
      <c r="N1246" s="4">
        <v>2</v>
      </c>
      <c r="P1246" s="4">
        <v>2</v>
      </c>
      <c r="R1246" s="110" t="s">
        <v>1496</v>
      </c>
    </row>
    <row r="1247" spans="1:18">
      <c r="A1247" s="17">
        <v>800016</v>
      </c>
      <c r="B1247" s="4">
        <v>201</v>
      </c>
      <c r="C1247" s="4" t="s">
        <v>157</v>
      </c>
      <c r="D1247" s="4" t="s">
        <v>157</v>
      </c>
      <c r="F1247" s="4">
        <v>33</v>
      </c>
      <c r="G1247" s="4">
        <v>160</v>
      </c>
      <c r="J1247" s="4">
        <v>4</v>
      </c>
      <c r="N1247" s="4">
        <v>2</v>
      </c>
      <c r="P1247" s="4">
        <v>2</v>
      </c>
      <c r="R1247" s="110" t="s">
        <v>1505</v>
      </c>
    </row>
    <row r="1248" spans="1:18">
      <c r="A1248" s="17">
        <v>800017</v>
      </c>
      <c r="B1248" s="4">
        <v>201</v>
      </c>
      <c r="C1248" s="4" t="s">
        <v>1509</v>
      </c>
      <c r="D1248" s="4" t="s">
        <v>1509</v>
      </c>
      <c r="F1248" s="4">
        <v>33</v>
      </c>
      <c r="G1248" s="4">
        <v>165</v>
      </c>
      <c r="J1248" s="4">
        <v>4</v>
      </c>
      <c r="N1248" s="4">
        <v>2</v>
      </c>
      <c r="P1248" s="4">
        <v>2</v>
      </c>
      <c r="R1248" s="110" t="s">
        <v>1507</v>
      </c>
    </row>
    <row r="1249" spans="1:18">
      <c r="A1249" s="17">
        <v>800018</v>
      </c>
      <c r="B1249" s="4">
        <v>201</v>
      </c>
      <c r="C1249" s="4" t="s">
        <v>1510</v>
      </c>
      <c r="D1249" s="4" t="s">
        <v>1510</v>
      </c>
      <c r="F1249" s="4">
        <v>33</v>
      </c>
      <c r="G1249" s="4">
        <v>170</v>
      </c>
      <c r="J1249" s="4">
        <v>4</v>
      </c>
      <c r="N1249" s="4">
        <v>2</v>
      </c>
      <c r="P1249" s="4">
        <v>2</v>
      </c>
      <c r="R1249" s="110" t="s">
        <v>1496</v>
      </c>
    </row>
    <row r="1250" spans="1:18">
      <c r="A1250" s="17">
        <v>800019</v>
      </c>
      <c r="B1250" s="4">
        <v>201</v>
      </c>
      <c r="C1250" s="4" t="s">
        <v>1511</v>
      </c>
      <c r="D1250" s="4" t="s">
        <v>1511</v>
      </c>
      <c r="F1250" s="4">
        <v>33</v>
      </c>
      <c r="G1250" s="4">
        <v>175</v>
      </c>
      <c r="J1250" s="4">
        <v>4</v>
      </c>
      <c r="N1250" s="4">
        <v>2</v>
      </c>
      <c r="P1250" s="4">
        <v>2</v>
      </c>
      <c r="R1250" s="110" t="s">
        <v>1505</v>
      </c>
    </row>
    <row r="1251" spans="1:18">
      <c r="A1251" s="17">
        <v>800020</v>
      </c>
      <c r="B1251" s="4">
        <v>201</v>
      </c>
      <c r="C1251" s="4" t="s">
        <v>158</v>
      </c>
      <c r="D1251" s="4" t="s">
        <v>158</v>
      </c>
      <c r="F1251" s="4">
        <v>33</v>
      </c>
      <c r="G1251" s="4">
        <v>180</v>
      </c>
      <c r="J1251" s="4">
        <v>4</v>
      </c>
      <c r="N1251" s="4">
        <v>2</v>
      </c>
      <c r="P1251" s="4">
        <v>2</v>
      </c>
      <c r="R1251" s="110" t="s">
        <v>1507</v>
      </c>
    </row>
    <row r="1252" spans="1:18">
      <c r="A1252" s="17">
        <v>800021</v>
      </c>
      <c r="B1252" s="4">
        <v>201</v>
      </c>
      <c r="C1252" s="4" t="s">
        <v>1512</v>
      </c>
      <c r="D1252" s="4" t="s">
        <v>1512</v>
      </c>
      <c r="F1252" s="4">
        <v>33</v>
      </c>
      <c r="G1252" s="4">
        <v>185</v>
      </c>
      <c r="J1252" s="4">
        <v>4</v>
      </c>
      <c r="N1252" s="4">
        <v>2</v>
      </c>
      <c r="P1252" s="4">
        <v>2</v>
      </c>
      <c r="R1252" s="110" t="s">
        <v>1496</v>
      </c>
    </row>
    <row r="1253" spans="1:18">
      <c r="A1253" s="17">
        <v>800022</v>
      </c>
      <c r="B1253" s="4">
        <v>201</v>
      </c>
      <c r="C1253" s="4" t="s">
        <v>1513</v>
      </c>
      <c r="D1253" s="4" t="s">
        <v>1513</v>
      </c>
      <c r="F1253" s="4">
        <v>33</v>
      </c>
      <c r="G1253" s="4">
        <v>190</v>
      </c>
      <c r="J1253" s="4">
        <v>4</v>
      </c>
      <c r="N1253" s="4">
        <v>2</v>
      </c>
      <c r="P1253" s="4">
        <v>2</v>
      </c>
      <c r="R1253" s="110" t="s">
        <v>1505</v>
      </c>
    </row>
    <row r="1254" spans="1:18">
      <c r="A1254" s="17">
        <v>800023</v>
      </c>
      <c r="B1254" s="4">
        <v>201</v>
      </c>
      <c r="C1254" s="4" t="s">
        <v>1514</v>
      </c>
      <c r="D1254" s="4" t="s">
        <v>1514</v>
      </c>
      <c r="F1254" s="4">
        <v>33</v>
      </c>
      <c r="G1254" s="4">
        <v>195</v>
      </c>
      <c r="J1254" s="4">
        <v>4</v>
      </c>
      <c r="N1254" s="4">
        <v>2</v>
      </c>
      <c r="P1254" s="4">
        <v>2</v>
      </c>
      <c r="R1254" s="110" t="s">
        <v>1507</v>
      </c>
    </row>
    <row r="1255" spans="1:18">
      <c r="A1255" s="17">
        <v>800024</v>
      </c>
      <c r="B1255" s="4">
        <v>201</v>
      </c>
      <c r="C1255" s="4" t="s">
        <v>159</v>
      </c>
      <c r="D1255" s="4" t="s">
        <v>159</v>
      </c>
      <c r="F1255" s="4">
        <v>33</v>
      </c>
      <c r="G1255" s="4">
        <v>200</v>
      </c>
      <c r="J1255" s="4">
        <v>4</v>
      </c>
      <c r="N1255" s="4">
        <v>2</v>
      </c>
      <c r="P1255" s="4">
        <v>2</v>
      </c>
      <c r="R1255" s="110" t="s">
        <v>1515</v>
      </c>
    </row>
    <row r="1256" spans="1:18">
      <c r="A1256" s="17">
        <v>800025</v>
      </c>
      <c r="B1256" s="109">
        <v>4005</v>
      </c>
      <c r="C1256" s="109" t="s">
        <v>1516</v>
      </c>
      <c r="D1256" s="109" t="s">
        <v>1516</v>
      </c>
      <c r="E1256" s="60"/>
      <c r="F1256" s="60">
        <v>148</v>
      </c>
      <c r="G1256" s="60">
        <v>1</v>
      </c>
      <c r="H1256" s="60"/>
      <c r="I1256" s="60">
        <v>6</v>
      </c>
      <c r="J1256" s="4">
        <v>4</v>
      </c>
      <c r="N1256" s="4">
        <v>2</v>
      </c>
      <c r="P1256" s="4">
        <v>2</v>
      </c>
      <c r="R1256" s="110" t="s">
        <v>633</v>
      </c>
    </row>
    <row r="1257" spans="1:18">
      <c r="A1257" s="17">
        <v>800026</v>
      </c>
      <c r="B1257" s="17">
        <v>4005</v>
      </c>
      <c r="C1257" s="60" t="s">
        <v>1517</v>
      </c>
      <c r="D1257" s="60" t="s">
        <v>1517</v>
      </c>
      <c r="E1257" s="60"/>
      <c r="F1257" s="60">
        <v>148</v>
      </c>
      <c r="G1257" s="60">
        <v>3</v>
      </c>
      <c r="H1257" s="60"/>
      <c r="I1257" s="60">
        <v>6</v>
      </c>
      <c r="J1257" s="4">
        <v>4</v>
      </c>
      <c r="N1257" s="4">
        <v>2</v>
      </c>
      <c r="P1257" s="4">
        <v>2</v>
      </c>
      <c r="R1257" s="110" t="s">
        <v>1518</v>
      </c>
    </row>
    <row r="1258" spans="1:18">
      <c r="A1258" s="17">
        <v>800027</v>
      </c>
      <c r="B1258" s="17">
        <v>4005</v>
      </c>
      <c r="C1258" s="60" t="s">
        <v>1519</v>
      </c>
      <c r="D1258" s="60" t="s">
        <v>1519</v>
      </c>
      <c r="E1258" s="60"/>
      <c r="F1258" s="60">
        <v>148</v>
      </c>
      <c r="G1258" s="60">
        <v>5</v>
      </c>
      <c r="H1258" s="60"/>
      <c r="I1258" s="60">
        <v>6</v>
      </c>
      <c r="J1258" s="4">
        <v>4</v>
      </c>
      <c r="N1258" s="4">
        <v>2</v>
      </c>
      <c r="P1258" s="4">
        <v>2</v>
      </c>
      <c r="R1258" s="110" t="s">
        <v>658</v>
      </c>
    </row>
    <row r="1259" spans="1:18">
      <c r="A1259" s="17">
        <v>800028</v>
      </c>
      <c r="B1259" s="17">
        <v>416</v>
      </c>
      <c r="C1259" s="60" t="s">
        <v>1520</v>
      </c>
      <c r="D1259" s="60" t="s">
        <v>1520</v>
      </c>
      <c r="E1259" s="60"/>
      <c r="F1259" s="60">
        <v>44</v>
      </c>
      <c r="G1259" s="60">
        <v>1</v>
      </c>
      <c r="H1259" s="60"/>
      <c r="I1259" s="60">
        <v>8</v>
      </c>
      <c r="J1259" s="4">
        <v>4</v>
      </c>
      <c r="N1259" s="4">
        <v>2</v>
      </c>
      <c r="P1259" s="4">
        <v>2</v>
      </c>
      <c r="R1259" s="111" t="s">
        <v>1375</v>
      </c>
    </row>
    <row r="1260" spans="1:18">
      <c r="A1260" s="17">
        <v>800029</v>
      </c>
      <c r="B1260" s="17">
        <v>416</v>
      </c>
      <c r="C1260" s="60" t="s">
        <v>1521</v>
      </c>
      <c r="D1260" s="60" t="s">
        <v>1521</v>
      </c>
      <c r="E1260" s="60"/>
      <c r="F1260" s="60">
        <v>44</v>
      </c>
      <c r="G1260" s="60">
        <v>3</v>
      </c>
      <c r="H1260" s="60"/>
      <c r="I1260" s="60">
        <v>8</v>
      </c>
      <c r="J1260" s="4">
        <v>4</v>
      </c>
      <c r="N1260" s="4">
        <v>2</v>
      </c>
      <c r="P1260" s="4">
        <v>2</v>
      </c>
      <c r="R1260" s="111" t="s">
        <v>1522</v>
      </c>
    </row>
    <row r="1261" spans="1:18">
      <c r="A1261" s="17">
        <v>800030</v>
      </c>
      <c r="B1261" s="17">
        <v>416</v>
      </c>
      <c r="C1261" s="60" t="s">
        <v>1523</v>
      </c>
      <c r="D1261" s="60" t="s">
        <v>1523</v>
      </c>
      <c r="E1261" s="60"/>
      <c r="F1261" s="60">
        <v>44</v>
      </c>
      <c r="G1261" s="60">
        <v>5</v>
      </c>
      <c r="H1261" s="60"/>
      <c r="I1261" s="60">
        <v>8</v>
      </c>
      <c r="J1261" s="4">
        <v>4</v>
      </c>
      <c r="N1261" s="4">
        <v>2</v>
      </c>
      <c r="P1261" s="4">
        <v>2</v>
      </c>
      <c r="R1261" s="111" t="s">
        <v>1524</v>
      </c>
    </row>
    <row r="1262" spans="1:18">
      <c r="A1262" s="17">
        <v>800031</v>
      </c>
      <c r="B1262" s="60">
        <v>601</v>
      </c>
      <c r="C1262" s="60" t="s">
        <v>1525</v>
      </c>
      <c r="D1262" s="60" t="s">
        <v>1525</v>
      </c>
      <c r="E1262" s="60"/>
      <c r="F1262" s="60">
        <v>49</v>
      </c>
      <c r="G1262" s="60">
        <v>1</v>
      </c>
      <c r="H1262" s="60"/>
      <c r="I1262" s="60">
        <v>5</v>
      </c>
      <c r="J1262" s="4">
        <v>4</v>
      </c>
      <c r="N1262" s="4">
        <v>2</v>
      </c>
      <c r="P1262" s="4">
        <v>2</v>
      </c>
      <c r="R1262" s="110" t="s">
        <v>1526</v>
      </c>
    </row>
    <row r="1263" spans="1:18">
      <c r="A1263" s="17">
        <v>800032</v>
      </c>
      <c r="B1263" s="60">
        <v>601</v>
      </c>
      <c r="C1263" s="60" t="s">
        <v>1527</v>
      </c>
      <c r="D1263" s="60" t="s">
        <v>1527</v>
      </c>
      <c r="E1263" s="60"/>
      <c r="F1263" s="60">
        <v>49</v>
      </c>
      <c r="G1263" s="60">
        <v>2</v>
      </c>
      <c r="H1263" s="60"/>
      <c r="I1263" s="60">
        <v>5</v>
      </c>
      <c r="J1263" s="4">
        <v>4</v>
      </c>
      <c r="N1263" s="4">
        <v>2</v>
      </c>
      <c r="P1263" s="4">
        <v>2</v>
      </c>
      <c r="R1263" s="110" t="s">
        <v>1528</v>
      </c>
    </row>
    <row r="1264" spans="1:18">
      <c r="A1264" s="17">
        <v>800033</v>
      </c>
      <c r="B1264" s="60">
        <v>601</v>
      </c>
      <c r="C1264" s="60" t="s">
        <v>1529</v>
      </c>
      <c r="D1264" s="60" t="s">
        <v>1529</v>
      </c>
      <c r="E1264" s="60"/>
      <c r="F1264" s="60">
        <v>49</v>
      </c>
      <c r="G1264" s="60">
        <v>3</v>
      </c>
      <c r="H1264" s="60"/>
      <c r="I1264" s="60">
        <v>5</v>
      </c>
      <c r="J1264" s="4">
        <v>4</v>
      </c>
      <c r="N1264" s="4">
        <v>2</v>
      </c>
      <c r="P1264" s="4">
        <v>2</v>
      </c>
      <c r="R1264" s="110" t="s">
        <v>1497</v>
      </c>
    </row>
    <row r="1265" spans="1:18">
      <c r="A1265" s="17">
        <v>800034</v>
      </c>
      <c r="B1265" s="17">
        <v>4007</v>
      </c>
      <c r="C1265" s="60" t="s">
        <v>1530</v>
      </c>
      <c r="D1265" s="60" t="s">
        <v>1530</v>
      </c>
      <c r="E1265" s="60"/>
      <c r="F1265" s="60">
        <v>49</v>
      </c>
      <c r="G1265" s="60">
        <v>4</v>
      </c>
      <c r="H1265" s="60"/>
      <c r="I1265" s="60"/>
      <c r="J1265" s="4">
        <v>4</v>
      </c>
      <c r="N1265" s="4">
        <v>2</v>
      </c>
      <c r="P1265" s="4">
        <v>2</v>
      </c>
      <c r="R1265" s="110" t="s">
        <v>1531</v>
      </c>
    </row>
    <row r="1266" spans="1:18">
      <c r="A1266" s="17">
        <v>800035</v>
      </c>
      <c r="B1266" s="17">
        <v>4007</v>
      </c>
      <c r="C1266" s="60" t="s">
        <v>1532</v>
      </c>
      <c r="D1266" s="60" t="s">
        <v>1532</v>
      </c>
      <c r="E1266" s="60"/>
      <c r="F1266" s="60">
        <v>49</v>
      </c>
      <c r="G1266" s="60">
        <v>20</v>
      </c>
      <c r="H1266" s="60"/>
      <c r="I1266" s="60"/>
      <c r="J1266" s="4">
        <v>4</v>
      </c>
      <c r="N1266" s="4">
        <v>2</v>
      </c>
      <c r="P1266" s="4">
        <v>2</v>
      </c>
      <c r="R1266" s="110" t="s">
        <v>1533</v>
      </c>
    </row>
    <row r="1267" spans="1:18">
      <c r="A1267" s="17">
        <v>800036</v>
      </c>
      <c r="B1267" s="17">
        <v>4007</v>
      </c>
      <c r="C1267" s="60" t="s">
        <v>1534</v>
      </c>
      <c r="D1267" s="60" t="s">
        <v>1534</v>
      </c>
      <c r="E1267" s="60"/>
      <c r="F1267" s="60">
        <v>49</v>
      </c>
      <c r="G1267" s="60">
        <v>100</v>
      </c>
      <c r="H1267" s="60"/>
      <c r="I1267" s="60"/>
      <c r="J1267" s="4">
        <v>4</v>
      </c>
      <c r="N1267" s="4">
        <v>2</v>
      </c>
      <c r="P1267" s="4">
        <v>2</v>
      </c>
      <c r="R1267" s="110" t="s">
        <v>1535</v>
      </c>
    </row>
    <row r="1268" spans="1:18">
      <c r="A1268" s="17">
        <v>800037</v>
      </c>
      <c r="B1268" s="109">
        <v>4008</v>
      </c>
      <c r="C1268" s="109" t="s">
        <v>1536</v>
      </c>
      <c r="D1268" s="109" t="s">
        <v>1536</v>
      </c>
      <c r="E1268" s="60"/>
      <c r="F1268" s="60">
        <v>89</v>
      </c>
      <c r="G1268" s="60">
        <v>1</v>
      </c>
      <c r="H1268" s="60"/>
      <c r="I1268" s="60">
        <v>10</v>
      </c>
      <c r="J1268" s="4">
        <v>4</v>
      </c>
      <c r="N1268" s="4">
        <v>2</v>
      </c>
      <c r="P1268" s="4">
        <v>2</v>
      </c>
      <c r="R1268" s="110" t="s">
        <v>1537</v>
      </c>
    </row>
    <row r="1269" spans="1:18">
      <c r="A1269" s="17">
        <v>800038</v>
      </c>
      <c r="B1269" s="17">
        <v>4008</v>
      </c>
      <c r="C1269" s="60" t="s">
        <v>1538</v>
      </c>
      <c r="D1269" s="60" t="s">
        <v>1538</v>
      </c>
      <c r="E1269" s="60"/>
      <c r="F1269" s="60">
        <v>89</v>
      </c>
      <c r="G1269" s="60">
        <v>2</v>
      </c>
      <c r="H1269" s="60"/>
      <c r="I1269" s="60">
        <v>10</v>
      </c>
      <c r="J1269" s="4">
        <v>4</v>
      </c>
      <c r="N1269" s="4">
        <v>2</v>
      </c>
      <c r="P1269" s="4">
        <v>2</v>
      </c>
      <c r="R1269" s="110" t="s">
        <v>1539</v>
      </c>
    </row>
    <row r="1270" spans="1:18">
      <c r="A1270" s="17">
        <v>800039</v>
      </c>
      <c r="B1270" s="17">
        <v>4008</v>
      </c>
      <c r="C1270" s="60" t="s">
        <v>1540</v>
      </c>
      <c r="D1270" s="60" t="s">
        <v>1540</v>
      </c>
      <c r="E1270" s="60"/>
      <c r="F1270" s="60">
        <v>89</v>
      </c>
      <c r="G1270" s="60">
        <v>3</v>
      </c>
      <c r="H1270" s="60"/>
      <c r="I1270" s="60">
        <v>10</v>
      </c>
      <c r="J1270" s="4">
        <v>4</v>
      </c>
      <c r="N1270" s="4">
        <v>2</v>
      </c>
      <c r="P1270" s="4">
        <v>2</v>
      </c>
      <c r="R1270" s="110" t="s">
        <v>1541</v>
      </c>
    </row>
    <row r="1271" spans="1:18">
      <c r="A1271" s="17">
        <v>800040</v>
      </c>
      <c r="B1271" s="109">
        <v>4006</v>
      </c>
      <c r="C1271" s="109" t="s">
        <v>1542</v>
      </c>
      <c r="D1271" s="109" t="s">
        <v>1542</v>
      </c>
      <c r="E1271" s="60"/>
      <c r="F1271" s="60">
        <v>49</v>
      </c>
      <c r="G1271" s="60">
        <v>1</v>
      </c>
      <c r="H1271" s="60"/>
      <c r="I1271" s="60"/>
      <c r="J1271" s="4">
        <v>4</v>
      </c>
      <c r="N1271" s="4">
        <v>2</v>
      </c>
      <c r="P1271" s="4">
        <v>2</v>
      </c>
      <c r="R1271" s="110" t="s">
        <v>1543</v>
      </c>
    </row>
    <row r="1272" spans="1:18">
      <c r="A1272" s="17">
        <v>800041</v>
      </c>
      <c r="B1272" s="17">
        <v>4006</v>
      </c>
      <c r="C1272" s="60" t="s">
        <v>1544</v>
      </c>
      <c r="D1272" s="60" t="s">
        <v>1544</v>
      </c>
      <c r="E1272" s="60"/>
      <c r="F1272" s="60">
        <v>49</v>
      </c>
      <c r="G1272" s="60">
        <v>2</v>
      </c>
      <c r="H1272" s="60"/>
      <c r="I1272" s="60"/>
      <c r="J1272" s="4">
        <v>4</v>
      </c>
      <c r="N1272" s="4">
        <v>2</v>
      </c>
      <c r="P1272" s="4">
        <v>2</v>
      </c>
      <c r="R1272" s="110" t="s">
        <v>1545</v>
      </c>
    </row>
    <row r="1273" spans="1:18">
      <c r="A1273" s="17">
        <v>800042</v>
      </c>
      <c r="B1273" s="17">
        <v>4006</v>
      </c>
      <c r="C1273" s="60" t="s">
        <v>1546</v>
      </c>
      <c r="D1273" s="60" t="s">
        <v>1546</v>
      </c>
      <c r="E1273" s="60"/>
      <c r="F1273" s="60">
        <v>49</v>
      </c>
      <c r="G1273" s="60">
        <v>3</v>
      </c>
      <c r="H1273" s="60"/>
      <c r="I1273" s="60"/>
      <c r="J1273" s="4">
        <v>4</v>
      </c>
      <c r="N1273" s="4">
        <v>2</v>
      </c>
      <c r="P1273" s="4">
        <v>2</v>
      </c>
      <c r="R1273" s="110" t="s">
        <v>1547</v>
      </c>
    </row>
    <row r="1274" spans="1:18">
      <c r="A1274" s="17">
        <v>800043</v>
      </c>
      <c r="B1274" s="109">
        <v>507</v>
      </c>
      <c r="C1274" s="109" t="s">
        <v>1548</v>
      </c>
      <c r="D1274" s="109" t="s">
        <v>1548</v>
      </c>
      <c r="E1274" s="60"/>
      <c r="F1274" s="60">
        <v>52</v>
      </c>
      <c r="G1274" s="60">
        <v>1</v>
      </c>
      <c r="H1274" s="60"/>
      <c r="I1274" s="60">
        <v>5</v>
      </c>
      <c r="J1274" s="4">
        <v>4</v>
      </c>
      <c r="N1274" s="4">
        <v>2</v>
      </c>
      <c r="P1274" s="4">
        <v>2</v>
      </c>
      <c r="R1274" s="110" t="s">
        <v>1549</v>
      </c>
    </row>
    <row r="1275" spans="1:18">
      <c r="A1275" s="17">
        <v>800044</v>
      </c>
      <c r="B1275" s="17">
        <v>507</v>
      </c>
      <c r="C1275" s="60" t="s">
        <v>1550</v>
      </c>
      <c r="D1275" s="60" t="s">
        <v>1550</v>
      </c>
      <c r="E1275" s="60"/>
      <c r="F1275" s="60">
        <v>52</v>
      </c>
      <c r="G1275" s="60">
        <v>3</v>
      </c>
      <c r="H1275" s="60"/>
      <c r="I1275" s="60">
        <v>5</v>
      </c>
      <c r="J1275" s="4">
        <v>4</v>
      </c>
      <c r="N1275" s="4">
        <v>2</v>
      </c>
      <c r="P1275" s="4">
        <v>2</v>
      </c>
      <c r="R1275" s="110" t="s">
        <v>1551</v>
      </c>
    </row>
    <row r="1276" spans="1:18">
      <c r="A1276" s="17">
        <v>800045</v>
      </c>
      <c r="B1276" s="17">
        <v>507</v>
      </c>
      <c r="C1276" s="60" t="s">
        <v>1552</v>
      </c>
      <c r="D1276" s="60" t="s">
        <v>1552</v>
      </c>
      <c r="E1276" s="60"/>
      <c r="F1276" s="60">
        <v>52</v>
      </c>
      <c r="G1276" s="60">
        <v>5</v>
      </c>
      <c r="H1276" s="60"/>
      <c r="I1276" s="60">
        <v>5</v>
      </c>
      <c r="J1276" s="4">
        <v>4</v>
      </c>
      <c r="N1276" s="4">
        <v>2</v>
      </c>
      <c r="P1276" s="4">
        <v>2</v>
      </c>
      <c r="R1276" s="110" t="s">
        <v>1553</v>
      </c>
    </row>
    <row r="1277" spans="1:18">
      <c r="A1277" s="17">
        <v>800046</v>
      </c>
      <c r="B1277" s="60">
        <v>701</v>
      </c>
      <c r="C1277" s="60" t="s">
        <v>1554</v>
      </c>
      <c r="D1277" s="60" t="s">
        <v>1554</v>
      </c>
      <c r="E1277" s="60"/>
      <c r="F1277" s="60">
        <v>44</v>
      </c>
      <c r="G1277" s="60">
        <v>1</v>
      </c>
      <c r="H1277" s="60"/>
      <c r="I1277" s="60">
        <v>3</v>
      </c>
      <c r="J1277" s="4">
        <v>4</v>
      </c>
      <c r="N1277" s="4">
        <v>2</v>
      </c>
      <c r="P1277" s="4">
        <v>2</v>
      </c>
      <c r="R1277" s="110" t="s">
        <v>1555</v>
      </c>
    </row>
    <row r="1278" spans="1:18">
      <c r="A1278" s="17">
        <v>800047</v>
      </c>
      <c r="B1278" s="60">
        <v>701</v>
      </c>
      <c r="C1278" s="60" t="s">
        <v>1556</v>
      </c>
      <c r="D1278" s="60" t="s">
        <v>1556</v>
      </c>
      <c r="E1278" s="60"/>
      <c r="F1278" s="60">
        <v>44</v>
      </c>
      <c r="G1278" s="60">
        <v>3</v>
      </c>
      <c r="H1278" s="60"/>
      <c r="I1278" s="60">
        <v>3</v>
      </c>
      <c r="J1278" s="4">
        <v>4</v>
      </c>
      <c r="N1278" s="4">
        <v>2</v>
      </c>
      <c r="P1278" s="4">
        <v>2</v>
      </c>
      <c r="R1278" s="110" t="s">
        <v>1555</v>
      </c>
    </row>
    <row r="1279" spans="1:18">
      <c r="A1279" s="17">
        <v>800048</v>
      </c>
      <c r="B1279" s="60">
        <v>701</v>
      </c>
      <c r="C1279" s="60" t="s">
        <v>1557</v>
      </c>
      <c r="D1279" s="60" t="s">
        <v>1557</v>
      </c>
      <c r="E1279" s="60"/>
      <c r="F1279" s="60">
        <v>44</v>
      </c>
      <c r="G1279" s="60">
        <v>5</v>
      </c>
      <c r="H1279" s="60"/>
      <c r="I1279" s="60">
        <v>3</v>
      </c>
      <c r="J1279" s="4">
        <v>4</v>
      </c>
      <c r="N1279" s="4">
        <v>2</v>
      </c>
      <c r="P1279" s="4">
        <v>2</v>
      </c>
      <c r="R1279" s="110" t="s">
        <v>1555</v>
      </c>
    </row>
    <row r="1280" spans="1:18">
      <c r="A1280" s="17">
        <v>800049</v>
      </c>
      <c r="B1280" s="109">
        <v>813</v>
      </c>
      <c r="C1280" s="109" t="s">
        <v>1558</v>
      </c>
      <c r="D1280" s="109" t="s">
        <v>1558</v>
      </c>
      <c r="E1280" s="60"/>
      <c r="F1280" s="60">
        <v>62</v>
      </c>
      <c r="G1280" s="60">
        <v>1</v>
      </c>
      <c r="H1280" s="60"/>
      <c r="I1280" s="60">
        <v>4</v>
      </c>
      <c r="J1280" s="4">
        <v>4</v>
      </c>
      <c r="N1280" s="4">
        <v>2</v>
      </c>
      <c r="P1280" s="4">
        <v>2</v>
      </c>
      <c r="R1280" s="110" t="s">
        <v>1559</v>
      </c>
    </row>
    <row r="1281" spans="1:18">
      <c r="A1281" s="17">
        <v>800050</v>
      </c>
      <c r="B1281" s="17">
        <v>813</v>
      </c>
      <c r="C1281" s="60" t="s">
        <v>1560</v>
      </c>
      <c r="D1281" s="60" t="s">
        <v>1560</v>
      </c>
      <c r="E1281" s="60"/>
      <c r="F1281" s="60">
        <v>62</v>
      </c>
      <c r="G1281" s="60">
        <v>2</v>
      </c>
      <c r="H1281" s="60"/>
      <c r="I1281" s="60">
        <v>4</v>
      </c>
      <c r="J1281" s="4">
        <v>4</v>
      </c>
      <c r="N1281" s="4">
        <v>2</v>
      </c>
      <c r="P1281" s="4">
        <v>2</v>
      </c>
      <c r="R1281" s="110" t="s">
        <v>1561</v>
      </c>
    </row>
    <row r="1282" spans="1:18">
      <c r="A1282" s="17">
        <v>800051</v>
      </c>
      <c r="B1282" s="17">
        <v>813</v>
      </c>
      <c r="C1282" s="60" t="s">
        <v>1562</v>
      </c>
      <c r="D1282" s="60" t="s">
        <v>1562</v>
      </c>
      <c r="E1282" s="60"/>
      <c r="F1282" s="60">
        <v>62</v>
      </c>
      <c r="G1282" s="60">
        <v>3</v>
      </c>
      <c r="H1282" s="60"/>
      <c r="I1282" s="60">
        <v>4</v>
      </c>
      <c r="J1282" s="4">
        <v>4</v>
      </c>
      <c r="N1282" s="4">
        <v>2</v>
      </c>
      <c r="P1282" s="4">
        <v>2</v>
      </c>
      <c r="R1282" s="110" t="s">
        <v>1563</v>
      </c>
    </row>
    <row r="1283" spans="1:18">
      <c r="A1283" s="17">
        <v>800052</v>
      </c>
      <c r="B1283" s="109">
        <v>4023</v>
      </c>
      <c r="C1283" s="109" t="s">
        <v>1564</v>
      </c>
      <c r="D1283" s="109" t="s">
        <v>1565</v>
      </c>
      <c r="E1283" s="60"/>
      <c r="F1283" s="60">
        <v>44</v>
      </c>
      <c r="G1283" s="60">
        <v>1</v>
      </c>
      <c r="H1283" s="60"/>
      <c r="I1283" s="60">
        <v>11</v>
      </c>
      <c r="J1283" s="4">
        <v>4</v>
      </c>
      <c r="N1283" s="4">
        <v>2</v>
      </c>
      <c r="P1283" s="4">
        <v>2</v>
      </c>
      <c r="R1283" s="110" t="s">
        <v>1566</v>
      </c>
    </row>
    <row r="1284" spans="1:18">
      <c r="A1284" s="17">
        <v>800053</v>
      </c>
      <c r="B1284" s="17">
        <v>4023</v>
      </c>
      <c r="C1284" s="60" t="s">
        <v>1567</v>
      </c>
      <c r="D1284" s="60" t="s">
        <v>1568</v>
      </c>
      <c r="E1284" s="60"/>
      <c r="F1284" s="60">
        <v>44</v>
      </c>
      <c r="G1284" s="60">
        <v>2</v>
      </c>
      <c r="H1284" s="60"/>
      <c r="I1284" s="60">
        <v>11</v>
      </c>
      <c r="J1284" s="4">
        <v>4</v>
      </c>
      <c r="N1284" s="4">
        <v>2</v>
      </c>
      <c r="P1284" s="4">
        <v>2</v>
      </c>
      <c r="R1284" s="110" t="s">
        <v>1566</v>
      </c>
    </row>
    <row r="1285" spans="1:18">
      <c r="A1285" s="17">
        <v>800054</v>
      </c>
      <c r="B1285" s="17">
        <v>4023</v>
      </c>
      <c r="C1285" s="60" t="s">
        <v>1569</v>
      </c>
      <c r="D1285" s="60" t="s">
        <v>1570</v>
      </c>
      <c r="E1285" s="60"/>
      <c r="F1285" s="60">
        <v>44</v>
      </c>
      <c r="G1285" s="60">
        <v>3</v>
      </c>
      <c r="H1285" s="60"/>
      <c r="I1285" s="60">
        <v>11</v>
      </c>
      <c r="J1285" s="4">
        <v>4</v>
      </c>
      <c r="N1285" s="4">
        <v>2</v>
      </c>
      <c r="P1285" s="4">
        <v>2</v>
      </c>
      <c r="R1285" s="110" t="s">
        <v>1566</v>
      </c>
    </row>
    <row r="1286" spans="1:18">
      <c r="A1286" s="17">
        <v>800055</v>
      </c>
      <c r="B1286" s="60">
        <v>803</v>
      </c>
      <c r="C1286" s="60" t="s">
        <v>1571</v>
      </c>
      <c r="D1286" s="60" t="s">
        <v>1571</v>
      </c>
      <c r="E1286" s="60"/>
      <c r="F1286" s="60">
        <v>48</v>
      </c>
      <c r="G1286" s="60">
        <v>1</v>
      </c>
      <c r="H1286" s="60"/>
      <c r="I1286" s="60">
        <v>5</v>
      </c>
      <c r="J1286" s="4">
        <v>4</v>
      </c>
      <c r="N1286" s="4">
        <v>2</v>
      </c>
      <c r="P1286" s="4">
        <v>2</v>
      </c>
      <c r="R1286" s="110" t="s">
        <v>638</v>
      </c>
    </row>
    <row r="1287" spans="1:18">
      <c r="A1287" s="17">
        <v>800056</v>
      </c>
      <c r="B1287" s="60">
        <v>803</v>
      </c>
      <c r="C1287" s="60" t="s">
        <v>1572</v>
      </c>
      <c r="D1287" s="60" t="s">
        <v>1572</v>
      </c>
      <c r="E1287" s="60"/>
      <c r="F1287" s="60">
        <v>48</v>
      </c>
      <c r="G1287" s="60">
        <v>1</v>
      </c>
      <c r="H1287" s="60"/>
      <c r="I1287" s="60">
        <v>8</v>
      </c>
      <c r="J1287" s="4">
        <v>4</v>
      </c>
      <c r="N1287" s="4">
        <v>2</v>
      </c>
      <c r="P1287" s="4">
        <v>2</v>
      </c>
      <c r="R1287" s="110" t="s">
        <v>1573</v>
      </c>
    </row>
    <row r="1288" spans="1:18">
      <c r="A1288" s="17">
        <v>800057</v>
      </c>
      <c r="B1288" s="60">
        <v>803</v>
      </c>
      <c r="C1288" s="60" t="s">
        <v>1574</v>
      </c>
      <c r="D1288" s="60" t="s">
        <v>1574</v>
      </c>
      <c r="E1288" s="60"/>
      <c r="F1288" s="60">
        <v>48</v>
      </c>
      <c r="G1288" s="60">
        <v>1</v>
      </c>
      <c r="H1288" s="60"/>
      <c r="I1288" s="60">
        <v>10</v>
      </c>
      <c r="J1288" s="4">
        <v>4</v>
      </c>
      <c r="N1288" s="4">
        <v>2</v>
      </c>
      <c r="P1288" s="4">
        <v>2</v>
      </c>
      <c r="R1288" s="110" t="s">
        <v>1575</v>
      </c>
    </row>
    <row r="1289" spans="1:18">
      <c r="A1289" s="17">
        <v>800058</v>
      </c>
      <c r="B1289" s="17">
        <v>4009</v>
      </c>
      <c r="C1289" s="60" t="s">
        <v>1576</v>
      </c>
      <c r="D1289" s="60" t="s">
        <v>1576</v>
      </c>
      <c r="E1289" s="60"/>
      <c r="F1289" s="60">
        <v>46</v>
      </c>
      <c r="G1289" s="60">
        <v>1</v>
      </c>
      <c r="H1289" s="60"/>
      <c r="I1289" s="60">
        <v>5</v>
      </c>
      <c r="J1289" s="4">
        <v>4</v>
      </c>
      <c r="N1289" s="4">
        <v>2</v>
      </c>
      <c r="P1289" s="4">
        <v>2</v>
      </c>
      <c r="R1289" s="110" t="s">
        <v>1577</v>
      </c>
    </row>
    <row r="1290" spans="1:18">
      <c r="A1290" s="17">
        <v>800059</v>
      </c>
      <c r="B1290" s="17">
        <v>4009</v>
      </c>
      <c r="C1290" s="60" t="s">
        <v>1578</v>
      </c>
      <c r="D1290" s="60" t="s">
        <v>1578</v>
      </c>
      <c r="E1290" s="60"/>
      <c r="F1290" s="60">
        <v>46</v>
      </c>
      <c r="G1290" s="60">
        <v>2</v>
      </c>
      <c r="H1290" s="60"/>
      <c r="I1290" s="60">
        <v>5</v>
      </c>
      <c r="J1290" s="4">
        <v>4</v>
      </c>
      <c r="N1290" s="4">
        <v>2</v>
      </c>
      <c r="P1290" s="4">
        <v>2</v>
      </c>
      <c r="R1290" s="110" t="s">
        <v>1577</v>
      </c>
    </row>
    <row r="1291" spans="1:18">
      <c r="A1291" s="17">
        <v>800060</v>
      </c>
      <c r="B1291" s="17">
        <v>4009</v>
      </c>
      <c r="C1291" s="60" t="s">
        <v>1579</v>
      </c>
      <c r="D1291" s="60" t="s">
        <v>1579</v>
      </c>
      <c r="E1291" s="60"/>
      <c r="F1291" s="60">
        <v>46</v>
      </c>
      <c r="G1291" s="60">
        <v>3</v>
      </c>
      <c r="H1291" s="60"/>
      <c r="I1291" s="60">
        <v>5</v>
      </c>
      <c r="J1291" s="4">
        <v>4</v>
      </c>
      <c r="N1291" s="4">
        <v>2</v>
      </c>
      <c r="P1291" s="4">
        <v>2</v>
      </c>
      <c r="R1291" s="110" t="s">
        <v>1577</v>
      </c>
    </row>
    <row r="1292" spans="1:18">
      <c r="A1292" s="17">
        <v>800061</v>
      </c>
      <c r="B1292" s="60">
        <v>1001</v>
      </c>
      <c r="C1292" s="60" t="s">
        <v>1580</v>
      </c>
      <c r="D1292" s="60" t="s">
        <v>1580</v>
      </c>
      <c r="E1292" s="60"/>
      <c r="F1292" s="60">
        <v>33</v>
      </c>
      <c r="G1292" s="60">
        <v>100</v>
      </c>
      <c r="H1292" s="60"/>
      <c r="I1292" s="60"/>
      <c r="J1292" s="4">
        <v>4</v>
      </c>
      <c r="N1292" s="4">
        <v>2</v>
      </c>
      <c r="P1292" s="4">
        <v>2</v>
      </c>
      <c r="R1292" s="110" t="s">
        <v>1581</v>
      </c>
    </row>
    <row r="1293" spans="1:18">
      <c r="A1293" s="17">
        <v>800062</v>
      </c>
      <c r="B1293" s="60">
        <v>1001</v>
      </c>
      <c r="C1293" s="60" t="s">
        <v>1582</v>
      </c>
      <c r="D1293" s="60" t="s">
        <v>1582</v>
      </c>
      <c r="E1293" s="60"/>
      <c r="F1293" s="60">
        <v>33</v>
      </c>
      <c r="G1293" s="60">
        <v>300</v>
      </c>
      <c r="H1293" s="60"/>
      <c r="I1293" s="60"/>
      <c r="J1293" s="4">
        <v>4</v>
      </c>
      <c r="N1293" s="4">
        <v>2</v>
      </c>
      <c r="P1293" s="4">
        <v>2</v>
      </c>
      <c r="R1293" s="110" t="s">
        <v>1583</v>
      </c>
    </row>
    <row r="1294" spans="1:18">
      <c r="A1294" s="17">
        <v>800063</v>
      </c>
      <c r="B1294" s="60">
        <v>1001</v>
      </c>
      <c r="C1294" s="60" t="s">
        <v>1584</v>
      </c>
      <c r="D1294" s="60" t="s">
        <v>1584</v>
      </c>
      <c r="E1294" s="60"/>
      <c r="F1294" s="60">
        <v>33</v>
      </c>
      <c r="G1294" s="60">
        <v>500</v>
      </c>
      <c r="H1294" s="60"/>
      <c r="I1294" s="60"/>
      <c r="J1294" s="4">
        <v>4</v>
      </c>
      <c r="N1294" s="4">
        <v>2</v>
      </c>
      <c r="P1294" s="4">
        <v>2</v>
      </c>
      <c r="R1294" s="110" t="s">
        <v>1585</v>
      </c>
    </row>
    <row r="1295" spans="1:18">
      <c r="A1295" s="17">
        <v>800064</v>
      </c>
      <c r="B1295" s="60">
        <v>3101</v>
      </c>
      <c r="C1295" s="60" t="s">
        <v>1586</v>
      </c>
      <c r="D1295" s="60" t="s">
        <v>1586</v>
      </c>
      <c r="E1295" s="60"/>
      <c r="F1295" s="60">
        <v>9</v>
      </c>
      <c r="G1295" s="60">
        <v>15</v>
      </c>
      <c r="H1295" s="60"/>
      <c r="I1295" s="60"/>
      <c r="J1295" s="4">
        <v>4</v>
      </c>
      <c r="N1295" s="4">
        <v>2</v>
      </c>
      <c r="P1295" s="4">
        <v>2</v>
      </c>
      <c r="R1295" s="111" t="s">
        <v>1587</v>
      </c>
    </row>
    <row r="1296" spans="1:18">
      <c r="A1296" s="17">
        <v>800065</v>
      </c>
      <c r="B1296" s="60">
        <v>3101</v>
      </c>
      <c r="C1296" s="60" t="s">
        <v>1588</v>
      </c>
      <c r="D1296" s="60" t="s">
        <v>1588</v>
      </c>
      <c r="E1296" s="60"/>
      <c r="F1296" s="60">
        <v>9</v>
      </c>
      <c r="G1296" s="60">
        <v>40</v>
      </c>
      <c r="H1296" s="60"/>
      <c r="I1296" s="60"/>
      <c r="J1296" s="4">
        <v>4</v>
      </c>
      <c r="N1296" s="4">
        <v>2</v>
      </c>
      <c r="P1296" s="4">
        <v>2</v>
      </c>
      <c r="R1296" s="111" t="s">
        <v>1589</v>
      </c>
    </row>
    <row r="1297" spans="1:18">
      <c r="A1297" s="17">
        <v>800066</v>
      </c>
      <c r="B1297" s="60">
        <v>3101</v>
      </c>
      <c r="C1297" s="60" t="s">
        <v>1590</v>
      </c>
      <c r="D1297" s="60" t="s">
        <v>1590</v>
      </c>
      <c r="E1297" s="60"/>
      <c r="F1297" s="60">
        <v>9</v>
      </c>
      <c r="G1297" s="60">
        <v>100</v>
      </c>
      <c r="H1297" s="60"/>
      <c r="I1297" s="60"/>
      <c r="J1297" s="4">
        <v>4</v>
      </c>
      <c r="N1297" s="4">
        <v>2</v>
      </c>
      <c r="P1297" s="4">
        <v>2</v>
      </c>
      <c r="R1297" s="111" t="s">
        <v>1591</v>
      </c>
    </row>
    <row r="1298" spans="1:18">
      <c r="A1298" s="17">
        <v>800067</v>
      </c>
      <c r="B1298" s="60">
        <v>1700</v>
      </c>
      <c r="C1298" s="60" t="s">
        <v>1592</v>
      </c>
      <c r="D1298" s="60" t="s">
        <v>1592</v>
      </c>
      <c r="E1298" s="60"/>
      <c r="F1298" s="60">
        <v>59</v>
      </c>
      <c r="G1298" s="60">
        <v>3</v>
      </c>
      <c r="H1298" s="60"/>
      <c r="I1298" s="60"/>
      <c r="J1298" s="4">
        <v>4</v>
      </c>
      <c r="N1298" s="4">
        <v>2</v>
      </c>
      <c r="P1298" s="4">
        <v>2</v>
      </c>
      <c r="R1298" s="110" t="s">
        <v>1593</v>
      </c>
    </row>
    <row r="1299" spans="1:18">
      <c r="A1299" s="17">
        <v>800068</v>
      </c>
      <c r="B1299" s="60">
        <v>1700</v>
      </c>
      <c r="C1299" s="60" t="s">
        <v>1594</v>
      </c>
      <c r="D1299" s="60" t="s">
        <v>1594</v>
      </c>
      <c r="E1299" s="60"/>
      <c r="F1299" s="60">
        <v>59</v>
      </c>
      <c r="G1299" s="60">
        <v>6</v>
      </c>
      <c r="H1299" s="60"/>
      <c r="I1299" s="60"/>
      <c r="J1299" s="4">
        <v>4</v>
      </c>
      <c r="N1299" s="4">
        <v>2</v>
      </c>
      <c r="P1299" s="4">
        <v>2</v>
      </c>
      <c r="R1299" s="110" t="s">
        <v>1595</v>
      </c>
    </row>
    <row r="1300" spans="1:18">
      <c r="A1300" s="17">
        <v>800069</v>
      </c>
      <c r="B1300" s="60">
        <v>1700</v>
      </c>
      <c r="C1300" s="60" t="s">
        <v>1596</v>
      </c>
      <c r="D1300" s="60" t="s">
        <v>1596</v>
      </c>
      <c r="E1300" s="60"/>
      <c r="F1300" s="60">
        <v>59</v>
      </c>
      <c r="G1300" s="60">
        <v>12</v>
      </c>
      <c r="H1300" s="60"/>
      <c r="I1300" s="60"/>
      <c r="J1300" s="4">
        <v>4</v>
      </c>
      <c r="N1300" s="4">
        <v>2</v>
      </c>
      <c r="P1300" s="4">
        <v>2</v>
      </c>
      <c r="R1300" s="110" t="s">
        <v>1597</v>
      </c>
    </row>
    <row r="1301" spans="1:18">
      <c r="A1301" s="17">
        <v>800070</v>
      </c>
      <c r="B1301" s="60">
        <v>1604</v>
      </c>
      <c r="C1301" s="60" t="s">
        <v>1598</v>
      </c>
      <c r="D1301" s="60" t="s">
        <v>1598</v>
      </c>
      <c r="E1301" s="60"/>
      <c r="F1301" s="60">
        <v>8</v>
      </c>
      <c r="G1301" s="60">
        <v>20</v>
      </c>
      <c r="H1301" s="60"/>
      <c r="I1301" s="60"/>
      <c r="J1301" s="4">
        <v>4</v>
      </c>
      <c r="N1301" s="4">
        <v>2</v>
      </c>
      <c r="P1301" s="4">
        <v>2</v>
      </c>
      <c r="R1301" s="111" t="s">
        <v>1599</v>
      </c>
    </row>
    <row r="1302" spans="1:18">
      <c r="A1302" s="17">
        <v>800071</v>
      </c>
      <c r="B1302" s="60">
        <v>1604</v>
      </c>
      <c r="C1302" s="60" t="s">
        <v>1600</v>
      </c>
      <c r="D1302" s="60" t="s">
        <v>1600</v>
      </c>
      <c r="E1302" s="60"/>
      <c r="F1302" s="60">
        <v>8</v>
      </c>
      <c r="G1302" s="60">
        <v>50</v>
      </c>
      <c r="H1302" s="60"/>
      <c r="I1302" s="60"/>
      <c r="J1302" s="4">
        <v>4</v>
      </c>
      <c r="N1302" s="4">
        <v>2</v>
      </c>
      <c r="P1302" s="4">
        <v>2</v>
      </c>
      <c r="R1302" s="111" t="s">
        <v>1601</v>
      </c>
    </row>
    <row r="1303" spans="1:18">
      <c r="A1303" s="17">
        <v>800072</v>
      </c>
      <c r="B1303" s="60">
        <v>1604</v>
      </c>
      <c r="C1303" s="60" t="s">
        <v>1602</v>
      </c>
      <c r="D1303" s="60" t="s">
        <v>1602</v>
      </c>
      <c r="E1303" s="60"/>
      <c r="F1303" s="60">
        <v>8</v>
      </c>
      <c r="G1303" s="60">
        <v>100</v>
      </c>
      <c r="H1303" s="60"/>
      <c r="I1303" s="60"/>
      <c r="J1303" s="4">
        <v>4</v>
      </c>
      <c r="N1303" s="4">
        <v>2</v>
      </c>
      <c r="P1303" s="4">
        <v>2</v>
      </c>
      <c r="R1303" s="111" t="s">
        <v>1603</v>
      </c>
    </row>
    <row r="1304" spans="1:18">
      <c r="A1304" s="17">
        <v>800073</v>
      </c>
      <c r="B1304" s="109">
        <v>4021</v>
      </c>
      <c r="C1304" s="109" t="s">
        <v>1604</v>
      </c>
      <c r="D1304" s="109" t="s">
        <v>1604</v>
      </c>
      <c r="E1304" s="60"/>
      <c r="F1304" s="60">
        <v>146</v>
      </c>
      <c r="G1304" s="60">
        <v>1</v>
      </c>
      <c r="H1304" s="60"/>
      <c r="I1304" s="60">
        <v>5</v>
      </c>
      <c r="J1304" s="4">
        <v>4</v>
      </c>
      <c r="N1304" s="4">
        <v>2</v>
      </c>
      <c r="P1304" s="4">
        <v>2</v>
      </c>
      <c r="R1304" s="110" t="s">
        <v>1605</v>
      </c>
    </row>
    <row r="1305" spans="1:18">
      <c r="A1305" s="17">
        <v>800074</v>
      </c>
      <c r="B1305" s="17">
        <v>4021</v>
      </c>
      <c r="C1305" s="60" t="s">
        <v>1606</v>
      </c>
      <c r="D1305" s="60" t="s">
        <v>1606</v>
      </c>
      <c r="E1305" s="60"/>
      <c r="F1305" s="60">
        <v>146</v>
      </c>
      <c r="G1305" s="60">
        <v>2</v>
      </c>
      <c r="H1305" s="60"/>
      <c r="I1305" s="60">
        <v>5</v>
      </c>
      <c r="J1305" s="4">
        <v>4</v>
      </c>
      <c r="N1305" s="4">
        <v>2</v>
      </c>
      <c r="P1305" s="4">
        <v>2</v>
      </c>
      <c r="R1305" s="110" t="s">
        <v>1607</v>
      </c>
    </row>
    <row r="1306" spans="1:18">
      <c r="A1306" s="17">
        <v>800075</v>
      </c>
      <c r="B1306" s="17">
        <v>4021</v>
      </c>
      <c r="C1306" s="60" t="s">
        <v>1608</v>
      </c>
      <c r="D1306" s="60" t="s">
        <v>1608</v>
      </c>
      <c r="E1306" s="60"/>
      <c r="F1306" s="60">
        <v>146</v>
      </c>
      <c r="G1306" s="60">
        <v>5</v>
      </c>
      <c r="H1306" s="60"/>
      <c r="I1306" s="60">
        <v>5</v>
      </c>
      <c r="J1306" s="4">
        <v>4</v>
      </c>
      <c r="N1306" s="4">
        <v>2</v>
      </c>
      <c r="P1306" s="4">
        <v>2</v>
      </c>
      <c r="R1306" s="110" t="s">
        <v>1609</v>
      </c>
    </row>
    <row r="1307" spans="1:18">
      <c r="A1307" s="17">
        <v>800076</v>
      </c>
      <c r="B1307" s="17">
        <v>4022</v>
      </c>
      <c r="C1307" s="112" t="s">
        <v>1610</v>
      </c>
      <c r="D1307" s="112" t="s">
        <v>1610</v>
      </c>
      <c r="E1307" s="60"/>
      <c r="F1307" s="60">
        <v>135</v>
      </c>
      <c r="G1307" s="60">
        <v>1</v>
      </c>
      <c r="H1307" s="60"/>
      <c r="I1307" s="60">
        <v>2</v>
      </c>
      <c r="J1307" s="4">
        <v>4</v>
      </c>
      <c r="N1307" s="4">
        <v>2</v>
      </c>
      <c r="P1307" s="4">
        <v>2</v>
      </c>
      <c r="R1307" s="111" t="s">
        <v>1611</v>
      </c>
    </row>
    <row r="1308" spans="1:18">
      <c r="A1308" s="17">
        <v>800077</v>
      </c>
      <c r="B1308" s="17">
        <v>4022</v>
      </c>
      <c r="C1308" s="112" t="s">
        <v>1612</v>
      </c>
      <c r="D1308" s="112" t="s">
        <v>1612</v>
      </c>
      <c r="E1308" s="60"/>
      <c r="F1308" s="60">
        <v>135</v>
      </c>
      <c r="G1308" s="60">
        <v>1</v>
      </c>
      <c r="H1308" s="60"/>
      <c r="I1308" s="60">
        <v>3</v>
      </c>
      <c r="J1308" s="4">
        <v>4</v>
      </c>
      <c r="N1308" s="4">
        <v>2</v>
      </c>
      <c r="P1308" s="4">
        <v>2</v>
      </c>
      <c r="R1308" s="111" t="s">
        <v>1613</v>
      </c>
    </row>
    <row r="1309" spans="1:18">
      <c r="A1309" s="17">
        <v>800078</v>
      </c>
      <c r="B1309" s="109">
        <v>4022</v>
      </c>
      <c r="C1309" s="113" t="s">
        <v>1614</v>
      </c>
      <c r="D1309" s="113" t="s">
        <v>1614</v>
      </c>
      <c r="E1309" s="60"/>
      <c r="F1309" s="60">
        <v>135</v>
      </c>
      <c r="G1309" s="60">
        <v>1</v>
      </c>
      <c r="H1309" s="60"/>
      <c r="I1309" s="60">
        <v>5</v>
      </c>
      <c r="J1309" s="4">
        <v>4</v>
      </c>
      <c r="N1309" s="4">
        <v>2</v>
      </c>
      <c r="P1309" s="4">
        <v>2</v>
      </c>
      <c r="R1309" s="111" t="s">
        <v>1615</v>
      </c>
    </row>
    <row r="1310" spans="1:18">
      <c r="A1310" s="17">
        <v>800079</v>
      </c>
      <c r="B1310" s="17">
        <v>4010</v>
      </c>
      <c r="C1310" s="60" t="s">
        <v>1616</v>
      </c>
      <c r="D1310" s="60" t="s">
        <v>1616</v>
      </c>
      <c r="E1310" s="60"/>
      <c r="F1310" s="60">
        <v>81</v>
      </c>
      <c r="G1310" s="60">
        <v>5</v>
      </c>
      <c r="H1310" s="60"/>
      <c r="I1310" s="60"/>
      <c r="J1310" s="4">
        <v>4</v>
      </c>
      <c r="N1310" s="4">
        <v>2</v>
      </c>
      <c r="P1310" s="4">
        <v>2</v>
      </c>
      <c r="R1310" s="115" t="s">
        <v>1617</v>
      </c>
    </row>
    <row r="1311" spans="1:18">
      <c r="A1311" s="17">
        <v>800080</v>
      </c>
      <c r="B1311" s="17">
        <v>4010</v>
      </c>
      <c r="C1311" s="60" t="s">
        <v>1618</v>
      </c>
      <c r="D1311" s="60" t="s">
        <v>1618</v>
      </c>
      <c r="E1311" s="60"/>
      <c r="F1311" s="60">
        <v>81</v>
      </c>
      <c r="G1311" s="60">
        <v>15</v>
      </c>
      <c r="H1311" s="60"/>
      <c r="I1311" s="60"/>
      <c r="J1311" s="4">
        <v>4</v>
      </c>
      <c r="N1311" s="4">
        <v>2</v>
      </c>
      <c r="P1311" s="4">
        <v>2</v>
      </c>
      <c r="R1311" s="115" t="s">
        <v>1619</v>
      </c>
    </row>
    <row r="1312" spans="1:18">
      <c r="A1312" s="17">
        <v>800081</v>
      </c>
      <c r="B1312" s="17">
        <v>4010</v>
      </c>
      <c r="C1312" s="114" t="s">
        <v>1620</v>
      </c>
      <c r="D1312" s="114" t="s">
        <v>1620</v>
      </c>
      <c r="E1312" s="60"/>
      <c r="F1312" s="60">
        <v>81</v>
      </c>
      <c r="G1312" s="60">
        <v>30</v>
      </c>
      <c r="H1312" s="60"/>
      <c r="I1312" s="60"/>
      <c r="J1312" s="4">
        <v>4</v>
      </c>
      <c r="N1312" s="4">
        <v>2</v>
      </c>
      <c r="P1312" s="4">
        <v>2</v>
      </c>
      <c r="R1312" s="115" t="s">
        <v>1621</v>
      </c>
    </row>
    <row r="1313" spans="1:18">
      <c r="A1313" s="17">
        <v>800082</v>
      </c>
      <c r="B1313" s="109">
        <v>4011</v>
      </c>
      <c r="C1313" s="109" t="s">
        <v>1622</v>
      </c>
      <c r="D1313" s="109" t="s">
        <v>1622</v>
      </c>
      <c r="E1313" s="60"/>
      <c r="F1313" s="60">
        <v>98</v>
      </c>
      <c r="G1313" s="60">
        <v>1</v>
      </c>
      <c r="H1313" s="60"/>
      <c r="I1313" s="60"/>
      <c r="J1313" s="4">
        <v>4</v>
      </c>
      <c r="N1313" s="4">
        <v>2</v>
      </c>
      <c r="P1313" s="4">
        <v>2</v>
      </c>
      <c r="R1313" s="110" t="s">
        <v>1623</v>
      </c>
    </row>
    <row r="1314" spans="1:18">
      <c r="A1314" s="17">
        <v>800083</v>
      </c>
      <c r="B1314" s="17">
        <v>4011</v>
      </c>
      <c r="C1314" s="60" t="s">
        <v>1624</v>
      </c>
      <c r="D1314" s="60" t="s">
        <v>1624</v>
      </c>
      <c r="E1314" s="60"/>
      <c r="F1314" s="60">
        <v>98</v>
      </c>
      <c r="G1314" s="60">
        <v>5</v>
      </c>
      <c r="H1314" s="60"/>
      <c r="I1314" s="60"/>
      <c r="J1314" s="4">
        <v>4</v>
      </c>
      <c r="N1314" s="4">
        <v>2</v>
      </c>
      <c r="P1314" s="4">
        <v>2</v>
      </c>
      <c r="R1314" s="110" t="s">
        <v>1625</v>
      </c>
    </row>
    <row r="1315" spans="1:18">
      <c r="A1315" s="17">
        <v>800084</v>
      </c>
      <c r="B1315" s="17">
        <v>4011</v>
      </c>
      <c r="C1315" s="60" t="s">
        <v>1626</v>
      </c>
      <c r="D1315" s="60" t="s">
        <v>1626</v>
      </c>
      <c r="E1315" s="60"/>
      <c r="F1315" s="60">
        <v>98</v>
      </c>
      <c r="G1315" s="60">
        <v>20</v>
      </c>
      <c r="H1315" s="60"/>
      <c r="I1315" s="60"/>
      <c r="J1315" s="4">
        <v>4</v>
      </c>
      <c r="N1315" s="4">
        <v>2</v>
      </c>
      <c r="P1315" s="4">
        <v>2</v>
      </c>
      <c r="R1315" s="110" t="s">
        <v>1627</v>
      </c>
    </row>
    <row r="1316" spans="1:18">
      <c r="A1316" s="17">
        <v>800085</v>
      </c>
      <c r="B1316" s="109">
        <v>4012</v>
      </c>
      <c r="C1316" s="109" t="s">
        <v>1628</v>
      </c>
      <c r="D1316" s="109" t="s">
        <v>1628</v>
      </c>
      <c r="E1316" s="60"/>
      <c r="F1316" s="60">
        <v>97</v>
      </c>
      <c r="G1316" s="60">
        <v>1</v>
      </c>
      <c r="H1316" s="60"/>
      <c r="I1316" s="60"/>
      <c r="J1316" s="4">
        <v>4</v>
      </c>
      <c r="N1316" s="4">
        <v>2</v>
      </c>
      <c r="P1316" s="4">
        <v>2</v>
      </c>
      <c r="R1316" s="115" t="s">
        <v>1629</v>
      </c>
    </row>
    <row r="1317" spans="1:18">
      <c r="A1317" s="17">
        <v>800086</v>
      </c>
      <c r="B1317" s="17">
        <v>4012</v>
      </c>
      <c r="C1317" s="60" t="s">
        <v>1630</v>
      </c>
      <c r="D1317" s="60" t="s">
        <v>1630</v>
      </c>
      <c r="E1317" s="60"/>
      <c r="F1317" s="60">
        <v>97</v>
      </c>
      <c r="G1317" s="60">
        <v>5</v>
      </c>
      <c r="H1317" s="60"/>
      <c r="I1317" s="60"/>
      <c r="J1317" s="4">
        <v>4</v>
      </c>
      <c r="N1317" s="4">
        <v>2</v>
      </c>
      <c r="P1317" s="4">
        <v>2</v>
      </c>
      <c r="R1317" s="115" t="s">
        <v>1631</v>
      </c>
    </row>
    <row r="1318" spans="1:18">
      <c r="A1318" s="17">
        <v>800087</v>
      </c>
      <c r="B1318" s="17">
        <v>4012</v>
      </c>
      <c r="C1318" s="60" t="s">
        <v>1632</v>
      </c>
      <c r="D1318" s="60" t="s">
        <v>1632</v>
      </c>
      <c r="E1318" s="60"/>
      <c r="F1318" s="60">
        <v>97</v>
      </c>
      <c r="G1318" s="60">
        <v>10</v>
      </c>
      <c r="H1318" s="60"/>
      <c r="I1318" s="60"/>
      <c r="J1318" s="4">
        <v>4</v>
      </c>
      <c r="N1318" s="4">
        <v>2</v>
      </c>
      <c r="P1318" s="4">
        <v>2</v>
      </c>
      <c r="R1318" s="115" t="s">
        <v>1633</v>
      </c>
    </row>
    <row r="1319" spans="1:18">
      <c r="A1319" s="17">
        <v>800088</v>
      </c>
      <c r="B1319" s="109">
        <v>4013</v>
      </c>
      <c r="C1319" s="109" t="s">
        <v>1634</v>
      </c>
      <c r="D1319" s="109" t="s">
        <v>1634</v>
      </c>
      <c r="E1319" s="60"/>
      <c r="F1319" s="60">
        <v>149</v>
      </c>
      <c r="G1319" s="60">
        <v>1</v>
      </c>
      <c r="H1319" s="60"/>
      <c r="I1319" s="60"/>
      <c r="J1319" s="4">
        <v>4</v>
      </c>
      <c r="N1319" s="4">
        <v>2</v>
      </c>
      <c r="P1319" s="4">
        <v>2</v>
      </c>
      <c r="R1319" s="116" t="s">
        <v>1635</v>
      </c>
    </row>
    <row r="1320" spans="1:18">
      <c r="A1320" s="17">
        <v>800089</v>
      </c>
      <c r="B1320" s="17">
        <v>4013</v>
      </c>
      <c r="C1320" s="60" t="s">
        <v>1636</v>
      </c>
      <c r="D1320" s="60" t="s">
        <v>1636</v>
      </c>
      <c r="E1320" s="60"/>
      <c r="F1320" s="60">
        <v>149</v>
      </c>
      <c r="G1320" s="60">
        <v>10</v>
      </c>
      <c r="H1320" s="60"/>
      <c r="I1320" s="60"/>
      <c r="J1320" s="4">
        <v>4</v>
      </c>
      <c r="N1320" s="4">
        <v>2</v>
      </c>
      <c r="P1320" s="4">
        <v>2</v>
      </c>
      <c r="R1320" s="116" t="s">
        <v>1637</v>
      </c>
    </row>
    <row r="1321" spans="1:18">
      <c r="A1321" s="17">
        <v>800090</v>
      </c>
      <c r="B1321" s="17">
        <v>4013</v>
      </c>
      <c r="C1321" s="112" t="s">
        <v>1638</v>
      </c>
      <c r="D1321" s="112" t="s">
        <v>1638</v>
      </c>
      <c r="E1321" s="60"/>
      <c r="F1321" s="60">
        <v>149</v>
      </c>
      <c r="G1321" s="60">
        <v>20</v>
      </c>
      <c r="H1321" s="60"/>
      <c r="I1321" s="60"/>
      <c r="J1321" s="4">
        <v>4</v>
      </c>
      <c r="N1321" s="4">
        <v>2</v>
      </c>
      <c r="P1321" s="4">
        <v>2</v>
      </c>
      <c r="R1321" s="116" t="s">
        <v>1639</v>
      </c>
    </row>
    <row r="1322" spans="1:18">
      <c r="A1322" s="17">
        <v>800091</v>
      </c>
      <c r="B1322" s="109">
        <v>4014</v>
      </c>
      <c r="C1322" s="109" t="s">
        <v>1640</v>
      </c>
      <c r="D1322" s="109" t="s">
        <v>1640</v>
      </c>
      <c r="E1322" s="60"/>
      <c r="F1322" s="60">
        <v>109</v>
      </c>
      <c r="G1322" s="60">
        <v>1</v>
      </c>
      <c r="H1322" s="60"/>
      <c r="I1322" s="60"/>
      <c r="J1322" s="4">
        <v>4</v>
      </c>
      <c r="N1322" s="4">
        <v>2</v>
      </c>
      <c r="P1322" s="4">
        <v>2</v>
      </c>
      <c r="R1322" s="115" t="s">
        <v>818</v>
      </c>
    </row>
    <row r="1323" spans="1:18">
      <c r="A1323" s="17">
        <v>800092</v>
      </c>
      <c r="B1323" s="17">
        <v>4014</v>
      </c>
      <c r="C1323" s="60" t="s">
        <v>1641</v>
      </c>
      <c r="D1323" s="60" t="s">
        <v>1641</v>
      </c>
      <c r="E1323" s="60"/>
      <c r="F1323" s="60">
        <v>109</v>
      </c>
      <c r="G1323" s="60">
        <v>3</v>
      </c>
      <c r="H1323" s="60"/>
      <c r="I1323" s="60"/>
      <c r="J1323" s="4">
        <v>4</v>
      </c>
      <c r="N1323" s="4">
        <v>2</v>
      </c>
      <c r="P1323" s="4">
        <v>2</v>
      </c>
      <c r="R1323" s="115" t="s">
        <v>1642</v>
      </c>
    </row>
    <row r="1324" spans="1:18">
      <c r="A1324" s="17">
        <v>800093</v>
      </c>
      <c r="B1324" s="17">
        <v>4014</v>
      </c>
      <c r="C1324" s="60" t="s">
        <v>1643</v>
      </c>
      <c r="D1324" s="60" t="s">
        <v>1643</v>
      </c>
      <c r="E1324" s="60"/>
      <c r="F1324" s="60">
        <v>109</v>
      </c>
      <c r="G1324" s="60">
        <v>6</v>
      </c>
      <c r="H1324" s="60"/>
      <c r="I1324" s="60"/>
      <c r="J1324" s="4">
        <v>4</v>
      </c>
      <c r="N1324" s="4">
        <v>2</v>
      </c>
      <c r="P1324" s="4">
        <v>2</v>
      </c>
      <c r="R1324" s="115" t="s">
        <v>822</v>
      </c>
    </row>
    <row r="1325" spans="1:18">
      <c r="A1325" s="17">
        <v>800094</v>
      </c>
      <c r="B1325" s="109">
        <v>1103</v>
      </c>
      <c r="C1325" s="109" t="s">
        <v>1644</v>
      </c>
      <c r="D1325" s="109" t="s">
        <v>1644</v>
      </c>
      <c r="E1325" s="60"/>
      <c r="F1325" s="60">
        <v>5</v>
      </c>
      <c r="G1325" s="60">
        <v>1</v>
      </c>
      <c r="H1325" s="60"/>
      <c r="I1325" s="60">
        <v>4</v>
      </c>
      <c r="J1325" s="4">
        <v>4</v>
      </c>
      <c r="N1325" s="4">
        <v>2</v>
      </c>
      <c r="P1325" s="4">
        <v>2</v>
      </c>
      <c r="R1325" s="115" t="s">
        <v>818</v>
      </c>
    </row>
    <row r="1326" spans="1:18">
      <c r="A1326" s="17">
        <v>800095</v>
      </c>
      <c r="B1326" s="17">
        <v>1103</v>
      </c>
      <c r="C1326" s="60" t="s">
        <v>1645</v>
      </c>
      <c r="D1326" s="60" t="s">
        <v>1645</v>
      </c>
      <c r="E1326" s="60"/>
      <c r="F1326" s="60">
        <v>5</v>
      </c>
      <c r="G1326" s="60">
        <v>1</v>
      </c>
      <c r="H1326" s="60"/>
      <c r="I1326" s="60">
        <v>6</v>
      </c>
      <c r="J1326" s="4">
        <v>4</v>
      </c>
      <c r="N1326" s="4">
        <v>2</v>
      </c>
      <c r="P1326" s="4">
        <v>2</v>
      </c>
      <c r="R1326" s="115" t="s">
        <v>820</v>
      </c>
    </row>
    <row r="1327" spans="1:18">
      <c r="A1327" s="17">
        <v>800096</v>
      </c>
      <c r="B1327" s="60">
        <v>1401</v>
      </c>
      <c r="C1327" s="60" t="s">
        <v>1646</v>
      </c>
      <c r="D1327" s="60" t="s">
        <v>1646</v>
      </c>
      <c r="E1327" s="60"/>
      <c r="F1327" s="60">
        <v>3</v>
      </c>
      <c r="G1327" s="60">
        <v>100</v>
      </c>
      <c r="H1327" s="60"/>
      <c r="I1327" s="60"/>
      <c r="J1327" s="4">
        <v>4</v>
      </c>
      <c r="N1327" s="4">
        <v>2</v>
      </c>
      <c r="P1327" s="4">
        <v>2</v>
      </c>
      <c r="R1327" s="115" t="s">
        <v>818</v>
      </c>
    </row>
    <row r="1328" spans="1:18">
      <c r="A1328" s="17">
        <v>800097</v>
      </c>
      <c r="B1328" s="60">
        <v>1401</v>
      </c>
      <c r="C1328" s="60" t="s">
        <v>1647</v>
      </c>
      <c r="D1328" s="60" t="s">
        <v>1647</v>
      </c>
      <c r="E1328" s="60"/>
      <c r="F1328" s="60">
        <v>3</v>
      </c>
      <c r="G1328" s="60">
        <v>300</v>
      </c>
      <c r="H1328" s="60"/>
      <c r="I1328" s="60"/>
      <c r="J1328" s="4">
        <v>4</v>
      </c>
      <c r="N1328" s="4">
        <v>2</v>
      </c>
      <c r="P1328" s="4">
        <v>2</v>
      </c>
      <c r="R1328" s="115" t="s">
        <v>820</v>
      </c>
    </row>
    <row r="1329" spans="1:18">
      <c r="A1329" s="17">
        <v>800098</v>
      </c>
      <c r="B1329" s="109">
        <v>4017</v>
      </c>
      <c r="C1329" s="109" t="s">
        <v>1648</v>
      </c>
      <c r="D1329" s="109" t="s">
        <v>1648</v>
      </c>
      <c r="E1329" s="60"/>
      <c r="F1329" s="60">
        <v>6</v>
      </c>
      <c r="G1329" s="60">
        <v>1</v>
      </c>
      <c r="H1329" s="60"/>
      <c r="I1329" s="60">
        <v>2</v>
      </c>
      <c r="J1329" s="4">
        <v>4</v>
      </c>
      <c r="N1329" s="4">
        <v>2</v>
      </c>
      <c r="P1329" s="4">
        <v>2</v>
      </c>
      <c r="R1329" s="115" t="s">
        <v>818</v>
      </c>
    </row>
    <row r="1330" spans="1:18">
      <c r="A1330" s="17">
        <v>800099</v>
      </c>
      <c r="B1330" s="17">
        <v>4017</v>
      </c>
      <c r="C1330" s="60" t="s">
        <v>1649</v>
      </c>
      <c r="D1330" s="60" t="s">
        <v>1649</v>
      </c>
      <c r="E1330" s="60"/>
      <c r="F1330" s="60">
        <v>6</v>
      </c>
      <c r="G1330" s="60">
        <v>1</v>
      </c>
      <c r="H1330" s="60"/>
      <c r="I1330" s="60">
        <v>3</v>
      </c>
      <c r="J1330" s="4">
        <v>4</v>
      </c>
      <c r="N1330" s="4">
        <v>2</v>
      </c>
      <c r="P1330" s="4">
        <v>2</v>
      </c>
      <c r="R1330" s="115" t="s">
        <v>820</v>
      </c>
    </row>
    <row r="1331" spans="1:18">
      <c r="A1331" s="17">
        <v>800100</v>
      </c>
      <c r="B1331" s="109">
        <v>4016</v>
      </c>
      <c r="C1331" s="109" t="s">
        <v>1650</v>
      </c>
      <c r="D1331" s="109" t="s">
        <v>1650</v>
      </c>
      <c r="E1331" s="60"/>
      <c r="F1331" s="60">
        <v>84</v>
      </c>
      <c r="G1331" s="60">
        <v>1</v>
      </c>
      <c r="H1331" s="60"/>
      <c r="I1331" s="60"/>
      <c r="J1331" s="4">
        <v>4</v>
      </c>
      <c r="N1331" s="4">
        <v>2</v>
      </c>
      <c r="P1331" s="4">
        <v>2</v>
      </c>
      <c r="R1331" s="115" t="s">
        <v>820</v>
      </c>
    </row>
    <row r="1332" spans="1:18">
      <c r="A1332" s="17">
        <v>800101</v>
      </c>
      <c r="B1332" s="17">
        <v>4016</v>
      </c>
      <c r="C1332" s="60" t="s">
        <v>1651</v>
      </c>
      <c r="D1332" s="60" t="s">
        <v>1651</v>
      </c>
      <c r="E1332" s="60"/>
      <c r="F1332" s="60">
        <v>84</v>
      </c>
      <c r="G1332" s="60">
        <v>3</v>
      </c>
      <c r="H1332" s="60"/>
      <c r="I1332" s="60"/>
      <c r="J1332" s="4">
        <v>4</v>
      </c>
      <c r="N1332" s="4">
        <v>2</v>
      </c>
      <c r="P1332" s="4">
        <v>2</v>
      </c>
      <c r="R1332" s="115" t="s">
        <v>643</v>
      </c>
    </row>
    <row r="1333" spans="1:18">
      <c r="A1333" s="17">
        <v>800102</v>
      </c>
      <c r="B1333" s="17">
        <v>4016</v>
      </c>
      <c r="C1333" s="60" t="s">
        <v>1652</v>
      </c>
      <c r="D1333" s="60" t="s">
        <v>1652</v>
      </c>
      <c r="E1333" s="60"/>
      <c r="F1333" s="60">
        <v>84</v>
      </c>
      <c r="G1333" s="60">
        <v>10</v>
      </c>
      <c r="H1333" s="60"/>
      <c r="I1333" s="60"/>
      <c r="J1333" s="4">
        <v>4</v>
      </c>
      <c r="N1333" s="4">
        <v>2</v>
      </c>
      <c r="P1333" s="4">
        <v>2</v>
      </c>
      <c r="R1333" s="115" t="s">
        <v>1653</v>
      </c>
    </row>
    <row r="1334" spans="1:18">
      <c r="A1334" s="17">
        <v>800103</v>
      </c>
      <c r="B1334" s="60">
        <v>1201</v>
      </c>
      <c r="C1334" s="114" t="s">
        <v>1654</v>
      </c>
      <c r="D1334" s="114" t="s">
        <v>1654</v>
      </c>
      <c r="E1334" s="60"/>
      <c r="F1334" s="60">
        <v>47</v>
      </c>
      <c r="G1334" s="60">
        <v>1</v>
      </c>
      <c r="H1334" s="60"/>
      <c r="I1334" s="60"/>
      <c r="J1334" s="4">
        <v>4</v>
      </c>
      <c r="N1334" s="4">
        <v>2</v>
      </c>
      <c r="P1334" s="4">
        <v>2</v>
      </c>
      <c r="R1334" s="115" t="s">
        <v>822</v>
      </c>
    </row>
    <row r="1335" spans="1:18">
      <c r="A1335" s="17">
        <v>800104</v>
      </c>
      <c r="B1335" s="60">
        <v>1211</v>
      </c>
      <c r="C1335" s="60" t="s">
        <v>1655</v>
      </c>
      <c r="D1335" s="60" t="s">
        <v>1655</v>
      </c>
      <c r="E1335" s="60"/>
      <c r="F1335" s="60">
        <v>47</v>
      </c>
      <c r="G1335" s="60">
        <v>1</v>
      </c>
      <c r="H1335" s="60"/>
      <c r="I1335" s="60"/>
      <c r="J1335" s="4">
        <v>4</v>
      </c>
      <c r="N1335" s="4">
        <v>2</v>
      </c>
      <c r="P1335" s="4">
        <v>2</v>
      </c>
      <c r="R1335" s="115" t="s">
        <v>1656</v>
      </c>
    </row>
    <row r="1336" spans="1:18">
      <c r="A1336" s="17">
        <v>800105</v>
      </c>
      <c r="B1336" s="60">
        <v>1211</v>
      </c>
      <c r="C1336" s="60" t="s">
        <v>1657</v>
      </c>
      <c r="D1336" s="60" t="s">
        <v>1657</v>
      </c>
      <c r="E1336" s="60"/>
      <c r="F1336" s="60">
        <v>47</v>
      </c>
      <c r="G1336" s="60">
        <v>40</v>
      </c>
      <c r="H1336" s="60"/>
      <c r="I1336" s="60"/>
      <c r="J1336" s="4">
        <v>4</v>
      </c>
      <c r="N1336" s="4">
        <v>2</v>
      </c>
      <c r="P1336" s="4">
        <v>2</v>
      </c>
      <c r="R1336" s="115" t="s">
        <v>1658</v>
      </c>
    </row>
    <row r="1337" spans="1:18">
      <c r="A1337" s="17">
        <v>800106</v>
      </c>
      <c r="B1337" s="60">
        <v>1211</v>
      </c>
      <c r="C1337" s="60" t="s">
        <v>1659</v>
      </c>
      <c r="D1337" s="60" t="s">
        <v>1659</v>
      </c>
      <c r="E1337" s="60"/>
      <c r="F1337" s="60">
        <v>47</v>
      </c>
      <c r="G1337" s="60">
        <v>100</v>
      </c>
      <c r="H1337" s="60"/>
      <c r="I1337" s="60"/>
      <c r="J1337" s="4">
        <v>4</v>
      </c>
      <c r="N1337" s="4">
        <v>2</v>
      </c>
      <c r="P1337" s="4">
        <v>2</v>
      </c>
      <c r="R1337" s="115" t="s">
        <v>1660</v>
      </c>
    </row>
    <row r="1338" spans="1:18">
      <c r="A1338" s="17">
        <v>800107</v>
      </c>
      <c r="B1338" s="109">
        <v>4015</v>
      </c>
      <c r="C1338" s="109" t="s">
        <v>1661</v>
      </c>
      <c r="D1338" s="109" t="s">
        <v>1661</v>
      </c>
      <c r="E1338" s="60"/>
      <c r="F1338" s="60">
        <v>95</v>
      </c>
      <c r="G1338" s="60">
        <v>1</v>
      </c>
      <c r="H1338" s="60"/>
      <c r="I1338" s="60"/>
      <c r="J1338" s="4">
        <v>4</v>
      </c>
      <c r="N1338" s="4">
        <v>2</v>
      </c>
      <c r="P1338" s="4">
        <v>2</v>
      </c>
      <c r="R1338" s="115" t="s">
        <v>1656</v>
      </c>
    </row>
    <row r="1339" spans="1:18">
      <c r="A1339" s="17">
        <v>800108</v>
      </c>
      <c r="B1339" s="17">
        <v>4015</v>
      </c>
      <c r="C1339" s="60" t="s">
        <v>1662</v>
      </c>
      <c r="D1339" s="60" t="s">
        <v>1662</v>
      </c>
      <c r="E1339" s="60"/>
      <c r="F1339" s="60">
        <v>95</v>
      </c>
      <c r="G1339" s="60">
        <v>6</v>
      </c>
      <c r="H1339" s="60"/>
      <c r="I1339" s="60"/>
      <c r="J1339" s="4">
        <v>4</v>
      </c>
      <c r="N1339" s="4">
        <v>2</v>
      </c>
      <c r="P1339" s="4">
        <v>2</v>
      </c>
      <c r="R1339" s="115" t="s">
        <v>1658</v>
      </c>
    </row>
    <row r="1340" spans="1:18">
      <c r="A1340" s="17">
        <v>800109</v>
      </c>
      <c r="B1340" s="17">
        <v>4015</v>
      </c>
      <c r="C1340" s="60" t="s">
        <v>1663</v>
      </c>
      <c r="D1340" s="60" t="s">
        <v>1663</v>
      </c>
      <c r="E1340" s="60"/>
      <c r="F1340" s="60">
        <v>95</v>
      </c>
      <c r="G1340" s="60">
        <v>12</v>
      </c>
      <c r="H1340" s="60"/>
      <c r="I1340" s="60"/>
      <c r="J1340" s="4">
        <v>4</v>
      </c>
      <c r="N1340" s="4">
        <v>2</v>
      </c>
      <c r="P1340" s="4">
        <v>2</v>
      </c>
      <c r="R1340" s="115" t="s">
        <v>1660</v>
      </c>
    </row>
    <row r="1341" spans="1:18">
      <c r="A1341" s="17">
        <v>800110</v>
      </c>
      <c r="B1341" s="60">
        <v>1302</v>
      </c>
      <c r="C1341" s="60" t="s">
        <v>1664</v>
      </c>
      <c r="D1341" s="60" t="s">
        <v>1664</v>
      </c>
      <c r="E1341" s="60"/>
      <c r="F1341" s="60">
        <v>7</v>
      </c>
      <c r="G1341" s="60">
        <v>100</v>
      </c>
      <c r="H1341" s="60"/>
      <c r="I1341" s="60"/>
      <c r="J1341" s="4">
        <v>4</v>
      </c>
      <c r="N1341" s="4">
        <v>2</v>
      </c>
      <c r="P1341" s="4">
        <v>2</v>
      </c>
      <c r="R1341" s="115" t="s">
        <v>818</v>
      </c>
    </row>
    <row r="1342" spans="1:18">
      <c r="A1342" s="17">
        <v>800111</v>
      </c>
      <c r="B1342" s="60">
        <v>1302</v>
      </c>
      <c r="C1342" s="60" t="s">
        <v>1665</v>
      </c>
      <c r="D1342" s="60" t="s">
        <v>1665</v>
      </c>
      <c r="E1342" s="60"/>
      <c r="F1342" s="60">
        <v>7</v>
      </c>
      <c r="G1342" s="60">
        <v>200</v>
      </c>
      <c r="H1342" s="60"/>
      <c r="I1342" s="60"/>
      <c r="J1342" s="4">
        <v>4</v>
      </c>
      <c r="N1342" s="4">
        <v>2</v>
      </c>
      <c r="P1342" s="4">
        <v>2</v>
      </c>
      <c r="R1342" s="115" t="s">
        <v>822</v>
      </c>
    </row>
    <row r="1343" spans="1:18">
      <c r="A1343" s="17">
        <v>800112</v>
      </c>
      <c r="B1343" s="60">
        <v>1302</v>
      </c>
      <c r="C1343" s="60" t="s">
        <v>1666</v>
      </c>
      <c r="D1343" s="60" t="s">
        <v>1666</v>
      </c>
      <c r="E1343" s="60"/>
      <c r="F1343" s="60">
        <v>7</v>
      </c>
      <c r="G1343" s="60">
        <v>500</v>
      </c>
      <c r="H1343" s="60"/>
      <c r="I1343" s="60"/>
      <c r="J1343" s="4">
        <v>4</v>
      </c>
      <c r="N1343" s="4">
        <v>2</v>
      </c>
      <c r="P1343" s="4">
        <v>2</v>
      </c>
      <c r="R1343" s="115" t="s">
        <v>1653</v>
      </c>
    </row>
    <row r="1344" spans="1:18">
      <c r="A1344" s="17">
        <v>800113</v>
      </c>
      <c r="B1344" s="60">
        <v>405</v>
      </c>
      <c r="C1344" s="60" t="s">
        <v>1667</v>
      </c>
      <c r="D1344" s="60" t="s">
        <v>1667</v>
      </c>
      <c r="E1344" s="60"/>
      <c r="F1344" s="60">
        <v>13</v>
      </c>
      <c r="G1344" s="60">
        <v>10</v>
      </c>
      <c r="H1344" s="60"/>
      <c r="I1344" s="60"/>
      <c r="J1344" s="4">
        <v>4</v>
      </c>
      <c r="N1344" s="4">
        <v>2</v>
      </c>
      <c r="P1344" s="4">
        <v>2</v>
      </c>
      <c r="R1344" s="110" t="s">
        <v>1507</v>
      </c>
    </row>
    <row r="1345" spans="1:18">
      <c r="A1345" s="17">
        <v>800114</v>
      </c>
      <c r="B1345" s="60">
        <v>405</v>
      </c>
      <c r="C1345" s="60" t="s">
        <v>1668</v>
      </c>
      <c r="D1345" s="60" t="s">
        <v>1668</v>
      </c>
      <c r="E1345" s="60"/>
      <c r="F1345" s="60">
        <v>13</v>
      </c>
      <c r="G1345" s="60">
        <v>50</v>
      </c>
      <c r="H1345" s="60"/>
      <c r="I1345" s="60"/>
      <c r="J1345" s="4">
        <v>4</v>
      </c>
      <c r="N1345" s="4">
        <v>2</v>
      </c>
      <c r="P1345" s="4">
        <v>2</v>
      </c>
      <c r="R1345" s="110" t="s">
        <v>1669</v>
      </c>
    </row>
    <row r="1346" spans="1:18">
      <c r="A1346" s="17">
        <v>800115</v>
      </c>
      <c r="B1346" s="60">
        <v>405</v>
      </c>
      <c r="C1346" s="60" t="s">
        <v>1670</v>
      </c>
      <c r="D1346" s="60" t="s">
        <v>1670</v>
      </c>
      <c r="E1346" s="60"/>
      <c r="F1346" s="60">
        <v>13</v>
      </c>
      <c r="G1346" s="60">
        <v>100</v>
      </c>
      <c r="H1346" s="60"/>
      <c r="I1346" s="60"/>
      <c r="J1346" s="4">
        <v>4</v>
      </c>
      <c r="N1346" s="4">
        <v>2</v>
      </c>
      <c r="P1346" s="4">
        <v>2</v>
      </c>
      <c r="R1346" s="110" t="s">
        <v>1671</v>
      </c>
    </row>
    <row r="1347" spans="1:18">
      <c r="A1347" s="17">
        <v>800116</v>
      </c>
      <c r="B1347" s="60">
        <v>417</v>
      </c>
      <c r="C1347" s="60" t="s">
        <v>1672</v>
      </c>
      <c r="D1347" s="60" t="s">
        <v>1672</v>
      </c>
      <c r="E1347" s="60"/>
      <c r="F1347" s="60">
        <v>71</v>
      </c>
      <c r="G1347" s="60">
        <v>50</v>
      </c>
      <c r="H1347" s="60"/>
      <c r="I1347" s="60"/>
      <c r="J1347" s="4">
        <v>4</v>
      </c>
      <c r="N1347" s="4">
        <v>2</v>
      </c>
      <c r="P1347" s="4">
        <v>2</v>
      </c>
      <c r="R1347" s="110" t="s">
        <v>1507</v>
      </c>
    </row>
    <row r="1348" spans="1:18">
      <c r="A1348" s="17">
        <v>800117</v>
      </c>
      <c r="B1348" s="60">
        <v>417</v>
      </c>
      <c r="C1348" s="60" t="s">
        <v>1384</v>
      </c>
      <c r="D1348" s="60" t="s">
        <v>1384</v>
      </c>
      <c r="E1348" s="60"/>
      <c r="F1348" s="60">
        <v>71</v>
      </c>
      <c r="G1348" s="60">
        <v>300</v>
      </c>
      <c r="H1348" s="60"/>
      <c r="I1348" s="60"/>
      <c r="J1348" s="4">
        <v>4</v>
      </c>
      <c r="N1348" s="4">
        <v>2</v>
      </c>
      <c r="P1348" s="4">
        <v>2</v>
      </c>
      <c r="R1348" s="110" t="s">
        <v>1669</v>
      </c>
    </row>
    <row r="1349" spans="1:18">
      <c r="A1349" s="17">
        <v>800118</v>
      </c>
      <c r="B1349" s="60">
        <v>417</v>
      </c>
      <c r="C1349" s="60" t="s">
        <v>1394</v>
      </c>
      <c r="D1349" s="60" t="s">
        <v>1394</v>
      </c>
      <c r="E1349" s="60"/>
      <c r="F1349" s="60">
        <v>71</v>
      </c>
      <c r="G1349" s="60">
        <v>1000</v>
      </c>
      <c r="H1349" s="60"/>
      <c r="I1349" s="60"/>
      <c r="J1349" s="4">
        <v>4</v>
      </c>
      <c r="N1349" s="4">
        <v>2</v>
      </c>
      <c r="P1349" s="4">
        <v>2</v>
      </c>
      <c r="R1349" s="110" t="s">
        <v>1671</v>
      </c>
    </row>
    <row r="1350" spans="1:18">
      <c r="A1350" s="17">
        <v>800119</v>
      </c>
      <c r="B1350" s="60">
        <v>4001</v>
      </c>
      <c r="C1350" s="60" t="s">
        <v>1065</v>
      </c>
      <c r="D1350" s="60" t="s">
        <v>1065</v>
      </c>
      <c r="E1350" s="60"/>
      <c r="F1350" s="60">
        <v>65</v>
      </c>
      <c r="G1350" s="60">
        <v>1</v>
      </c>
      <c r="H1350" s="60"/>
      <c r="I1350" s="60"/>
      <c r="J1350" s="4">
        <v>4</v>
      </c>
      <c r="N1350" s="4">
        <v>2</v>
      </c>
      <c r="P1350" s="4">
        <v>2</v>
      </c>
      <c r="R1350" s="110" t="s">
        <v>658</v>
      </c>
    </row>
    <row r="1351" spans="1:18">
      <c r="A1351" s="17">
        <v>800120</v>
      </c>
      <c r="B1351" s="109">
        <v>4020</v>
      </c>
      <c r="C1351" s="109" t="s">
        <v>1673</v>
      </c>
      <c r="D1351" s="109" t="s">
        <v>1673</v>
      </c>
      <c r="E1351" s="60"/>
      <c r="F1351" s="60">
        <v>133</v>
      </c>
      <c r="G1351" s="60">
        <v>1</v>
      </c>
      <c r="H1351" s="60"/>
      <c r="I1351" s="60"/>
      <c r="J1351" s="4">
        <v>4</v>
      </c>
      <c r="N1351" s="4">
        <v>2</v>
      </c>
      <c r="P1351" s="4">
        <v>2</v>
      </c>
      <c r="R1351" s="115" t="s">
        <v>818</v>
      </c>
    </row>
    <row r="1352" spans="1:18">
      <c r="A1352" s="17">
        <v>800121</v>
      </c>
      <c r="B1352" s="17">
        <v>4020</v>
      </c>
      <c r="C1352" s="60" t="s">
        <v>1674</v>
      </c>
      <c r="D1352" s="60" t="s">
        <v>1674</v>
      </c>
      <c r="E1352" s="60"/>
      <c r="F1352" s="60">
        <v>133</v>
      </c>
      <c r="G1352" s="60">
        <v>3</v>
      </c>
      <c r="H1352" s="60"/>
      <c r="I1352" s="60"/>
      <c r="J1352" s="4">
        <v>4</v>
      </c>
      <c r="N1352" s="4">
        <v>2</v>
      </c>
      <c r="P1352" s="4">
        <v>2</v>
      </c>
      <c r="R1352" s="115" t="s">
        <v>1642</v>
      </c>
    </row>
    <row r="1353" spans="1:18">
      <c r="A1353" s="17">
        <v>800122</v>
      </c>
      <c r="B1353" s="17">
        <v>4020</v>
      </c>
      <c r="C1353" s="60" t="s">
        <v>1675</v>
      </c>
      <c r="D1353" s="60" t="s">
        <v>1675</v>
      </c>
      <c r="E1353" s="60"/>
      <c r="F1353" s="60">
        <v>133</v>
      </c>
      <c r="G1353" s="60">
        <v>10</v>
      </c>
      <c r="H1353" s="60"/>
      <c r="I1353" s="60"/>
      <c r="J1353" s="4">
        <v>4</v>
      </c>
      <c r="N1353" s="4">
        <v>2</v>
      </c>
      <c r="P1353" s="4">
        <v>2</v>
      </c>
      <c r="R1353" s="115" t="s">
        <v>643</v>
      </c>
    </row>
    <row r="1354" spans="1:18">
      <c r="A1354" s="17">
        <v>800123</v>
      </c>
      <c r="B1354" s="109">
        <v>4024</v>
      </c>
      <c r="C1354" s="109" t="s">
        <v>1676</v>
      </c>
      <c r="D1354" s="109" t="s">
        <v>1676</v>
      </c>
      <c r="E1354" s="60"/>
      <c r="F1354" s="60">
        <v>64</v>
      </c>
      <c r="G1354" s="60">
        <v>2</v>
      </c>
      <c r="H1354" s="60"/>
      <c r="I1354" s="60"/>
      <c r="J1354" s="4">
        <v>4</v>
      </c>
      <c r="N1354" s="4">
        <v>2</v>
      </c>
      <c r="P1354" s="4">
        <v>2</v>
      </c>
      <c r="R1354" s="115" t="s">
        <v>1653</v>
      </c>
    </row>
    <row r="1355" spans="1:18">
      <c r="A1355" s="17">
        <v>800124</v>
      </c>
      <c r="B1355" s="17">
        <v>4024</v>
      </c>
      <c r="C1355" s="60" t="s">
        <v>1677</v>
      </c>
      <c r="D1355" s="60" t="s">
        <v>1677</v>
      </c>
      <c r="E1355" s="110"/>
      <c r="F1355" s="60">
        <v>64</v>
      </c>
      <c r="G1355" s="110">
        <v>5</v>
      </c>
      <c r="H1355" s="60"/>
      <c r="I1355" s="60"/>
      <c r="J1355" s="4">
        <v>4</v>
      </c>
      <c r="N1355" s="4">
        <v>2</v>
      </c>
      <c r="P1355" s="4">
        <v>2</v>
      </c>
      <c r="R1355" s="115" t="s">
        <v>1678</v>
      </c>
    </row>
    <row r="1356" s="42" customFormat="1" ht="15.75" spans="1:18">
      <c r="A1356" s="98">
        <v>900001</v>
      </c>
      <c r="B1356" s="98">
        <v>101</v>
      </c>
      <c r="C1356" s="98" t="s">
        <v>1679</v>
      </c>
      <c r="D1356" s="99" t="s">
        <v>1343</v>
      </c>
      <c r="E1356" s="98"/>
      <c r="F1356" s="98"/>
      <c r="G1356" s="98">
        <v>1</v>
      </c>
      <c r="H1356" s="98"/>
      <c r="I1356" s="98"/>
      <c r="J1356" s="98">
        <v>4</v>
      </c>
      <c r="N1356" s="98">
        <v>2</v>
      </c>
      <c r="P1356" s="98">
        <v>2</v>
      </c>
      <c r="R1356" s="122" t="s">
        <v>1680</v>
      </c>
    </row>
    <row r="1357" s="34" customFormat="1" ht="15.75" spans="1:18">
      <c r="A1357" s="74">
        <v>900101</v>
      </c>
      <c r="B1357" s="74">
        <v>6003</v>
      </c>
      <c r="C1357" s="74" t="s">
        <v>1681</v>
      </c>
      <c r="D1357" s="117" t="s">
        <v>1682</v>
      </c>
      <c r="E1357" s="74"/>
      <c r="F1357" s="74">
        <v>141</v>
      </c>
      <c r="G1357" s="74">
        <v>2</v>
      </c>
      <c r="H1357" s="74"/>
      <c r="I1357" s="74">
        <v>2</v>
      </c>
      <c r="J1357" s="74">
        <v>4</v>
      </c>
      <c r="N1357" s="74">
        <v>2</v>
      </c>
      <c r="P1357" s="74">
        <v>2</v>
      </c>
      <c r="R1357" s="122" t="s">
        <v>1683</v>
      </c>
    </row>
    <row r="1358" s="34" customFormat="1" ht="15.75" spans="1:18">
      <c r="A1358" s="74">
        <v>900102</v>
      </c>
      <c r="B1358" s="74">
        <v>6003</v>
      </c>
      <c r="C1358" s="74" t="s">
        <v>1684</v>
      </c>
      <c r="D1358" s="117" t="s">
        <v>1685</v>
      </c>
      <c r="E1358" s="74"/>
      <c r="F1358" s="74">
        <v>141</v>
      </c>
      <c r="G1358" s="74">
        <v>4</v>
      </c>
      <c r="H1358" s="74"/>
      <c r="I1358" s="74">
        <v>2</v>
      </c>
      <c r="J1358" s="74">
        <v>4</v>
      </c>
      <c r="N1358" s="74">
        <v>2</v>
      </c>
      <c r="P1358" s="74">
        <v>2</v>
      </c>
      <c r="R1358" s="122" t="s">
        <v>1686</v>
      </c>
    </row>
    <row r="1359" s="34" customFormat="1" ht="15.75" spans="1:18">
      <c r="A1359" s="74">
        <v>900103</v>
      </c>
      <c r="B1359" s="74">
        <v>6003</v>
      </c>
      <c r="C1359" s="74" t="s">
        <v>1687</v>
      </c>
      <c r="D1359" s="117" t="s">
        <v>1688</v>
      </c>
      <c r="E1359" s="74"/>
      <c r="F1359" s="74">
        <v>141</v>
      </c>
      <c r="G1359" s="74">
        <v>6</v>
      </c>
      <c r="H1359" s="74"/>
      <c r="I1359" s="74">
        <v>2</v>
      </c>
      <c r="J1359" s="74">
        <v>4</v>
      </c>
      <c r="N1359" s="74">
        <v>2</v>
      </c>
      <c r="P1359" s="74">
        <v>2</v>
      </c>
      <c r="R1359" s="122" t="s">
        <v>1683</v>
      </c>
    </row>
    <row r="1360" s="34" customFormat="1" ht="15.75" spans="1:18">
      <c r="A1360" s="74">
        <v>900104</v>
      </c>
      <c r="B1360" s="74">
        <v>6003</v>
      </c>
      <c r="C1360" s="74" t="s">
        <v>1689</v>
      </c>
      <c r="D1360" s="117" t="s">
        <v>1690</v>
      </c>
      <c r="E1360" s="74"/>
      <c r="F1360" s="74">
        <v>141</v>
      </c>
      <c r="G1360" s="74">
        <v>10</v>
      </c>
      <c r="H1360" s="74"/>
      <c r="I1360" s="74">
        <v>2</v>
      </c>
      <c r="J1360" s="74">
        <v>4</v>
      </c>
      <c r="N1360" s="74">
        <v>2</v>
      </c>
      <c r="P1360" s="74">
        <v>2</v>
      </c>
      <c r="R1360" s="122" t="s">
        <v>1686</v>
      </c>
    </row>
    <row r="1361" s="34" customFormat="1" ht="15.75" spans="1:18">
      <c r="A1361" s="74">
        <v>900105</v>
      </c>
      <c r="B1361" s="74">
        <v>6003</v>
      </c>
      <c r="C1361" s="74" t="s">
        <v>1691</v>
      </c>
      <c r="D1361" s="117" t="s">
        <v>1692</v>
      </c>
      <c r="E1361" s="74"/>
      <c r="F1361" s="74">
        <v>141</v>
      </c>
      <c r="G1361" s="74">
        <v>15</v>
      </c>
      <c r="H1361" s="74"/>
      <c r="I1361" s="74">
        <v>2</v>
      </c>
      <c r="J1361" s="74">
        <v>4</v>
      </c>
      <c r="N1361" s="74">
        <v>2</v>
      </c>
      <c r="P1361" s="74">
        <v>2</v>
      </c>
      <c r="R1361" s="122" t="s">
        <v>1683</v>
      </c>
    </row>
    <row r="1362" s="34" customFormat="1" ht="15.75" spans="1:18">
      <c r="A1362" s="74">
        <v>900106</v>
      </c>
      <c r="B1362" s="74">
        <v>6003</v>
      </c>
      <c r="C1362" s="74" t="s">
        <v>1693</v>
      </c>
      <c r="D1362" s="117" t="s">
        <v>1694</v>
      </c>
      <c r="E1362" s="74"/>
      <c r="F1362" s="74">
        <v>141</v>
      </c>
      <c r="G1362" s="74">
        <v>20</v>
      </c>
      <c r="H1362" s="74"/>
      <c r="I1362" s="74">
        <v>2</v>
      </c>
      <c r="J1362" s="74">
        <v>4</v>
      </c>
      <c r="N1362" s="74">
        <v>2</v>
      </c>
      <c r="P1362" s="74">
        <v>2</v>
      </c>
      <c r="R1362" s="122" t="s">
        <v>1686</v>
      </c>
    </row>
    <row r="1363" s="34" customFormat="1" ht="15.75" spans="1:18">
      <c r="A1363" s="74">
        <v>900107</v>
      </c>
      <c r="B1363" s="74">
        <v>6003</v>
      </c>
      <c r="C1363" s="74" t="s">
        <v>1695</v>
      </c>
      <c r="D1363" s="117" t="s">
        <v>1696</v>
      </c>
      <c r="E1363" s="74"/>
      <c r="F1363" s="74">
        <v>141</v>
      </c>
      <c r="G1363" s="74">
        <v>30</v>
      </c>
      <c r="H1363" s="74"/>
      <c r="I1363" s="74">
        <v>2</v>
      </c>
      <c r="J1363" s="74">
        <v>4</v>
      </c>
      <c r="N1363" s="74">
        <v>2</v>
      </c>
      <c r="P1363" s="74">
        <v>2</v>
      </c>
      <c r="R1363" s="122" t="s">
        <v>1683</v>
      </c>
    </row>
    <row r="1364" s="34" customFormat="1" ht="15.75" spans="1:18">
      <c r="A1364" s="74">
        <v>900108</v>
      </c>
      <c r="B1364" s="74">
        <v>6003</v>
      </c>
      <c r="C1364" s="74" t="s">
        <v>1697</v>
      </c>
      <c r="D1364" s="117" t="s">
        <v>1698</v>
      </c>
      <c r="E1364" s="74"/>
      <c r="F1364" s="74">
        <v>141</v>
      </c>
      <c r="G1364" s="74">
        <v>40</v>
      </c>
      <c r="H1364" s="74"/>
      <c r="I1364" s="74">
        <v>2</v>
      </c>
      <c r="J1364" s="74">
        <v>4</v>
      </c>
      <c r="N1364" s="74">
        <v>2</v>
      </c>
      <c r="P1364" s="74">
        <v>2</v>
      </c>
      <c r="R1364" s="122" t="s">
        <v>1686</v>
      </c>
    </row>
    <row r="1365" s="34" customFormat="1" ht="15.75" spans="1:18">
      <c r="A1365" s="74">
        <v>900109</v>
      </c>
      <c r="B1365" s="74">
        <v>6003</v>
      </c>
      <c r="C1365" s="74" t="s">
        <v>1699</v>
      </c>
      <c r="D1365" s="117" t="s">
        <v>1700</v>
      </c>
      <c r="E1365" s="74"/>
      <c r="F1365" s="74">
        <v>141</v>
      </c>
      <c r="G1365" s="74">
        <v>60</v>
      </c>
      <c r="H1365" s="74"/>
      <c r="I1365" s="74">
        <v>2</v>
      </c>
      <c r="J1365" s="74">
        <v>4</v>
      </c>
      <c r="N1365" s="74">
        <v>2</v>
      </c>
      <c r="P1365" s="74">
        <v>2</v>
      </c>
      <c r="R1365" s="122" t="s">
        <v>1683</v>
      </c>
    </row>
    <row r="1366" s="34" customFormat="1" ht="15.75" spans="1:18">
      <c r="A1366" s="74">
        <v>900110</v>
      </c>
      <c r="B1366" s="74">
        <v>6003</v>
      </c>
      <c r="C1366" s="74" t="s">
        <v>1701</v>
      </c>
      <c r="D1366" s="117" t="s">
        <v>1702</v>
      </c>
      <c r="E1366" s="74"/>
      <c r="F1366" s="74">
        <v>141</v>
      </c>
      <c r="G1366" s="74">
        <v>80</v>
      </c>
      <c r="H1366" s="74"/>
      <c r="I1366" s="74">
        <v>2</v>
      </c>
      <c r="J1366" s="74">
        <v>4</v>
      </c>
      <c r="N1366" s="74">
        <v>2</v>
      </c>
      <c r="P1366" s="74">
        <v>2</v>
      </c>
      <c r="R1366" s="122" t="s">
        <v>1703</v>
      </c>
    </row>
    <row r="1367" s="34" customFormat="1" ht="15.75" spans="1:18">
      <c r="A1367" s="74">
        <v>900111</v>
      </c>
      <c r="B1367" s="74">
        <v>6003</v>
      </c>
      <c r="C1367" s="74" t="s">
        <v>1704</v>
      </c>
      <c r="D1367" s="117" t="s">
        <v>1705</v>
      </c>
      <c r="E1367" s="74"/>
      <c r="F1367" s="74">
        <v>141</v>
      </c>
      <c r="G1367" s="74">
        <v>100</v>
      </c>
      <c r="H1367" s="74"/>
      <c r="I1367" s="74">
        <v>2</v>
      </c>
      <c r="J1367" s="74">
        <v>4</v>
      </c>
      <c r="N1367" s="74">
        <v>2</v>
      </c>
      <c r="P1367" s="74">
        <v>2</v>
      </c>
      <c r="R1367" s="122" t="s">
        <v>1683</v>
      </c>
    </row>
    <row r="1368" s="34" customFormat="1" ht="15.75" spans="1:18">
      <c r="A1368" s="74">
        <v>900112</v>
      </c>
      <c r="B1368" s="74">
        <v>6003</v>
      </c>
      <c r="C1368" s="74" t="s">
        <v>1706</v>
      </c>
      <c r="D1368" s="117" t="s">
        <v>1707</v>
      </c>
      <c r="E1368" s="74"/>
      <c r="F1368" s="74">
        <v>141</v>
      </c>
      <c r="G1368" s="74">
        <v>150</v>
      </c>
      <c r="H1368" s="74"/>
      <c r="I1368" s="74">
        <v>2</v>
      </c>
      <c r="J1368" s="74">
        <v>4</v>
      </c>
      <c r="N1368" s="74">
        <v>2</v>
      </c>
      <c r="P1368" s="74">
        <v>2</v>
      </c>
      <c r="R1368" s="122" t="s">
        <v>1703</v>
      </c>
    </row>
    <row r="1369" s="34" customFormat="1" ht="15.75" spans="1:18">
      <c r="A1369" s="74">
        <v>900113</v>
      </c>
      <c r="B1369" s="74">
        <v>6003</v>
      </c>
      <c r="C1369" s="74" t="s">
        <v>1708</v>
      </c>
      <c r="D1369" s="117" t="s">
        <v>1709</v>
      </c>
      <c r="E1369" s="74"/>
      <c r="F1369" s="74">
        <v>141</v>
      </c>
      <c r="G1369" s="74">
        <v>200</v>
      </c>
      <c r="H1369" s="74"/>
      <c r="I1369" s="74">
        <v>2</v>
      </c>
      <c r="J1369" s="74">
        <v>4</v>
      </c>
      <c r="N1369" s="74">
        <v>2</v>
      </c>
      <c r="P1369" s="74">
        <v>2</v>
      </c>
      <c r="R1369" s="122" t="s">
        <v>1683</v>
      </c>
    </row>
    <row r="1370" s="42" customFormat="1" ht="15.75" spans="1:18">
      <c r="A1370" s="98">
        <v>900201</v>
      </c>
      <c r="B1370" s="98">
        <v>6003</v>
      </c>
      <c r="C1370" s="98" t="s">
        <v>1710</v>
      </c>
      <c r="D1370" s="103" t="s">
        <v>1711</v>
      </c>
      <c r="E1370" s="98"/>
      <c r="F1370" s="98">
        <v>141</v>
      </c>
      <c r="G1370" s="98">
        <v>2</v>
      </c>
      <c r="H1370" s="98"/>
      <c r="I1370" s="98">
        <v>1</v>
      </c>
      <c r="J1370" s="98">
        <v>4</v>
      </c>
      <c r="N1370" s="98">
        <v>2</v>
      </c>
      <c r="P1370" s="98">
        <v>2</v>
      </c>
      <c r="R1370" s="122" t="s">
        <v>1683</v>
      </c>
    </row>
    <row r="1371" s="42" customFormat="1" ht="15.75" spans="1:18">
      <c r="A1371" s="98">
        <v>900202</v>
      </c>
      <c r="B1371" s="98">
        <v>6003</v>
      </c>
      <c r="C1371" s="98" t="s">
        <v>1712</v>
      </c>
      <c r="D1371" s="103" t="s">
        <v>1713</v>
      </c>
      <c r="E1371" s="98"/>
      <c r="F1371" s="98">
        <v>141</v>
      </c>
      <c r="G1371" s="98">
        <v>4</v>
      </c>
      <c r="H1371" s="98"/>
      <c r="I1371" s="98">
        <v>1</v>
      </c>
      <c r="J1371" s="98">
        <v>4</v>
      </c>
      <c r="N1371" s="98">
        <v>2</v>
      </c>
      <c r="P1371" s="98">
        <v>2</v>
      </c>
      <c r="R1371" s="122" t="s">
        <v>1686</v>
      </c>
    </row>
    <row r="1372" s="42" customFormat="1" ht="15.75" spans="1:18">
      <c r="A1372" s="98">
        <v>900203</v>
      </c>
      <c r="B1372" s="98">
        <v>6003</v>
      </c>
      <c r="C1372" s="98" t="s">
        <v>1714</v>
      </c>
      <c r="D1372" s="103" t="s">
        <v>1715</v>
      </c>
      <c r="E1372" s="98"/>
      <c r="F1372" s="98">
        <v>141</v>
      </c>
      <c r="G1372" s="98">
        <v>6</v>
      </c>
      <c r="H1372" s="98"/>
      <c r="I1372" s="98">
        <v>1</v>
      </c>
      <c r="J1372" s="98">
        <v>4</v>
      </c>
      <c r="N1372" s="98">
        <v>2</v>
      </c>
      <c r="P1372" s="98">
        <v>2</v>
      </c>
      <c r="R1372" s="122" t="s">
        <v>1683</v>
      </c>
    </row>
    <row r="1373" s="42" customFormat="1" ht="15.75" spans="1:18">
      <c r="A1373" s="98">
        <v>900204</v>
      </c>
      <c r="B1373" s="98">
        <v>6003</v>
      </c>
      <c r="C1373" s="98" t="s">
        <v>1716</v>
      </c>
      <c r="D1373" s="103" t="s">
        <v>1717</v>
      </c>
      <c r="E1373" s="98"/>
      <c r="F1373" s="98">
        <v>141</v>
      </c>
      <c r="G1373" s="98">
        <v>10</v>
      </c>
      <c r="H1373" s="98"/>
      <c r="I1373" s="98">
        <v>1</v>
      </c>
      <c r="J1373" s="98">
        <v>4</v>
      </c>
      <c r="N1373" s="98">
        <v>2</v>
      </c>
      <c r="P1373" s="98">
        <v>2</v>
      </c>
      <c r="R1373" s="122" t="s">
        <v>1686</v>
      </c>
    </row>
    <row r="1374" s="42" customFormat="1" ht="15.75" spans="1:18">
      <c r="A1374" s="98">
        <v>900205</v>
      </c>
      <c r="B1374" s="98">
        <v>6003</v>
      </c>
      <c r="C1374" s="98" t="s">
        <v>1718</v>
      </c>
      <c r="D1374" s="103" t="s">
        <v>1719</v>
      </c>
      <c r="E1374" s="98"/>
      <c r="F1374" s="98">
        <v>141</v>
      </c>
      <c r="G1374" s="98">
        <v>15</v>
      </c>
      <c r="H1374" s="98"/>
      <c r="I1374" s="98">
        <v>1</v>
      </c>
      <c r="J1374" s="98">
        <v>4</v>
      </c>
      <c r="N1374" s="98">
        <v>2</v>
      </c>
      <c r="P1374" s="98">
        <v>2</v>
      </c>
      <c r="R1374" s="122" t="s">
        <v>1683</v>
      </c>
    </row>
    <row r="1375" s="42" customFormat="1" ht="15.75" spans="1:18">
      <c r="A1375" s="98">
        <v>900206</v>
      </c>
      <c r="B1375" s="98">
        <v>6003</v>
      </c>
      <c r="C1375" s="98" t="s">
        <v>1720</v>
      </c>
      <c r="D1375" s="103" t="s">
        <v>1721</v>
      </c>
      <c r="E1375" s="98"/>
      <c r="F1375" s="98">
        <v>141</v>
      </c>
      <c r="G1375" s="98">
        <v>20</v>
      </c>
      <c r="H1375" s="98"/>
      <c r="I1375" s="98">
        <v>1</v>
      </c>
      <c r="J1375" s="98">
        <v>4</v>
      </c>
      <c r="N1375" s="98">
        <v>2</v>
      </c>
      <c r="P1375" s="98">
        <v>2</v>
      </c>
      <c r="R1375" s="122" t="s">
        <v>1686</v>
      </c>
    </row>
    <row r="1376" s="42" customFormat="1" ht="15.75" spans="1:18">
      <c r="A1376" s="98">
        <v>900207</v>
      </c>
      <c r="B1376" s="98">
        <v>6003</v>
      </c>
      <c r="C1376" s="98" t="s">
        <v>1722</v>
      </c>
      <c r="D1376" s="103" t="s">
        <v>1723</v>
      </c>
      <c r="E1376" s="98"/>
      <c r="F1376" s="98">
        <v>141</v>
      </c>
      <c r="G1376" s="98">
        <v>30</v>
      </c>
      <c r="H1376" s="98"/>
      <c r="I1376" s="98">
        <v>1</v>
      </c>
      <c r="J1376" s="98">
        <v>4</v>
      </c>
      <c r="N1376" s="98">
        <v>2</v>
      </c>
      <c r="P1376" s="98">
        <v>2</v>
      </c>
      <c r="R1376" s="122" t="s">
        <v>1683</v>
      </c>
    </row>
    <row r="1377" s="42" customFormat="1" ht="15.75" spans="1:18">
      <c r="A1377" s="98">
        <v>900208</v>
      </c>
      <c r="B1377" s="98">
        <v>6003</v>
      </c>
      <c r="C1377" s="98" t="s">
        <v>1724</v>
      </c>
      <c r="D1377" s="103" t="s">
        <v>1725</v>
      </c>
      <c r="E1377" s="98"/>
      <c r="F1377" s="98">
        <v>141</v>
      </c>
      <c r="G1377" s="98">
        <v>40</v>
      </c>
      <c r="H1377" s="98"/>
      <c r="I1377" s="98">
        <v>1</v>
      </c>
      <c r="J1377" s="98">
        <v>4</v>
      </c>
      <c r="N1377" s="98">
        <v>2</v>
      </c>
      <c r="P1377" s="98">
        <v>2</v>
      </c>
      <c r="R1377" s="122" t="s">
        <v>1686</v>
      </c>
    </row>
    <row r="1378" s="42" customFormat="1" ht="15.75" spans="1:18">
      <c r="A1378" s="98">
        <v>900209</v>
      </c>
      <c r="B1378" s="98">
        <v>6003</v>
      </c>
      <c r="C1378" s="98" t="s">
        <v>1726</v>
      </c>
      <c r="D1378" s="103" t="s">
        <v>1727</v>
      </c>
      <c r="E1378" s="98"/>
      <c r="F1378" s="98">
        <v>141</v>
      </c>
      <c r="G1378" s="98">
        <v>60</v>
      </c>
      <c r="H1378" s="98"/>
      <c r="I1378" s="98">
        <v>1</v>
      </c>
      <c r="J1378" s="98">
        <v>4</v>
      </c>
      <c r="N1378" s="98">
        <v>2</v>
      </c>
      <c r="P1378" s="98">
        <v>2</v>
      </c>
      <c r="R1378" s="122" t="s">
        <v>1683</v>
      </c>
    </row>
    <row r="1379" s="42" customFormat="1" ht="15.75" spans="1:18">
      <c r="A1379" s="98">
        <v>900210</v>
      </c>
      <c r="B1379" s="98">
        <v>6003</v>
      </c>
      <c r="C1379" s="98" t="s">
        <v>1728</v>
      </c>
      <c r="D1379" s="103" t="s">
        <v>1729</v>
      </c>
      <c r="E1379" s="98"/>
      <c r="F1379" s="98">
        <v>141</v>
      </c>
      <c r="G1379" s="98">
        <v>80</v>
      </c>
      <c r="H1379" s="98"/>
      <c r="I1379" s="98">
        <v>1</v>
      </c>
      <c r="J1379" s="98">
        <v>4</v>
      </c>
      <c r="N1379" s="98">
        <v>2</v>
      </c>
      <c r="P1379" s="98">
        <v>2</v>
      </c>
      <c r="R1379" s="122" t="s">
        <v>1703</v>
      </c>
    </row>
    <row r="1380" s="42" customFormat="1" ht="15.75" spans="1:18">
      <c r="A1380" s="98">
        <v>900211</v>
      </c>
      <c r="B1380" s="98">
        <v>6003</v>
      </c>
      <c r="C1380" s="98" t="s">
        <v>1730</v>
      </c>
      <c r="D1380" s="103" t="s">
        <v>1731</v>
      </c>
      <c r="E1380" s="98"/>
      <c r="F1380" s="98">
        <v>141</v>
      </c>
      <c r="G1380" s="98">
        <v>100</v>
      </c>
      <c r="H1380" s="98"/>
      <c r="I1380" s="98">
        <v>1</v>
      </c>
      <c r="J1380" s="98">
        <v>4</v>
      </c>
      <c r="N1380" s="98">
        <v>2</v>
      </c>
      <c r="P1380" s="98">
        <v>2</v>
      </c>
      <c r="R1380" s="122" t="s">
        <v>1683</v>
      </c>
    </row>
    <row r="1381" s="42" customFormat="1" ht="15.75" spans="1:18">
      <c r="A1381" s="98">
        <v>900212</v>
      </c>
      <c r="B1381" s="98">
        <v>6003</v>
      </c>
      <c r="C1381" s="98" t="s">
        <v>1732</v>
      </c>
      <c r="D1381" s="103" t="s">
        <v>1733</v>
      </c>
      <c r="E1381" s="98"/>
      <c r="F1381" s="98">
        <v>141</v>
      </c>
      <c r="G1381" s="98">
        <v>150</v>
      </c>
      <c r="H1381" s="98"/>
      <c r="I1381" s="98">
        <v>1</v>
      </c>
      <c r="J1381" s="98">
        <v>4</v>
      </c>
      <c r="N1381" s="98">
        <v>2</v>
      </c>
      <c r="P1381" s="98">
        <v>2</v>
      </c>
      <c r="R1381" s="122" t="s">
        <v>1703</v>
      </c>
    </row>
    <row r="1382" s="42" customFormat="1" ht="15.75" spans="1:18">
      <c r="A1382" s="98">
        <v>900213</v>
      </c>
      <c r="B1382" s="98">
        <v>6003</v>
      </c>
      <c r="C1382" s="98" t="s">
        <v>1734</v>
      </c>
      <c r="D1382" s="103" t="s">
        <v>1735</v>
      </c>
      <c r="E1382" s="98"/>
      <c r="F1382" s="98">
        <v>141</v>
      </c>
      <c r="G1382" s="98">
        <v>200</v>
      </c>
      <c r="H1382" s="98"/>
      <c r="I1382" s="98">
        <v>1</v>
      </c>
      <c r="J1382" s="98">
        <v>4</v>
      </c>
      <c r="N1382" s="98">
        <v>2</v>
      </c>
      <c r="P1382" s="98">
        <v>2</v>
      </c>
      <c r="R1382" s="122" t="s">
        <v>1683</v>
      </c>
    </row>
    <row r="1383" s="44" customFormat="1" ht="15.75" spans="1:18">
      <c r="A1383" s="118">
        <v>900301</v>
      </c>
      <c r="B1383" s="118">
        <v>6003</v>
      </c>
      <c r="C1383" s="118" t="s">
        <v>1736</v>
      </c>
      <c r="D1383" s="119" t="s">
        <v>1737</v>
      </c>
      <c r="E1383" s="118"/>
      <c r="F1383" s="118">
        <v>141</v>
      </c>
      <c r="G1383" s="118">
        <v>3</v>
      </c>
      <c r="H1383" s="118"/>
      <c r="I1383" s="118">
        <v>3</v>
      </c>
      <c r="J1383" s="118">
        <v>4</v>
      </c>
      <c r="N1383" s="118">
        <v>2</v>
      </c>
      <c r="P1383" s="118">
        <v>2</v>
      </c>
      <c r="R1383" s="122" t="s">
        <v>1738</v>
      </c>
    </row>
    <row r="1384" s="44" customFormat="1" ht="15.75" spans="1:18">
      <c r="A1384" s="118">
        <v>900302</v>
      </c>
      <c r="B1384" s="118">
        <v>6003</v>
      </c>
      <c r="C1384" s="118" t="s">
        <v>1739</v>
      </c>
      <c r="D1384" s="119" t="s">
        <v>1740</v>
      </c>
      <c r="E1384" s="118"/>
      <c r="F1384" s="118">
        <v>141</v>
      </c>
      <c r="G1384" s="118">
        <v>6</v>
      </c>
      <c r="H1384" s="118"/>
      <c r="I1384" s="118">
        <v>3</v>
      </c>
      <c r="J1384" s="118">
        <v>4</v>
      </c>
      <c r="N1384" s="118">
        <v>2</v>
      </c>
      <c r="P1384" s="118">
        <v>2</v>
      </c>
      <c r="R1384" s="122" t="s">
        <v>1703</v>
      </c>
    </row>
    <row r="1385" s="44" customFormat="1" ht="15.75" spans="1:18">
      <c r="A1385" s="118">
        <v>900303</v>
      </c>
      <c r="B1385" s="118">
        <v>6003</v>
      </c>
      <c r="C1385" s="118" t="s">
        <v>1741</v>
      </c>
      <c r="D1385" s="119" t="s">
        <v>1742</v>
      </c>
      <c r="E1385" s="118"/>
      <c r="F1385" s="118">
        <v>141</v>
      </c>
      <c r="G1385" s="118">
        <v>9</v>
      </c>
      <c r="H1385" s="118"/>
      <c r="I1385" s="118">
        <v>3</v>
      </c>
      <c r="J1385" s="118">
        <v>4</v>
      </c>
      <c r="N1385" s="118">
        <v>2</v>
      </c>
      <c r="P1385" s="118">
        <v>2</v>
      </c>
      <c r="R1385" s="122" t="s">
        <v>1738</v>
      </c>
    </row>
    <row r="1386" s="44" customFormat="1" ht="15.75" spans="1:18">
      <c r="A1386" s="118">
        <v>900304</v>
      </c>
      <c r="B1386" s="118">
        <v>6003</v>
      </c>
      <c r="C1386" s="118" t="s">
        <v>1743</v>
      </c>
      <c r="D1386" s="119" t="s">
        <v>1744</v>
      </c>
      <c r="E1386" s="118"/>
      <c r="F1386" s="118">
        <v>141</v>
      </c>
      <c r="G1386" s="118">
        <v>15</v>
      </c>
      <c r="H1386" s="118"/>
      <c r="I1386" s="118">
        <v>3</v>
      </c>
      <c r="J1386" s="118">
        <v>4</v>
      </c>
      <c r="N1386" s="118">
        <v>2</v>
      </c>
      <c r="P1386" s="118">
        <v>2</v>
      </c>
      <c r="R1386" s="122" t="s">
        <v>1703</v>
      </c>
    </row>
    <row r="1387" s="44" customFormat="1" ht="15.75" spans="1:18">
      <c r="A1387" s="118">
        <v>900305</v>
      </c>
      <c r="B1387" s="118">
        <v>6003</v>
      </c>
      <c r="C1387" s="118" t="s">
        <v>1745</v>
      </c>
      <c r="D1387" s="119" t="s">
        <v>1746</v>
      </c>
      <c r="E1387" s="118"/>
      <c r="F1387" s="118">
        <v>141</v>
      </c>
      <c r="G1387" s="118">
        <v>30</v>
      </c>
      <c r="H1387" s="118"/>
      <c r="I1387" s="118">
        <v>3</v>
      </c>
      <c r="J1387" s="118">
        <v>4</v>
      </c>
      <c r="N1387" s="118">
        <v>2</v>
      </c>
      <c r="P1387" s="118">
        <v>2</v>
      </c>
      <c r="R1387" s="122" t="s">
        <v>1738</v>
      </c>
    </row>
    <row r="1388" s="44" customFormat="1" ht="15.75" spans="1:18">
      <c r="A1388" s="118">
        <v>900306</v>
      </c>
      <c r="B1388" s="118">
        <v>6003</v>
      </c>
      <c r="C1388" s="118" t="s">
        <v>1747</v>
      </c>
      <c r="D1388" s="119" t="s">
        <v>1748</v>
      </c>
      <c r="E1388" s="118"/>
      <c r="F1388" s="118">
        <v>141</v>
      </c>
      <c r="G1388" s="118">
        <v>45</v>
      </c>
      <c r="H1388" s="118"/>
      <c r="I1388" s="118">
        <v>3</v>
      </c>
      <c r="J1388" s="118">
        <v>4</v>
      </c>
      <c r="N1388" s="118">
        <v>2</v>
      </c>
      <c r="P1388" s="118">
        <v>2</v>
      </c>
      <c r="R1388" s="122" t="s">
        <v>1703</v>
      </c>
    </row>
    <row r="1389" s="44" customFormat="1" ht="15.75" spans="1:18">
      <c r="A1389" s="118">
        <v>900307</v>
      </c>
      <c r="B1389" s="118">
        <v>6003</v>
      </c>
      <c r="C1389" s="118" t="s">
        <v>1749</v>
      </c>
      <c r="D1389" s="119" t="s">
        <v>1750</v>
      </c>
      <c r="E1389" s="118"/>
      <c r="F1389" s="118">
        <v>141</v>
      </c>
      <c r="G1389" s="118">
        <v>75</v>
      </c>
      <c r="H1389" s="118"/>
      <c r="I1389" s="118">
        <v>3</v>
      </c>
      <c r="J1389" s="118">
        <v>4</v>
      </c>
      <c r="N1389" s="118">
        <v>2</v>
      </c>
      <c r="P1389" s="118">
        <v>2</v>
      </c>
      <c r="R1389" s="122" t="s">
        <v>1738</v>
      </c>
    </row>
    <row r="1390" s="44" customFormat="1" ht="15.75" spans="1:18">
      <c r="A1390" s="118">
        <v>900308</v>
      </c>
      <c r="B1390" s="118">
        <v>6003</v>
      </c>
      <c r="C1390" s="118" t="s">
        <v>1751</v>
      </c>
      <c r="D1390" s="119" t="s">
        <v>1752</v>
      </c>
      <c r="E1390" s="118"/>
      <c r="F1390" s="118">
        <v>141</v>
      </c>
      <c r="G1390" s="118">
        <v>125</v>
      </c>
      <c r="H1390" s="118"/>
      <c r="I1390" s="118">
        <v>3</v>
      </c>
      <c r="J1390" s="118">
        <v>4</v>
      </c>
      <c r="N1390" s="118">
        <v>2</v>
      </c>
      <c r="P1390" s="118">
        <v>2</v>
      </c>
      <c r="R1390" s="122" t="s">
        <v>1703</v>
      </c>
    </row>
    <row r="1391" s="44" customFormat="1" ht="15.75" spans="1:18">
      <c r="A1391" s="118">
        <v>900309</v>
      </c>
      <c r="B1391" s="118">
        <v>6003</v>
      </c>
      <c r="C1391" s="118" t="s">
        <v>1753</v>
      </c>
      <c r="D1391" s="119" t="s">
        <v>1754</v>
      </c>
      <c r="E1391" s="118"/>
      <c r="F1391" s="118">
        <v>141</v>
      </c>
      <c r="G1391" s="118">
        <v>190</v>
      </c>
      <c r="H1391" s="118"/>
      <c r="I1391" s="118">
        <v>3</v>
      </c>
      <c r="J1391" s="118">
        <v>4</v>
      </c>
      <c r="N1391" s="118">
        <v>2</v>
      </c>
      <c r="P1391" s="118">
        <v>2</v>
      </c>
      <c r="R1391" s="122" t="s">
        <v>1738</v>
      </c>
    </row>
    <row r="1392" s="44" customFormat="1" ht="15.75" spans="1:18">
      <c r="A1392" s="118">
        <v>900310</v>
      </c>
      <c r="B1392" s="118">
        <v>6003</v>
      </c>
      <c r="C1392" s="118" t="s">
        <v>1755</v>
      </c>
      <c r="D1392" s="119" t="s">
        <v>1756</v>
      </c>
      <c r="E1392" s="118"/>
      <c r="F1392" s="118">
        <v>141</v>
      </c>
      <c r="G1392" s="118">
        <v>250</v>
      </c>
      <c r="H1392" s="118"/>
      <c r="I1392" s="118">
        <v>3</v>
      </c>
      <c r="J1392" s="118">
        <v>4</v>
      </c>
      <c r="N1392" s="118">
        <v>2</v>
      </c>
      <c r="P1392" s="118">
        <v>2</v>
      </c>
      <c r="R1392" s="122" t="s">
        <v>1738</v>
      </c>
    </row>
    <row r="1393" s="42" customFormat="1" ht="15.75" spans="1:18">
      <c r="A1393" s="98">
        <v>900401</v>
      </c>
      <c r="B1393" s="98">
        <v>6001</v>
      </c>
      <c r="C1393" s="98" t="s">
        <v>1757</v>
      </c>
      <c r="D1393" s="103" t="s">
        <v>1758</v>
      </c>
      <c r="E1393" s="98"/>
      <c r="F1393" s="98">
        <v>141</v>
      </c>
      <c r="G1393" s="98">
        <v>5</v>
      </c>
      <c r="H1393" s="98"/>
      <c r="I1393" s="98"/>
      <c r="J1393" s="98">
        <v>4</v>
      </c>
      <c r="N1393" s="98">
        <v>2</v>
      </c>
      <c r="P1393" s="98">
        <v>2</v>
      </c>
      <c r="R1393" s="123" t="s">
        <v>820</v>
      </c>
    </row>
    <row r="1394" s="42" customFormat="1" ht="15.75" spans="1:18">
      <c r="A1394" s="98">
        <v>900402</v>
      </c>
      <c r="B1394" s="98">
        <v>6001</v>
      </c>
      <c r="C1394" s="98" t="s">
        <v>1759</v>
      </c>
      <c r="D1394" s="103" t="s">
        <v>1760</v>
      </c>
      <c r="E1394" s="98"/>
      <c r="F1394" s="98">
        <v>141</v>
      </c>
      <c r="G1394" s="98">
        <v>20</v>
      </c>
      <c r="H1394" s="98"/>
      <c r="I1394" s="98"/>
      <c r="J1394" s="98">
        <v>4</v>
      </c>
      <c r="N1394" s="98">
        <v>2</v>
      </c>
      <c r="P1394" s="98">
        <v>2</v>
      </c>
      <c r="R1394" s="123" t="s">
        <v>824</v>
      </c>
    </row>
    <row r="1395" s="42" customFormat="1" ht="15.75" spans="1:18">
      <c r="A1395" s="98">
        <v>900403</v>
      </c>
      <c r="B1395" s="98">
        <v>6001</v>
      </c>
      <c r="C1395" s="98" t="s">
        <v>1761</v>
      </c>
      <c r="D1395" s="103" t="s">
        <v>1762</v>
      </c>
      <c r="E1395" s="98"/>
      <c r="F1395" s="98">
        <v>141</v>
      </c>
      <c r="G1395" s="98">
        <v>30</v>
      </c>
      <c r="H1395" s="98"/>
      <c r="I1395" s="98"/>
      <c r="J1395" s="98">
        <v>4</v>
      </c>
      <c r="N1395" s="98">
        <v>2</v>
      </c>
      <c r="P1395" s="98">
        <v>2</v>
      </c>
      <c r="R1395" s="123" t="s">
        <v>826</v>
      </c>
    </row>
    <row r="1396" s="42" customFormat="1" ht="15.75" spans="1:18">
      <c r="A1396" s="98">
        <v>900404</v>
      </c>
      <c r="B1396" s="98">
        <v>6001</v>
      </c>
      <c r="C1396" s="98" t="s">
        <v>1763</v>
      </c>
      <c r="D1396" s="103" t="s">
        <v>1764</v>
      </c>
      <c r="E1396" s="98"/>
      <c r="F1396" s="98">
        <v>141</v>
      </c>
      <c r="G1396" s="98">
        <v>50</v>
      </c>
      <c r="H1396" s="98"/>
      <c r="I1396" s="98"/>
      <c r="J1396" s="98">
        <v>4</v>
      </c>
      <c r="N1396" s="98">
        <v>2</v>
      </c>
      <c r="P1396" s="98">
        <v>2</v>
      </c>
      <c r="R1396" s="123" t="s">
        <v>1653</v>
      </c>
    </row>
    <row r="1397" s="42" customFormat="1" ht="15.75" spans="1:18">
      <c r="A1397" s="98">
        <v>900405</v>
      </c>
      <c r="B1397" s="98">
        <v>6001</v>
      </c>
      <c r="C1397" s="98" t="s">
        <v>1765</v>
      </c>
      <c r="D1397" s="103" t="s">
        <v>1766</v>
      </c>
      <c r="E1397" s="98"/>
      <c r="F1397" s="98">
        <v>141</v>
      </c>
      <c r="G1397" s="98">
        <v>100</v>
      </c>
      <c r="H1397" s="98"/>
      <c r="I1397" s="98"/>
      <c r="J1397" s="98">
        <v>4</v>
      </c>
      <c r="N1397" s="98">
        <v>2</v>
      </c>
      <c r="P1397" s="98">
        <v>2</v>
      </c>
      <c r="R1397" s="123" t="s">
        <v>1767</v>
      </c>
    </row>
    <row r="1398" s="45" customFormat="1" ht="15.75" spans="1:18">
      <c r="A1398" s="120">
        <v>900501</v>
      </c>
      <c r="B1398" s="120">
        <v>6004</v>
      </c>
      <c r="C1398" s="120" t="s">
        <v>1768</v>
      </c>
      <c r="D1398" s="121" t="s">
        <v>1769</v>
      </c>
      <c r="E1398" s="120"/>
      <c r="F1398" s="120">
        <v>141</v>
      </c>
      <c r="G1398" s="120">
        <v>5</v>
      </c>
      <c r="H1398" s="120"/>
      <c r="I1398" s="120">
        <v>1</v>
      </c>
      <c r="J1398" s="120">
        <v>4</v>
      </c>
      <c r="N1398" s="120">
        <v>2</v>
      </c>
      <c r="P1398" s="120">
        <v>2</v>
      </c>
      <c r="R1398" s="124" t="s">
        <v>1770</v>
      </c>
    </row>
    <row r="1399" s="45" customFormat="1" ht="15.75" spans="1:18">
      <c r="A1399" s="120">
        <v>900502</v>
      </c>
      <c r="B1399" s="120">
        <v>6004</v>
      </c>
      <c r="C1399" s="120" t="s">
        <v>1771</v>
      </c>
      <c r="D1399" s="121" t="s">
        <v>1772</v>
      </c>
      <c r="E1399" s="120"/>
      <c r="F1399" s="120">
        <v>141</v>
      </c>
      <c r="G1399" s="120">
        <v>5</v>
      </c>
      <c r="H1399" s="120"/>
      <c r="I1399" s="120">
        <v>2</v>
      </c>
      <c r="J1399" s="120">
        <v>4</v>
      </c>
      <c r="N1399" s="120">
        <v>2</v>
      </c>
      <c r="P1399" s="120">
        <v>2</v>
      </c>
      <c r="R1399" s="124" t="s">
        <v>1773</v>
      </c>
    </row>
    <row r="1400" s="45" customFormat="1" ht="15.75" spans="1:18">
      <c r="A1400" s="120">
        <v>900503</v>
      </c>
      <c r="B1400" s="120">
        <v>6004</v>
      </c>
      <c r="C1400" s="120" t="s">
        <v>1774</v>
      </c>
      <c r="D1400" s="121" t="s">
        <v>1775</v>
      </c>
      <c r="E1400" s="120"/>
      <c r="F1400" s="120">
        <v>141</v>
      </c>
      <c r="G1400" s="120">
        <v>5</v>
      </c>
      <c r="H1400" s="120"/>
      <c r="I1400" s="120">
        <v>3</v>
      </c>
      <c r="J1400" s="120">
        <v>4</v>
      </c>
      <c r="N1400" s="120">
        <v>2</v>
      </c>
      <c r="P1400" s="120">
        <v>2</v>
      </c>
      <c r="R1400" s="124" t="s">
        <v>1776</v>
      </c>
    </row>
    <row r="1401" s="45" customFormat="1" ht="15.75" spans="1:18">
      <c r="A1401" s="120">
        <v>900504</v>
      </c>
      <c r="B1401" s="120">
        <v>6004</v>
      </c>
      <c r="C1401" s="120" t="s">
        <v>1777</v>
      </c>
      <c r="D1401" s="121" t="s">
        <v>1778</v>
      </c>
      <c r="E1401" s="120"/>
      <c r="F1401" s="120">
        <v>141</v>
      </c>
      <c r="G1401" s="120">
        <v>5</v>
      </c>
      <c r="H1401" s="120"/>
      <c r="I1401" s="120">
        <v>4</v>
      </c>
      <c r="J1401" s="120">
        <v>4</v>
      </c>
      <c r="N1401" s="120">
        <v>2</v>
      </c>
      <c r="P1401" s="120">
        <v>2</v>
      </c>
      <c r="R1401" s="124" t="s">
        <v>1779</v>
      </c>
    </row>
    <row r="1402" s="45" customFormat="1" ht="15.75" spans="1:18">
      <c r="A1402" s="120">
        <v>900505</v>
      </c>
      <c r="B1402" s="120">
        <v>6004</v>
      </c>
      <c r="C1402" s="120" t="s">
        <v>1780</v>
      </c>
      <c r="D1402" s="121" t="s">
        <v>1781</v>
      </c>
      <c r="E1402" s="120"/>
      <c r="F1402" s="120">
        <v>141</v>
      </c>
      <c r="G1402" s="120">
        <v>5</v>
      </c>
      <c r="H1402" s="120"/>
      <c r="I1402" s="120">
        <v>5</v>
      </c>
      <c r="J1402" s="120">
        <v>4</v>
      </c>
      <c r="N1402" s="120">
        <v>2</v>
      </c>
      <c r="P1402" s="120">
        <v>2</v>
      </c>
      <c r="R1402" s="124" t="s">
        <v>1738</v>
      </c>
    </row>
    <row r="1403" s="43" customFormat="1" ht="15.75" spans="1:18">
      <c r="A1403" s="105">
        <v>900601</v>
      </c>
      <c r="B1403" s="105">
        <v>4000</v>
      </c>
      <c r="C1403" s="105" t="s">
        <v>1782</v>
      </c>
      <c r="D1403" s="106" t="s">
        <v>1783</v>
      </c>
      <c r="E1403" s="105"/>
      <c r="F1403" s="105">
        <v>141</v>
      </c>
      <c r="G1403" s="105">
        <v>100</v>
      </c>
      <c r="H1403" s="105"/>
      <c r="I1403" s="105">
        <v>1</v>
      </c>
      <c r="J1403" s="105">
        <v>4</v>
      </c>
      <c r="N1403" s="105">
        <v>2</v>
      </c>
      <c r="P1403" s="105">
        <v>2</v>
      </c>
      <c r="R1403" s="125" t="s">
        <v>474</v>
      </c>
    </row>
    <row r="1404" s="43" customFormat="1" ht="15.75" spans="1:18">
      <c r="A1404" s="105">
        <v>900602</v>
      </c>
      <c r="B1404" s="105">
        <v>4000</v>
      </c>
      <c r="C1404" s="105" t="s">
        <v>1784</v>
      </c>
      <c r="D1404" s="106" t="s">
        <v>1785</v>
      </c>
      <c r="E1404" s="105"/>
      <c r="F1404" s="105">
        <v>141</v>
      </c>
      <c r="G1404" s="105">
        <v>600</v>
      </c>
      <c r="H1404" s="105"/>
      <c r="I1404" s="105">
        <v>1</v>
      </c>
      <c r="J1404" s="105">
        <v>4</v>
      </c>
      <c r="N1404" s="105">
        <v>2</v>
      </c>
      <c r="P1404" s="105">
        <v>2</v>
      </c>
      <c r="R1404" s="125" t="s">
        <v>822</v>
      </c>
    </row>
    <row r="1405" s="43" customFormat="1" ht="15.75" spans="1:18">
      <c r="A1405" s="105">
        <v>900603</v>
      </c>
      <c r="B1405" s="105">
        <v>4000</v>
      </c>
      <c r="C1405" s="105" t="s">
        <v>1786</v>
      </c>
      <c r="D1405" s="106" t="s">
        <v>1787</v>
      </c>
      <c r="E1405" s="105"/>
      <c r="F1405" s="105">
        <v>141</v>
      </c>
      <c r="G1405" s="105">
        <v>1500</v>
      </c>
      <c r="H1405" s="105"/>
      <c r="I1405" s="105">
        <v>1</v>
      </c>
      <c r="J1405" s="105">
        <v>4</v>
      </c>
      <c r="N1405" s="105">
        <v>2</v>
      </c>
      <c r="P1405" s="105">
        <v>2</v>
      </c>
      <c r="R1405" s="125" t="s">
        <v>643</v>
      </c>
    </row>
    <row r="1406" s="43" customFormat="1" ht="15.75" spans="1:18">
      <c r="A1406" s="105">
        <v>900604</v>
      </c>
      <c r="B1406" s="105">
        <v>4000</v>
      </c>
      <c r="C1406" s="105" t="s">
        <v>1788</v>
      </c>
      <c r="D1406" s="106" t="s">
        <v>1789</v>
      </c>
      <c r="E1406" s="105"/>
      <c r="F1406" s="105">
        <v>141</v>
      </c>
      <c r="G1406" s="105">
        <v>4000</v>
      </c>
      <c r="H1406" s="105"/>
      <c r="I1406" s="105">
        <v>1</v>
      </c>
      <c r="J1406" s="105">
        <v>4</v>
      </c>
      <c r="N1406" s="105">
        <v>2</v>
      </c>
      <c r="P1406" s="105">
        <v>2</v>
      </c>
      <c r="R1406" s="125" t="s">
        <v>1653</v>
      </c>
    </row>
    <row r="1407" s="43" customFormat="1" ht="15.75" spans="1:18">
      <c r="A1407" s="105">
        <v>900605</v>
      </c>
      <c r="B1407" s="105">
        <v>4000</v>
      </c>
      <c r="C1407" s="105" t="s">
        <v>1790</v>
      </c>
      <c r="D1407" s="106" t="s">
        <v>1791</v>
      </c>
      <c r="E1407" s="105"/>
      <c r="F1407" s="105">
        <v>141</v>
      </c>
      <c r="G1407" s="105">
        <v>10000</v>
      </c>
      <c r="H1407" s="105"/>
      <c r="I1407" s="105">
        <v>1</v>
      </c>
      <c r="J1407" s="105">
        <v>4</v>
      </c>
      <c r="N1407" s="105">
        <v>2</v>
      </c>
      <c r="P1407" s="105">
        <v>2</v>
      </c>
      <c r="R1407" s="125" t="s">
        <v>1678</v>
      </c>
    </row>
    <row r="1408" s="43" customFormat="1" ht="15.75" spans="1:18">
      <c r="A1408" s="105">
        <v>900606</v>
      </c>
      <c r="B1408" s="105">
        <v>4000</v>
      </c>
      <c r="C1408" s="105" t="s">
        <v>1792</v>
      </c>
      <c r="D1408" s="106" t="s">
        <v>1793</v>
      </c>
      <c r="E1408" s="105"/>
      <c r="F1408" s="105">
        <v>141</v>
      </c>
      <c r="G1408" s="105">
        <v>20000</v>
      </c>
      <c r="H1408" s="105"/>
      <c r="I1408" s="105">
        <v>1</v>
      </c>
      <c r="J1408" s="105">
        <v>4</v>
      </c>
      <c r="N1408" s="105">
        <v>2</v>
      </c>
      <c r="P1408" s="105">
        <v>2</v>
      </c>
      <c r="R1408" s="125" t="s">
        <v>1738</v>
      </c>
    </row>
    <row r="1409" s="46" customFormat="1" ht="15.75" spans="1:18">
      <c r="A1409" s="91">
        <v>900701</v>
      </c>
      <c r="B1409" s="91">
        <v>6005</v>
      </c>
      <c r="C1409" s="91" t="s">
        <v>1794</v>
      </c>
      <c r="D1409" s="126" t="s">
        <v>1795</v>
      </c>
      <c r="E1409" s="91"/>
      <c r="F1409" s="91">
        <v>141</v>
      </c>
      <c r="G1409" s="91">
        <v>10</v>
      </c>
      <c r="H1409" s="91"/>
      <c r="I1409" s="91"/>
      <c r="J1409" s="91">
        <v>4</v>
      </c>
      <c r="N1409" s="91">
        <v>2</v>
      </c>
      <c r="P1409" s="91">
        <v>2</v>
      </c>
      <c r="R1409" s="128" t="s">
        <v>820</v>
      </c>
    </row>
    <row r="1410" s="46" customFormat="1" ht="15.75" spans="1:18">
      <c r="A1410" s="91">
        <v>900702</v>
      </c>
      <c r="B1410" s="91">
        <v>6005</v>
      </c>
      <c r="C1410" s="91" t="s">
        <v>1796</v>
      </c>
      <c r="D1410" s="126" t="s">
        <v>1797</v>
      </c>
      <c r="E1410" s="91"/>
      <c r="F1410" s="91">
        <v>141</v>
      </c>
      <c r="G1410" s="91">
        <v>30</v>
      </c>
      <c r="H1410" s="91"/>
      <c r="I1410" s="91"/>
      <c r="J1410" s="91">
        <v>4</v>
      </c>
      <c r="N1410" s="91">
        <v>2</v>
      </c>
      <c r="P1410" s="91">
        <v>2</v>
      </c>
      <c r="R1410" s="128" t="s">
        <v>826</v>
      </c>
    </row>
    <row r="1411" s="46" customFormat="1" ht="15.75" spans="1:18">
      <c r="A1411" s="91">
        <v>900703</v>
      </c>
      <c r="B1411" s="91">
        <v>6005</v>
      </c>
      <c r="C1411" s="91" t="s">
        <v>1798</v>
      </c>
      <c r="D1411" s="126" t="s">
        <v>1799</v>
      </c>
      <c r="E1411" s="91"/>
      <c r="F1411" s="91">
        <v>141</v>
      </c>
      <c r="G1411" s="91">
        <v>50</v>
      </c>
      <c r="H1411" s="91"/>
      <c r="I1411" s="91"/>
      <c r="J1411" s="91">
        <v>4</v>
      </c>
      <c r="N1411" s="91">
        <v>2</v>
      </c>
      <c r="P1411" s="91">
        <v>2</v>
      </c>
      <c r="R1411" s="128" t="s">
        <v>1653</v>
      </c>
    </row>
    <row r="1412" s="46" customFormat="1" ht="15.75" spans="1:18">
      <c r="A1412" s="91">
        <v>900704</v>
      </c>
      <c r="B1412" s="91">
        <v>6005</v>
      </c>
      <c r="C1412" s="91" t="s">
        <v>1800</v>
      </c>
      <c r="D1412" s="126" t="s">
        <v>1801</v>
      </c>
      <c r="E1412" s="91"/>
      <c r="F1412" s="91">
        <v>141</v>
      </c>
      <c r="G1412" s="91">
        <v>100</v>
      </c>
      <c r="H1412" s="91"/>
      <c r="I1412" s="91"/>
      <c r="J1412" s="91">
        <v>4</v>
      </c>
      <c r="N1412" s="91">
        <v>2</v>
      </c>
      <c r="P1412" s="91">
        <v>2</v>
      </c>
      <c r="R1412" s="128" t="s">
        <v>1678</v>
      </c>
    </row>
    <row r="1413" s="46" customFormat="1" ht="15.75" spans="1:18">
      <c r="A1413" s="91">
        <v>900705</v>
      </c>
      <c r="B1413" s="91">
        <v>6005</v>
      </c>
      <c r="C1413" s="91" t="s">
        <v>1802</v>
      </c>
      <c r="D1413" s="126" t="s">
        <v>1803</v>
      </c>
      <c r="E1413" s="91"/>
      <c r="F1413" s="91">
        <v>141</v>
      </c>
      <c r="G1413" s="91">
        <v>200</v>
      </c>
      <c r="H1413" s="91"/>
      <c r="I1413" s="91"/>
      <c r="J1413" s="91">
        <v>4</v>
      </c>
      <c r="N1413" s="91">
        <v>2</v>
      </c>
      <c r="P1413" s="91">
        <v>2</v>
      </c>
      <c r="R1413" s="128" t="s">
        <v>1804</v>
      </c>
    </row>
    <row r="1414" s="47" customFormat="1" spans="1:18">
      <c r="A1414" s="47">
        <v>900801</v>
      </c>
      <c r="B1414" s="47">
        <v>7001</v>
      </c>
      <c r="C1414" s="47" t="s">
        <v>1805</v>
      </c>
      <c r="D1414" s="68" t="s">
        <v>1806</v>
      </c>
      <c r="F1414" s="47">
        <v>146</v>
      </c>
      <c r="G1414" s="47">
        <v>10</v>
      </c>
      <c r="J1414" s="47">
        <v>4</v>
      </c>
      <c r="N1414" s="47">
        <v>2</v>
      </c>
      <c r="P1414" s="47">
        <v>2</v>
      </c>
      <c r="R1414" s="104" t="s">
        <v>1807</v>
      </c>
    </row>
    <row r="1415" s="47" customFormat="1" spans="1:18">
      <c r="A1415" s="47">
        <v>900802</v>
      </c>
      <c r="B1415" s="47">
        <v>7001</v>
      </c>
      <c r="C1415" s="47" t="s">
        <v>1805</v>
      </c>
      <c r="D1415" s="68" t="s">
        <v>1808</v>
      </c>
      <c r="F1415" s="47">
        <v>146</v>
      </c>
      <c r="G1415" s="47">
        <v>30</v>
      </c>
      <c r="J1415" s="47">
        <v>4</v>
      </c>
      <c r="N1415" s="47">
        <v>2</v>
      </c>
      <c r="P1415" s="47">
        <v>2</v>
      </c>
      <c r="R1415" s="104" t="s">
        <v>1807</v>
      </c>
    </row>
    <row r="1416" s="47" customFormat="1" spans="1:18">
      <c r="A1416" s="47">
        <v>900803</v>
      </c>
      <c r="B1416" s="47">
        <v>7001</v>
      </c>
      <c r="C1416" s="47" t="s">
        <v>1805</v>
      </c>
      <c r="D1416" s="68" t="s">
        <v>1809</v>
      </c>
      <c r="F1416" s="47">
        <v>146</v>
      </c>
      <c r="G1416" s="47">
        <v>60</v>
      </c>
      <c r="J1416" s="47">
        <v>4</v>
      </c>
      <c r="N1416" s="47">
        <v>2</v>
      </c>
      <c r="P1416" s="47">
        <v>2</v>
      </c>
      <c r="R1416" s="104" t="s">
        <v>1807</v>
      </c>
    </row>
    <row r="1417" s="47" customFormat="1" spans="1:18">
      <c r="A1417" s="47">
        <v>900804</v>
      </c>
      <c r="B1417" s="47">
        <v>7001</v>
      </c>
      <c r="C1417" s="47" t="s">
        <v>1805</v>
      </c>
      <c r="D1417" s="68" t="s">
        <v>1810</v>
      </c>
      <c r="F1417" s="47">
        <v>146</v>
      </c>
      <c r="G1417" s="47">
        <v>90</v>
      </c>
      <c r="J1417" s="47">
        <v>4</v>
      </c>
      <c r="N1417" s="47">
        <v>2</v>
      </c>
      <c r="P1417" s="47">
        <v>2</v>
      </c>
      <c r="R1417" s="104" t="s">
        <v>1807</v>
      </c>
    </row>
    <row r="1418" s="47" customFormat="1" spans="1:18">
      <c r="A1418" s="47">
        <v>900805</v>
      </c>
      <c r="B1418" s="47">
        <v>7001</v>
      </c>
      <c r="C1418" s="47" t="s">
        <v>1805</v>
      </c>
      <c r="D1418" s="68" t="s">
        <v>1811</v>
      </c>
      <c r="F1418" s="47">
        <v>146</v>
      </c>
      <c r="G1418" s="47">
        <v>120</v>
      </c>
      <c r="J1418" s="47">
        <v>4</v>
      </c>
      <c r="N1418" s="47">
        <v>2</v>
      </c>
      <c r="P1418" s="47">
        <v>2</v>
      </c>
      <c r="R1418" s="104" t="s">
        <v>1807</v>
      </c>
    </row>
    <row r="1419" s="47" customFormat="1" spans="1:18">
      <c r="A1419" s="47">
        <v>900806</v>
      </c>
      <c r="B1419" s="47">
        <v>7001</v>
      </c>
      <c r="C1419" s="47" t="s">
        <v>1805</v>
      </c>
      <c r="D1419" s="68" t="s">
        <v>1812</v>
      </c>
      <c r="F1419" s="47">
        <v>146</v>
      </c>
      <c r="G1419" s="47">
        <v>150</v>
      </c>
      <c r="J1419" s="47">
        <v>4</v>
      </c>
      <c r="N1419" s="47">
        <v>2</v>
      </c>
      <c r="P1419" s="47">
        <v>2</v>
      </c>
      <c r="R1419" s="104" t="s">
        <v>1813</v>
      </c>
    </row>
    <row r="1420" s="47" customFormat="1" spans="1:18">
      <c r="A1420" s="47">
        <v>900807</v>
      </c>
      <c r="B1420" s="47">
        <v>7001</v>
      </c>
      <c r="C1420" s="47" t="s">
        <v>1805</v>
      </c>
      <c r="D1420" s="68" t="s">
        <v>1814</v>
      </c>
      <c r="F1420" s="47">
        <v>146</v>
      </c>
      <c r="G1420" s="47">
        <v>180</v>
      </c>
      <c r="J1420" s="47">
        <v>4</v>
      </c>
      <c r="N1420" s="47">
        <v>2</v>
      </c>
      <c r="P1420" s="47">
        <v>2</v>
      </c>
      <c r="R1420" s="104" t="s">
        <v>1815</v>
      </c>
    </row>
    <row r="1421" s="47" customFormat="1" spans="1:18">
      <c r="A1421" s="47">
        <v>900808</v>
      </c>
      <c r="B1421" s="47">
        <v>7001</v>
      </c>
      <c r="C1421" s="47" t="s">
        <v>1805</v>
      </c>
      <c r="D1421" s="68" t="s">
        <v>1816</v>
      </c>
      <c r="F1421" s="47">
        <v>146</v>
      </c>
      <c r="G1421" s="47">
        <v>210</v>
      </c>
      <c r="J1421" s="47">
        <v>4</v>
      </c>
      <c r="N1421" s="47">
        <v>2</v>
      </c>
      <c r="P1421" s="47">
        <v>2</v>
      </c>
      <c r="R1421" s="104" t="s">
        <v>1815</v>
      </c>
    </row>
    <row r="1422" s="47" customFormat="1" spans="1:18">
      <c r="A1422" s="47">
        <v>900809</v>
      </c>
      <c r="B1422" s="47">
        <v>7001</v>
      </c>
      <c r="C1422" s="47" t="s">
        <v>1805</v>
      </c>
      <c r="D1422" s="68" t="s">
        <v>1817</v>
      </c>
      <c r="F1422" s="47">
        <v>146</v>
      </c>
      <c r="G1422" s="47">
        <v>240</v>
      </c>
      <c r="J1422" s="47">
        <v>4</v>
      </c>
      <c r="N1422" s="47">
        <v>2</v>
      </c>
      <c r="P1422" s="47">
        <v>2</v>
      </c>
      <c r="R1422" s="104" t="s">
        <v>1815</v>
      </c>
    </row>
    <row r="1423" s="47" customFormat="1" spans="1:18">
      <c r="A1423" s="47">
        <v>900810</v>
      </c>
      <c r="B1423" s="47">
        <v>7001</v>
      </c>
      <c r="C1423" s="47" t="s">
        <v>1805</v>
      </c>
      <c r="D1423" s="68" t="s">
        <v>1818</v>
      </c>
      <c r="F1423" s="47">
        <v>146</v>
      </c>
      <c r="G1423" s="47">
        <v>300</v>
      </c>
      <c r="J1423" s="47">
        <v>4</v>
      </c>
      <c r="N1423" s="47">
        <v>2</v>
      </c>
      <c r="P1423" s="47">
        <v>2</v>
      </c>
      <c r="R1423" s="104" t="s">
        <v>1819</v>
      </c>
    </row>
    <row r="1424" s="48" customFormat="1" spans="1:18">
      <c r="A1424" s="48">
        <v>900901</v>
      </c>
      <c r="B1424" s="48">
        <v>7002</v>
      </c>
      <c r="C1424" s="48" t="s">
        <v>1820</v>
      </c>
      <c r="D1424" s="78" t="s">
        <v>1821</v>
      </c>
      <c r="F1424" s="48">
        <v>40</v>
      </c>
      <c r="G1424" s="48">
        <v>1</v>
      </c>
      <c r="J1424" s="48">
        <v>4</v>
      </c>
      <c r="N1424" s="48">
        <v>2</v>
      </c>
      <c r="P1424" s="48">
        <v>2</v>
      </c>
      <c r="R1424" s="129" t="s">
        <v>1822</v>
      </c>
    </row>
    <row r="1425" s="48" customFormat="1" spans="1:18">
      <c r="A1425" s="48">
        <v>900902</v>
      </c>
      <c r="B1425" s="48">
        <v>7002</v>
      </c>
      <c r="C1425" s="48" t="s">
        <v>1820</v>
      </c>
      <c r="D1425" s="78" t="s">
        <v>1823</v>
      </c>
      <c r="F1425" s="48">
        <v>40</v>
      </c>
      <c r="G1425" s="48">
        <v>4</v>
      </c>
      <c r="J1425" s="48">
        <v>4</v>
      </c>
      <c r="N1425" s="48">
        <v>2</v>
      </c>
      <c r="P1425" s="48">
        <v>2</v>
      </c>
      <c r="R1425" s="95" t="s">
        <v>1822</v>
      </c>
    </row>
    <row r="1426" s="48" customFormat="1" spans="1:18">
      <c r="A1426" s="48">
        <v>900903</v>
      </c>
      <c r="B1426" s="48">
        <v>7002</v>
      </c>
      <c r="C1426" s="48" t="s">
        <v>1820</v>
      </c>
      <c r="D1426" s="78" t="s">
        <v>1824</v>
      </c>
      <c r="F1426" s="48">
        <v>40</v>
      </c>
      <c r="G1426" s="48">
        <v>8</v>
      </c>
      <c r="J1426" s="48">
        <v>4</v>
      </c>
      <c r="N1426" s="48">
        <v>2</v>
      </c>
      <c r="P1426" s="48">
        <v>2</v>
      </c>
      <c r="R1426" s="95" t="s">
        <v>1822</v>
      </c>
    </row>
    <row r="1427" s="48" customFormat="1" spans="1:18">
      <c r="A1427" s="48">
        <v>900904</v>
      </c>
      <c r="B1427" s="48">
        <v>7002</v>
      </c>
      <c r="C1427" s="48" t="s">
        <v>1820</v>
      </c>
      <c r="D1427" s="78" t="s">
        <v>1825</v>
      </c>
      <c r="F1427" s="48">
        <v>40</v>
      </c>
      <c r="G1427" s="48">
        <v>12</v>
      </c>
      <c r="J1427" s="48">
        <v>4</v>
      </c>
      <c r="N1427" s="48">
        <v>2</v>
      </c>
      <c r="P1427" s="48">
        <v>2</v>
      </c>
      <c r="R1427" s="95" t="s">
        <v>1822</v>
      </c>
    </row>
    <row r="1428" s="48" customFormat="1" spans="1:18">
      <c r="A1428" s="48">
        <v>900905</v>
      </c>
      <c r="B1428" s="48">
        <v>7002</v>
      </c>
      <c r="C1428" s="48" t="s">
        <v>1820</v>
      </c>
      <c r="D1428" s="78" t="s">
        <v>1826</v>
      </c>
      <c r="F1428" s="48">
        <v>40</v>
      </c>
      <c r="G1428" s="48">
        <v>16</v>
      </c>
      <c r="J1428" s="48">
        <v>4</v>
      </c>
      <c r="N1428" s="48">
        <v>2</v>
      </c>
      <c r="P1428" s="48">
        <v>2</v>
      </c>
      <c r="R1428" s="95" t="s">
        <v>1822</v>
      </c>
    </row>
    <row r="1429" s="48" customFormat="1" spans="1:18">
      <c r="A1429" s="48">
        <v>900906</v>
      </c>
      <c r="B1429" s="48">
        <v>7002</v>
      </c>
      <c r="C1429" s="48" t="s">
        <v>1820</v>
      </c>
      <c r="D1429" s="78" t="s">
        <v>1827</v>
      </c>
      <c r="F1429" s="48">
        <v>40</v>
      </c>
      <c r="G1429" s="48">
        <v>20</v>
      </c>
      <c r="J1429" s="48">
        <v>4</v>
      </c>
      <c r="N1429" s="48">
        <v>2</v>
      </c>
      <c r="P1429" s="48">
        <v>2</v>
      </c>
      <c r="R1429" s="95" t="s">
        <v>1828</v>
      </c>
    </row>
    <row r="1430" s="48" customFormat="1" spans="1:18">
      <c r="A1430" s="48">
        <v>900907</v>
      </c>
      <c r="B1430" s="48">
        <v>7002</v>
      </c>
      <c r="C1430" s="48" t="s">
        <v>1820</v>
      </c>
      <c r="D1430" s="78" t="s">
        <v>1829</v>
      </c>
      <c r="F1430" s="48">
        <v>40</v>
      </c>
      <c r="G1430" s="48">
        <f t="shared" ref="G1430:G1432" si="0">G1429+5</f>
        <v>25</v>
      </c>
      <c r="J1430" s="48">
        <v>4</v>
      </c>
      <c r="N1430" s="48">
        <v>2</v>
      </c>
      <c r="P1430" s="48">
        <v>2</v>
      </c>
      <c r="R1430" s="95" t="s">
        <v>1828</v>
      </c>
    </row>
    <row r="1431" s="48" customFormat="1" spans="1:18">
      <c r="A1431" s="48">
        <v>900908</v>
      </c>
      <c r="B1431" s="48">
        <v>7002</v>
      </c>
      <c r="C1431" s="48" t="s">
        <v>1820</v>
      </c>
      <c r="D1431" s="78" t="s">
        <v>1830</v>
      </c>
      <c r="F1431" s="48">
        <v>40</v>
      </c>
      <c r="G1431" s="48">
        <f t="shared" si="0"/>
        <v>30</v>
      </c>
      <c r="J1431" s="48">
        <v>4</v>
      </c>
      <c r="N1431" s="48">
        <v>2</v>
      </c>
      <c r="P1431" s="48">
        <v>2</v>
      </c>
      <c r="R1431" s="95" t="s">
        <v>1828</v>
      </c>
    </row>
    <row r="1432" s="48" customFormat="1" spans="1:18">
      <c r="A1432" s="48">
        <v>900909</v>
      </c>
      <c r="B1432" s="48">
        <v>7002</v>
      </c>
      <c r="C1432" s="48" t="s">
        <v>1820</v>
      </c>
      <c r="D1432" s="78" t="s">
        <v>1831</v>
      </c>
      <c r="F1432" s="48">
        <v>40</v>
      </c>
      <c r="G1432" s="48">
        <f t="shared" si="0"/>
        <v>35</v>
      </c>
      <c r="J1432" s="48">
        <v>4</v>
      </c>
      <c r="N1432" s="48">
        <v>2</v>
      </c>
      <c r="P1432" s="48">
        <v>2</v>
      </c>
      <c r="R1432" s="95" t="s">
        <v>1828</v>
      </c>
    </row>
    <row r="1433" s="48" customFormat="1" spans="1:18">
      <c r="A1433" s="48">
        <v>900910</v>
      </c>
      <c r="B1433" s="48">
        <v>7002</v>
      </c>
      <c r="C1433" s="48" t="s">
        <v>1820</v>
      </c>
      <c r="D1433" s="78" t="s">
        <v>1832</v>
      </c>
      <c r="F1433" s="48">
        <v>40</v>
      </c>
      <c r="G1433" s="48">
        <v>40</v>
      </c>
      <c r="J1433" s="48">
        <v>4</v>
      </c>
      <c r="N1433" s="48">
        <v>2</v>
      </c>
      <c r="P1433" s="48">
        <v>2</v>
      </c>
      <c r="R1433" s="95" t="s">
        <v>1828</v>
      </c>
    </row>
    <row r="1434" s="49" customFormat="1" spans="1:18">
      <c r="A1434" s="49">
        <v>901001</v>
      </c>
      <c r="B1434" s="49">
        <v>7003</v>
      </c>
      <c r="C1434" s="49" t="s">
        <v>1833</v>
      </c>
      <c r="D1434" s="49" t="s">
        <v>1834</v>
      </c>
      <c r="F1434" s="49">
        <v>15</v>
      </c>
      <c r="G1434" s="49">
        <v>1</v>
      </c>
      <c r="J1434" s="49">
        <v>4</v>
      </c>
      <c r="N1434" s="49">
        <v>2</v>
      </c>
      <c r="P1434" s="49">
        <v>2</v>
      </c>
      <c r="R1434" s="104" t="s">
        <v>1835</v>
      </c>
    </row>
    <row r="1435" s="49" customFormat="1" spans="1:18">
      <c r="A1435" s="49">
        <v>901002</v>
      </c>
      <c r="B1435" s="49">
        <v>7003</v>
      </c>
      <c r="C1435" s="49" t="s">
        <v>1833</v>
      </c>
      <c r="D1435" s="49" t="s">
        <v>1836</v>
      </c>
      <c r="F1435" s="49">
        <v>15</v>
      </c>
      <c r="G1435" s="49">
        <v>5</v>
      </c>
      <c r="J1435" s="49">
        <v>4</v>
      </c>
      <c r="N1435" s="49">
        <v>2</v>
      </c>
      <c r="P1435" s="49">
        <v>2</v>
      </c>
      <c r="R1435" s="104" t="s">
        <v>1835</v>
      </c>
    </row>
    <row r="1436" s="49" customFormat="1" spans="1:18">
      <c r="A1436" s="49">
        <v>901003</v>
      </c>
      <c r="B1436" s="49">
        <v>7003</v>
      </c>
      <c r="C1436" s="49" t="s">
        <v>1833</v>
      </c>
      <c r="D1436" s="49" t="s">
        <v>1837</v>
      </c>
      <c r="F1436" s="49">
        <v>15</v>
      </c>
      <c r="G1436" s="49">
        <f t="shared" ref="G1436:G1443" si="1">G1435+5</f>
        <v>10</v>
      </c>
      <c r="J1436" s="49">
        <v>4</v>
      </c>
      <c r="N1436" s="49">
        <v>2</v>
      </c>
      <c r="P1436" s="49">
        <v>2</v>
      </c>
      <c r="R1436" s="104" t="s">
        <v>1835</v>
      </c>
    </row>
    <row r="1437" s="49" customFormat="1" spans="1:18">
      <c r="A1437" s="49">
        <v>901004</v>
      </c>
      <c r="B1437" s="49">
        <v>7003</v>
      </c>
      <c r="C1437" s="49" t="s">
        <v>1833</v>
      </c>
      <c r="D1437" s="49" t="s">
        <v>1838</v>
      </c>
      <c r="F1437" s="49">
        <v>15</v>
      </c>
      <c r="G1437" s="49">
        <f t="shared" si="1"/>
        <v>15</v>
      </c>
      <c r="J1437" s="49">
        <v>4</v>
      </c>
      <c r="N1437" s="49">
        <v>2</v>
      </c>
      <c r="P1437" s="49">
        <v>2</v>
      </c>
      <c r="R1437" s="104" t="s">
        <v>1835</v>
      </c>
    </row>
    <row r="1438" s="49" customFormat="1" spans="1:18">
      <c r="A1438" s="49">
        <v>901005</v>
      </c>
      <c r="B1438" s="49">
        <v>7003</v>
      </c>
      <c r="C1438" s="49" t="s">
        <v>1833</v>
      </c>
      <c r="D1438" s="49" t="s">
        <v>1839</v>
      </c>
      <c r="F1438" s="49">
        <v>15</v>
      </c>
      <c r="G1438" s="49">
        <f t="shared" si="1"/>
        <v>20</v>
      </c>
      <c r="J1438" s="49">
        <v>4</v>
      </c>
      <c r="N1438" s="49">
        <v>2</v>
      </c>
      <c r="P1438" s="49">
        <v>2</v>
      </c>
      <c r="R1438" s="104" t="s">
        <v>1835</v>
      </c>
    </row>
    <row r="1439" s="49" customFormat="1" spans="1:18">
      <c r="A1439" s="49">
        <v>901006</v>
      </c>
      <c r="B1439" s="49">
        <v>7003</v>
      </c>
      <c r="C1439" s="49" t="s">
        <v>1833</v>
      </c>
      <c r="D1439" s="49" t="s">
        <v>1840</v>
      </c>
      <c r="F1439" s="49">
        <v>15</v>
      </c>
      <c r="G1439" s="49">
        <f t="shared" si="1"/>
        <v>25</v>
      </c>
      <c r="J1439" s="49">
        <v>4</v>
      </c>
      <c r="N1439" s="49">
        <v>2</v>
      </c>
      <c r="P1439" s="49">
        <v>2</v>
      </c>
      <c r="R1439" s="104" t="s">
        <v>1841</v>
      </c>
    </row>
    <row r="1440" s="49" customFormat="1" spans="1:18">
      <c r="A1440" s="49">
        <v>901007</v>
      </c>
      <c r="B1440" s="49">
        <v>7003</v>
      </c>
      <c r="C1440" s="49" t="s">
        <v>1833</v>
      </c>
      <c r="D1440" s="49" t="s">
        <v>1842</v>
      </c>
      <c r="F1440" s="49">
        <v>15</v>
      </c>
      <c r="G1440" s="49">
        <f t="shared" si="1"/>
        <v>30</v>
      </c>
      <c r="J1440" s="49">
        <v>4</v>
      </c>
      <c r="N1440" s="49">
        <v>2</v>
      </c>
      <c r="P1440" s="49">
        <v>2</v>
      </c>
      <c r="R1440" s="104" t="s">
        <v>1843</v>
      </c>
    </row>
    <row r="1441" s="49" customFormat="1" spans="1:18">
      <c r="A1441" s="49">
        <v>901008</v>
      </c>
      <c r="B1441" s="49">
        <v>7003</v>
      </c>
      <c r="C1441" s="49" t="s">
        <v>1833</v>
      </c>
      <c r="D1441" s="49" t="s">
        <v>1844</v>
      </c>
      <c r="F1441" s="49">
        <v>15</v>
      </c>
      <c r="G1441" s="49">
        <f t="shared" si="1"/>
        <v>35</v>
      </c>
      <c r="J1441" s="49">
        <v>4</v>
      </c>
      <c r="N1441" s="49">
        <v>2</v>
      </c>
      <c r="P1441" s="49">
        <v>2</v>
      </c>
      <c r="R1441" s="104" t="s">
        <v>1843</v>
      </c>
    </row>
    <row r="1442" s="49" customFormat="1" spans="1:18">
      <c r="A1442" s="49">
        <v>901009</v>
      </c>
      <c r="B1442" s="49">
        <v>7003</v>
      </c>
      <c r="C1442" s="49" t="s">
        <v>1833</v>
      </c>
      <c r="D1442" s="49" t="s">
        <v>1845</v>
      </c>
      <c r="F1442" s="49">
        <v>15</v>
      </c>
      <c r="G1442" s="49">
        <f t="shared" si="1"/>
        <v>40</v>
      </c>
      <c r="J1442" s="49">
        <v>4</v>
      </c>
      <c r="N1442" s="49">
        <v>2</v>
      </c>
      <c r="P1442" s="49">
        <v>2</v>
      </c>
      <c r="R1442" s="104" t="s">
        <v>1843</v>
      </c>
    </row>
    <row r="1443" s="49" customFormat="1" spans="1:18">
      <c r="A1443" s="49">
        <v>901010</v>
      </c>
      <c r="B1443" s="49">
        <v>7003</v>
      </c>
      <c r="C1443" s="49" t="s">
        <v>1833</v>
      </c>
      <c r="D1443" s="49" t="s">
        <v>1846</v>
      </c>
      <c r="F1443" s="49">
        <v>15</v>
      </c>
      <c r="G1443" s="49">
        <f t="shared" si="1"/>
        <v>45</v>
      </c>
      <c r="J1443" s="49">
        <v>4</v>
      </c>
      <c r="N1443" s="49">
        <v>2</v>
      </c>
      <c r="P1443" s="49">
        <v>2</v>
      </c>
      <c r="R1443" s="104" t="s">
        <v>1847</v>
      </c>
    </row>
    <row r="1444" s="50" customFormat="1" spans="1:18">
      <c r="A1444" s="50">
        <v>901101</v>
      </c>
      <c r="B1444" s="50">
        <v>7004</v>
      </c>
      <c r="C1444" s="50" t="s">
        <v>1848</v>
      </c>
      <c r="D1444" s="50" t="s">
        <v>1849</v>
      </c>
      <c r="F1444" s="50">
        <v>11</v>
      </c>
      <c r="G1444" s="50">
        <v>10</v>
      </c>
      <c r="J1444" s="50">
        <v>4</v>
      </c>
      <c r="N1444" s="50">
        <v>2</v>
      </c>
      <c r="P1444" s="50">
        <v>2</v>
      </c>
      <c r="R1444" s="129" t="s">
        <v>1850</v>
      </c>
    </row>
    <row r="1445" s="50" customFormat="1" spans="1:18">
      <c r="A1445" s="50">
        <v>901102</v>
      </c>
      <c r="B1445" s="50">
        <v>7004</v>
      </c>
      <c r="C1445" s="50" t="s">
        <v>1848</v>
      </c>
      <c r="D1445" s="50" t="s">
        <v>1851</v>
      </c>
      <c r="F1445" s="50">
        <v>11</v>
      </c>
      <c r="G1445" s="50">
        <f t="shared" ref="G1445:G1448" si="2">G1444+10</f>
        <v>20</v>
      </c>
      <c r="J1445" s="50">
        <v>4</v>
      </c>
      <c r="N1445" s="50">
        <v>2</v>
      </c>
      <c r="P1445" s="50">
        <v>2</v>
      </c>
      <c r="R1445" s="129" t="s">
        <v>1850</v>
      </c>
    </row>
    <row r="1446" s="50" customFormat="1" spans="1:18">
      <c r="A1446" s="50">
        <v>901103</v>
      </c>
      <c r="B1446" s="50">
        <v>7004</v>
      </c>
      <c r="C1446" s="50" t="s">
        <v>1848</v>
      </c>
      <c r="D1446" s="50" t="s">
        <v>1852</v>
      </c>
      <c r="F1446" s="50">
        <v>11</v>
      </c>
      <c r="G1446" s="50">
        <f t="shared" si="2"/>
        <v>30</v>
      </c>
      <c r="J1446" s="50">
        <v>4</v>
      </c>
      <c r="N1446" s="50">
        <v>2</v>
      </c>
      <c r="P1446" s="50">
        <v>2</v>
      </c>
      <c r="R1446" s="129" t="s">
        <v>1850</v>
      </c>
    </row>
    <row r="1447" s="50" customFormat="1" spans="1:18">
      <c r="A1447" s="50">
        <v>901104</v>
      </c>
      <c r="B1447" s="50">
        <v>7004</v>
      </c>
      <c r="C1447" s="50" t="s">
        <v>1848</v>
      </c>
      <c r="D1447" s="50" t="s">
        <v>1853</v>
      </c>
      <c r="F1447" s="50">
        <v>11</v>
      </c>
      <c r="G1447" s="50">
        <f t="shared" si="2"/>
        <v>40</v>
      </c>
      <c r="J1447" s="50">
        <v>4</v>
      </c>
      <c r="N1447" s="50">
        <v>2</v>
      </c>
      <c r="P1447" s="50">
        <v>2</v>
      </c>
      <c r="R1447" s="129" t="s">
        <v>1850</v>
      </c>
    </row>
    <row r="1448" s="50" customFormat="1" spans="1:18">
      <c r="A1448" s="50">
        <v>901105</v>
      </c>
      <c r="B1448" s="50">
        <v>7004</v>
      </c>
      <c r="C1448" s="50" t="s">
        <v>1848</v>
      </c>
      <c r="D1448" s="50" t="s">
        <v>1854</v>
      </c>
      <c r="F1448" s="50">
        <v>11</v>
      </c>
      <c r="G1448" s="50">
        <f t="shared" si="2"/>
        <v>50</v>
      </c>
      <c r="J1448" s="50">
        <v>4</v>
      </c>
      <c r="N1448" s="50">
        <v>2</v>
      </c>
      <c r="P1448" s="50">
        <v>2</v>
      </c>
      <c r="R1448" s="129" t="s">
        <v>1850</v>
      </c>
    </row>
    <row r="1449" s="50" customFormat="1" spans="1:18">
      <c r="A1449" s="50">
        <v>901106</v>
      </c>
      <c r="B1449" s="50">
        <v>7004</v>
      </c>
      <c r="C1449" s="50" t="s">
        <v>1848</v>
      </c>
      <c r="D1449" s="50" t="s">
        <v>1855</v>
      </c>
      <c r="F1449" s="50">
        <v>11</v>
      </c>
      <c r="G1449" s="50">
        <f t="shared" ref="G1449:G1453" si="3">G1448+20</f>
        <v>70</v>
      </c>
      <c r="J1449" s="50">
        <v>4</v>
      </c>
      <c r="N1449" s="50">
        <v>2</v>
      </c>
      <c r="P1449" s="50">
        <v>2</v>
      </c>
      <c r="R1449" s="129" t="s">
        <v>1856</v>
      </c>
    </row>
    <row r="1450" s="50" customFormat="1" spans="1:18">
      <c r="A1450" s="50">
        <v>901107</v>
      </c>
      <c r="B1450" s="50">
        <v>7004</v>
      </c>
      <c r="C1450" s="50" t="s">
        <v>1848</v>
      </c>
      <c r="D1450" s="50" t="s">
        <v>1857</v>
      </c>
      <c r="F1450" s="50">
        <v>11</v>
      </c>
      <c r="G1450" s="50">
        <f t="shared" si="3"/>
        <v>90</v>
      </c>
      <c r="J1450" s="50">
        <v>4</v>
      </c>
      <c r="N1450" s="50">
        <v>2</v>
      </c>
      <c r="P1450" s="50">
        <v>2</v>
      </c>
      <c r="R1450" s="129" t="s">
        <v>1856</v>
      </c>
    </row>
    <row r="1451" s="50" customFormat="1" spans="1:18">
      <c r="A1451" s="50">
        <v>901108</v>
      </c>
      <c r="B1451" s="50">
        <v>7004</v>
      </c>
      <c r="C1451" s="50" t="s">
        <v>1848</v>
      </c>
      <c r="D1451" s="50" t="s">
        <v>1858</v>
      </c>
      <c r="F1451" s="50">
        <v>11</v>
      </c>
      <c r="G1451" s="50">
        <f t="shared" si="3"/>
        <v>110</v>
      </c>
      <c r="J1451" s="50">
        <v>4</v>
      </c>
      <c r="N1451" s="50">
        <v>2</v>
      </c>
      <c r="P1451" s="50">
        <v>2</v>
      </c>
      <c r="R1451" s="129" t="s">
        <v>1856</v>
      </c>
    </row>
    <row r="1452" s="50" customFormat="1" spans="1:18">
      <c r="A1452" s="50">
        <v>901109</v>
      </c>
      <c r="B1452" s="50">
        <v>7004</v>
      </c>
      <c r="C1452" s="50" t="s">
        <v>1848</v>
      </c>
      <c r="D1452" s="50" t="s">
        <v>1859</v>
      </c>
      <c r="F1452" s="50">
        <v>11</v>
      </c>
      <c r="G1452" s="50">
        <f t="shared" si="3"/>
        <v>130</v>
      </c>
      <c r="J1452" s="50">
        <v>4</v>
      </c>
      <c r="N1452" s="50">
        <v>2</v>
      </c>
      <c r="P1452" s="50">
        <v>2</v>
      </c>
      <c r="R1452" s="129" t="s">
        <v>1856</v>
      </c>
    </row>
    <row r="1453" s="50" customFormat="1" spans="1:18">
      <c r="A1453" s="50">
        <v>901110</v>
      </c>
      <c r="B1453" s="50">
        <v>7004</v>
      </c>
      <c r="C1453" s="50" t="s">
        <v>1848</v>
      </c>
      <c r="D1453" s="50" t="s">
        <v>1860</v>
      </c>
      <c r="F1453" s="50">
        <v>11</v>
      </c>
      <c r="G1453" s="50">
        <f t="shared" si="3"/>
        <v>150</v>
      </c>
      <c r="J1453" s="50">
        <v>4</v>
      </c>
      <c r="N1453" s="50">
        <v>2</v>
      </c>
      <c r="P1453" s="50">
        <v>2</v>
      </c>
      <c r="R1453" s="129" t="s">
        <v>1856</v>
      </c>
    </row>
    <row r="1454" s="51" customFormat="1" spans="1:18">
      <c r="A1454" s="51">
        <v>901201</v>
      </c>
      <c r="B1454" s="51">
        <v>7005</v>
      </c>
      <c r="C1454" s="51" t="s">
        <v>1861</v>
      </c>
      <c r="D1454" s="51" t="s">
        <v>1862</v>
      </c>
      <c r="F1454" s="51">
        <v>17</v>
      </c>
      <c r="G1454" s="51">
        <v>1</v>
      </c>
      <c r="J1454" s="51">
        <v>4</v>
      </c>
      <c r="N1454" s="51">
        <v>2</v>
      </c>
      <c r="P1454" s="51">
        <v>2</v>
      </c>
      <c r="R1454" s="104" t="s">
        <v>1835</v>
      </c>
    </row>
    <row r="1455" s="51" customFormat="1" spans="1:18">
      <c r="A1455" s="51">
        <v>901202</v>
      </c>
      <c r="B1455" s="51">
        <v>7005</v>
      </c>
      <c r="C1455" s="51" t="s">
        <v>1861</v>
      </c>
      <c r="D1455" s="51" t="s">
        <v>1863</v>
      </c>
      <c r="F1455" s="51">
        <v>17</v>
      </c>
      <c r="G1455" s="51">
        <v>2</v>
      </c>
      <c r="J1455" s="51">
        <v>4</v>
      </c>
      <c r="N1455" s="51">
        <v>2</v>
      </c>
      <c r="P1455" s="51">
        <v>2</v>
      </c>
      <c r="R1455" s="104" t="s">
        <v>1835</v>
      </c>
    </row>
    <row r="1456" s="51" customFormat="1" spans="1:18">
      <c r="A1456" s="51">
        <v>901203</v>
      </c>
      <c r="B1456" s="51">
        <v>7005</v>
      </c>
      <c r="C1456" s="51" t="s">
        <v>1861</v>
      </c>
      <c r="D1456" s="51" t="s">
        <v>1864</v>
      </c>
      <c r="F1456" s="51">
        <v>17</v>
      </c>
      <c r="G1456" s="51">
        <v>3</v>
      </c>
      <c r="J1456" s="51">
        <v>4</v>
      </c>
      <c r="N1456" s="51">
        <v>2</v>
      </c>
      <c r="P1456" s="51">
        <v>2</v>
      </c>
      <c r="R1456" s="104" t="s">
        <v>1835</v>
      </c>
    </row>
    <row r="1457" s="51" customFormat="1" spans="1:18">
      <c r="A1457" s="51">
        <v>901204</v>
      </c>
      <c r="B1457" s="51">
        <v>7005</v>
      </c>
      <c r="C1457" s="51" t="s">
        <v>1861</v>
      </c>
      <c r="D1457" s="51" t="s">
        <v>1865</v>
      </c>
      <c r="F1457" s="51">
        <v>17</v>
      </c>
      <c r="G1457" s="51">
        <v>4</v>
      </c>
      <c r="J1457" s="51">
        <v>4</v>
      </c>
      <c r="N1457" s="51">
        <v>2</v>
      </c>
      <c r="P1457" s="51">
        <v>2</v>
      </c>
      <c r="R1457" s="104" t="s">
        <v>1835</v>
      </c>
    </row>
    <row r="1458" s="51" customFormat="1" spans="1:18">
      <c r="A1458" s="51">
        <v>901205</v>
      </c>
      <c r="B1458" s="51">
        <v>7005</v>
      </c>
      <c r="C1458" s="51" t="s">
        <v>1861</v>
      </c>
      <c r="D1458" s="51" t="s">
        <v>1866</v>
      </c>
      <c r="F1458" s="51">
        <v>17</v>
      </c>
      <c r="G1458" s="51">
        <v>5</v>
      </c>
      <c r="J1458" s="51">
        <v>4</v>
      </c>
      <c r="N1458" s="51">
        <v>2</v>
      </c>
      <c r="P1458" s="51">
        <v>2</v>
      </c>
      <c r="R1458" s="104" t="s">
        <v>1835</v>
      </c>
    </row>
    <row r="1459" s="51" customFormat="1" spans="1:18">
      <c r="A1459" s="51">
        <v>901206</v>
      </c>
      <c r="B1459" s="51">
        <v>7005</v>
      </c>
      <c r="C1459" s="51" t="s">
        <v>1861</v>
      </c>
      <c r="D1459" s="51" t="s">
        <v>1867</v>
      </c>
      <c r="F1459" s="51">
        <v>17</v>
      </c>
      <c r="G1459" s="51">
        <v>6</v>
      </c>
      <c r="J1459" s="51">
        <v>4</v>
      </c>
      <c r="N1459" s="51">
        <v>2</v>
      </c>
      <c r="P1459" s="51">
        <v>2</v>
      </c>
      <c r="R1459" s="104" t="s">
        <v>1841</v>
      </c>
    </row>
    <row r="1460" s="51" customFormat="1" spans="1:18">
      <c r="A1460" s="51">
        <v>901207</v>
      </c>
      <c r="B1460" s="51">
        <v>7005</v>
      </c>
      <c r="C1460" s="51" t="s">
        <v>1861</v>
      </c>
      <c r="D1460" s="51" t="s">
        <v>1868</v>
      </c>
      <c r="F1460" s="51">
        <v>17</v>
      </c>
      <c r="G1460" s="51">
        <v>7</v>
      </c>
      <c r="J1460" s="51">
        <v>4</v>
      </c>
      <c r="N1460" s="51">
        <v>2</v>
      </c>
      <c r="P1460" s="51">
        <v>2</v>
      </c>
      <c r="R1460" s="104" t="s">
        <v>1843</v>
      </c>
    </row>
    <row r="1461" s="51" customFormat="1" spans="1:18">
      <c r="A1461" s="51">
        <v>901208</v>
      </c>
      <c r="B1461" s="51">
        <v>7005</v>
      </c>
      <c r="C1461" s="51" t="s">
        <v>1861</v>
      </c>
      <c r="D1461" s="51" t="s">
        <v>1869</v>
      </c>
      <c r="F1461" s="51">
        <v>17</v>
      </c>
      <c r="G1461" s="51">
        <v>8</v>
      </c>
      <c r="J1461" s="51">
        <v>4</v>
      </c>
      <c r="N1461" s="51">
        <v>2</v>
      </c>
      <c r="P1461" s="51">
        <v>2</v>
      </c>
      <c r="R1461" s="104" t="s">
        <v>1843</v>
      </c>
    </row>
    <row r="1462" s="51" customFormat="1" spans="1:18">
      <c r="A1462" s="51">
        <v>901209</v>
      </c>
      <c r="B1462" s="51">
        <v>7005</v>
      </c>
      <c r="C1462" s="51" t="s">
        <v>1861</v>
      </c>
      <c r="D1462" s="51" t="s">
        <v>1870</v>
      </c>
      <c r="F1462" s="51">
        <v>17</v>
      </c>
      <c r="G1462" s="51">
        <v>9</v>
      </c>
      <c r="J1462" s="51">
        <v>4</v>
      </c>
      <c r="N1462" s="51">
        <v>2</v>
      </c>
      <c r="P1462" s="51">
        <v>2</v>
      </c>
      <c r="R1462" s="104" t="s">
        <v>1843</v>
      </c>
    </row>
    <row r="1463" s="51" customFormat="1" spans="1:18">
      <c r="A1463" s="51">
        <v>901210</v>
      </c>
      <c r="B1463" s="51">
        <v>7005</v>
      </c>
      <c r="C1463" s="51" t="s">
        <v>1861</v>
      </c>
      <c r="D1463" s="51" t="s">
        <v>1871</v>
      </c>
      <c r="F1463" s="51">
        <v>17</v>
      </c>
      <c r="G1463" s="51">
        <v>10</v>
      </c>
      <c r="J1463" s="51">
        <v>4</v>
      </c>
      <c r="N1463" s="51">
        <v>2</v>
      </c>
      <c r="P1463" s="51">
        <v>2</v>
      </c>
      <c r="R1463" s="104" t="s">
        <v>1847</v>
      </c>
    </row>
    <row r="1464" s="52" customFormat="1" ht="15.75" spans="1:18">
      <c r="A1464" s="52">
        <v>901301</v>
      </c>
      <c r="B1464" s="52">
        <v>7006</v>
      </c>
      <c r="C1464" s="52" t="s">
        <v>1872</v>
      </c>
      <c r="D1464" s="127" t="s">
        <v>1873</v>
      </c>
      <c r="F1464" s="52">
        <v>31</v>
      </c>
      <c r="G1464" s="52">
        <v>10</v>
      </c>
      <c r="J1464" s="52">
        <v>4</v>
      </c>
      <c r="N1464" s="52">
        <v>2</v>
      </c>
      <c r="P1464" s="52">
        <v>2</v>
      </c>
      <c r="R1464" s="122" t="s">
        <v>1874</v>
      </c>
    </row>
    <row r="1465" s="52" customFormat="1" ht="15.75" spans="1:18">
      <c r="A1465" s="52">
        <v>901302</v>
      </c>
      <c r="B1465" s="52">
        <v>7006</v>
      </c>
      <c r="C1465" s="52" t="s">
        <v>1872</v>
      </c>
      <c r="D1465" s="127" t="s">
        <v>1875</v>
      </c>
      <c r="F1465" s="52">
        <v>31</v>
      </c>
      <c r="G1465" s="52">
        <v>20</v>
      </c>
      <c r="J1465" s="52">
        <v>4</v>
      </c>
      <c r="N1465" s="52">
        <v>2</v>
      </c>
      <c r="P1465" s="52">
        <v>2</v>
      </c>
      <c r="R1465" s="122" t="s">
        <v>1874</v>
      </c>
    </row>
    <row r="1466" s="52" customFormat="1" ht="15.75" spans="1:18">
      <c r="A1466" s="52">
        <v>901303</v>
      </c>
      <c r="B1466" s="52">
        <v>7006</v>
      </c>
      <c r="C1466" s="52" t="s">
        <v>1872</v>
      </c>
      <c r="D1466" s="127" t="s">
        <v>1876</v>
      </c>
      <c r="F1466" s="52">
        <v>31</v>
      </c>
      <c r="G1466" s="52">
        <v>30</v>
      </c>
      <c r="J1466" s="52">
        <v>4</v>
      </c>
      <c r="N1466" s="52">
        <v>2</v>
      </c>
      <c r="P1466" s="52">
        <v>2</v>
      </c>
      <c r="R1466" s="122" t="s">
        <v>1874</v>
      </c>
    </row>
    <row r="1467" s="52" customFormat="1" ht="15.75" spans="1:18">
      <c r="A1467" s="52">
        <v>901304</v>
      </c>
      <c r="B1467" s="52">
        <v>7006</v>
      </c>
      <c r="C1467" s="52" t="s">
        <v>1872</v>
      </c>
      <c r="D1467" s="127" t="s">
        <v>1877</v>
      </c>
      <c r="F1467" s="52">
        <v>31</v>
      </c>
      <c r="G1467" s="52">
        <v>40</v>
      </c>
      <c r="J1467" s="52">
        <v>4</v>
      </c>
      <c r="N1467" s="52">
        <v>2</v>
      </c>
      <c r="P1467" s="52">
        <v>2</v>
      </c>
      <c r="R1467" s="122" t="s">
        <v>1874</v>
      </c>
    </row>
    <row r="1468" s="52" customFormat="1" ht="15.75" spans="1:18">
      <c r="A1468" s="52">
        <v>901305</v>
      </c>
      <c r="B1468" s="52">
        <v>7006</v>
      </c>
      <c r="C1468" s="52" t="s">
        <v>1872</v>
      </c>
      <c r="D1468" s="127" t="s">
        <v>1878</v>
      </c>
      <c r="F1468" s="52">
        <v>31</v>
      </c>
      <c r="G1468" s="52">
        <v>50</v>
      </c>
      <c r="J1468" s="52">
        <v>4</v>
      </c>
      <c r="N1468" s="52">
        <v>2</v>
      </c>
      <c r="P1468" s="52">
        <v>2</v>
      </c>
      <c r="R1468" s="122" t="s">
        <v>1874</v>
      </c>
    </row>
    <row r="1469" s="52" customFormat="1" ht="15.75" spans="1:18">
      <c r="A1469" s="52">
        <v>901306</v>
      </c>
      <c r="B1469" s="52">
        <v>7006</v>
      </c>
      <c r="C1469" s="52" t="s">
        <v>1872</v>
      </c>
      <c r="D1469" s="127" t="s">
        <v>1879</v>
      </c>
      <c r="F1469" s="52">
        <v>31</v>
      </c>
      <c r="G1469" s="52">
        <v>80</v>
      </c>
      <c r="J1469" s="52">
        <v>4</v>
      </c>
      <c r="N1469" s="52">
        <v>2</v>
      </c>
      <c r="P1469" s="52">
        <v>2</v>
      </c>
      <c r="R1469" s="122" t="s">
        <v>1880</v>
      </c>
    </row>
    <row r="1470" s="52" customFormat="1" ht="15.75" spans="1:18">
      <c r="A1470" s="52">
        <v>901307</v>
      </c>
      <c r="B1470" s="52">
        <v>7006</v>
      </c>
      <c r="C1470" s="52" t="s">
        <v>1872</v>
      </c>
      <c r="D1470" s="127" t="s">
        <v>1881</v>
      </c>
      <c r="F1470" s="52">
        <v>31</v>
      </c>
      <c r="G1470" s="52">
        <v>100</v>
      </c>
      <c r="J1470" s="52">
        <v>4</v>
      </c>
      <c r="N1470" s="52">
        <v>2</v>
      </c>
      <c r="P1470" s="52">
        <v>2</v>
      </c>
      <c r="R1470" s="122" t="s">
        <v>1880</v>
      </c>
    </row>
    <row r="1471" s="52" customFormat="1" ht="15.75" spans="1:18">
      <c r="A1471" s="52">
        <v>901308</v>
      </c>
      <c r="B1471" s="52">
        <v>7006</v>
      </c>
      <c r="C1471" s="52" t="s">
        <v>1872</v>
      </c>
      <c r="D1471" s="127" t="s">
        <v>1882</v>
      </c>
      <c r="F1471" s="52">
        <v>31</v>
      </c>
      <c r="G1471" s="52">
        <v>130</v>
      </c>
      <c r="J1471" s="52">
        <v>4</v>
      </c>
      <c r="N1471" s="52">
        <v>2</v>
      </c>
      <c r="P1471" s="52">
        <v>2</v>
      </c>
      <c r="R1471" s="122" t="s">
        <v>1883</v>
      </c>
    </row>
    <row r="1472" s="52" customFormat="1" ht="15.75" spans="1:18">
      <c r="A1472" s="52">
        <v>901309</v>
      </c>
      <c r="B1472" s="52">
        <v>7006</v>
      </c>
      <c r="C1472" s="52" t="s">
        <v>1872</v>
      </c>
      <c r="D1472" s="127" t="s">
        <v>1884</v>
      </c>
      <c r="F1472" s="52">
        <v>31</v>
      </c>
      <c r="G1472" s="52">
        <v>160</v>
      </c>
      <c r="J1472" s="52">
        <v>4</v>
      </c>
      <c r="N1472" s="52">
        <v>2</v>
      </c>
      <c r="P1472" s="52">
        <v>2</v>
      </c>
      <c r="R1472" s="122" t="s">
        <v>1883</v>
      </c>
    </row>
    <row r="1473" s="52" customFormat="1" ht="15.75" spans="1:18">
      <c r="A1473" s="52">
        <v>901310</v>
      </c>
      <c r="B1473" s="52">
        <v>7006</v>
      </c>
      <c r="C1473" s="52" t="s">
        <v>1872</v>
      </c>
      <c r="D1473" s="127" t="s">
        <v>1885</v>
      </c>
      <c r="F1473" s="52">
        <v>31</v>
      </c>
      <c r="G1473" s="52">
        <v>230</v>
      </c>
      <c r="J1473" s="52">
        <v>4</v>
      </c>
      <c r="N1473" s="52">
        <v>2</v>
      </c>
      <c r="P1473" s="52">
        <v>2</v>
      </c>
      <c r="R1473" s="122" t="s">
        <v>1886</v>
      </c>
    </row>
    <row r="1474" s="53" customFormat="1" spans="1:18">
      <c r="A1474" s="53">
        <v>901401</v>
      </c>
      <c r="B1474" s="53">
        <v>7007</v>
      </c>
      <c r="C1474" s="53" t="s">
        <v>1887</v>
      </c>
      <c r="D1474" s="127" t="s">
        <v>1888</v>
      </c>
      <c r="F1474" s="53">
        <v>28</v>
      </c>
      <c r="G1474" s="53">
        <v>3</v>
      </c>
      <c r="J1474" s="53">
        <v>4</v>
      </c>
      <c r="N1474" s="53">
        <v>2</v>
      </c>
      <c r="P1474" s="53">
        <v>2</v>
      </c>
      <c r="R1474" s="104" t="s">
        <v>1889</v>
      </c>
    </row>
    <row r="1475" s="53" customFormat="1" spans="1:18">
      <c r="A1475" s="53">
        <v>901402</v>
      </c>
      <c r="B1475" s="53">
        <v>7007</v>
      </c>
      <c r="C1475" s="53" t="s">
        <v>1887</v>
      </c>
      <c r="D1475" s="127" t="s">
        <v>1890</v>
      </c>
      <c r="F1475" s="53">
        <v>28</v>
      </c>
      <c r="G1475" s="53">
        <v>6</v>
      </c>
      <c r="J1475" s="53">
        <v>4</v>
      </c>
      <c r="N1475" s="53">
        <v>2</v>
      </c>
      <c r="P1475" s="53">
        <v>2</v>
      </c>
      <c r="R1475" s="104" t="s">
        <v>1889</v>
      </c>
    </row>
    <row r="1476" s="53" customFormat="1" spans="1:18">
      <c r="A1476" s="53">
        <v>901403</v>
      </c>
      <c r="B1476" s="53">
        <v>7007</v>
      </c>
      <c r="C1476" s="53" t="s">
        <v>1887</v>
      </c>
      <c r="D1476" s="127" t="s">
        <v>1891</v>
      </c>
      <c r="F1476" s="53">
        <v>28</v>
      </c>
      <c r="G1476" s="53">
        <v>12</v>
      </c>
      <c r="J1476" s="53">
        <v>4</v>
      </c>
      <c r="N1476" s="53">
        <v>2</v>
      </c>
      <c r="P1476" s="53">
        <v>2</v>
      </c>
      <c r="R1476" s="104" t="s">
        <v>1889</v>
      </c>
    </row>
    <row r="1477" s="53" customFormat="1" spans="1:18">
      <c r="A1477" s="53">
        <v>901404</v>
      </c>
      <c r="B1477" s="53">
        <v>7007</v>
      </c>
      <c r="C1477" s="53" t="s">
        <v>1887</v>
      </c>
      <c r="D1477" s="127" t="s">
        <v>1892</v>
      </c>
      <c r="F1477" s="53">
        <v>28</v>
      </c>
      <c r="G1477" s="53">
        <v>15</v>
      </c>
      <c r="J1477" s="53">
        <v>4</v>
      </c>
      <c r="N1477" s="53">
        <v>2</v>
      </c>
      <c r="P1477" s="53">
        <v>2</v>
      </c>
      <c r="R1477" s="104" t="s">
        <v>1893</v>
      </c>
    </row>
    <row r="1478" s="53" customFormat="1" spans="1:18">
      <c r="A1478" s="53">
        <v>901405</v>
      </c>
      <c r="B1478" s="53">
        <v>7007</v>
      </c>
      <c r="C1478" s="53" t="s">
        <v>1887</v>
      </c>
      <c r="D1478" s="127" t="s">
        <v>1894</v>
      </c>
      <c r="F1478" s="53">
        <v>28</v>
      </c>
      <c r="G1478" s="53">
        <v>25</v>
      </c>
      <c r="J1478" s="53">
        <v>4</v>
      </c>
      <c r="N1478" s="53">
        <v>2</v>
      </c>
      <c r="P1478" s="53">
        <v>2</v>
      </c>
      <c r="R1478" s="104" t="s">
        <v>1893</v>
      </c>
    </row>
    <row r="1479" s="53" customFormat="1" spans="1:18">
      <c r="A1479" s="53">
        <v>901406</v>
      </c>
      <c r="B1479" s="53">
        <v>7007</v>
      </c>
      <c r="C1479" s="53" t="s">
        <v>1887</v>
      </c>
      <c r="D1479" s="127" t="s">
        <v>1895</v>
      </c>
      <c r="F1479" s="53">
        <v>28</v>
      </c>
      <c r="G1479" s="53">
        <v>35</v>
      </c>
      <c r="J1479" s="53">
        <v>4</v>
      </c>
      <c r="N1479" s="53">
        <v>2</v>
      </c>
      <c r="P1479" s="53">
        <v>2</v>
      </c>
      <c r="R1479" s="104" t="s">
        <v>1896</v>
      </c>
    </row>
    <row r="1480" s="53" customFormat="1" spans="1:18">
      <c r="A1480" s="53">
        <v>901407</v>
      </c>
      <c r="B1480" s="53">
        <v>7007</v>
      </c>
      <c r="C1480" s="53" t="s">
        <v>1887</v>
      </c>
      <c r="D1480" s="127" t="s">
        <v>1897</v>
      </c>
      <c r="F1480" s="53">
        <v>28</v>
      </c>
      <c r="G1480" s="53">
        <v>45</v>
      </c>
      <c r="J1480" s="53">
        <v>4</v>
      </c>
      <c r="N1480" s="53">
        <v>2</v>
      </c>
      <c r="P1480" s="53">
        <v>2</v>
      </c>
      <c r="R1480" s="104" t="s">
        <v>1896</v>
      </c>
    </row>
    <row r="1481" s="53" customFormat="1" spans="1:18">
      <c r="A1481" s="53">
        <v>901408</v>
      </c>
      <c r="B1481" s="53">
        <v>7007</v>
      </c>
      <c r="C1481" s="53" t="s">
        <v>1887</v>
      </c>
      <c r="D1481" s="127" t="s">
        <v>1898</v>
      </c>
      <c r="F1481" s="53">
        <v>28</v>
      </c>
      <c r="G1481" s="53">
        <v>55</v>
      </c>
      <c r="J1481" s="53">
        <v>4</v>
      </c>
      <c r="N1481" s="53">
        <v>2</v>
      </c>
      <c r="P1481" s="53">
        <v>2</v>
      </c>
      <c r="R1481" s="104" t="s">
        <v>1896</v>
      </c>
    </row>
    <row r="1482" s="53" customFormat="1" spans="1:18">
      <c r="A1482" s="53">
        <v>901409</v>
      </c>
      <c r="B1482" s="53">
        <v>7007</v>
      </c>
      <c r="C1482" s="53" t="s">
        <v>1887</v>
      </c>
      <c r="D1482" s="127" t="s">
        <v>1899</v>
      </c>
      <c r="F1482" s="53">
        <v>28</v>
      </c>
      <c r="G1482" s="53">
        <v>65</v>
      </c>
      <c r="J1482" s="53">
        <v>4</v>
      </c>
      <c r="N1482" s="53">
        <v>2</v>
      </c>
      <c r="P1482" s="53">
        <v>2</v>
      </c>
      <c r="R1482" s="104" t="s">
        <v>1900</v>
      </c>
    </row>
    <row r="1483" s="53" customFormat="1" spans="1:18">
      <c r="A1483" s="53">
        <v>901410</v>
      </c>
      <c r="B1483" s="53">
        <v>7007</v>
      </c>
      <c r="C1483" s="53" t="s">
        <v>1887</v>
      </c>
      <c r="D1483" s="127" t="s">
        <v>1901</v>
      </c>
      <c r="F1483" s="53">
        <v>28</v>
      </c>
      <c r="G1483" s="53">
        <f>G1482+10</f>
        <v>75</v>
      </c>
      <c r="J1483" s="53">
        <v>4</v>
      </c>
      <c r="N1483" s="53">
        <v>2</v>
      </c>
      <c r="P1483" s="53">
        <v>2</v>
      </c>
      <c r="R1483" s="104" t="s">
        <v>1902</v>
      </c>
    </row>
    <row r="1484" s="54" customFormat="1" spans="1:18">
      <c r="A1484" s="54">
        <v>901501</v>
      </c>
      <c r="B1484" s="54">
        <v>7008</v>
      </c>
      <c r="C1484" s="54" t="s">
        <v>1903</v>
      </c>
      <c r="D1484" s="54" t="s">
        <v>1904</v>
      </c>
      <c r="F1484" s="54">
        <v>2</v>
      </c>
      <c r="G1484" s="54">
        <v>3</v>
      </c>
      <c r="J1484" s="54">
        <v>4</v>
      </c>
      <c r="N1484" s="54">
        <v>2</v>
      </c>
      <c r="P1484" s="54">
        <v>2</v>
      </c>
      <c r="R1484" s="130" t="s">
        <v>1905</v>
      </c>
    </row>
    <row r="1485" s="54" customFormat="1" spans="1:18">
      <c r="A1485" s="54">
        <v>901502</v>
      </c>
      <c r="B1485" s="54">
        <v>7008</v>
      </c>
      <c r="C1485" s="54" t="s">
        <v>1903</v>
      </c>
      <c r="D1485" s="54" t="s">
        <v>1906</v>
      </c>
      <c r="F1485" s="54">
        <v>2</v>
      </c>
      <c r="G1485" s="54">
        <v>6</v>
      </c>
      <c r="J1485" s="54">
        <v>4</v>
      </c>
      <c r="N1485" s="54">
        <v>2</v>
      </c>
      <c r="P1485" s="54">
        <v>2</v>
      </c>
      <c r="R1485" s="130" t="s">
        <v>1905</v>
      </c>
    </row>
    <row r="1486" s="54" customFormat="1" spans="1:18">
      <c r="A1486" s="54">
        <v>901503</v>
      </c>
      <c r="B1486" s="54">
        <v>7008</v>
      </c>
      <c r="C1486" s="54" t="s">
        <v>1903</v>
      </c>
      <c r="D1486" s="54" t="s">
        <v>1907</v>
      </c>
      <c r="F1486" s="54">
        <v>2</v>
      </c>
      <c r="G1486" s="54">
        <v>15</v>
      </c>
      <c r="J1486" s="54">
        <v>4</v>
      </c>
      <c r="N1486" s="54">
        <v>2</v>
      </c>
      <c r="P1486" s="54">
        <v>2</v>
      </c>
      <c r="R1486" s="130" t="s">
        <v>1908</v>
      </c>
    </row>
    <row r="1487" s="54" customFormat="1" spans="1:18">
      <c r="A1487" s="54">
        <v>901504</v>
      </c>
      <c r="B1487" s="54">
        <v>7008</v>
      </c>
      <c r="C1487" s="54" t="s">
        <v>1903</v>
      </c>
      <c r="D1487" s="54" t="s">
        <v>1909</v>
      </c>
      <c r="F1487" s="54">
        <v>2</v>
      </c>
      <c r="G1487" s="54">
        <v>30</v>
      </c>
      <c r="J1487" s="54">
        <v>4</v>
      </c>
      <c r="N1487" s="54">
        <v>2</v>
      </c>
      <c r="P1487" s="54">
        <v>2</v>
      </c>
      <c r="R1487" s="130" t="s">
        <v>1908</v>
      </c>
    </row>
    <row r="1488" s="54" customFormat="1" spans="1:18">
      <c r="A1488" s="54">
        <v>901505</v>
      </c>
      <c r="B1488" s="54">
        <v>7008</v>
      </c>
      <c r="C1488" s="54" t="s">
        <v>1903</v>
      </c>
      <c r="D1488" s="54" t="s">
        <v>1910</v>
      </c>
      <c r="F1488" s="54">
        <v>2</v>
      </c>
      <c r="G1488" s="54">
        <v>50</v>
      </c>
      <c r="J1488" s="54">
        <v>4</v>
      </c>
      <c r="N1488" s="54">
        <v>2</v>
      </c>
      <c r="P1488" s="54">
        <v>2</v>
      </c>
      <c r="R1488" s="130" t="s">
        <v>1911</v>
      </c>
    </row>
    <row r="1489" s="54" customFormat="1" spans="1:18">
      <c r="A1489" s="54">
        <v>901506</v>
      </c>
      <c r="B1489" s="54">
        <v>7008</v>
      </c>
      <c r="C1489" s="54" t="s">
        <v>1903</v>
      </c>
      <c r="D1489" s="54" t="s">
        <v>1912</v>
      </c>
      <c r="F1489" s="54">
        <v>2</v>
      </c>
      <c r="G1489" s="54">
        <v>70</v>
      </c>
      <c r="J1489" s="54">
        <v>4</v>
      </c>
      <c r="N1489" s="54">
        <v>2</v>
      </c>
      <c r="P1489" s="54">
        <v>2</v>
      </c>
      <c r="R1489" s="130" t="s">
        <v>1911</v>
      </c>
    </row>
    <row r="1490" s="54" customFormat="1" spans="1:18">
      <c r="A1490" s="54">
        <v>901507</v>
      </c>
      <c r="B1490" s="54">
        <v>7008</v>
      </c>
      <c r="C1490" s="54" t="s">
        <v>1903</v>
      </c>
      <c r="D1490" s="54" t="s">
        <v>1913</v>
      </c>
      <c r="F1490" s="54">
        <v>2</v>
      </c>
      <c r="G1490" s="54">
        <v>90</v>
      </c>
      <c r="J1490" s="54">
        <v>4</v>
      </c>
      <c r="N1490" s="54">
        <v>2</v>
      </c>
      <c r="P1490" s="54">
        <v>2</v>
      </c>
      <c r="R1490" s="130" t="s">
        <v>1914</v>
      </c>
    </row>
    <row r="1491" s="54" customFormat="1" spans="1:18">
      <c r="A1491" s="54">
        <v>901508</v>
      </c>
      <c r="B1491" s="54">
        <v>7008</v>
      </c>
      <c r="C1491" s="54" t="s">
        <v>1903</v>
      </c>
      <c r="D1491" s="54" t="s">
        <v>1915</v>
      </c>
      <c r="F1491" s="54">
        <v>2</v>
      </c>
      <c r="G1491" s="54">
        <v>120</v>
      </c>
      <c r="J1491" s="54">
        <v>4</v>
      </c>
      <c r="N1491" s="54">
        <v>2</v>
      </c>
      <c r="P1491" s="54">
        <v>2</v>
      </c>
      <c r="R1491" s="130" t="s">
        <v>1914</v>
      </c>
    </row>
    <row r="1492" s="54" customFormat="1" spans="1:18">
      <c r="A1492" s="54">
        <v>901509</v>
      </c>
      <c r="B1492" s="54">
        <v>7008</v>
      </c>
      <c r="C1492" s="54" t="s">
        <v>1903</v>
      </c>
      <c r="D1492" s="54" t="s">
        <v>1916</v>
      </c>
      <c r="F1492" s="54">
        <v>2</v>
      </c>
      <c r="G1492" s="54">
        <v>150</v>
      </c>
      <c r="J1492" s="54">
        <v>4</v>
      </c>
      <c r="N1492" s="54">
        <v>2</v>
      </c>
      <c r="P1492" s="54">
        <v>2</v>
      </c>
      <c r="R1492" s="130" t="s">
        <v>1917</v>
      </c>
    </row>
    <row r="1493" s="54" customFormat="1" spans="1:18">
      <c r="A1493" s="54">
        <v>901510</v>
      </c>
      <c r="B1493" s="54">
        <v>7008</v>
      </c>
      <c r="C1493" s="54" t="s">
        <v>1903</v>
      </c>
      <c r="D1493" s="54" t="s">
        <v>1918</v>
      </c>
      <c r="F1493" s="54">
        <v>2</v>
      </c>
      <c r="G1493" s="54">
        <v>180</v>
      </c>
      <c r="J1493" s="54">
        <v>4</v>
      </c>
      <c r="N1493" s="54">
        <v>2</v>
      </c>
      <c r="P1493" s="54">
        <v>2</v>
      </c>
      <c r="R1493" s="130" t="s">
        <v>1917</v>
      </c>
    </row>
    <row r="1494" s="55" customFormat="1" spans="1:18">
      <c r="A1494" s="55">
        <v>901601</v>
      </c>
      <c r="B1494" s="55">
        <v>7009</v>
      </c>
      <c r="C1494" s="55" t="s">
        <v>1919</v>
      </c>
      <c r="D1494" s="55" t="s">
        <v>1920</v>
      </c>
      <c r="F1494" s="55">
        <v>91</v>
      </c>
      <c r="G1494" s="55">
        <v>10</v>
      </c>
      <c r="J1494" s="55">
        <v>4</v>
      </c>
      <c r="N1494" s="55">
        <v>2</v>
      </c>
      <c r="P1494" s="55">
        <v>2</v>
      </c>
      <c r="R1494" s="131" t="s">
        <v>1921</v>
      </c>
    </row>
    <row r="1495" s="55" customFormat="1" spans="1:18">
      <c r="A1495" s="55">
        <v>901602</v>
      </c>
      <c r="B1495" s="55">
        <v>7009</v>
      </c>
      <c r="C1495" s="55" t="s">
        <v>1919</v>
      </c>
      <c r="D1495" s="55" t="s">
        <v>1922</v>
      </c>
      <c r="F1495" s="55">
        <v>91</v>
      </c>
      <c r="G1495" s="55">
        <v>20</v>
      </c>
      <c r="J1495" s="55">
        <v>4</v>
      </c>
      <c r="N1495" s="55">
        <v>2</v>
      </c>
      <c r="P1495" s="55">
        <v>2</v>
      </c>
      <c r="R1495" s="131" t="s">
        <v>1921</v>
      </c>
    </row>
    <row r="1496" s="55" customFormat="1" spans="1:18">
      <c r="A1496" s="55">
        <v>901603</v>
      </c>
      <c r="B1496" s="55">
        <v>7009</v>
      </c>
      <c r="C1496" s="55" t="s">
        <v>1919</v>
      </c>
      <c r="D1496" s="55" t="s">
        <v>1923</v>
      </c>
      <c r="F1496" s="55">
        <v>91</v>
      </c>
      <c r="G1496" s="55">
        <v>30</v>
      </c>
      <c r="J1496" s="55">
        <v>4</v>
      </c>
      <c r="N1496" s="55">
        <v>2</v>
      </c>
      <c r="P1496" s="55">
        <v>2</v>
      </c>
      <c r="R1496" s="131" t="s">
        <v>1921</v>
      </c>
    </row>
    <row r="1497" s="55" customFormat="1" spans="1:18">
      <c r="A1497" s="55">
        <v>901604</v>
      </c>
      <c r="B1497" s="55">
        <v>7009</v>
      </c>
      <c r="C1497" s="55" t="s">
        <v>1919</v>
      </c>
      <c r="D1497" s="55" t="s">
        <v>1924</v>
      </c>
      <c r="F1497" s="55">
        <v>91</v>
      </c>
      <c r="G1497" s="55">
        <v>50</v>
      </c>
      <c r="J1497" s="55">
        <v>4</v>
      </c>
      <c r="N1497" s="55">
        <v>2</v>
      </c>
      <c r="P1497" s="55">
        <v>2</v>
      </c>
      <c r="R1497" s="131" t="s">
        <v>1925</v>
      </c>
    </row>
    <row r="1498" s="55" customFormat="1" spans="1:18">
      <c r="A1498" s="55">
        <v>901605</v>
      </c>
      <c r="B1498" s="55">
        <v>7009</v>
      </c>
      <c r="C1498" s="55" t="s">
        <v>1919</v>
      </c>
      <c r="D1498" s="55" t="s">
        <v>1926</v>
      </c>
      <c r="F1498" s="55">
        <v>91</v>
      </c>
      <c r="G1498" s="55">
        <v>60</v>
      </c>
      <c r="J1498" s="55">
        <v>4</v>
      </c>
      <c r="N1498" s="55">
        <v>2</v>
      </c>
      <c r="P1498" s="55">
        <v>2</v>
      </c>
      <c r="R1498" s="131" t="s">
        <v>1925</v>
      </c>
    </row>
    <row r="1499" s="55" customFormat="1" spans="1:18">
      <c r="A1499" s="55">
        <v>901606</v>
      </c>
      <c r="B1499" s="55">
        <v>7009</v>
      </c>
      <c r="C1499" s="55" t="s">
        <v>1919</v>
      </c>
      <c r="D1499" s="55" t="s">
        <v>1927</v>
      </c>
      <c r="F1499" s="55">
        <v>91</v>
      </c>
      <c r="G1499" s="55">
        <v>70</v>
      </c>
      <c r="J1499" s="55">
        <v>4</v>
      </c>
      <c r="N1499" s="55">
        <v>2</v>
      </c>
      <c r="P1499" s="55">
        <v>2</v>
      </c>
      <c r="R1499" s="131" t="s">
        <v>1928</v>
      </c>
    </row>
    <row r="1500" s="55" customFormat="1" spans="1:18">
      <c r="A1500" s="55">
        <v>901607</v>
      </c>
      <c r="B1500" s="55">
        <v>7009</v>
      </c>
      <c r="C1500" s="55" t="s">
        <v>1919</v>
      </c>
      <c r="D1500" s="55" t="s">
        <v>1929</v>
      </c>
      <c r="F1500" s="55">
        <v>91</v>
      </c>
      <c r="G1500" s="55">
        <v>80</v>
      </c>
      <c r="J1500" s="55">
        <v>4</v>
      </c>
      <c r="N1500" s="55">
        <v>2</v>
      </c>
      <c r="P1500" s="55">
        <v>2</v>
      </c>
      <c r="R1500" s="131" t="s">
        <v>1930</v>
      </c>
    </row>
    <row r="1501" s="55" customFormat="1" spans="1:18">
      <c r="A1501" s="55">
        <v>901608</v>
      </c>
      <c r="B1501" s="55">
        <v>7009</v>
      </c>
      <c r="C1501" s="55" t="s">
        <v>1919</v>
      </c>
      <c r="D1501" s="55" t="s">
        <v>1931</v>
      </c>
      <c r="F1501" s="55">
        <v>91</v>
      </c>
      <c r="G1501" s="55">
        <v>100</v>
      </c>
      <c r="J1501" s="55">
        <v>4</v>
      </c>
      <c r="N1501" s="55">
        <v>2</v>
      </c>
      <c r="P1501" s="55">
        <v>2</v>
      </c>
      <c r="R1501" s="131" t="s">
        <v>1932</v>
      </c>
    </row>
    <row r="1502" s="55" customFormat="1" spans="1:18">
      <c r="A1502" s="55">
        <v>901609</v>
      </c>
      <c r="B1502" s="55">
        <v>7009</v>
      </c>
      <c r="C1502" s="55" t="s">
        <v>1919</v>
      </c>
      <c r="D1502" s="55" t="s">
        <v>1933</v>
      </c>
      <c r="F1502" s="55">
        <v>91</v>
      </c>
      <c r="G1502" s="55">
        <v>120</v>
      </c>
      <c r="J1502" s="55">
        <v>4</v>
      </c>
      <c r="N1502" s="55">
        <v>2</v>
      </c>
      <c r="P1502" s="55">
        <v>2</v>
      </c>
      <c r="R1502" s="131" t="s">
        <v>1934</v>
      </c>
    </row>
    <row r="1503" s="55" customFormat="1" spans="1:18">
      <c r="A1503" s="55">
        <v>901610</v>
      </c>
      <c r="B1503" s="55">
        <v>7009</v>
      </c>
      <c r="C1503" s="55" t="s">
        <v>1919</v>
      </c>
      <c r="D1503" s="55" t="s">
        <v>1935</v>
      </c>
      <c r="F1503" s="55">
        <v>91</v>
      </c>
      <c r="G1503" s="55">
        <v>150</v>
      </c>
      <c r="J1503" s="55">
        <v>4</v>
      </c>
      <c r="N1503" s="55">
        <v>2</v>
      </c>
      <c r="P1503" s="55">
        <v>2</v>
      </c>
      <c r="R1503" s="131" t="s">
        <v>1936</v>
      </c>
    </row>
  </sheetData>
  <autoFilter ref="B1:B1503">
    <extLst/>
  </autoFilter>
  <conditionalFormatting sqref="A40">
    <cfRule type="duplicateValues" dxfId="0" priority="181"/>
    <cfRule type="duplicateValues" dxfId="0" priority="182"/>
    <cfRule type="duplicateValues" dxfId="0" priority="183"/>
    <cfRule type="duplicateValues" dxfId="0" priority="184"/>
  </conditionalFormatting>
  <conditionalFormatting sqref="A105">
    <cfRule type="duplicateValues" dxfId="0" priority="603"/>
    <cfRule type="duplicateValues" dxfId="0" priority="604"/>
    <cfRule type="duplicateValues" dxfId="0" priority="605"/>
    <cfRule type="duplicateValues" dxfId="0" priority="606"/>
  </conditionalFormatting>
  <conditionalFormatting sqref="A247">
    <cfRule type="duplicateValues" dxfId="0" priority="676"/>
  </conditionalFormatting>
  <conditionalFormatting sqref="A296">
    <cfRule type="duplicateValues" dxfId="0" priority="152"/>
    <cfRule type="duplicateValues" dxfId="0" priority="153"/>
    <cfRule type="duplicateValues" dxfId="0" priority="154"/>
    <cfRule type="duplicateValues" dxfId="0" priority="155"/>
  </conditionalFormatting>
  <conditionalFormatting sqref="B334">
    <cfRule type="duplicateValues" dxfId="0" priority="146"/>
  </conditionalFormatting>
  <conditionalFormatting sqref="B335">
    <cfRule type="duplicateValues" dxfId="0" priority="109"/>
  </conditionalFormatting>
  <conditionalFormatting sqref="B336">
    <cfRule type="duplicateValues" dxfId="0" priority="108"/>
  </conditionalFormatting>
  <conditionalFormatting sqref="B337">
    <cfRule type="duplicateValues" dxfId="0" priority="107"/>
  </conditionalFormatting>
  <conditionalFormatting sqref="B338">
    <cfRule type="duplicateValues" dxfId="0" priority="106"/>
  </conditionalFormatting>
  <conditionalFormatting sqref="B339">
    <cfRule type="duplicateValues" dxfId="0" priority="105"/>
  </conditionalFormatting>
  <conditionalFormatting sqref="B340">
    <cfRule type="duplicateValues" dxfId="0" priority="104"/>
  </conditionalFormatting>
  <conditionalFormatting sqref="B341">
    <cfRule type="duplicateValues" dxfId="0" priority="103"/>
  </conditionalFormatting>
  <conditionalFormatting sqref="B342">
    <cfRule type="duplicateValues" dxfId="0" priority="102"/>
  </conditionalFormatting>
  <conditionalFormatting sqref="B343">
    <cfRule type="duplicateValues" dxfId="0" priority="101"/>
  </conditionalFormatting>
  <conditionalFormatting sqref="A359">
    <cfRule type="duplicateValues" dxfId="0" priority="651"/>
  </conditionalFormatting>
  <conditionalFormatting sqref="A384">
    <cfRule type="duplicateValues" dxfId="0" priority="694"/>
  </conditionalFormatting>
  <conditionalFormatting sqref="A446">
    <cfRule type="duplicateValues" dxfId="0" priority="597"/>
    <cfRule type="duplicateValues" dxfId="0" priority="598"/>
    <cfRule type="duplicateValues" dxfId="0" priority="599"/>
    <cfRule type="duplicateValues" dxfId="0" priority="600"/>
  </conditionalFormatting>
  <conditionalFormatting sqref="A448">
    <cfRule type="duplicateValues" dxfId="0" priority="742"/>
  </conditionalFormatting>
  <conditionalFormatting sqref="A557">
    <cfRule type="duplicateValues" dxfId="0" priority="1020"/>
  </conditionalFormatting>
  <conditionalFormatting sqref="A558">
    <cfRule type="duplicateValues" dxfId="0" priority="1017"/>
  </conditionalFormatting>
  <conditionalFormatting sqref="A559">
    <cfRule type="duplicateValues" dxfId="0" priority="1014"/>
  </conditionalFormatting>
  <conditionalFormatting sqref="A560">
    <cfRule type="duplicateValues" dxfId="0" priority="1011"/>
  </conditionalFormatting>
  <conditionalFormatting sqref="A561">
    <cfRule type="duplicateValues" dxfId="0" priority="1008"/>
  </conditionalFormatting>
  <conditionalFormatting sqref="A563">
    <cfRule type="duplicateValues" dxfId="0" priority="999"/>
  </conditionalFormatting>
  <conditionalFormatting sqref="A564">
    <cfRule type="duplicateValues" dxfId="0" priority="996"/>
  </conditionalFormatting>
  <conditionalFormatting sqref="A565">
    <cfRule type="duplicateValues" dxfId="0" priority="993"/>
  </conditionalFormatting>
  <conditionalFormatting sqref="A566">
    <cfRule type="duplicateValues" dxfId="0" priority="1165"/>
  </conditionalFormatting>
  <conditionalFormatting sqref="A567">
    <cfRule type="duplicateValues" dxfId="0" priority="799"/>
  </conditionalFormatting>
  <conditionalFormatting sqref="A569">
    <cfRule type="duplicateValues" dxfId="0" priority="984"/>
  </conditionalFormatting>
  <conditionalFormatting sqref="A570">
    <cfRule type="duplicateValues" dxfId="0" priority="978"/>
  </conditionalFormatting>
  <conditionalFormatting sqref="A571">
    <cfRule type="duplicateValues" dxfId="0" priority="972"/>
  </conditionalFormatting>
  <conditionalFormatting sqref="A573">
    <cfRule type="duplicateValues" dxfId="0" priority="789"/>
  </conditionalFormatting>
  <conditionalFormatting sqref="A575">
    <cfRule type="duplicateValues" dxfId="0" priority="956"/>
  </conditionalFormatting>
  <conditionalFormatting sqref="A576">
    <cfRule type="duplicateValues" dxfId="0" priority="952"/>
  </conditionalFormatting>
  <conditionalFormatting sqref="A577">
    <cfRule type="duplicateValues" dxfId="0" priority="948"/>
  </conditionalFormatting>
  <conditionalFormatting sqref="A578">
    <cfRule type="duplicateValues" dxfId="0" priority="944"/>
  </conditionalFormatting>
  <conditionalFormatting sqref="A579:B579">
    <cfRule type="duplicateValues" dxfId="0" priority="771"/>
  </conditionalFormatting>
  <conditionalFormatting sqref="A581">
    <cfRule type="duplicateValues" dxfId="0" priority="940"/>
  </conditionalFormatting>
  <conditionalFormatting sqref="A582">
    <cfRule type="duplicateValues" dxfId="0" priority="933"/>
  </conditionalFormatting>
  <conditionalFormatting sqref="A583">
    <cfRule type="duplicateValues" dxfId="0" priority="927"/>
  </conditionalFormatting>
  <conditionalFormatting sqref="A584">
    <cfRule type="duplicateValues" dxfId="0" priority="921"/>
  </conditionalFormatting>
  <conditionalFormatting sqref="A585">
    <cfRule type="duplicateValues" dxfId="0" priority="913"/>
  </conditionalFormatting>
  <conditionalFormatting sqref="A587">
    <cfRule type="duplicateValues" dxfId="0" priority="908"/>
  </conditionalFormatting>
  <conditionalFormatting sqref="A588">
    <cfRule type="duplicateValues" dxfId="0" priority="899"/>
  </conditionalFormatting>
  <conditionalFormatting sqref="A589">
    <cfRule type="duplicateValues" dxfId="0" priority="891"/>
  </conditionalFormatting>
  <conditionalFormatting sqref="A590">
    <cfRule type="duplicateValues" dxfId="0" priority="766"/>
  </conditionalFormatting>
  <conditionalFormatting sqref="A591">
    <cfRule type="duplicateValues" dxfId="0" priority="1183"/>
  </conditionalFormatting>
  <conditionalFormatting sqref="A593">
    <cfRule type="duplicateValues" dxfId="0" priority="870"/>
  </conditionalFormatting>
  <conditionalFormatting sqref="A594">
    <cfRule type="duplicateValues" dxfId="0" priority="860"/>
  </conditionalFormatting>
  <conditionalFormatting sqref="A595">
    <cfRule type="duplicateValues" dxfId="0" priority="853"/>
  </conditionalFormatting>
  <conditionalFormatting sqref="A596">
    <cfRule type="duplicateValues" dxfId="0" priority="846"/>
  </conditionalFormatting>
  <conditionalFormatting sqref="R792">
    <cfRule type="duplicateValues" priority="4"/>
    <cfRule type="duplicateValues" dxfId="1" priority="1"/>
    <cfRule type="duplicateValues" dxfId="2" priority="2"/>
    <cfRule type="duplicateValues" dxfId="2" priority="3"/>
  </conditionalFormatting>
  <conditionalFormatting sqref="A797">
    <cfRule type="duplicateValues" dxfId="0" priority="586"/>
  </conditionalFormatting>
  <conditionalFormatting sqref="A856">
    <cfRule type="duplicateValues" dxfId="0" priority="634"/>
    <cfRule type="duplicateValues" dxfId="0" priority="635"/>
    <cfRule type="duplicateValues" dxfId="0" priority="636"/>
  </conditionalFormatting>
  <conditionalFormatting sqref="A857">
    <cfRule type="duplicateValues" dxfId="0" priority="631"/>
    <cfRule type="duplicateValues" dxfId="0" priority="632"/>
    <cfRule type="duplicateValues" dxfId="0" priority="633"/>
  </conditionalFormatting>
  <conditionalFormatting sqref="A1054">
    <cfRule type="duplicateValues" dxfId="0" priority="555"/>
    <cfRule type="duplicateValues" dxfId="0" priority="556"/>
    <cfRule type="duplicateValues" dxfId="0" priority="557"/>
    <cfRule type="duplicateValues" dxfId="0" priority="558"/>
  </conditionalFormatting>
  <conditionalFormatting sqref="A1055">
    <cfRule type="duplicateValues" dxfId="0" priority="554"/>
  </conditionalFormatting>
  <conditionalFormatting sqref="A1056">
    <cfRule type="duplicateValues" dxfId="0" priority="550"/>
    <cfRule type="duplicateValues" dxfId="0" priority="551"/>
    <cfRule type="duplicateValues" dxfId="0" priority="552"/>
    <cfRule type="duplicateValues" dxfId="0" priority="553"/>
  </conditionalFormatting>
  <conditionalFormatting sqref="A1057">
    <cfRule type="duplicateValues" dxfId="0" priority="546"/>
    <cfRule type="duplicateValues" dxfId="0" priority="547"/>
    <cfRule type="duplicateValues" dxfId="0" priority="548"/>
    <cfRule type="duplicateValues" dxfId="0" priority="549"/>
  </conditionalFormatting>
  <conditionalFormatting sqref="A1058">
    <cfRule type="duplicateValues" dxfId="0" priority="542"/>
    <cfRule type="duplicateValues" dxfId="0" priority="543"/>
    <cfRule type="duplicateValues" dxfId="0" priority="544"/>
    <cfRule type="duplicateValues" dxfId="0" priority="545"/>
  </conditionalFormatting>
  <conditionalFormatting sqref="A1059">
    <cfRule type="duplicateValues" dxfId="0" priority="534"/>
    <cfRule type="duplicateValues" dxfId="0" priority="535"/>
    <cfRule type="duplicateValues" dxfId="0" priority="536"/>
    <cfRule type="duplicateValues" dxfId="0" priority="537"/>
  </conditionalFormatting>
  <conditionalFormatting sqref="A1060">
    <cfRule type="duplicateValues" dxfId="0" priority="530"/>
    <cfRule type="duplicateValues" dxfId="0" priority="531"/>
    <cfRule type="duplicateValues" dxfId="0" priority="532"/>
    <cfRule type="duplicateValues" dxfId="0" priority="533"/>
  </conditionalFormatting>
  <conditionalFormatting sqref="A1061">
    <cfRule type="duplicateValues" dxfId="0" priority="582"/>
    <cfRule type="duplicateValues" dxfId="0" priority="583"/>
    <cfRule type="duplicateValues" dxfId="0" priority="584"/>
  </conditionalFormatting>
  <conditionalFormatting sqref="A1062">
    <cfRule type="duplicateValues" dxfId="0" priority="526"/>
    <cfRule type="duplicateValues" dxfId="0" priority="527"/>
    <cfRule type="duplicateValues" dxfId="0" priority="528"/>
  </conditionalFormatting>
  <conditionalFormatting sqref="A1063">
    <cfRule type="duplicateValues" dxfId="0" priority="522"/>
    <cfRule type="duplicateValues" dxfId="0" priority="523"/>
    <cfRule type="duplicateValues" dxfId="0" priority="524"/>
  </conditionalFormatting>
  <conditionalFormatting sqref="A1086">
    <cfRule type="duplicateValues" dxfId="0" priority="58"/>
  </conditionalFormatting>
  <conditionalFormatting sqref="A1087">
    <cfRule type="duplicateValues" dxfId="0" priority="56"/>
  </conditionalFormatting>
  <conditionalFormatting sqref="A1107">
    <cfRule type="duplicateValues" dxfId="0" priority="448"/>
    <cfRule type="duplicateValues" dxfId="0" priority="449"/>
    <cfRule type="duplicateValues" dxfId="0" priority="450"/>
  </conditionalFormatting>
  <conditionalFormatting sqref="A1108">
    <cfRule type="duplicateValues" dxfId="0" priority="447"/>
  </conditionalFormatting>
  <conditionalFormatting sqref="A1109">
    <cfRule type="duplicateValues" dxfId="0" priority="443"/>
    <cfRule type="duplicateValues" dxfId="0" priority="444"/>
    <cfRule type="duplicateValues" dxfId="0" priority="445"/>
    <cfRule type="duplicateValues" dxfId="0" priority="446"/>
  </conditionalFormatting>
  <conditionalFormatting sqref="A1110">
    <cfRule type="duplicateValues" dxfId="0" priority="439"/>
    <cfRule type="duplicateValues" dxfId="0" priority="440"/>
    <cfRule type="duplicateValues" dxfId="0" priority="441"/>
    <cfRule type="duplicateValues" dxfId="0" priority="442"/>
  </conditionalFormatting>
  <conditionalFormatting sqref="A1111">
    <cfRule type="duplicateValues" dxfId="0" priority="435"/>
    <cfRule type="duplicateValues" dxfId="0" priority="436"/>
    <cfRule type="duplicateValues" dxfId="0" priority="437"/>
    <cfRule type="duplicateValues" dxfId="0" priority="438"/>
  </conditionalFormatting>
  <conditionalFormatting sqref="A1112">
    <cfRule type="duplicateValues" dxfId="0" priority="431"/>
    <cfRule type="duplicateValues" dxfId="0" priority="432"/>
    <cfRule type="duplicateValues" dxfId="0" priority="433"/>
    <cfRule type="duplicateValues" dxfId="0" priority="434"/>
  </conditionalFormatting>
  <conditionalFormatting sqref="A1113">
    <cfRule type="duplicateValues" dxfId="0" priority="427"/>
    <cfRule type="duplicateValues" dxfId="0" priority="428"/>
    <cfRule type="duplicateValues" dxfId="0" priority="429"/>
    <cfRule type="duplicateValues" dxfId="0" priority="430"/>
  </conditionalFormatting>
  <conditionalFormatting sqref="A1114">
    <cfRule type="duplicateValues" dxfId="0" priority="456"/>
    <cfRule type="duplicateValues" dxfId="0" priority="457"/>
    <cfRule type="duplicateValues" dxfId="0" priority="458"/>
  </conditionalFormatting>
  <conditionalFormatting sqref="A1123">
    <cfRule type="duplicateValues" dxfId="0" priority="402"/>
    <cfRule type="duplicateValues" dxfId="0" priority="403"/>
    <cfRule type="duplicateValues" dxfId="0" priority="404"/>
    <cfRule type="duplicateValues" dxfId="0" priority="405"/>
  </conditionalFormatting>
  <conditionalFormatting sqref="A1124">
    <cfRule type="duplicateValues" dxfId="0" priority="401"/>
  </conditionalFormatting>
  <conditionalFormatting sqref="A1125">
    <cfRule type="duplicateValues" dxfId="0" priority="397"/>
    <cfRule type="duplicateValues" dxfId="0" priority="398"/>
    <cfRule type="duplicateValues" dxfId="0" priority="399"/>
    <cfRule type="duplicateValues" dxfId="0" priority="400"/>
  </conditionalFormatting>
  <conditionalFormatting sqref="A1126">
    <cfRule type="duplicateValues" dxfId="0" priority="393"/>
    <cfRule type="duplicateValues" dxfId="0" priority="394"/>
    <cfRule type="duplicateValues" dxfId="0" priority="395"/>
    <cfRule type="duplicateValues" dxfId="0" priority="396"/>
  </conditionalFormatting>
  <conditionalFormatting sqref="A1127">
    <cfRule type="duplicateValues" dxfId="0" priority="389"/>
    <cfRule type="duplicateValues" dxfId="0" priority="390"/>
    <cfRule type="duplicateValues" dxfId="0" priority="391"/>
    <cfRule type="duplicateValues" dxfId="0" priority="392"/>
  </conditionalFormatting>
  <conditionalFormatting sqref="A1128">
    <cfRule type="duplicateValues" dxfId="0" priority="385"/>
    <cfRule type="duplicateValues" dxfId="0" priority="386"/>
    <cfRule type="duplicateValues" dxfId="0" priority="387"/>
    <cfRule type="duplicateValues" dxfId="0" priority="388"/>
  </conditionalFormatting>
  <conditionalFormatting sqref="A1129">
    <cfRule type="duplicateValues" dxfId="0" priority="381"/>
    <cfRule type="duplicateValues" dxfId="0" priority="382"/>
    <cfRule type="duplicateValues" dxfId="0" priority="383"/>
    <cfRule type="duplicateValues" dxfId="0" priority="384"/>
  </conditionalFormatting>
  <conditionalFormatting sqref="A1183">
    <cfRule type="duplicateValues" dxfId="0" priority="340"/>
    <cfRule type="duplicateValues" dxfId="0" priority="341"/>
    <cfRule type="duplicateValues" dxfId="0" priority="342"/>
    <cfRule type="duplicateValues" dxfId="0" priority="343"/>
  </conditionalFormatting>
  <conditionalFormatting sqref="A1184">
    <cfRule type="duplicateValues" dxfId="0" priority="339"/>
  </conditionalFormatting>
  <conditionalFormatting sqref="A1185">
    <cfRule type="duplicateValues" dxfId="0" priority="335"/>
    <cfRule type="duplicateValues" dxfId="0" priority="336"/>
    <cfRule type="duplicateValues" dxfId="0" priority="337"/>
    <cfRule type="duplicateValues" dxfId="0" priority="338"/>
  </conditionalFormatting>
  <conditionalFormatting sqref="A1186">
    <cfRule type="duplicateValues" dxfId="0" priority="331"/>
    <cfRule type="duplicateValues" dxfId="0" priority="332"/>
    <cfRule type="duplicateValues" dxfId="0" priority="333"/>
    <cfRule type="duplicateValues" dxfId="0" priority="334"/>
  </conditionalFormatting>
  <conditionalFormatting sqref="A1187">
    <cfRule type="duplicateValues" dxfId="0" priority="327"/>
    <cfRule type="duplicateValues" dxfId="0" priority="328"/>
    <cfRule type="duplicateValues" dxfId="0" priority="329"/>
    <cfRule type="duplicateValues" dxfId="0" priority="330"/>
  </conditionalFormatting>
  <conditionalFormatting sqref="A1188">
    <cfRule type="duplicateValues" dxfId="0" priority="323"/>
    <cfRule type="duplicateValues" dxfId="0" priority="324"/>
    <cfRule type="duplicateValues" dxfId="0" priority="325"/>
    <cfRule type="duplicateValues" dxfId="0" priority="326"/>
  </conditionalFormatting>
  <conditionalFormatting sqref="A1189">
    <cfRule type="duplicateValues" dxfId="0" priority="319"/>
    <cfRule type="duplicateValues" dxfId="0" priority="320"/>
    <cfRule type="duplicateValues" dxfId="0" priority="321"/>
    <cfRule type="duplicateValues" dxfId="0" priority="322"/>
  </conditionalFormatting>
  <conditionalFormatting sqref="A1190">
    <cfRule type="duplicateValues" dxfId="0" priority="348"/>
    <cfRule type="duplicateValues" dxfId="0" priority="349"/>
    <cfRule type="duplicateValues" dxfId="0" priority="350"/>
  </conditionalFormatting>
  <conditionalFormatting sqref="A1197">
    <cfRule type="duplicateValues" dxfId="0" priority="297"/>
    <cfRule type="duplicateValues" dxfId="0" priority="298"/>
    <cfRule type="duplicateValues" dxfId="0" priority="299"/>
  </conditionalFormatting>
  <conditionalFormatting sqref="A1210">
    <cfRule type="duplicateValues" dxfId="0" priority="257"/>
    <cfRule type="duplicateValues" dxfId="0" priority="258"/>
    <cfRule type="duplicateValues" dxfId="0" priority="259"/>
    <cfRule type="duplicateValues" dxfId="0" priority="260"/>
  </conditionalFormatting>
  <conditionalFormatting sqref="A1211">
    <cfRule type="duplicateValues" dxfId="0" priority="256"/>
  </conditionalFormatting>
  <conditionalFormatting sqref="A1212">
    <cfRule type="duplicateValues" dxfId="0" priority="252"/>
    <cfRule type="duplicateValues" dxfId="0" priority="253"/>
    <cfRule type="duplicateValues" dxfId="0" priority="254"/>
    <cfRule type="duplicateValues" dxfId="0" priority="255"/>
  </conditionalFormatting>
  <conditionalFormatting sqref="A1213">
    <cfRule type="duplicateValues" dxfId="0" priority="248"/>
    <cfRule type="duplicateValues" dxfId="0" priority="249"/>
    <cfRule type="duplicateValues" dxfId="0" priority="250"/>
    <cfRule type="duplicateValues" dxfId="0" priority="251"/>
  </conditionalFormatting>
  <conditionalFormatting sqref="A1214">
    <cfRule type="duplicateValues" dxfId="0" priority="244"/>
    <cfRule type="duplicateValues" dxfId="0" priority="245"/>
    <cfRule type="duplicateValues" dxfId="0" priority="246"/>
    <cfRule type="duplicateValues" dxfId="0" priority="247"/>
  </conditionalFormatting>
  <conditionalFormatting sqref="A1215">
    <cfRule type="duplicateValues" dxfId="0" priority="240"/>
    <cfRule type="duplicateValues" dxfId="0" priority="241"/>
    <cfRule type="duplicateValues" dxfId="0" priority="242"/>
    <cfRule type="duplicateValues" dxfId="0" priority="243"/>
  </conditionalFormatting>
  <conditionalFormatting sqref="A1216">
    <cfRule type="duplicateValues" dxfId="0" priority="236"/>
    <cfRule type="duplicateValues" dxfId="0" priority="237"/>
    <cfRule type="duplicateValues" dxfId="0" priority="238"/>
    <cfRule type="duplicateValues" dxfId="0" priority="239"/>
  </conditionalFormatting>
  <conditionalFormatting sqref="A1356">
    <cfRule type="duplicateValues" dxfId="0" priority="195"/>
  </conditionalFormatting>
  <conditionalFormatting sqref="A211:A212">
    <cfRule type="duplicateValues" dxfId="0" priority="763"/>
  </conditionalFormatting>
  <conditionalFormatting sqref="A471:A476">
    <cfRule type="duplicateValues" dxfId="0" priority="1073"/>
  </conditionalFormatting>
  <conditionalFormatting sqref="A477:A482">
    <cfRule type="duplicateValues" dxfId="0" priority="1070"/>
  </conditionalFormatting>
  <conditionalFormatting sqref="A483:A488">
    <cfRule type="duplicateValues" dxfId="0" priority="1069"/>
  </conditionalFormatting>
  <conditionalFormatting sqref="A489:A494">
    <cfRule type="duplicateValues" dxfId="0" priority="1066"/>
  </conditionalFormatting>
  <conditionalFormatting sqref="A495:A500">
    <cfRule type="duplicateValues" dxfId="0" priority="1065"/>
  </conditionalFormatting>
  <conditionalFormatting sqref="A501:A506">
    <cfRule type="duplicateValues" dxfId="0" priority="1061"/>
  </conditionalFormatting>
  <conditionalFormatting sqref="A507:A512">
    <cfRule type="duplicateValues" dxfId="0" priority="1046"/>
  </conditionalFormatting>
  <conditionalFormatting sqref="A513:A518">
    <cfRule type="duplicateValues" dxfId="0" priority="1045"/>
  </conditionalFormatting>
  <conditionalFormatting sqref="A519:A524">
    <cfRule type="duplicateValues" dxfId="0" priority="1057"/>
  </conditionalFormatting>
  <conditionalFormatting sqref="A525:A530">
    <cfRule type="duplicateValues" dxfId="0" priority="1056"/>
  </conditionalFormatting>
  <conditionalFormatting sqref="A531:A536">
    <cfRule type="duplicateValues" dxfId="0" priority="1055"/>
  </conditionalFormatting>
  <conditionalFormatting sqref="A537:A542">
    <cfRule type="duplicateValues" dxfId="0" priority="1044"/>
  </conditionalFormatting>
  <conditionalFormatting sqref="A543:A548">
    <cfRule type="duplicateValues" dxfId="0" priority="1132"/>
  </conditionalFormatting>
  <conditionalFormatting sqref="A549:A555">
    <cfRule type="duplicateValues" dxfId="0" priority="1052"/>
  </conditionalFormatting>
  <conditionalFormatting sqref="A556:A561">
    <cfRule type="duplicateValues" dxfId="0" priority="1023"/>
  </conditionalFormatting>
  <conditionalFormatting sqref="A562:A566">
    <cfRule type="duplicateValues" dxfId="0" priority="1162"/>
  </conditionalFormatting>
  <conditionalFormatting sqref="A568:A573">
    <cfRule type="duplicateValues" dxfId="0" priority="986"/>
  </conditionalFormatting>
  <conditionalFormatting sqref="A572:A573">
    <cfRule type="duplicateValues" dxfId="0" priority="965"/>
  </conditionalFormatting>
  <conditionalFormatting sqref="A574:A578">
    <cfRule type="duplicateValues" dxfId="0" priority="960"/>
  </conditionalFormatting>
  <conditionalFormatting sqref="A580:A585">
    <cfRule type="duplicateValues" dxfId="0" priority="943"/>
  </conditionalFormatting>
  <conditionalFormatting sqref="A592:A596">
    <cfRule type="duplicateValues" dxfId="0" priority="873"/>
  </conditionalFormatting>
  <conditionalFormatting sqref="A598:A604">
    <cfRule type="duplicateValues" dxfId="0" priority="718"/>
  </conditionalFormatting>
  <conditionalFormatting sqref="A599:A604">
    <cfRule type="duplicateValues" dxfId="0" priority="715"/>
  </conditionalFormatting>
  <conditionalFormatting sqref="A647:A653">
    <cfRule type="duplicateValues" dxfId="0" priority="712"/>
  </conditionalFormatting>
  <conditionalFormatting sqref="A648:A653">
    <cfRule type="duplicateValues" dxfId="0" priority="709"/>
  </conditionalFormatting>
  <conditionalFormatting sqref="A654:A659">
    <cfRule type="duplicateValues" dxfId="0" priority="1198"/>
  </conditionalFormatting>
  <conditionalFormatting sqref="A660:A695">
    <cfRule type="duplicateValues" dxfId="0" priority="774"/>
  </conditionalFormatting>
  <conditionalFormatting sqref="A696:A702">
    <cfRule type="duplicateValues" dxfId="0" priority="706"/>
  </conditionalFormatting>
  <conditionalFormatting sqref="A697:A702">
    <cfRule type="duplicateValues" dxfId="0" priority="703"/>
  </conditionalFormatting>
  <conditionalFormatting sqref="A703:A710">
    <cfRule type="duplicateValues" dxfId="0" priority="1039"/>
  </conditionalFormatting>
  <conditionalFormatting sqref="A711:A718">
    <cfRule type="duplicateValues" dxfId="0" priority="1037"/>
  </conditionalFormatting>
  <conditionalFormatting sqref="A719:A723">
    <cfRule type="duplicateValues" dxfId="0" priority="1229"/>
  </conditionalFormatting>
  <conditionalFormatting sqref="A724:A731">
    <cfRule type="duplicateValues" dxfId="0" priority="1035"/>
  </conditionalFormatting>
  <conditionalFormatting sqref="A725:A731">
    <cfRule type="duplicateValues" dxfId="0" priority="1032"/>
  </conditionalFormatting>
  <conditionalFormatting sqref="A732:A739">
    <cfRule type="duplicateValues" dxfId="0" priority="1029"/>
  </conditionalFormatting>
  <conditionalFormatting sqref="A740:A749">
    <cfRule type="duplicateValues" dxfId="0" priority="757"/>
  </conditionalFormatting>
  <conditionalFormatting sqref="A750:A756">
    <cfRule type="duplicateValues" dxfId="0" priority="662"/>
  </conditionalFormatting>
  <conditionalFormatting sqref="A757:A781">
    <cfRule type="duplicateValues" dxfId="0" priority="2634"/>
  </conditionalFormatting>
  <conditionalFormatting sqref="A782:A790">
    <cfRule type="duplicateValues" dxfId="0" priority="414"/>
    <cfRule type="duplicateValues" dxfId="0" priority="416"/>
  </conditionalFormatting>
  <conditionalFormatting sqref="A789:A790">
    <cfRule type="duplicateValues" dxfId="0" priority="415"/>
  </conditionalFormatting>
  <conditionalFormatting sqref="A848:A855">
    <cfRule type="duplicateValues" dxfId="0" priority="637"/>
    <cfRule type="duplicateValues" dxfId="0" priority="638"/>
    <cfRule type="duplicateValues" dxfId="0" priority="639"/>
  </conditionalFormatting>
  <conditionalFormatting sqref="A858:A860">
    <cfRule type="duplicateValues" dxfId="0" priority="627"/>
    <cfRule type="duplicateValues" dxfId="0" priority="628"/>
    <cfRule type="duplicateValues" dxfId="0" priority="629"/>
    <cfRule type="duplicateValues" dxfId="0" priority="630"/>
  </conditionalFormatting>
  <conditionalFormatting sqref="A866:A870">
    <cfRule type="duplicateValues" dxfId="0" priority="1303"/>
  </conditionalFormatting>
  <conditionalFormatting sqref="A871:A880">
    <cfRule type="duplicateValues" dxfId="0" priority="1422"/>
  </conditionalFormatting>
  <conditionalFormatting sqref="A881:A885">
    <cfRule type="duplicateValues" dxfId="0" priority="1564"/>
  </conditionalFormatting>
  <conditionalFormatting sqref="A886:A890">
    <cfRule type="duplicateValues" dxfId="0" priority="421"/>
    <cfRule type="duplicateValues" dxfId="0" priority="422"/>
    <cfRule type="duplicateValues" dxfId="0" priority="423"/>
    <cfRule type="duplicateValues" dxfId="0" priority="424"/>
  </conditionalFormatting>
  <conditionalFormatting sqref="A891:A895">
    <cfRule type="duplicateValues" dxfId="0" priority="1643"/>
  </conditionalFormatting>
  <conditionalFormatting sqref="A896:A900">
    <cfRule type="duplicateValues" dxfId="0" priority="1852"/>
  </conditionalFormatting>
  <conditionalFormatting sqref="A901:A905">
    <cfRule type="duplicateValues" dxfId="0" priority="1932"/>
  </conditionalFormatting>
  <conditionalFormatting sqref="A906:A910">
    <cfRule type="duplicateValues" dxfId="0" priority="2012"/>
  </conditionalFormatting>
  <conditionalFormatting sqref="A911:A915">
    <cfRule type="duplicateValues" dxfId="0" priority="2092"/>
  </conditionalFormatting>
  <conditionalFormatting sqref="A916:A920">
    <cfRule type="duplicateValues" dxfId="0" priority="2172"/>
  </conditionalFormatting>
  <conditionalFormatting sqref="A921:A925">
    <cfRule type="duplicateValues" dxfId="0" priority="2252"/>
  </conditionalFormatting>
  <conditionalFormatting sqref="A926:A930">
    <cfRule type="duplicateValues" dxfId="0" priority="2393"/>
  </conditionalFormatting>
  <conditionalFormatting sqref="A931:A938">
    <cfRule type="duplicateValues" dxfId="0" priority="2394"/>
  </conditionalFormatting>
  <conditionalFormatting sqref="A939:A943">
    <cfRule type="duplicateValues" dxfId="0" priority="2476"/>
  </conditionalFormatting>
  <conditionalFormatting sqref="A944:A951">
    <cfRule type="duplicateValues" dxfId="0" priority="2561"/>
  </conditionalFormatting>
  <conditionalFormatting sqref="A952:A959">
    <cfRule type="duplicateValues" dxfId="0" priority="2562"/>
  </conditionalFormatting>
  <conditionalFormatting sqref="A960:A967">
    <cfRule type="duplicateValues" dxfId="0" priority="2633"/>
  </conditionalFormatting>
  <conditionalFormatting sqref="A968:A975">
    <cfRule type="duplicateValues" dxfId="0" priority="202"/>
  </conditionalFormatting>
  <conditionalFormatting sqref="A976:A983">
    <cfRule type="duplicateValues" dxfId="0" priority="201"/>
  </conditionalFormatting>
  <conditionalFormatting sqref="A984:A991">
    <cfRule type="duplicateValues" dxfId="0" priority="199"/>
  </conditionalFormatting>
  <conditionalFormatting sqref="A992:A999">
    <cfRule type="duplicateValues" dxfId="0" priority="151"/>
  </conditionalFormatting>
  <conditionalFormatting sqref="A1000:A1015">
    <cfRule type="duplicateValues" dxfId="0" priority="100"/>
  </conditionalFormatting>
  <conditionalFormatting sqref="A1016:A1023">
    <cfRule type="duplicateValues" dxfId="0" priority="15"/>
  </conditionalFormatting>
  <conditionalFormatting sqref="A1024:A1031">
    <cfRule type="duplicateValues" dxfId="0" priority="14"/>
  </conditionalFormatting>
  <conditionalFormatting sqref="A1032:A1039">
    <cfRule type="duplicateValues" dxfId="0" priority="13"/>
  </conditionalFormatting>
  <conditionalFormatting sqref="A1040:A1045">
    <cfRule type="duplicateValues" dxfId="0" priority="1264"/>
  </conditionalFormatting>
  <conditionalFormatting sqref="A1053:A1061">
    <cfRule type="duplicateValues" dxfId="0" priority="559"/>
    <cfRule type="duplicateValues" dxfId="0" priority="560"/>
    <cfRule type="duplicateValues" dxfId="0" priority="561"/>
    <cfRule type="duplicateValues" dxfId="0" priority="562"/>
  </conditionalFormatting>
  <conditionalFormatting sqref="A1077:A1085">
    <cfRule type="duplicateValues" dxfId="0" priority="1704"/>
  </conditionalFormatting>
  <conditionalFormatting sqref="A1078:A1085">
    <cfRule type="duplicateValues" dxfId="0" priority="1705"/>
  </conditionalFormatting>
  <conditionalFormatting sqref="A1093:A1098">
    <cfRule type="duplicateValues" dxfId="0" priority="1771"/>
  </conditionalFormatting>
  <conditionalFormatting sqref="A1094:A1098">
    <cfRule type="duplicateValues" dxfId="0" priority="1772"/>
  </conditionalFormatting>
  <conditionalFormatting sqref="A1106:A1114">
    <cfRule type="duplicateValues" dxfId="0" priority="452"/>
    <cfRule type="duplicateValues" dxfId="0" priority="453"/>
    <cfRule type="duplicateValues" dxfId="0" priority="454"/>
    <cfRule type="duplicateValues" dxfId="0" priority="455"/>
  </conditionalFormatting>
  <conditionalFormatting sqref="A1122:A1146">
    <cfRule type="duplicateValues" dxfId="0" priority="406"/>
    <cfRule type="duplicateValues" dxfId="0" priority="407"/>
    <cfRule type="duplicateValues" dxfId="0" priority="408"/>
    <cfRule type="duplicateValues" dxfId="0" priority="409"/>
  </conditionalFormatting>
  <conditionalFormatting sqref="A1130:A1146">
    <cfRule type="duplicateValues" dxfId="0" priority="410"/>
    <cfRule type="duplicateValues" dxfId="0" priority="411"/>
    <cfRule type="duplicateValues" dxfId="0" priority="412"/>
  </conditionalFormatting>
  <conditionalFormatting sqref="A1147:A1162">
    <cfRule type="duplicateValues" dxfId="0" priority="2563"/>
  </conditionalFormatting>
  <conditionalFormatting sqref="A1163:A1168">
    <cfRule type="duplicateValues" dxfId="0" priority="2395"/>
  </conditionalFormatting>
  <conditionalFormatting sqref="A1169:A1174">
    <cfRule type="duplicateValues" dxfId="0" priority="317"/>
  </conditionalFormatting>
  <conditionalFormatting sqref="A1182:A1190">
    <cfRule type="duplicateValues" dxfId="0" priority="344"/>
    <cfRule type="duplicateValues" dxfId="0" priority="345"/>
    <cfRule type="duplicateValues" dxfId="0" priority="346"/>
    <cfRule type="duplicateValues" dxfId="0" priority="347"/>
  </conditionalFormatting>
  <conditionalFormatting sqref="A1196:A1201">
    <cfRule type="duplicateValues" dxfId="0" priority="301"/>
    <cfRule type="duplicateValues" dxfId="0" priority="302"/>
    <cfRule type="duplicateValues" dxfId="0" priority="303"/>
    <cfRule type="duplicateValues" dxfId="0" priority="304"/>
  </conditionalFormatting>
  <conditionalFormatting sqref="A1202:A1208">
    <cfRule type="duplicateValues" dxfId="0" priority="2632"/>
  </conditionalFormatting>
  <conditionalFormatting sqref="A1209:A1216">
    <cfRule type="duplicateValues" dxfId="0" priority="2628"/>
    <cfRule type="duplicateValues" dxfId="0" priority="2629"/>
    <cfRule type="duplicateValues" dxfId="0" priority="2630"/>
    <cfRule type="duplicateValues" dxfId="0" priority="2631"/>
  </conditionalFormatting>
  <conditionalFormatting sqref="A1217:A1355">
    <cfRule type="duplicateValues" dxfId="0" priority="235"/>
  </conditionalFormatting>
  <conditionalFormatting sqref="A1357:A1369">
    <cfRule type="duplicateValues" dxfId="0" priority="197"/>
  </conditionalFormatting>
  <conditionalFormatting sqref="A1370:A1382">
    <cfRule type="duplicateValues" dxfId="0" priority="194"/>
  </conditionalFormatting>
  <conditionalFormatting sqref="A1383:A1392">
    <cfRule type="duplicateValues" dxfId="0" priority="193"/>
  </conditionalFormatting>
  <conditionalFormatting sqref="A1393:A1397">
    <cfRule type="duplicateValues" dxfId="0" priority="192"/>
  </conditionalFormatting>
  <conditionalFormatting sqref="A1398:A1402">
    <cfRule type="duplicateValues" dxfId="0" priority="191"/>
  </conditionalFormatting>
  <conditionalFormatting sqref="A1403:A1408">
    <cfRule type="duplicateValues" dxfId="0" priority="190"/>
  </conditionalFormatting>
  <conditionalFormatting sqref="A1409:A1413">
    <cfRule type="duplicateValues" dxfId="0" priority="189"/>
  </conditionalFormatting>
  <conditionalFormatting sqref="I976:I983">
    <cfRule type="duplicateValues" dxfId="3" priority="200"/>
  </conditionalFormatting>
  <conditionalFormatting sqref="I984:I991">
    <cfRule type="duplicateValues" dxfId="3" priority="198"/>
  </conditionalFormatting>
  <conditionalFormatting sqref="A1191:A1195 A861:A865 A1:A39 A41:A104 A106:A210 A248:A295 A297:A358 A213:A246 A402 A450:A464 A406 A808:A847 A410:A430 A408 A404 A385:A400 A360:A383 A1414:A1048576">
    <cfRule type="duplicateValues" dxfId="0" priority="1103"/>
  </conditionalFormatting>
  <conditionalFormatting sqref="A1191:A1195 A808:A847 A1:A39 A41:A104 A213:A246 A248:A295 A297:A358 A106:A210 A617:A627 A629:A646 A447 A449:A555 A605:A615 A410:A445 A406 A404 A402 A408 A385:A400 A360:A383 A861:A865 A1414:A1048576">
    <cfRule type="duplicateValues" dxfId="0" priority="1043"/>
  </conditionalFormatting>
  <conditionalFormatting sqref="A1191:A1195 A808:A847 A1:A39 A41:A104 A213:A246 A248:A295 A297:A358 A106:A210 A605:A615 A617:A627 A447 A629:A646 A703:A718 A410:A445 A404 A402 A406 A408 A360:A383 A385:A400 A724:A731 A861:A865 A449:A555 A1414:A1048576">
    <cfRule type="duplicateValues" dxfId="0" priority="1033"/>
  </conditionalFormatting>
  <conditionalFormatting sqref="A1191:A1195 A791:A796 A1:A39 A41:A104 A106:A295 A297:A445 A798 A861:A865 A447:A718 A1414:A1048576 A800 A802 A724:A781 A808:A847 A804 A806">
    <cfRule type="duplicateValues" dxfId="0" priority="643"/>
  </conditionalFormatting>
  <conditionalFormatting sqref="A401 A403 A405 A407 A409">
    <cfRule type="duplicateValues" dxfId="0" priority="1362"/>
  </conditionalFormatting>
  <conditionalFormatting sqref="A431:A445 A447 A449">
    <cfRule type="duplicateValues" dxfId="0" priority="1076"/>
  </conditionalFormatting>
  <conditionalFormatting sqref="A465:A470 A490:A494">
    <cfRule type="duplicateValues" dxfId="0" priority="1155"/>
  </conditionalFormatting>
  <conditionalFormatting sqref="A586:A589 A591">
    <cfRule type="duplicateValues" dxfId="0" priority="1180"/>
  </conditionalFormatting>
  <conditionalFormatting sqref="A605:A615 A617:A627 A629:A646">
    <cfRule type="duplicateValues" dxfId="0" priority="1186"/>
  </conditionalFormatting>
  <conditionalFormatting sqref="A791:A796 A798 A800 A802 A804 A806">
    <cfRule type="duplicateValues" dxfId="0" priority="2822"/>
  </conditionalFormatting>
  <conditionalFormatting sqref="A797 A799 A801 A803 A805 A807">
    <cfRule type="duplicateValues" dxfId="0" priority="2789"/>
  </conditionalFormatting>
  <conditionalFormatting sqref="A1061 A1046:A1052">
    <cfRule type="duplicateValues" dxfId="0" priority="585"/>
  </conditionalFormatting>
  <conditionalFormatting sqref="A1062 A1064 A1066 A1068 A1070 A1072 A1074 A1076">
    <cfRule type="duplicateValues" dxfId="0" priority="529"/>
  </conditionalFormatting>
  <conditionalFormatting sqref="A1063 A1065 A1067 A1069 A1071 A1073 A1075">
    <cfRule type="duplicateValues" dxfId="0" priority="525"/>
  </conditionalFormatting>
  <conditionalFormatting sqref="A1086 A1088 A1090 A1092">
    <cfRule type="duplicateValues" dxfId="0" priority="57"/>
  </conditionalFormatting>
  <conditionalFormatting sqref="A1087 A1089 A1091">
    <cfRule type="duplicateValues" dxfId="0" priority="55"/>
  </conditionalFormatting>
  <conditionalFormatting sqref="A1114 A1099:A1105">
    <cfRule type="duplicateValues" dxfId="0" priority="459"/>
  </conditionalFormatting>
  <conditionalFormatting sqref="A1107 A1109 A1111 A1113">
    <cfRule type="duplicateValues" dxfId="0" priority="451"/>
  </conditionalFormatting>
  <conditionalFormatting sqref="A1130:A1146 A1115:A1121">
    <cfRule type="duplicateValues" dxfId="0" priority="413"/>
  </conditionalFormatting>
  <conditionalFormatting sqref="A1190 A1175:A1181">
    <cfRule type="duplicateValues" dxfId="0" priority="351"/>
  </conditionalFormatting>
  <conditionalFormatting sqref="A1197 A1199 A1201">
    <cfRule type="duplicateValues" dxfId="0" priority="300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166"/>
  <sheetViews>
    <sheetView workbookViewId="0">
      <pane ySplit="1" topLeftCell="A143" activePane="bottomLeft" state="frozen"/>
      <selection/>
      <selection pane="bottomLeft" activeCell="B166" sqref="B2:B166"/>
    </sheetView>
  </sheetViews>
  <sheetFormatPr defaultColWidth="9" defaultRowHeight="15" outlineLevelCol="4"/>
  <cols>
    <col min="1" max="1" width="9" style="4"/>
    <col min="2" max="2" width="50.8571428571429" customWidth="1"/>
    <col min="3" max="4" width="10.5714285714286" customWidth="1"/>
    <col min="5" max="5" width="36.8571428571429" customWidth="1"/>
  </cols>
  <sheetData>
    <row r="1" spans="1:5">
      <c r="A1" s="4" t="s">
        <v>0</v>
      </c>
      <c r="B1" s="21" t="s">
        <v>1937</v>
      </c>
      <c r="C1" t="s">
        <v>1938</v>
      </c>
      <c r="D1" t="s">
        <v>8</v>
      </c>
      <c r="E1" s="21" t="s">
        <v>1939</v>
      </c>
    </row>
    <row r="2" spans="1:5">
      <c r="A2" s="4">
        <v>1</v>
      </c>
      <c r="B2" t="s">
        <v>1940</v>
      </c>
      <c r="C2">
        <v>101</v>
      </c>
      <c r="E2" t="s">
        <v>1941</v>
      </c>
    </row>
    <row r="3" spans="1:3">
      <c r="A3" s="4">
        <v>2</v>
      </c>
      <c r="B3" t="s">
        <v>1942</v>
      </c>
      <c r="C3">
        <v>201</v>
      </c>
    </row>
    <row r="4" spans="1:3">
      <c r="A4" s="4">
        <v>3</v>
      </c>
      <c r="B4" t="s">
        <v>1943</v>
      </c>
      <c r="C4">
        <v>302</v>
      </c>
    </row>
    <row r="5" spans="1:3">
      <c r="A5" s="4">
        <v>4</v>
      </c>
      <c r="B5" t="s">
        <v>1944</v>
      </c>
      <c r="C5">
        <v>401</v>
      </c>
    </row>
    <row r="6" spans="1:4">
      <c r="A6" s="4">
        <v>5</v>
      </c>
      <c r="B6" t="s">
        <v>1945</v>
      </c>
      <c r="C6">
        <v>403</v>
      </c>
      <c r="D6">
        <v>6</v>
      </c>
    </row>
    <row r="7" spans="1:4">
      <c r="A7" s="4">
        <v>6</v>
      </c>
      <c r="B7" t="s">
        <v>1946</v>
      </c>
      <c r="C7">
        <v>403</v>
      </c>
      <c r="D7">
        <v>8</v>
      </c>
    </row>
    <row r="8" spans="1:4">
      <c r="A8" s="4">
        <v>7</v>
      </c>
      <c r="B8" t="s">
        <v>1947</v>
      </c>
      <c r="C8">
        <v>430</v>
      </c>
      <c r="D8">
        <v>30</v>
      </c>
    </row>
    <row r="9" spans="1:4">
      <c r="A9" s="4">
        <v>8</v>
      </c>
      <c r="B9" t="s">
        <v>1948</v>
      </c>
      <c r="C9">
        <v>430</v>
      </c>
      <c r="D9">
        <v>40</v>
      </c>
    </row>
    <row r="10" spans="1:4">
      <c r="A10" s="4">
        <v>9</v>
      </c>
      <c r="B10" t="s">
        <v>1949</v>
      </c>
      <c r="C10">
        <v>430</v>
      </c>
      <c r="D10">
        <v>50</v>
      </c>
    </row>
    <row r="11" spans="1:4">
      <c r="A11" s="4">
        <v>10</v>
      </c>
      <c r="B11" t="s">
        <v>1950</v>
      </c>
      <c r="C11">
        <v>430</v>
      </c>
      <c r="D11">
        <v>60</v>
      </c>
    </row>
    <row r="12" spans="1:4">
      <c r="A12" s="4">
        <v>11</v>
      </c>
      <c r="B12" t="s">
        <v>1951</v>
      </c>
      <c r="C12">
        <v>430</v>
      </c>
      <c r="D12">
        <v>80</v>
      </c>
    </row>
    <row r="13" spans="1:4">
      <c r="A13" s="4">
        <v>12</v>
      </c>
      <c r="B13" t="s">
        <v>1952</v>
      </c>
      <c r="C13">
        <v>430</v>
      </c>
      <c r="D13">
        <v>100</v>
      </c>
    </row>
    <row r="14" spans="1:4">
      <c r="A14" s="4">
        <v>13</v>
      </c>
      <c r="B14" t="s">
        <v>1953</v>
      </c>
      <c r="C14">
        <v>430</v>
      </c>
      <c r="D14">
        <v>145</v>
      </c>
    </row>
    <row r="15" spans="1:4">
      <c r="A15" s="4">
        <v>14</v>
      </c>
      <c r="B15" t="s">
        <v>1954</v>
      </c>
      <c r="C15">
        <v>430</v>
      </c>
      <c r="D15">
        <v>165</v>
      </c>
    </row>
    <row r="16" spans="1:4">
      <c r="A16" s="4">
        <v>15</v>
      </c>
      <c r="B16" t="s">
        <v>1955</v>
      </c>
      <c r="C16">
        <v>430</v>
      </c>
      <c r="D16">
        <v>185</v>
      </c>
    </row>
    <row r="17" spans="1:4">
      <c r="A17" s="4">
        <v>16</v>
      </c>
      <c r="B17" t="s">
        <v>1956</v>
      </c>
      <c r="C17">
        <v>430</v>
      </c>
      <c r="D17">
        <v>205</v>
      </c>
    </row>
    <row r="18" spans="1:4">
      <c r="A18" s="4">
        <v>17</v>
      </c>
      <c r="B18" t="s">
        <v>1957</v>
      </c>
      <c r="C18">
        <v>430</v>
      </c>
      <c r="D18">
        <v>235</v>
      </c>
    </row>
    <row r="19" spans="1:4">
      <c r="A19" s="4">
        <v>18</v>
      </c>
      <c r="B19" t="s">
        <v>1958</v>
      </c>
      <c r="C19">
        <v>410</v>
      </c>
      <c r="D19">
        <v>4</v>
      </c>
    </row>
    <row r="20" spans="1:4">
      <c r="A20" s="4">
        <v>19</v>
      </c>
      <c r="B20" t="s">
        <v>1959</v>
      </c>
      <c r="C20">
        <v>410</v>
      </c>
      <c r="D20">
        <v>5</v>
      </c>
    </row>
    <row r="21" spans="1:4">
      <c r="A21" s="4">
        <v>20</v>
      </c>
      <c r="B21" t="s">
        <v>1960</v>
      </c>
      <c r="C21">
        <v>410</v>
      </c>
      <c r="D21">
        <v>6</v>
      </c>
    </row>
    <row r="22" spans="1:4">
      <c r="A22" s="4">
        <v>21</v>
      </c>
      <c r="B22" t="s">
        <v>1961</v>
      </c>
      <c r="C22">
        <v>402</v>
      </c>
      <c r="D22">
        <v>0</v>
      </c>
    </row>
    <row r="23" spans="1:4">
      <c r="A23" s="4">
        <v>22</v>
      </c>
      <c r="B23" t="s">
        <v>1962</v>
      </c>
      <c r="C23">
        <v>402</v>
      </c>
      <c r="D23">
        <v>2</v>
      </c>
    </row>
    <row r="24" spans="1:3">
      <c r="A24" s="4">
        <v>23</v>
      </c>
      <c r="B24" t="s">
        <v>1963</v>
      </c>
      <c r="C24">
        <v>405</v>
      </c>
    </row>
    <row r="25" spans="1:3">
      <c r="A25" s="4">
        <v>24</v>
      </c>
      <c r="B25" t="s">
        <v>1964</v>
      </c>
      <c r="C25">
        <v>404</v>
      </c>
    </row>
    <row r="26" spans="1:3">
      <c r="A26" s="4">
        <v>25</v>
      </c>
      <c r="B26" t="s">
        <v>1965</v>
      </c>
      <c r="C26">
        <v>301</v>
      </c>
    </row>
    <row r="27" spans="1:4">
      <c r="A27" s="4">
        <v>26</v>
      </c>
      <c r="B27" t="s">
        <v>1966</v>
      </c>
      <c r="C27">
        <v>601</v>
      </c>
      <c r="D27">
        <v>3</v>
      </c>
    </row>
    <row r="28" spans="1:4">
      <c r="A28" s="4">
        <v>27</v>
      </c>
      <c r="B28" t="s">
        <v>1967</v>
      </c>
      <c r="C28">
        <v>601</v>
      </c>
      <c r="D28">
        <v>4</v>
      </c>
    </row>
    <row r="29" spans="1:4">
      <c r="A29" s="4">
        <v>28</v>
      </c>
      <c r="B29" t="s">
        <v>1968</v>
      </c>
      <c r="C29">
        <v>601</v>
      </c>
      <c r="D29">
        <v>5</v>
      </c>
    </row>
    <row r="30" spans="1:3">
      <c r="A30" s="4">
        <v>29</v>
      </c>
      <c r="B30" t="s">
        <v>1969</v>
      </c>
      <c r="C30">
        <v>502</v>
      </c>
    </row>
    <row r="31" spans="1:3">
      <c r="A31" s="4">
        <v>30</v>
      </c>
      <c r="B31" t="s">
        <v>1970</v>
      </c>
      <c r="C31">
        <v>3102</v>
      </c>
    </row>
    <row r="32" spans="1:3">
      <c r="A32" s="4">
        <v>31</v>
      </c>
      <c r="B32" t="s">
        <v>1971</v>
      </c>
      <c r="C32">
        <v>3103</v>
      </c>
    </row>
    <row r="33" spans="1:3">
      <c r="A33" s="4">
        <v>32</v>
      </c>
      <c r="B33" t="s">
        <v>1972</v>
      </c>
      <c r="C33">
        <v>1101</v>
      </c>
    </row>
    <row r="34" spans="1:4">
      <c r="A34" s="4">
        <v>33</v>
      </c>
      <c r="B34" t="s">
        <v>1973</v>
      </c>
      <c r="C34">
        <v>1004</v>
      </c>
      <c r="D34">
        <v>3</v>
      </c>
    </row>
    <row r="35" spans="1:4">
      <c r="A35" s="4">
        <v>34</v>
      </c>
      <c r="B35" t="s">
        <v>1974</v>
      </c>
      <c r="C35">
        <v>1004</v>
      </c>
      <c r="D35">
        <v>4</v>
      </c>
    </row>
    <row r="36" spans="1:4">
      <c r="A36" s="4">
        <v>35</v>
      </c>
      <c r="B36" t="s">
        <v>1975</v>
      </c>
      <c r="C36">
        <v>1004</v>
      </c>
      <c r="D36">
        <v>5</v>
      </c>
    </row>
    <row r="37" spans="1:3">
      <c r="A37" s="4">
        <v>36</v>
      </c>
      <c r="B37" s="8" t="s">
        <v>1976</v>
      </c>
      <c r="C37">
        <v>1502</v>
      </c>
    </row>
    <row r="38" spans="1:3">
      <c r="A38" s="4">
        <v>37</v>
      </c>
      <c r="B38" t="s">
        <v>1977</v>
      </c>
      <c r="C38">
        <v>1201</v>
      </c>
    </row>
    <row r="39" spans="1:3">
      <c r="A39" s="4">
        <v>38</v>
      </c>
      <c r="B39" t="s">
        <v>1978</v>
      </c>
      <c r="C39">
        <v>1211</v>
      </c>
    </row>
    <row r="40" spans="1:4">
      <c r="A40" s="4">
        <v>39</v>
      </c>
      <c r="B40" t="s">
        <v>1979</v>
      </c>
      <c r="C40">
        <v>3001</v>
      </c>
      <c r="D40">
        <v>8</v>
      </c>
    </row>
    <row r="41" spans="1:4">
      <c r="A41" s="4">
        <v>40</v>
      </c>
      <c r="B41" t="s">
        <v>1980</v>
      </c>
      <c r="C41">
        <v>3001</v>
      </c>
      <c r="D41">
        <v>7</v>
      </c>
    </row>
    <row r="42" spans="1:4">
      <c r="A42" s="4">
        <v>41</v>
      </c>
      <c r="B42" t="s">
        <v>1981</v>
      </c>
      <c r="C42">
        <v>3001</v>
      </c>
      <c r="D42">
        <v>6</v>
      </c>
    </row>
    <row r="43" spans="1:4">
      <c r="A43" s="4">
        <v>42</v>
      </c>
      <c r="B43" t="s">
        <v>1982</v>
      </c>
      <c r="C43">
        <v>3002</v>
      </c>
      <c r="D43">
        <v>100000</v>
      </c>
    </row>
    <row r="44" spans="1:4">
      <c r="A44" s="4">
        <v>43</v>
      </c>
      <c r="B44" t="s">
        <v>1983</v>
      </c>
      <c r="C44">
        <v>3002</v>
      </c>
      <c r="D44">
        <v>200000</v>
      </c>
    </row>
    <row r="45" spans="1:4">
      <c r="A45" s="4">
        <v>44</v>
      </c>
      <c r="B45" t="s">
        <v>1984</v>
      </c>
      <c r="C45">
        <v>3002</v>
      </c>
      <c r="D45">
        <v>300000</v>
      </c>
    </row>
    <row r="46" spans="1:3">
      <c r="A46" s="4">
        <v>45</v>
      </c>
      <c r="B46" t="s">
        <v>1985</v>
      </c>
      <c r="C46">
        <v>3003</v>
      </c>
    </row>
    <row r="47" spans="1:3">
      <c r="A47" s="4">
        <v>46</v>
      </c>
      <c r="B47" t="s">
        <v>1986</v>
      </c>
      <c r="C47">
        <v>3004</v>
      </c>
    </row>
    <row r="48" spans="1:3">
      <c r="A48" s="4">
        <v>47</v>
      </c>
      <c r="B48" t="s">
        <v>1987</v>
      </c>
      <c r="C48">
        <v>3005</v>
      </c>
    </row>
    <row r="49" spans="1:3">
      <c r="A49" s="4">
        <v>48</v>
      </c>
      <c r="B49" t="s">
        <v>1988</v>
      </c>
      <c r="C49">
        <v>3006</v>
      </c>
    </row>
    <row r="50" spans="1:3">
      <c r="A50" s="4">
        <v>49</v>
      </c>
      <c r="B50" t="s">
        <v>1989</v>
      </c>
      <c r="C50">
        <v>3007</v>
      </c>
    </row>
    <row r="51" spans="1:3">
      <c r="A51" s="4">
        <v>50</v>
      </c>
      <c r="B51" t="s">
        <v>1990</v>
      </c>
      <c r="C51">
        <v>1401</v>
      </c>
    </row>
    <row r="52" spans="1:3">
      <c r="A52" s="4">
        <v>51</v>
      </c>
      <c r="B52" t="s">
        <v>1991</v>
      </c>
      <c r="C52">
        <v>1601</v>
      </c>
    </row>
    <row r="53" spans="1:4">
      <c r="A53" s="4">
        <v>52</v>
      </c>
      <c r="B53" t="s">
        <v>1992</v>
      </c>
      <c r="C53">
        <v>1602</v>
      </c>
      <c r="D53">
        <v>10</v>
      </c>
    </row>
    <row r="54" spans="1:4">
      <c r="A54" s="4">
        <v>53</v>
      </c>
      <c r="B54" t="s">
        <v>1993</v>
      </c>
      <c r="C54">
        <v>1602</v>
      </c>
      <c r="D54">
        <v>3</v>
      </c>
    </row>
    <row r="55" spans="1:3">
      <c r="A55" s="4">
        <v>54</v>
      </c>
      <c r="B55" t="s">
        <v>1994</v>
      </c>
      <c r="C55">
        <v>202</v>
      </c>
    </row>
    <row r="56" spans="1:4">
      <c r="A56" s="4">
        <v>55</v>
      </c>
      <c r="B56" t="s">
        <v>1995</v>
      </c>
      <c r="C56">
        <v>420</v>
      </c>
      <c r="D56">
        <v>10</v>
      </c>
    </row>
    <row r="57" spans="1:4">
      <c r="A57" s="4">
        <v>56</v>
      </c>
      <c r="B57" t="s">
        <v>1996</v>
      </c>
      <c r="C57">
        <v>421</v>
      </c>
      <c r="D57">
        <v>10</v>
      </c>
    </row>
    <row r="58" spans="1:4">
      <c r="A58" s="4">
        <v>57</v>
      </c>
      <c r="B58" t="s">
        <v>1997</v>
      </c>
      <c r="C58">
        <v>422</v>
      </c>
      <c r="D58">
        <v>10</v>
      </c>
    </row>
    <row r="59" spans="1:4">
      <c r="A59" s="4">
        <v>58</v>
      </c>
      <c r="B59" t="s">
        <v>1998</v>
      </c>
      <c r="C59">
        <v>423</v>
      </c>
      <c r="D59">
        <v>10</v>
      </c>
    </row>
    <row r="60" spans="1:4">
      <c r="A60" s="4">
        <v>59</v>
      </c>
      <c r="B60" t="s">
        <v>1999</v>
      </c>
      <c r="C60">
        <v>424</v>
      </c>
      <c r="D60">
        <v>10</v>
      </c>
    </row>
    <row r="61" spans="1:4">
      <c r="A61" s="4">
        <v>60</v>
      </c>
      <c r="B61" t="s">
        <v>2000</v>
      </c>
      <c r="C61">
        <v>425</v>
      </c>
      <c r="D61">
        <v>10</v>
      </c>
    </row>
    <row r="62" spans="1:4">
      <c r="A62" s="4">
        <v>61</v>
      </c>
      <c r="B62" t="s">
        <v>2001</v>
      </c>
      <c r="C62">
        <v>701</v>
      </c>
      <c r="D62">
        <v>1</v>
      </c>
    </row>
    <row r="63" spans="1:4">
      <c r="A63" s="4">
        <v>62</v>
      </c>
      <c r="B63" t="s">
        <v>2002</v>
      </c>
      <c r="C63">
        <v>701</v>
      </c>
      <c r="D63">
        <v>2</v>
      </c>
    </row>
    <row r="64" spans="1:4">
      <c r="A64" s="4">
        <v>63</v>
      </c>
      <c r="B64" t="s">
        <v>2003</v>
      </c>
      <c r="C64">
        <v>701</v>
      </c>
      <c r="D64">
        <v>3</v>
      </c>
    </row>
    <row r="65" spans="1:3">
      <c r="A65" s="4">
        <v>64</v>
      </c>
      <c r="B65" t="s">
        <v>2004</v>
      </c>
      <c r="C65">
        <v>111</v>
      </c>
    </row>
    <row r="66" spans="1:3">
      <c r="A66" s="4">
        <v>65</v>
      </c>
      <c r="B66" t="s">
        <v>2005</v>
      </c>
      <c r="C66">
        <v>112</v>
      </c>
    </row>
    <row r="67" spans="1:3">
      <c r="A67" s="4">
        <v>66</v>
      </c>
      <c r="B67" t="s">
        <v>2006</v>
      </c>
      <c r="C67">
        <v>113</v>
      </c>
    </row>
    <row r="68" spans="1:3">
      <c r="A68" s="4">
        <v>67</v>
      </c>
      <c r="B68" t="s">
        <v>2007</v>
      </c>
      <c r="C68">
        <v>1213</v>
      </c>
    </row>
    <row r="69" spans="1:4">
      <c r="A69" s="4">
        <v>68</v>
      </c>
      <c r="B69" t="s">
        <v>2008</v>
      </c>
      <c r="C69">
        <v>501</v>
      </c>
      <c r="D69">
        <v>5</v>
      </c>
    </row>
    <row r="70" spans="1:3">
      <c r="A70" s="4">
        <v>69</v>
      </c>
      <c r="B70" t="s">
        <v>2009</v>
      </c>
      <c r="C70">
        <v>1302</v>
      </c>
    </row>
    <row r="71" spans="1:4">
      <c r="A71" s="4">
        <v>70</v>
      </c>
      <c r="B71" t="s">
        <v>2010</v>
      </c>
      <c r="C71">
        <v>1503</v>
      </c>
      <c r="D71">
        <v>1</v>
      </c>
    </row>
    <row r="72" spans="1:4">
      <c r="A72" s="4">
        <v>71</v>
      </c>
      <c r="B72" t="s">
        <v>2011</v>
      </c>
      <c r="C72">
        <v>1503</v>
      </c>
      <c r="D72">
        <v>2</v>
      </c>
    </row>
    <row r="73" spans="1:4">
      <c r="A73" s="4">
        <v>72</v>
      </c>
      <c r="B73" t="s">
        <v>2012</v>
      </c>
      <c r="C73">
        <v>1503</v>
      </c>
      <c r="D73">
        <v>3</v>
      </c>
    </row>
    <row r="74" spans="1:4">
      <c r="A74" s="4">
        <v>73</v>
      </c>
      <c r="B74" t="s">
        <v>2013</v>
      </c>
      <c r="C74">
        <v>801</v>
      </c>
      <c r="D74">
        <v>1</v>
      </c>
    </row>
    <row r="75" spans="1:4">
      <c r="A75" s="4">
        <v>74</v>
      </c>
      <c r="B75" t="s">
        <v>2014</v>
      </c>
      <c r="C75">
        <v>801</v>
      </c>
      <c r="D75">
        <v>2</v>
      </c>
    </row>
    <row r="76" spans="1:4">
      <c r="A76" s="4">
        <v>75</v>
      </c>
      <c r="B76" t="s">
        <v>2015</v>
      </c>
      <c r="C76">
        <v>801</v>
      </c>
      <c r="D76">
        <v>3</v>
      </c>
    </row>
    <row r="77" spans="1:4">
      <c r="A77" s="4">
        <v>76</v>
      </c>
      <c r="B77" t="s">
        <v>2016</v>
      </c>
      <c r="C77">
        <v>801</v>
      </c>
      <c r="D77">
        <v>4</v>
      </c>
    </row>
    <row r="78" spans="1:4">
      <c r="A78" s="4">
        <v>77</v>
      </c>
      <c r="B78" t="s">
        <v>2017</v>
      </c>
      <c r="C78">
        <v>801</v>
      </c>
      <c r="D78">
        <v>5</v>
      </c>
    </row>
    <row r="79" spans="1:4">
      <c r="A79" s="4">
        <v>78</v>
      </c>
      <c r="B79" t="s">
        <v>2018</v>
      </c>
      <c r="C79">
        <v>410</v>
      </c>
      <c r="D79">
        <v>9</v>
      </c>
    </row>
    <row r="80" spans="1:4">
      <c r="A80" s="4">
        <v>79</v>
      </c>
      <c r="B80" t="s">
        <v>2019</v>
      </c>
      <c r="C80">
        <v>410</v>
      </c>
      <c r="D80">
        <v>10</v>
      </c>
    </row>
    <row r="81" spans="1:3">
      <c r="A81" s="4">
        <v>80</v>
      </c>
      <c r="B81" t="s">
        <v>2020</v>
      </c>
      <c r="C81">
        <v>1212</v>
      </c>
    </row>
    <row r="82" spans="1:3">
      <c r="A82" s="4">
        <v>81</v>
      </c>
      <c r="B82" t="s">
        <v>2021</v>
      </c>
      <c r="C82">
        <v>1003</v>
      </c>
    </row>
    <row r="83" spans="1:3">
      <c r="A83" s="4">
        <v>82</v>
      </c>
      <c r="B83" t="s">
        <v>2022</v>
      </c>
      <c r="C83">
        <v>3101</v>
      </c>
    </row>
    <row r="84" spans="1:3">
      <c r="A84" s="4">
        <v>83</v>
      </c>
      <c r="B84" t="s">
        <v>2023</v>
      </c>
      <c r="C84">
        <v>1301</v>
      </c>
    </row>
    <row r="85" spans="1:4">
      <c r="A85" s="4">
        <v>84</v>
      </c>
      <c r="B85" t="s">
        <v>581</v>
      </c>
      <c r="C85">
        <v>1102</v>
      </c>
      <c r="D85">
        <v>1</v>
      </c>
    </row>
    <row r="86" spans="1:4">
      <c r="A86" s="4">
        <v>85</v>
      </c>
      <c r="B86" t="s">
        <v>583</v>
      </c>
      <c r="C86">
        <v>1102</v>
      </c>
      <c r="D86">
        <v>2</v>
      </c>
    </row>
    <row r="87" spans="1:3">
      <c r="A87" s="4">
        <v>86</v>
      </c>
      <c r="B87" t="s">
        <v>2024</v>
      </c>
      <c r="C87">
        <v>1402</v>
      </c>
    </row>
    <row r="88" spans="1:3">
      <c r="A88" s="4">
        <v>87</v>
      </c>
      <c r="B88" t="s">
        <v>2025</v>
      </c>
      <c r="C88">
        <v>1504</v>
      </c>
    </row>
    <row r="89" spans="1:3">
      <c r="A89" s="4">
        <v>88</v>
      </c>
      <c r="B89" t="s">
        <v>2026</v>
      </c>
      <c r="C89">
        <v>102</v>
      </c>
    </row>
    <row r="90" spans="1:3">
      <c r="A90" s="4">
        <v>89</v>
      </c>
      <c r="B90" t="s">
        <v>596</v>
      </c>
      <c r="C90">
        <v>1005</v>
      </c>
    </row>
    <row r="91" spans="1:3">
      <c r="A91" s="4">
        <v>90</v>
      </c>
      <c r="B91" t="s">
        <v>599</v>
      </c>
      <c r="C91">
        <v>203</v>
      </c>
    </row>
    <row r="92" spans="1:4">
      <c r="A92" s="4">
        <v>91</v>
      </c>
      <c r="B92" t="s">
        <v>562</v>
      </c>
      <c r="C92">
        <v>430</v>
      </c>
      <c r="D92">
        <v>10</v>
      </c>
    </row>
    <row r="93" spans="1:3">
      <c r="A93" s="4">
        <v>92</v>
      </c>
      <c r="B93" t="s">
        <v>571</v>
      </c>
      <c r="C93">
        <v>602</v>
      </c>
    </row>
    <row r="94" spans="1:3">
      <c r="A94" s="4">
        <v>93</v>
      </c>
      <c r="B94" t="s">
        <v>143</v>
      </c>
      <c r="C94">
        <v>1002</v>
      </c>
    </row>
    <row r="95" spans="1:3">
      <c r="A95" s="4">
        <v>94</v>
      </c>
      <c r="B95" t="s">
        <v>588</v>
      </c>
      <c r="C95">
        <v>603</v>
      </c>
    </row>
    <row r="96" spans="1:4">
      <c r="A96" s="4">
        <v>95</v>
      </c>
      <c r="B96" t="s">
        <v>660</v>
      </c>
      <c r="C96">
        <v>412</v>
      </c>
      <c r="D96">
        <v>1</v>
      </c>
    </row>
    <row r="97" spans="1:3">
      <c r="A97" s="4">
        <v>96</v>
      </c>
      <c r="B97" t="s">
        <v>2027</v>
      </c>
      <c r="C97" s="4">
        <v>1501</v>
      </c>
    </row>
    <row r="98" spans="1:4">
      <c r="A98" s="4">
        <v>97</v>
      </c>
      <c r="B98" t="s">
        <v>2028</v>
      </c>
      <c r="C98" s="4">
        <v>981</v>
      </c>
      <c r="D98">
        <v>1</v>
      </c>
    </row>
    <row r="99" spans="1:3">
      <c r="A99" s="4">
        <v>98</v>
      </c>
      <c r="B99" t="s">
        <v>2029</v>
      </c>
      <c r="C99">
        <v>1001</v>
      </c>
    </row>
    <row r="100" spans="1:3">
      <c r="A100" s="4">
        <v>99</v>
      </c>
      <c r="B100" t="s">
        <v>2030</v>
      </c>
      <c r="C100">
        <v>1202</v>
      </c>
    </row>
    <row r="101" spans="1:3">
      <c r="A101" s="4">
        <v>100</v>
      </c>
      <c r="B101" t="s">
        <v>2031</v>
      </c>
      <c r="C101">
        <v>1006</v>
      </c>
    </row>
    <row r="102" spans="1:4">
      <c r="A102" s="4">
        <v>101</v>
      </c>
      <c r="B102" t="s">
        <v>2032</v>
      </c>
      <c r="C102">
        <v>803</v>
      </c>
      <c r="D102">
        <v>2</v>
      </c>
    </row>
    <row r="103" spans="1:4">
      <c r="A103" s="4">
        <v>102</v>
      </c>
      <c r="B103" t="s">
        <v>2033</v>
      </c>
      <c r="C103">
        <v>803</v>
      </c>
      <c r="D103">
        <v>3</v>
      </c>
    </row>
    <row r="104" spans="1:4">
      <c r="A104" s="4">
        <v>103</v>
      </c>
      <c r="B104" t="s">
        <v>2034</v>
      </c>
      <c r="C104">
        <v>803</v>
      </c>
      <c r="D104">
        <v>4</v>
      </c>
    </row>
    <row r="105" spans="1:4">
      <c r="A105" s="4">
        <v>104</v>
      </c>
      <c r="B105" t="s">
        <v>2035</v>
      </c>
      <c r="C105">
        <v>803</v>
      </c>
      <c r="D105">
        <v>5</v>
      </c>
    </row>
    <row r="106" spans="1:3">
      <c r="A106" s="4">
        <v>105</v>
      </c>
      <c r="B106" t="s">
        <v>2036</v>
      </c>
      <c r="C106">
        <v>3104</v>
      </c>
    </row>
    <row r="107" spans="1:4">
      <c r="A107" s="4">
        <v>106</v>
      </c>
      <c r="B107" t="s">
        <v>2037</v>
      </c>
      <c r="C107">
        <v>2000</v>
      </c>
      <c r="D107">
        <v>1100</v>
      </c>
    </row>
    <row r="108" spans="1:4">
      <c r="A108" s="4">
        <v>107</v>
      </c>
      <c r="B108" t="s">
        <v>2038</v>
      </c>
      <c r="C108">
        <v>430</v>
      </c>
      <c r="D108">
        <v>99</v>
      </c>
    </row>
    <row r="109" spans="1:4">
      <c r="A109" s="4">
        <v>108</v>
      </c>
      <c r="B109" t="s">
        <v>2039</v>
      </c>
      <c r="C109">
        <v>430</v>
      </c>
      <c r="D109">
        <v>120</v>
      </c>
    </row>
    <row r="110" spans="1:4">
      <c r="A110" s="4">
        <v>109</v>
      </c>
      <c r="B110" t="s">
        <v>2040</v>
      </c>
      <c r="C110">
        <v>413</v>
      </c>
      <c r="D110">
        <v>6</v>
      </c>
    </row>
    <row r="111" spans="1:4">
      <c r="A111" s="4">
        <v>110</v>
      </c>
      <c r="B111" t="s">
        <v>2041</v>
      </c>
      <c r="C111">
        <v>414</v>
      </c>
      <c r="D111">
        <v>145</v>
      </c>
    </row>
    <row r="112" spans="1:4">
      <c r="A112" s="4">
        <v>111</v>
      </c>
      <c r="B112" t="s">
        <v>2042</v>
      </c>
      <c r="C112">
        <v>414</v>
      </c>
      <c r="D112">
        <v>165</v>
      </c>
    </row>
    <row r="113" spans="1:4">
      <c r="A113" s="4">
        <v>112</v>
      </c>
      <c r="B113" t="s">
        <v>2043</v>
      </c>
      <c r="C113">
        <v>414</v>
      </c>
      <c r="D113">
        <v>185</v>
      </c>
    </row>
    <row r="114" spans="1:4">
      <c r="A114" s="4">
        <v>113</v>
      </c>
      <c r="B114" t="s">
        <v>2044</v>
      </c>
      <c r="C114">
        <v>414</v>
      </c>
      <c r="D114">
        <v>205</v>
      </c>
    </row>
    <row r="115" spans="1:4">
      <c r="A115" s="4">
        <v>114</v>
      </c>
      <c r="B115" t="s">
        <v>2045</v>
      </c>
      <c r="C115">
        <v>414</v>
      </c>
      <c r="D115">
        <v>255</v>
      </c>
    </row>
    <row r="116" spans="1:4">
      <c r="A116" s="4">
        <v>115</v>
      </c>
      <c r="B116" t="s">
        <v>2046</v>
      </c>
      <c r="C116">
        <v>403</v>
      </c>
      <c r="D116">
        <v>5</v>
      </c>
    </row>
    <row r="117" spans="1:4">
      <c r="A117" s="4">
        <v>116</v>
      </c>
      <c r="B117" t="s">
        <v>2047</v>
      </c>
      <c r="C117">
        <v>1502</v>
      </c>
      <c r="D117">
        <v>3</v>
      </c>
    </row>
    <row r="118" spans="1:3">
      <c r="A118" s="4">
        <v>117</v>
      </c>
      <c r="B118" t="s">
        <v>2048</v>
      </c>
      <c r="C118" s="4">
        <v>4002</v>
      </c>
    </row>
    <row r="119" spans="1:3">
      <c r="A119" s="4">
        <v>118</v>
      </c>
      <c r="B119" t="s">
        <v>2049</v>
      </c>
      <c r="C119">
        <v>810</v>
      </c>
    </row>
    <row r="120" spans="1:3">
      <c r="A120" s="4">
        <v>119</v>
      </c>
      <c r="B120" t="s">
        <v>2050</v>
      </c>
      <c r="C120">
        <v>820</v>
      </c>
    </row>
    <row r="121" spans="1:3">
      <c r="A121" s="4">
        <v>120</v>
      </c>
      <c r="B121" t="s">
        <v>2051</v>
      </c>
      <c r="C121">
        <v>805</v>
      </c>
    </row>
    <row r="122" spans="1:4">
      <c r="A122" s="4">
        <v>121</v>
      </c>
      <c r="B122" t="s">
        <v>2052</v>
      </c>
      <c r="C122">
        <v>823</v>
      </c>
      <c r="D122">
        <v>1</v>
      </c>
    </row>
    <row r="123" spans="1:4">
      <c r="A123" s="4">
        <v>122</v>
      </c>
      <c r="B123" t="s">
        <v>2053</v>
      </c>
      <c r="C123">
        <v>823</v>
      </c>
      <c r="D123">
        <v>2</v>
      </c>
    </row>
    <row r="124" spans="1:4">
      <c r="A124" s="4">
        <v>123</v>
      </c>
      <c r="B124" t="s">
        <v>2054</v>
      </c>
      <c r="C124">
        <v>823</v>
      </c>
      <c r="D124">
        <v>3</v>
      </c>
    </row>
    <row r="125" spans="1:4">
      <c r="A125" s="4">
        <v>124</v>
      </c>
      <c r="B125" t="s">
        <v>2055</v>
      </c>
      <c r="C125">
        <v>823</v>
      </c>
      <c r="D125">
        <v>4</v>
      </c>
    </row>
    <row r="126" spans="1:4">
      <c r="A126" s="4">
        <v>125</v>
      </c>
      <c r="B126" t="s">
        <v>2056</v>
      </c>
      <c r="C126">
        <v>823</v>
      </c>
      <c r="D126">
        <v>5</v>
      </c>
    </row>
    <row r="127" ht="16.5" spans="1:4">
      <c r="A127" s="4">
        <v>126</v>
      </c>
      <c r="B127" s="22" t="s">
        <v>2057</v>
      </c>
      <c r="C127">
        <v>824</v>
      </c>
      <c r="D127">
        <v>11</v>
      </c>
    </row>
    <row r="128" ht="16.5" spans="1:4">
      <c r="A128" s="4">
        <v>127</v>
      </c>
      <c r="B128" s="22" t="s">
        <v>2058</v>
      </c>
      <c r="C128">
        <v>824</v>
      </c>
      <c r="D128">
        <v>12</v>
      </c>
    </row>
    <row r="129" ht="16.5" spans="1:4">
      <c r="A129" s="4">
        <v>128</v>
      </c>
      <c r="B129" s="22" t="s">
        <v>2059</v>
      </c>
      <c r="C129">
        <v>824</v>
      </c>
      <c r="D129">
        <v>13</v>
      </c>
    </row>
    <row r="130" ht="16.5" spans="1:4">
      <c r="A130" s="4">
        <v>129</v>
      </c>
      <c r="B130" s="22" t="s">
        <v>2060</v>
      </c>
      <c r="C130">
        <v>824</v>
      </c>
      <c r="D130">
        <v>14</v>
      </c>
    </row>
    <row r="131" ht="16.5" spans="1:4">
      <c r="A131" s="4">
        <v>130</v>
      </c>
      <c r="B131" s="22" t="s">
        <v>2061</v>
      </c>
      <c r="C131">
        <v>824</v>
      </c>
      <c r="D131">
        <v>15</v>
      </c>
    </row>
    <row r="132" ht="16.5" spans="1:4">
      <c r="A132" s="4">
        <v>131</v>
      </c>
      <c r="B132" s="23" t="s">
        <v>2062</v>
      </c>
      <c r="C132">
        <v>824</v>
      </c>
      <c r="D132">
        <v>21</v>
      </c>
    </row>
    <row r="133" ht="16.5" spans="1:4">
      <c r="A133" s="4">
        <v>132</v>
      </c>
      <c r="B133" s="23" t="s">
        <v>2063</v>
      </c>
      <c r="C133">
        <v>824</v>
      </c>
      <c r="D133">
        <v>22</v>
      </c>
    </row>
    <row r="134" ht="16.5" spans="1:4">
      <c r="A134" s="4">
        <v>133</v>
      </c>
      <c r="B134" s="23" t="s">
        <v>2064</v>
      </c>
      <c r="C134">
        <v>824</v>
      </c>
      <c r="D134">
        <v>23</v>
      </c>
    </row>
    <row r="135" ht="16.5" spans="1:4">
      <c r="A135" s="4">
        <v>134</v>
      </c>
      <c r="B135" s="23" t="s">
        <v>2065</v>
      </c>
      <c r="C135">
        <v>824</v>
      </c>
      <c r="D135">
        <v>24</v>
      </c>
    </row>
    <row r="136" ht="16.5" spans="1:4">
      <c r="A136" s="4">
        <v>135</v>
      </c>
      <c r="B136" s="23" t="s">
        <v>2066</v>
      </c>
      <c r="C136">
        <v>824</v>
      </c>
      <c r="D136">
        <v>25</v>
      </c>
    </row>
    <row r="137" ht="16.5" spans="1:4">
      <c r="A137" s="4">
        <v>136</v>
      </c>
      <c r="B137" s="22" t="s">
        <v>2067</v>
      </c>
      <c r="C137">
        <v>824</v>
      </c>
      <c r="D137">
        <v>41</v>
      </c>
    </row>
    <row r="138" ht="16.5" spans="1:4">
      <c r="A138" s="4">
        <v>137</v>
      </c>
      <c r="B138" s="22" t="s">
        <v>2068</v>
      </c>
      <c r="C138">
        <v>824</v>
      </c>
      <c r="D138">
        <v>42</v>
      </c>
    </row>
    <row r="139" ht="16.5" spans="1:4">
      <c r="A139" s="4">
        <v>138</v>
      </c>
      <c r="B139" s="22" t="s">
        <v>2069</v>
      </c>
      <c r="C139">
        <v>824</v>
      </c>
      <c r="D139">
        <v>43</v>
      </c>
    </row>
    <row r="140" ht="16.5" spans="1:4">
      <c r="A140" s="4">
        <v>139</v>
      </c>
      <c r="B140" s="22" t="s">
        <v>2070</v>
      </c>
      <c r="C140">
        <v>824</v>
      </c>
      <c r="D140">
        <v>44</v>
      </c>
    </row>
    <row r="141" ht="16.5" spans="1:4">
      <c r="A141" s="4">
        <v>140</v>
      </c>
      <c r="B141" s="22" t="s">
        <v>2071</v>
      </c>
      <c r="C141">
        <v>824</v>
      </c>
      <c r="D141">
        <v>45</v>
      </c>
    </row>
    <row r="142" ht="16.5" spans="1:4">
      <c r="A142" s="4">
        <v>141</v>
      </c>
      <c r="B142" s="23" t="s">
        <v>2072</v>
      </c>
      <c r="C142">
        <v>824</v>
      </c>
      <c r="D142">
        <v>31</v>
      </c>
    </row>
    <row r="143" ht="16.5" spans="1:4">
      <c r="A143" s="4">
        <v>142</v>
      </c>
      <c r="B143" s="23" t="s">
        <v>2073</v>
      </c>
      <c r="C143">
        <v>824</v>
      </c>
      <c r="D143">
        <v>32</v>
      </c>
    </row>
    <row r="144" ht="16.5" spans="1:4">
      <c r="A144" s="4">
        <v>143</v>
      </c>
      <c r="B144" s="23" t="s">
        <v>2074</v>
      </c>
      <c r="C144">
        <v>824</v>
      </c>
      <c r="D144">
        <v>33</v>
      </c>
    </row>
    <row r="145" ht="16.5" spans="1:4">
      <c r="A145" s="4">
        <v>144</v>
      </c>
      <c r="B145" s="23" t="s">
        <v>2075</v>
      </c>
      <c r="C145">
        <v>824</v>
      </c>
      <c r="D145">
        <v>34</v>
      </c>
    </row>
    <row r="146" ht="16.5" spans="1:4">
      <c r="A146" s="4">
        <v>145</v>
      </c>
      <c r="B146" s="23" t="s">
        <v>2076</v>
      </c>
      <c r="C146">
        <v>824</v>
      </c>
      <c r="D146">
        <v>35</v>
      </c>
    </row>
    <row r="147" spans="1:4">
      <c r="A147" s="4">
        <v>146</v>
      </c>
      <c r="B147" s="8" t="s">
        <v>2077</v>
      </c>
      <c r="C147">
        <v>825</v>
      </c>
      <c r="D147" s="24">
        <v>30</v>
      </c>
    </row>
    <row r="148" spans="1:4">
      <c r="A148" s="4">
        <v>147</v>
      </c>
      <c r="B148" s="8" t="s">
        <v>2078</v>
      </c>
      <c r="C148">
        <v>825</v>
      </c>
      <c r="D148" s="24">
        <v>50</v>
      </c>
    </row>
    <row r="149" spans="1:4">
      <c r="A149" s="4">
        <v>148</v>
      </c>
      <c r="B149" s="8" t="s">
        <v>2079</v>
      </c>
      <c r="C149">
        <v>825</v>
      </c>
      <c r="D149" s="24">
        <v>70</v>
      </c>
    </row>
    <row r="150" spans="1:4">
      <c r="A150" s="4">
        <v>149</v>
      </c>
      <c r="B150" s="8" t="s">
        <v>2080</v>
      </c>
      <c r="C150">
        <v>825</v>
      </c>
      <c r="D150" s="24">
        <v>90</v>
      </c>
    </row>
    <row r="151" spans="1:4">
      <c r="A151" s="4">
        <v>150</v>
      </c>
      <c r="B151" s="8" t="s">
        <v>2081</v>
      </c>
      <c r="C151">
        <v>825</v>
      </c>
      <c r="D151" s="24">
        <v>110</v>
      </c>
    </row>
    <row r="152" spans="1:4">
      <c r="A152" s="4">
        <v>151</v>
      </c>
      <c r="B152" s="8" t="s">
        <v>2082</v>
      </c>
      <c r="C152">
        <v>825</v>
      </c>
      <c r="D152" s="24">
        <v>130</v>
      </c>
    </row>
    <row r="153" spans="1:4">
      <c r="A153" s="4">
        <v>152</v>
      </c>
      <c r="B153" s="8" t="s">
        <v>2083</v>
      </c>
      <c r="C153">
        <v>825</v>
      </c>
      <c r="D153" s="24">
        <v>150</v>
      </c>
    </row>
    <row r="154" spans="1:4">
      <c r="A154" s="4">
        <v>153</v>
      </c>
      <c r="B154" s="8" t="s">
        <v>2084</v>
      </c>
      <c r="C154">
        <v>825</v>
      </c>
      <c r="D154" s="24">
        <v>170</v>
      </c>
    </row>
    <row r="155" spans="1:4">
      <c r="A155" s="4">
        <v>154</v>
      </c>
      <c r="B155" s="8" t="s">
        <v>2085</v>
      </c>
      <c r="C155">
        <v>825</v>
      </c>
      <c r="D155" s="24">
        <v>190</v>
      </c>
    </row>
    <row r="156" spans="1:4">
      <c r="A156" s="4">
        <v>155</v>
      </c>
      <c r="B156" s="8" t="s">
        <v>2086</v>
      </c>
      <c r="C156">
        <v>825</v>
      </c>
      <c r="D156" s="24">
        <v>210</v>
      </c>
    </row>
    <row r="157" spans="1:4">
      <c r="A157" s="4">
        <v>156</v>
      </c>
      <c r="B157" s="8" t="s">
        <v>2087</v>
      </c>
      <c r="C157">
        <v>825</v>
      </c>
      <c r="D157" s="24">
        <v>230</v>
      </c>
    </row>
    <row r="158" spans="1:4">
      <c r="A158" s="4">
        <v>157</v>
      </c>
      <c r="B158" s="8" t="s">
        <v>2088</v>
      </c>
      <c r="C158">
        <v>825</v>
      </c>
      <c r="D158" s="24">
        <v>250</v>
      </c>
    </row>
    <row r="159" spans="1:4">
      <c r="A159" s="4">
        <v>158</v>
      </c>
      <c r="B159" s="8" t="s">
        <v>2089</v>
      </c>
      <c r="C159">
        <v>825</v>
      </c>
      <c r="D159" s="24">
        <v>270</v>
      </c>
    </row>
    <row r="160" spans="1:4">
      <c r="A160" s="4">
        <v>159</v>
      </c>
      <c r="B160" s="8" t="s">
        <v>2090</v>
      </c>
      <c r="C160">
        <v>825</v>
      </c>
      <c r="D160" s="24">
        <v>290</v>
      </c>
    </row>
    <row r="161" spans="1:4">
      <c r="A161" s="4">
        <v>160</v>
      </c>
      <c r="B161" s="8" t="s">
        <v>2091</v>
      </c>
      <c r="C161">
        <v>825</v>
      </c>
      <c r="D161" s="24">
        <v>310</v>
      </c>
    </row>
    <row r="162" spans="1:4">
      <c r="A162" s="4">
        <v>161</v>
      </c>
      <c r="B162" s="8" t="s">
        <v>2092</v>
      </c>
      <c r="C162">
        <v>825</v>
      </c>
      <c r="D162" s="24">
        <v>330</v>
      </c>
    </row>
    <row r="163" spans="1:4">
      <c r="A163" s="4">
        <v>162</v>
      </c>
      <c r="B163" s="8" t="s">
        <v>2093</v>
      </c>
      <c r="C163">
        <v>825</v>
      </c>
      <c r="D163" s="24">
        <v>360</v>
      </c>
    </row>
    <row r="164" spans="1:4">
      <c r="A164" s="4">
        <v>163</v>
      </c>
      <c r="B164" s="8" t="s">
        <v>2094</v>
      </c>
      <c r="C164">
        <v>825</v>
      </c>
      <c r="D164" s="24">
        <v>400</v>
      </c>
    </row>
    <row r="165" spans="1:3">
      <c r="A165" s="4">
        <v>165</v>
      </c>
      <c r="B165" s="25" t="s">
        <v>2095</v>
      </c>
      <c r="C165">
        <v>1008</v>
      </c>
    </row>
    <row r="166" spans="1:3">
      <c r="A166" s="4">
        <v>166</v>
      </c>
      <c r="B166" t="s">
        <v>2096</v>
      </c>
      <c r="C166">
        <v>2100</v>
      </c>
    </row>
  </sheetData>
  <conditionalFormatting sqref="C111">
    <cfRule type="duplicateValues" dxfId="0" priority="2"/>
  </conditionalFormatting>
  <conditionalFormatting sqref="C116">
    <cfRule type="duplicateValues" dxfId="0" priority="1"/>
  </conditionalFormatting>
  <conditionalFormatting sqref="C1:C110 C112:C115 C117 C119:C1048576">
    <cfRule type="duplicateValues" dxfId="0" priority="554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81"/>
  <sheetViews>
    <sheetView topLeftCell="A22" workbookViewId="0">
      <selection activeCell="B2" sqref="B2"/>
    </sheetView>
  </sheetViews>
  <sheetFormatPr defaultColWidth="9" defaultRowHeight="15" outlineLevelCol="5"/>
  <cols>
    <col min="1" max="1" width="9" style="13"/>
    <col min="2" max="2" width="12.5714285714286" style="13" customWidth="1"/>
    <col min="3" max="3" width="16.8571428571429" style="13" customWidth="1"/>
    <col min="4" max="4" width="28.7142857142857" style="13" customWidth="1"/>
    <col min="5" max="5" width="9" style="14"/>
    <col min="6" max="6" width="30.8571428571429" style="14" customWidth="1"/>
    <col min="7" max="16384" width="9" style="13"/>
  </cols>
  <sheetData>
    <row r="1" spans="1:6">
      <c r="A1" s="15" t="s">
        <v>0</v>
      </c>
      <c r="B1" s="15" t="s">
        <v>2097</v>
      </c>
      <c r="C1" s="15" t="s">
        <v>2098</v>
      </c>
      <c r="D1" s="15" t="s">
        <v>2099</v>
      </c>
      <c r="E1" s="14" t="s">
        <v>2100</v>
      </c>
      <c r="F1" s="14" t="s">
        <v>2101</v>
      </c>
    </row>
    <row r="2" spans="1:5">
      <c r="A2" s="15">
        <v>1</v>
      </c>
      <c r="B2" s="16">
        <v>100000</v>
      </c>
      <c r="C2" s="14">
        <v>290001</v>
      </c>
      <c r="D2" s="14" t="str">
        <f>VLOOKUP(B2,任务库!A:D,4,0)</f>
        <v>Thông quan chủ tuyến thứ 1 Quan</v>
      </c>
      <c r="E2" s="14">
        <v>1</v>
      </c>
    </row>
    <row r="3" spans="1:5">
      <c r="A3" s="15">
        <v>2</v>
      </c>
      <c r="B3" s="14">
        <v>290001</v>
      </c>
      <c r="C3" s="16">
        <v>1700</v>
      </c>
      <c r="D3" s="14" t="str">
        <f>VLOOKUP(B3,任务库!A:D,4,0)</f>
        <v>Nhận lấy một lần thông quan ban thưởng</v>
      </c>
      <c r="E3" s="14">
        <v>12</v>
      </c>
    </row>
    <row r="4" spans="1:5">
      <c r="A4" s="15">
        <v>3</v>
      </c>
      <c r="B4" s="16">
        <v>1700</v>
      </c>
      <c r="C4" s="16">
        <v>300001</v>
      </c>
      <c r="D4" s="14" t="str">
        <f>VLOOKUP(B4,任务库!A:D,4,0)</f>
        <v>Tiến hành 1 Lần anh hùng triệu hoán</v>
      </c>
      <c r="E4" s="14">
        <v>2</v>
      </c>
    </row>
    <row r="5" spans="1:5">
      <c r="A5" s="15">
        <v>4</v>
      </c>
      <c r="B5" s="16">
        <v>300001</v>
      </c>
      <c r="C5" s="14">
        <v>100001</v>
      </c>
      <c r="D5" s="14" t="str">
        <f>VLOOKUP(B5,任务库!A:D,4,0)</f>
        <v>Ra trận một cái mới anh hùng</v>
      </c>
      <c r="E5" s="14">
        <v>3</v>
      </c>
    </row>
    <row r="6" spans="1:6">
      <c r="A6" s="15">
        <v>5</v>
      </c>
      <c r="B6" s="14">
        <v>100001</v>
      </c>
      <c r="C6" s="17">
        <v>101001</v>
      </c>
      <c r="D6" s="14" t="str">
        <f>VLOOKUP(B6,任务库!A:D,4,0)</f>
        <v>Thông quan chủ tuyến thứ 2 Quan</v>
      </c>
      <c r="F6" s="14">
        <v>1</v>
      </c>
    </row>
    <row r="7" s="12" customFormat="1" spans="1:6">
      <c r="A7" s="18">
        <v>6</v>
      </c>
      <c r="B7" s="19">
        <v>101001</v>
      </c>
      <c r="C7" s="20">
        <v>130000</v>
      </c>
      <c r="D7" s="20" t="s">
        <v>498</v>
      </c>
      <c r="E7" s="20">
        <v>34</v>
      </c>
      <c r="F7" s="20"/>
    </row>
    <row r="8" spans="1:5">
      <c r="A8" s="15">
        <v>7</v>
      </c>
      <c r="B8" s="14">
        <v>130000</v>
      </c>
      <c r="C8" s="14">
        <v>100002</v>
      </c>
      <c r="D8" s="14" t="str">
        <f>VLOOKUP(B8,任务库!A:D,4,0)</f>
        <v>1 Anh hùng đạt tới 10 Cấp</v>
      </c>
      <c r="E8" s="14">
        <v>4</v>
      </c>
    </row>
    <row r="9" spans="1:5">
      <c r="A9" s="15">
        <v>8</v>
      </c>
      <c r="B9" s="14">
        <v>100002</v>
      </c>
      <c r="C9" s="14">
        <v>140001</v>
      </c>
      <c r="D9" s="14" t="str">
        <f>VLOOKUP(B9,任务库!A:D,4,0)</f>
        <v>Thông quan chủ tuyến thứ 3 Quan</v>
      </c>
      <c r="E9" s="14">
        <v>5</v>
      </c>
    </row>
    <row r="10" spans="1:5">
      <c r="A10" s="15">
        <v>9</v>
      </c>
      <c r="B10" s="14">
        <v>140001</v>
      </c>
      <c r="C10" s="14">
        <v>100003</v>
      </c>
      <c r="D10" s="14" t="str">
        <f>VLOOKUP(B10,任务库!A:D,4,0)</f>
        <v>Mặc 1 Lần trang bị</v>
      </c>
      <c r="E10" s="14">
        <v>6</v>
      </c>
    </row>
    <row r="11" spans="1:5">
      <c r="A11" s="15">
        <v>10</v>
      </c>
      <c r="B11" s="14">
        <v>100003</v>
      </c>
      <c r="C11" s="17">
        <v>101002</v>
      </c>
      <c r="D11" s="14" t="str">
        <f>VLOOKUP(B11,任务库!A:D,4,0)</f>
        <v>Thông quan chủ tuyến thứ 4 Quan</v>
      </c>
      <c r="E11" s="14">
        <v>7</v>
      </c>
    </row>
    <row r="12" s="12" customFormat="1" spans="1:6">
      <c r="A12" s="18">
        <v>11</v>
      </c>
      <c r="B12" s="19">
        <v>101002</v>
      </c>
      <c r="C12" s="19">
        <v>100036</v>
      </c>
      <c r="D12" s="20" t="s">
        <v>500</v>
      </c>
      <c r="E12" s="20"/>
      <c r="F12" s="20">
        <v>1</v>
      </c>
    </row>
    <row r="13" spans="1:6">
      <c r="A13" s="15">
        <v>12</v>
      </c>
      <c r="B13" s="16">
        <v>100036</v>
      </c>
      <c r="C13" s="14">
        <v>1013</v>
      </c>
      <c r="D13" s="14" t="str">
        <f>VLOOKUP(B13,任务库!A:D,4,0)</f>
        <v>Thông quan chủ tuyến thứ 5 Quan</v>
      </c>
      <c r="F13" s="14">
        <v>1</v>
      </c>
    </row>
    <row r="14" spans="1:5">
      <c r="A14" s="15">
        <v>13</v>
      </c>
      <c r="B14" s="14">
        <v>1013</v>
      </c>
      <c r="C14" s="16">
        <v>80001</v>
      </c>
      <c r="D14" s="14" t="str">
        <f>VLOOKUP(B14,任务库!A:D,4,0)</f>
        <v>Nhanh chóng tác chiến 1 Lần</v>
      </c>
      <c r="E14" s="14">
        <v>9</v>
      </c>
    </row>
    <row r="15" spans="1:5">
      <c r="A15" s="15">
        <v>14</v>
      </c>
      <c r="B15" s="16">
        <v>80001</v>
      </c>
      <c r="C15" s="14">
        <v>130001</v>
      </c>
      <c r="D15" s="14" t="str">
        <f>VLOOKUP(B15,任务库!A:D,4,0)</f>
        <v>Mở ra đặc quyền cửa hàng</v>
      </c>
      <c r="E15" s="14">
        <v>31</v>
      </c>
    </row>
    <row r="16" spans="1:5">
      <c r="A16" s="15">
        <v>15</v>
      </c>
      <c r="B16" s="14">
        <v>130001</v>
      </c>
      <c r="C16" s="14">
        <v>100004</v>
      </c>
      <c r="D16" s="14" t="str">
        <f>VLOOKUP(B16,任务库!A:D,4,0)</f>
        <v>1 Anh hùng đạt tới 30 Cấp</v>
      </c>
      <c r="E16" s="14">
        <v>10</v>
      </c>
    </row>
    <row r="17" spans="1:5">
      <c r="A17" s="15">
        <v>16</v>
      </c>
      <c r="B17" s="14">
        <v>100004</v>
      </c>
      <c r="C17" s="14">
        <v>240001</v>
      </c>
      <c r="D17" s="14" t="str">
        <f>VLOOKUP(B17,任务库!A:D,4,0)</f>
        <v>Thông quan chủ tuyến thứ 6 Quan</v>
      </c>
      <c r="E17" s="14">
        <v>11</v>
      </c>
    </row>
    <row r="18" spans="1:5">
      <c r="A18" s="15">
        <v>17</v>
      </c>
      <c r="B18" s="14">
        <v>240001</v>
      </c>
      <c r="C18" s="14">
        <v>100005</v>
      </c>
      <c r="D18" s="14" t="str">
        <f>VLOOKUP(B18,任务库!A:D,4,0)</f>
        <v>Hợp thành 1 Lần trang bị</v>
      </c>
      <c r="E18" s="14">
        <v>13</v>
      </c>
    </row>
    <row r="19" spans="1:5">
      <c r="A19" s="15">
        <v>18</v>
      </c>
      <c r="B19" s="14">
        <v>100005</v>
      </c>
      <c r="C19" s="14">
        <v>999997</v>
      </c>
      <c r="D19" s="14" t="str">
        <f>VLOOKUP(B19,任务库!A:D,4,0)</f>
        <v>Thông quan chủ tuyến thứ 8 Quan</v>
      </c>
      <c r="E19" s="14">
        <v>27</v>
      </c>
    </row>
    <row r="20" spans="1:5">
      <c r="A20" s="15">
        <v>19</v>
      </c>
      <c r="B20" s="14">
        <v>999997</v>
      </c>
      <c r="C20" s="14">
        <v>100034</v>
      </c>
      <c r="D20" s="14" t="str">
        <f>VLOOKUP(B20,任务库!A:D,4,0)</f>
        <v>Anh hùng tiến giai</v>
      </c>
      <c r="E20" s="14">
        <v>23</v>
      </c>
    </row>
    <row r="21" spans="1:6">
      <c r="A21" s="15">
        <v>20</v>
      </c>
      <c r="B21" s="14">
        <v>100034</v>
      </c>
      <c r="C21" s="14">
        <v>999995</v>
      </c>
      <c r="D21" s="14" t="str">
        <f>VLOOKUP(B21,任务库!A:D,4,0)</f>
        <v>Thông quan chủ tuyến thứ 9 Quan</v>
      </c>
      <c r="F21" s="14">
        <v>1</v>
      </c>
    </row>
    <row r="22" spans="1:5">
      <c r="A22" s="15">
        <v>21</v>
      </c>
      <c r="B22" s="14">
        <v>999995</v>
      </c>
      <c r="C22" s="14">
        <v>100006</v>
      </c>
      <c r="D22" s="14" t="str">
        <f>VLOOKUP(B22,任务库!A:D,4,0)</f>
        <v>Cây bồ đề tưới nước 1 Lần</v>
      </c>
      <c r="E22" s="14">
        <v>26</v>
      </c>
    </row>
    <row r="23" spans="1:6">
      <c r="A23" s="15">
        <v>22</v>
      </c>
      <c r="B23" s="14">
        <v>100006</v>
      </c>
      <c r="C23" s="14">
        <v>120001</v>
      </c>
      <c r="D23" s="14" t="str">
        <f>VLOOKUP(B23,任务库!A:D,4,0)</f>
        <v>Thông quan chủ tuyến thứ 10 Quan</v>
      </c>
      <c r="F23" s="14">
        <v>1</v>
      </c>
    </row>
    <row r="24" spans="1:5">
      <c r="A24" s="15">
        <v>23</v>
      </c>
      <c r="B24" s="14">
        <v>120001</v>
      </c>
      <c r="C24" s="16">
        <v>3601</v>
      </c>
      <c r="D24" s="14" t="str">
        <f>VLOOKUP(B24,任务库!A:D,4,0)</f>
        <v>Kích hoạt thần binh sunny</v>
      </c>
      <c r="E24" s="14">
        <v>14</v>
      </c>
    </row>
    <row r="25" spans="1:5">
      <c r="A25" s="15">
        <v>24</v>
      </c>
      <c r="B25" s="16">
        <v>3601</v>
      </c>
      <c r="C25" s="16">
        <v>1711</v>
      </c>
      <c r="D25" s="14" t="str">
        <f>VLOOKUP(B25,任务库!A:D,4,0)</f>
        <v>Mặc 1 Món thần binh</v>
      </c>
      <c r="E25" s="14">
        <v>24</v>
      </c>
    </row>
    <row r="26" spans="1:5">
      <c r="A26" s="15">
        <v>25</v>
      </c>
      <c r="B26" s="16">
        <v>1711</v>
      </c>
      <c r="C26" s="14">
        <v>170001</v>
      </c>
      <c r="D26" s="14" t="str">
        <f>VLOOKUP(B26,任务库!A:D,4,0)</f>
        <v>Lại tiến hành 1 Lần anh hùng triệu hoán</v>
      </c>
      <c r="E26" s="14">
        <v>25</v>
      </c>
    </row>
    <row r="27" spans="1:5">
      <c r="A27" s="15">
        <v>26</v>
      </c>
      <c r="B27" s="14">
        <v>170001</v>
      </c>
      <c r="C27" s="16">
        <v>100035</v>
      </c>
      <c r="D27" s="14" t="str">
        <f>VLOOKUP(B27,任务库!A:D,4,0)</f>
        <v>Xác nhận 1 Lần thưởng thiện phạt ác</v>
      </c>
      <c r="E27" s="14">
        <v>15</v>
      </c>
    </row>
    <row r="28" spans="1:4">
      <c r="A28" s="15">
        <v>27</v>
      </c>
      <c r="B28" s="16">
        <v>100035</v>
      </c>
      <c r="C28" s="16">
        <v>100008</v>
      </c>
      <c r="D28" s="14" t="str">
        <f>VLOOKUP(B28,任务库!A:D,4,0)</f>
        <v>Thông quan chủ tuyến thứ 14 Quan</v>
      </c>
    </row>
    <row r="29" spans="1:5">
      <c r="A29" s="15">
        <v>28</v>
      </c>
      <c r="B29" s="16">
        <v>100008</v>
      </c>
      <c r="C29" s="16">
        <v>80002</v>
      </c>
      <c r="D29" s="14" t="str">
        <f>VLOOKUP(B29,任务库!A:D,4,0)</f>
        <v>Thông quan chủ tuyến thứ 15 Quan</v>
      </c>
      <c r="E29" s="14">
        <v>32</v>
      </c>
    </row>
    <row r="30" spans="1:5">
      <c r="A30" s="15">
        <v>29</v>
      </c>
      <c r="B30" s="16">
        <v>80002</v>
      </c>
      <c r="C30" s="14">
        <v>260001</v>
      </c>
      <c r="D30" s="14" t="str">
        <f>VLOOKUP(B30,任务库!A:D,4,0)</f>
        <v>Nhận lấy 5 sao anh hùng mảnh vỡ</v>
      </c>
      <c r="E30" s="14">
        <v>29</v>
      </c>
    </row>
    <row r="31" spans="1:5">
      <c r="A31" s="15">
        <v>30</v>
      </c>
      <c r="B31" s="14">
        <v>260001</v>
      </c>
      <c r="C31" s="14">
        <v>999994</v>
      </c>
      <c r="D31" s="14" t="str">
        <f>VLOOKUP(B31,任务库!A:D,4,0)</f>
        <v>Khiêu chiến 1 Lần Đấu trường</v>
      </c>
      <c r="E31" s="14">
        <v>16</v>
      </c>
    </row>
    <row r="32" spans="1:5">
      <c r="A32" s="15">
        <v>31</v>
      </c>
      <c r="B32" s="14">
        <v>999994</v>
      </c>
      <c r="C32" s="16">
        <v>80004</v>
      </c>
      <c r="D32" s="14" t="str">
        <f>VLOOKUP(B32,任务库!A:D,4,0)</f>
        <v>Nhận lấy một lần thành tựu ban thưởng</v>
      </c>
      <c r="E32" s="14">
        <v>28</v>
      </c>
    </row>
    <row r="33" spans="1:5">
      <c r="A33" s="15">
        <v>32</v>
      </c>
      <c r="B33" s="16">
        <v>80004</v>
      </c>
      <c r="C33" s="16">
        <v>120002</v>
      </c>
      <c r="D33" s="14" t="str">
        <f>VLOOKUP(B33,任务库!A:D,4,0)</f>
        <v>Mở ra đặc quyền cửa hàng</v>
      </c>
      <c r="E33" s="14">
        <v>33</v>
      </c>
    </row>
    <row r="34" spans="1:6">
      <c r="A34" s="15">
        <v>33</v>
      </c>
      <c r="B34" s="16">
        <v>120002</v>
      </c>
      <c r="C34" s="14">
        <v>100010</v>
      </c>
      <c r="D34" s="14" t="str">
        <f>VLOOKUP(B34,任务库!A:D,4,0)</f>
        <v>Kích hoạt thần binh Oro Jackson</v>
      </c>
      <c r="F34" s="14">
        <v>1</v>
      </c>
    </row>
    <row r="35" ht="13.5" customHeight="1" spans="1:6">
      <c r="A35" s="15">
        <v>34</v>
      </c>
      <c r="B35" s="14">
        <v>100010</v>
      </c>
      <c r="C35" s="14">
        <v>130004</v>
      </c>
      <c r="D35" s="14" t="str">
        <f>VLOOKUP(B35,任务库!A:D,4,0)</f>
        <v>Thông quan chủ tuyến thứ 18 Quan</v>
      </c>
      <c r="F35" s="14">
        <v>1</v>
      </c>
    </row>
    <row r="36" ht="13.5" customHeight="1" spans="1:6">
      <c r="A36" s="15">
        <v>35</v>
      </c>
      <c r="B36" s="14">
        <v>130004</v>
      </c>
      <c r="C36" s="14">
        <v>100011</v>
      </c>
      <c r="D36" s="14" t="str">
        <f>VLOOKUP(B36,任务库!A:D,4,0)</f>
        <v>2 Anh hùng đạt tới 40 Cấp</v>
      </c>
      <c r="F36" s="14">
        <v>1</v>
      </c>
    </row>
    <row r="37" spans="1:6">
      <c r="A37" s="15">
        <v>36</v>
      </c>
      <c r="B37" s="14">
        <v>100011</v>
      </c>
      <c r="C37" s="14">
        <v>120003</v>
      </c>
      <c r="D37" s="14" t="str">
        <f>VLOOKUP(B37,任务库!A:D,4,0)</f>
        <v>Thông quan chủ tuyến thứ 20 Quan</v>
      </c>
      <c r="F37" s="14">
        <v>1</v>
      </c>
    </row>
    <row r="38" spans="1:6">
      <c r="A38" s="15">
        <v>37</v>
      </c>
      <c r="B38" s="14">
        <v>120003</v>
      </c>
      <c r="C38" s="14">
        <v>130005</v>
      </c>
      <c r="D38" s="14" t="str">
        <f>VLOOKUP(B38,任务库!A:D,4,0)</f>
        <v>Kích hoạt thần binh Kuja</v>
      </c>
      <c r="F38" s="14">
        <v>1</v>
      </c>
    </row>
    <row r="39" spans="1:6">
      <c r="A39" s="15">
        <v>38</v>
      </c>
      <c r="B39" s="14">
        <v>130005</v>
      </c>
      <c r="C39" s="14">
        <v>100013</v>
      </c>
      <c r="D39" s="14" t="str">
        <f>VLOOKUP(B39,任务库!A:D,4,0)</f>
        <v>1 Anh hùng đạt tới 50 Cấp</v>
      </c>
      <c r="F39" s="14">
        <v>1</v>
      </c>
    </row>
    <row r="40" spans="1:6">
      <c r="A40" s="15">
        <v>39</v>
      </c>
      <c r="B40" s="14">
        <v>100013</v>
      </c>
      <c r="C40" s="14">
        <v>3201</v>
      </c>
      <c r="D40" s="14" t="str">
        <f>VLOOKUP(B40,任务库!A:D,4,0)</f>
        <v>Thông quan chủ tuyến thứ 30 Quan</v>
      </c>
      <c r="F40" s="14">
        <v>1</v>
      </c>
    </row>
    <row r="41" spans="1:5">
      <c r="A41" s="15">
        <v>40</v>
      </c>
      <c r="B41" s="14">
        <v>3201</v>
      </c>
      <c r="C41" s="14">
        <v>230001</v>
      </c>
      <c r="D41" s="14" t="str">
        <f>VLOOKUP(B41,任务库!A:D,4,0)</f>
        <v>Sáng tạo hoặc gia nhập guild</v>
      </c>
      <c r="E41" s="14">
        <v>21</v>
      </c>
    </row>
    <row r="42" spans="1:5">
      <c r="A42" s="15">
        <v>41</v>
      </c>
      <c r="B42" s="14">
        <v>230001</v>
      </c>
      <c r="C42" s="16">
        <v>100015</v>
      </c>
      <c r="D42" s="14" t="str">
        <f>VLOOKUP(B42,任务库!A:D,4,0)</f>
        <v>Khiêu chiến 1 Lần thông thiên tháp</v>
      </c>
      <c r="E42" s="14">
        <v>17</v>
      </c>
    </row>
    <row r="43" spans="1:6">
      <c r="A43" s="15">
        <v>42</v>
      </c>
      <c r="B43" s="16">
        <v>100015</v>
      </c>
      <c r="C43" s="16">
        <v>250001</v>
      </c>
      <c r="D43" s="14" t="str">
        <f>VLOOKUP(B43,任务库!A:D,4,0)</f>
        <v>Thông quan chủ tuyến thứ 40 Quan</v>
      </c>
      <c r="F43" s="14">
        <v>1</v>
      </c>
    </row>
    <row r="44" spans="1:4">
      <c r="A44" s="15">
        <v>43</v>
      </c>
      <c r="B44" s="16">
        <v>250001</v>
      </c>
      <c r="C44" s="14">
        <v>190001</v>
      </c>
      <c r="D44" s="14" t="str">
        <f>VLOOKUP(B44,任务库!A:D,4,0)</f>
        <v>Tiến hành 1 Lần may mắn tầm bảo</v>
      </c>
    </row>
    <row r="45" spans="1:5">
      <c r="A45" s="15">
        <v>44</v>
      </c>
      <c r="B45" s="14">
        <v>190001</v>
      </c>
      <c r="C45" s="14">
        <v>200001</v>
      </c>
      <c r="D45" s="14" t="str">
        <f>VLOOKUP(B45,任务库!A:D,4,0)</f>
        <v>Khiêu chiến 1 Lần kim tệ phó bản</v>
      </c>
      <c r="E45" s="14">
        <v>19</v>
      </c>
    </row>
    <row r="46" spans="1:5">
      <c r="A46" s="15">
        <v>45</v>
      </c>
      <c r="B46" s="14">
        <v>200001</v>
      </c>
      <c r="C46" s="16">
        <v>100016</v>
      </c>
      <c r="D46" s="14" t="str">
        <f>VLOOKUP(B46,任务库!A:D,4,0)</f>
        <v>Khiêu chiến 1 Lần kinh nghiệm phó bản</v>
      </c>
      <c r="E46" s="14">
        <v>20</v>
      </c>
    </row>
    <row r="47" spans="1:6">
      <c r="A47" s="15">
        <v>46</v>
      </c>
      <c r="B47" s="16">
        <v>100016</v>
      </c>
      <c r="C47" s="14">
        <v>120004</v>
      </c>
      <c r="D47" s="14" t="str">
        <f>VLOOKUP(B47,任务库!A:D,4,0)</f>
        <v>Thông quan chủ tuyến thứ 50 Quan</v>
      </c>
      <c r="F47" s="14">
        <v>1</v>
      </c>
    </row>
    <row r="48" spans="1:6">
      <c r="A48" s="15">
        <v>47</v>
      </c>
      <c r="B48" s="14">
        <v>120004</v>
      </c>
      <c r="C48" s="14">
        <v>130006</v>
      </c>
      <c r="D48" s="14" t="str">
        <f>VLOOKUP(B48,任务库!A:D,4,0)</f>
        <v>Kích hoạt thần binh Fisher tiger</v>
      </c>
      <c r="F48" s="14">
        <v>1</v>
      </c>
    </row>
    <row r="49" spans="1:6">
      <c r="A49" s="15">
        <v>48</v>
      </c>
      <c r="B49" s="14">
        <v>130006</v>
      </c>
      <c r="C49" s="16">
        <v>100017</v>
      </c>
      <c r="D49" s="14" t="str">
        <f>VLOOKUP(B49,任务库!A:D,4,0)</f>
        <v>2 Anh hùng đạt tới 50 Cấp</v>
      </c>
      <c r="F49" s="14">
        <v>1</v>
      </c>
    </row>
    <row r="50" spans="1:6">
      <c r="A50" s="15">
        <v>49</v>
      </c>
      <c r="B50" s="16">
        <v>100017</v>
      </c>
      <c r="C50" s="16">
        <v>270001</v>
      </c>
      <c r="D50" s="14" t="str">
        <f>VLOOKUP(B50,任务库!A:D,4,0)</f>
        <v>Thông quan chủ tuyến thứ 60 Quan</v>
      </c>
      <c r="F50" s="14">
        <v>1</v>
      </c>
    </row>
    <row r="51" spans="1:5">
      <c r="A51" s="15">
        <v>50</v>
      </c>
      <c r="B51" s="16">
        <v>270001</v>
      </c>
      <c r="C51" s="16">
        <v>100018</v>
      </c>
      <c r="D51" s="14" t="str">
        <f>VLOOKUP(B51,任务库!A:D,4,0)</f>
        <v>Quán rượu tiến hành 1 Lần mời rượu</v>
      </c>
      <c r="E51" s="14">
        <v>22</v>
      </c>
    </row>
    <row r="52" spans="1:6">
      <c r="A52" s="15">
        <v>51</v>
      </c>
      <c r="B52" s="16">
        <v>100018</v>
      </c>
      <c r="C52" s="14">
        <v>160003</v>
      </c>
      <c r="D52" s="14" t="str">
        <f>VLOOKUP(B52,任务库!A:D,4,0)</f>
        <v>Thông quan chủ tuyến thứ 70 Quan</v>
      </c>
      <c r="F52" s="14">
        <v>1</v>
      </c>
    </row>
    <row r="53" spans="1:6">
      <c r="A53" s="15">
        <v>52</v>
      </c>
      <c r="B53" s="14">
        <v>160003</v>
      </c>
      <c r="C53" s="16">
        <v>100019</v>
      </c>
      <c r="D53" s="14" t="str">
        <f>VLOOKUP(B53,任务库!A:D,4,0)</f>
        <v>Hợp thành / Thu hoạch được một 5 sao anh hùng</v>
      </c>
      <c r="F53" s="14">
        <v>1</v>
      </c>
    </row>
    <row r="54" spans="1:6">
      <c r="A54" s="15">
        <v>53</v>
      </c>
      <c r="B54" s="16">
        <v>100019</v>
      </c>
      <c r="C54" s="16">
        <v>80003</v>
      </c>
      <c r="D54" s="14" t="str">
        <f>VLOOKUP(B54,任务库!A:D,4,0)</f>
        <v>Thông quan chủ tuyến thứ 80 Quan</v>
      </c>
      <c r="F54" s="14">
        <v>1</v>
      </c>
    </row>
    <row r="55" spans="1:5">
      <c r="A55" s="15">
        <v>54</v>
      </c>
      <c r="B55" s="16">
        <v>80003</v>
      </c>
      <c r="C55" s="14">
        <v>22000</v>
      </c>
      <c r="D55" s="14" t="str">
        <f>VLOOKUP(B55,任务库!A:D,4,0)</f>
        <v>Mở ra đạo cụ cửa hàng</v>
      </c>
      <c r="E55" s="14">
        <v>30</v>
      </c>
    </row>
    <row r="56" spans="1:6">
      <c r="A56" s="15">
        <v>55</v>
      </c>
      <c r="B56" s="14">
        <v>22000</v>
      </c>
      <c r="C56" s="16">
        <v>100020</v>
      </c>
      <c r="D56" s="14" t="str">
        <f>VLOOKUP(B56,任务库!A:D,4,0)</f>
        <v>Sức chiến đấu cao nhất đạt tới 4 Vạn</v>
      </c>
      <c r="F56" s="14">
        <v>1</v>
      </c>
    </row>
    <row r="57" spans="1:6">
      <c r="A57" s="15">
        <v>56</v>
      </c>
      <c r="B57" s="16">
        <v>100020</v>
      </c>
      <c r="C57" s="16">
        <v>2001</v>
      </c>
      <c r="D57" s="14" t="str">
        <f>VLOOKUP(B57,任务库!A:D,4,0)</f>
        <v>Thông quan chủ tuyến thứ 90 Quan</v>
      </c>
      <c r="F57" s="14">
        <v>1</v>
      </c>
    </row>
    <row r="58" spans="1:6">
      <c r="A58" s="15">
        <v>57</v>
      </c>
      <c r="B58" s="16">
        <v>2001</v>
      </c>
      <c r="C58" s="16">
        <v>120005</v>
      </c>
      <c r="D58" s="14" t="str">
        <f>VLOOKUP(B58,任务库!A:D,4,0)</f>
        <v>Tính gộp lại có được một hảo hữu</v>
      </c>
      <c r="F58" s="14">
        <v>1</v>
      </c>
    </row>
    <row r="59" spans="1:6">
      <c r="A59" s="15">
        <v>58</v>
      </c>
      <c r="B59" s="16">
        <v>120005</v>
      </c>
      <c r="C59" s="16">
        <v>100021</v>
      </c>
      <c r="D59" s="14" t="str">
        <f>VLOOKUP(B59,任务库!A:D,4,0)</f>
        <v>Kích hoạt thần binh Red force</v>
      </c>
      <c r="F59" s="14">
        <v>1</v>
      </c>
    </row>
    <row r="60" spans="1:6">
      <c r="A60" s="15">
        <v>59</v>
      </c>
      <c r="B60" s="16">
        <v>100021</v>
      </c>
      <c r="C60" s="16">
        <v>1014</v>
      </c>
      <c r="D60" s="14" t="str">
        <f>VLOOKUP(B60,任务库!A:D,4,0)</f>
        <v>Thông quan chủ tuyến thứ 100 Quan</v>
      </c>
      <c r="F60" s="14">
        <v>1</v>
      </c>
    </row>
    <row r="61" spans="1:4">
      <c r="A61" s="15">
        <v>60</v>
      </c>
      <c r="B61" s="16">
        <v>1014</v>
      </c>
      <c r="C61" s="16">
        <v>100022</v>
      </c>
      <c r="D61" s="14" t="str">
        <f>VLOOKUP(B61,任务库!A:D,4,0)</f>
        <v>Nhanh chóng tác chiến 1 Lần</v>
      </c>
    </row>
    <row r="62" spans="1:6">
      <c r="A62" s="15">
        <v>61</v>
      </c>
      <c r="B62" s="16">
        <v>100022</v>
      </c>
      <c r="C62" s="16">
        <v>1015</v>
      </c>
      <c r="D62" s="14" t="str">
        <f>VLOOKUP(B62,任务库!A:D,4,0)</f>
        <v>Thông quan chủ tuyến thứ 105 Quan</v>
      </c>
      <c r="F62" s="14">
        <v>1</v>
      </c>
    </row>
    <row r="63" spans="1:4">
      <c r="A63" s="15">
        <v>62</v>
      </c>
      <c r="B63" s="16">
        <v>1015</v>
      </c>
      <c r="C63" s="16">
        <v>100023</v>
      </c>
      <c r="D63" s="14" t="str">
        <f>VLOOKUP(B63,任务库!A:D,4,0)</f>
        <v>Nhanh chóng tác chiến 1 Lần</v>
      </c>
    </row>
    <row r="64" spans="1:6">
      <c r="A64" s="15">
        <v>63</v>
      </c>
      <c r="B64" s="16">
        <v>100023</v>
      </c>
      <c r="C64" s="16">
        <v>999996</v>
      </c>
      <c r="D64" s="14" t="str">
        <f>VLOOKUP(B64,任务库!A:D,4,0)</f>
        <v>Thông quan chủ tuyến thứ 110 Quan</v>
      </c>
      <c r="F64" s="14">
        <v>1</v>
      </c>
    </row>
    <row r="65" spans="1:6">
      <c r="A65" s="15">
        <v>64</v>
      </c>
      <c r="B65" s="16">
        <v>999996</v>
      </c>
      <c r="C65" s="16">
        <v>100024</v>
      </c>
      <c r="D65" s="14" t="str">
        <f>VLOOKUP(B65,任务库!A:D,4,0)</f>
        <v>Điểm danh 2 Trời</v>
      </c>
      <c r="F65" s="14">
        <v>1</v>
      </c>
    </row>
    <row r="66" spans="1:6">
      <c r="A66" s="15">
        <v>65</v>
      </c>
      <c r="B66" s="16">
        <v>100024</v>
      </c>
      <c r="C66" s="14">
        <v>210001</v>
      </c>
      <c r="D66" s="14" t="str">
        <f>VLOOKUP(B66,任务库!A:D,4,0)</f>
        <v>Thông quan chủ tuyến thứ 115 Quan</v>
      </c>
      <c r="F66" s="14">
        <v>1</v>
      </c>
    </row>
    <row r="67" spans="1:4">
      <c r="A67" s="15">
        <v>66</v>
      </c>
      <c r="B67" s="14">
        <v>210001</v>
      </c>
      <c r="C67" s="16">
        <v>100025</v>
      </c>
      <c r="D67" s="14" t="str">
        <f>VLOOKUP(B67,任务库!A:D,4,0)</f>
        <v>Khiêu chiến 1 Lần Viêm Đế Thí Luyện</v>
      </c>
    </row>
    <row r="68" spans="1:6">
      <c r="A68" s="15">
        <v>67</v>
      </c>
      <c r="B68" s="16">
        <v>100025</v>
      </c>
      <c r="C68" s="14">
        <v>220001</v>
      </c>
      <c r="D68" s="14" t="str">
        <f>VLOOKUP(B68,任务库!A:D,4,0)</f>
        <v>Thông quan chủ tuyến thứ 120 Quan</v>
      </c>
      <c r="F68" s="14">
        <v>1</v>
      </c>
    </row>
    <row r="69" spans="1:4">
      <c r="A69" s="15">
        <v>68</v>
      </c>
      <c r="B69" s="14">
        <v>220001</v>
      </c>
      <c r="C69" s="16">
        <v>100027</v>
      </c>
      <c r="D69" s="14" t="str">
        <f>VLOOKUP(B69,任务库!A:D,4,0)</f>
        <v>Khiêu chiến 1 Lần Võ lâm luận kiếm</v>
      </c>
    </row>
    <row r="70" spans="1:6">
      <c r="A70" s="15">
        <v>69</v>
      </c>
      <c r="B70" s="16">
        <v>100027</v>
      </c>
      <c r="C70" s="14">
        <v>180005</v>
      </c>
      <c r="D70" s="14" t="str">
        <f>VLOOKUP(B70,任务库!A:D,4,0)</f>
        <v>Thông quan chủ tuyến thứ 130 Quan</v>
      </c>
      <c r="F70" s="14">
        <v>1</v>
      </c>
    </row>
    <row r="71" spans="1:6">
      <c r="A71" s="15">
        <v>70</v>
      </c>
      <c r="B71" s="14">
        <v>180005</v>
      </c>
      <c r="C71" s="16">
        <v>22004</v>
      </c>
      <c r="D71" s="14" t="str">
        <f>VLOOKUP(B71,任务库!A:D,4,0)</f>
        <v>Trước mắt có được một 6 sao anh hùng</v>
      </c>
      <c r="F71" s="14">
        <v>1</v>
      </c>
    </row>
    <row r="72" spans="1:6">
      <c r="A72" s="15">
        <v>71</v>
      </c>
      <c r="B72" s="16">
        <v>22004</v>
      </c>
      <c r="C72" s="16">
        <v>100028</v>
      </c>
      <c r="D72" s="14" t="str">
        <f>VLOOKUP(B72,任务库!A:D,4,0)</f>
        <v>Sức chiến đấu cao nhất đạt tới 10 Vạn</v>
      </c>
      <c r="F72" s="14">
        <v>1</v>
      </c>
    </row>
    <row r="73" spans="1:6">
      <c r="A73" s="15">
        <v>72</v>
      </c>
      <c r="B73" s="16">
        <v>100028</v>
      </c>
      <c r="C73" s="16">
        <v>22006</v>
      </c>
      <c r="D73" s="14" t="str">
        <f>VLOOKUP(B73,任务库!A:D,4,0)</f>
        <v>Thông quan chủ tuyến thứ 135 Quan</v>
      </c>
      <c r="F73" s="14">
        <v>1</v>
      </c>
    </row>
    <row r="74" spans="1:6">
      <c r="A74" s="15">
        <v>73</v>
      </c>
      <c r="B74" s="16">
        <v>22006</v>
      </c>
      <c r="C74" s="16">
        <v>100029</v>
      </c>
      <c r="D74" s="14" t="str">
        <f>VLOOKUP(B74,任务库!A:D,4,0)</f>
        <v>Sức chiến đấu cao nhất đạt tới 15 Vạn</v>
      </c>
      <c r="F74" s="14">
        <v>1</v>
      </c>
    </row>
    <row r="75" spans="1:6">
      <c r="A75" s="15">
        <v>74</v>
      </c>
      <c r="B75" s="16">
        <v>100029</v>
      </c>
      <c r="C75" s="16">
        <v>19004</v>
      </c>
      <c r="D75" s="14" t="str">
        <f>VLOOKUP(B75,任务库!A:D,4,0)</f>
        <v>Thông quan chủ tuyến thứ 140 Quan</v>
      </c>
      <c r="F75" s="14">
        <v>1</v>
      </c>
    </row>
    <row r="76" spans="1:6">
      <c r="A76" s="15">
        <v>75</v>
      </c>
      <c r="B76" s="16">
        <v>19004</v>
      </c>
      <c r="C76" s="16">
        <v>100030</v>
      </c>
      <c r="D76" s="14" t="str">
        <f>VLOOKUP(B76,任务库!A:D,4,0)</f>
        <v>Võ lâm luận kiếm thắng lợi 3 Lần</v>
      </c>
      <c r="F76" s="14">
        <v>1</v>
      </c>
    </row>
    <row r="77" spans="1:6">
      <c r="A77" s="15">
        <v>76</v>
      </c>
      <c r="B77" s="16">
        <v>100030</v>
      </c>
      <c r="C77" s="16">
        <v>210002</v>
      </c>
      <c r="D77" s="14" t="str">
        <f>VLOOKUP(B77,任务库!A:D,4,0)</f>
        <v>Thông quan chủ tuyến thứ 145 Quan</v>
      </c>
      <c r="F77" s="14">
        <v>1</v>
      </c>
    </row>
    <row r="78" spans="1:4">
      <c r="A78" s="15">
        <v>77</v>
      </c>
      <c r="B78" s="16">
        <v>210002</v>
      </c>
      <c r="C78" s="16">
        <v>100031</v>
      </c>
      <c r="D78" s="14" t="str">
        <f>VLOOKUP(B78,任务库!A:D,4,0)</f>
        <v>Khiêu chiến 1 Lần Viêm Đế Thí Luyện</v>
      </c>
    </row>
    <row r="79" spans="1:6">
      <c r="A79" s="15">
        <v>78</v>
      </c>
      <c r="B79" s="16">
        <v>100031</v>
      </c>
      <c r="C79" s="16">
        <v>2401</v>
      </c>
      <c r="D79" s="14" t="str">
        <f>VLOOKUP(B79,任务库!A:D,4,0)</f>
        <v>Thông quan chủ tuyến thứ 150 Quan</v>
      </c>
      <c r="F79" s="14">
        <v>1</v>
      </c>
    </row>
    <row r="80" spans="1:4">
      <c r="A80" s="15">
        <v>79</v>
      </c>
      <c r="B80" s="16">
        <v>2401</v>
      </c>
      <c r="C80" s="16">
        <v>22005</v>
      </c>
      <c r="D80" s="14" t="str">
        <f>VLOOKUP(B80,任务库!A:D,4,0)</f>
        <v>Tiến hành 1 Lần hợp thiên phú</v>
      </c>
    </row>
    <row r="81" spans="1:6">
      <c r="A81" s="15">
        <v>80</v>
      </c>
      <c r="B81" s="16">
        <v>22005</v>
      </c>
      <c r="C81" s="14"/>
      <c r="D81" s="14" t="str">
        <f>VLOOKUP(B81,任务库!A:D,4,0)</f>
        <v>Sức chiến đấu cao nhất đạt tới 20 Vạn</v>
      </c>
      <c r="F81" s="14">
        <v>1</v>
      </c>
    </row>
  </sheetData>
  <autoFilter ref="A1:D81">
    <extLst/>
  </autoFilter>
  <conditionalFormatting sqref="C6">
    <cfRule type="duplicateValues" dxfId="0" priority="14"/>
    <cfRule type="duplicateValues" dxfId="0" priority="15"/>
    <cfRule type="duplicateValues" dxfId="0" priority="16"/>
    <cfRule type="duplicateValues" dxfId="0" priority="17"/>
  </conditionalFormatting>
  <conditionalFormatting sqref="B7">
    <cfRule type="duplicateValues" dxfId="0" priority="18"/>
    <cfRule type="duplicateValues" dxfId="0" priority="19"/>
    <cfRule type="duplicateValues" dxfId="0" priority="20"/>
    <cfRule type="duplicateValues" dxfId="0" priority="21"/>
  </conditionalFormatting>
  <conditionalFormatting sqref="C7">
    <cfRule type="duplicateValues" dxfId="0" priority="13"/>
  </conditionalFormatting>
  <conditionalFormatting sqref="C11">
    <cfRule type="duplicateValues" dxfId="0" priority="5"/>
    <cfRule type="duplicateValues" dxfId="0" priority="6"/>
    <cfRule type="duplicateValues" dxfId="0" priority="7"/>
    <cfRule type="duplicateValues" dxfId="0" priority="8"/>
  </conditionalFormatting>
  <conditionalFormatting sqref="B12">
    <cfRule type="duplicateValues" dxfId="0" priority="9"/>
    <cfRule type="duplicateValues" dxfId="0" priority="10"/>
    <cfRule type="duplicateValues" dxfId="0" priority="11"/>
    <cfRule type="duplicateValues" dxfId="0" priority="12"/>
  </conditionalFormatting>
  <conditionalFormatting sqref="C12">
    <cfRule type="duplicateValues" dxfId="0" priority="1"/>
    <cfRule type="duplicateValues" dxfId="0" priority="2"/>
    <cfRule type="duplicateValues" dxfId="0" priority="3"/>
    <cfRule type="duplicateValues" dxfId="0" priority="4"/>
  </conditionalFormatting>
  <conditionalFormatting sqref="B13">
    <cfRule type="duplicateValues" dxfId="0" priority="37"/>
    <cfRule type="duplicateValues" dxfId="0" priority="38"/>
    <cfRule type="duplicateValues" dxfId="0" priority="39"/>
    <cfRule type="duplicateValues" dxfId="0" priority="40"/>
  </conditionalFormatting>
  <conditionalFormatting sqref="C13">
    <cfRule type="duplicateValues" dxfId="0" priority="32"/>
  </conditionalFormatting>
  <conditionalFormatting sqref="C14">
    <cfRule type="duplicateValues" dxfId="0" priority="260"/>
    <cfRule type="duplicateValues" dxfId="0" priority="261"/>
    <cfRule type="duplicateValues" dxfId="0" priority="262"/>
    <cfRule type="duplicateValues" dxfId="0" priority="263"/>
  </conditionalFormatting>
  <conditionalFormatting sqref="B15">
    <cfRule type="duplicateValues" dxfId="0" priority="266"/>
    <cfRule type="duplicateValues" dxfId="0" priority="267"/>
    <cfRule type="duplicateValues" dxfId="0" priority="268"/>
    <cfRule type="duplicateValues" dxfId="0" priority="269"/>
  </conditionalFormatting>
  <conditionalFormatting sqref="C15">
    <cfRule type="duplicateValues" dxfId="0" priority="264"/>
  </conditionalFormatting>
  <conditionalFormatting sqref="B16">
    <cfRule type="duplicateValues" dxfId="0" priority="265"/>
  </conditionalFormatting>
  <conditionalFormatting sqref="C20">
    <cfRule type="duplicateValues" dxfId="0" priority="102"/>
  </conditionalFormatting>
  <conditionalFormatting sqref="B21">
    <cfRule type="duplicateValues" dxfId="0" priority="103"/>
  </conditionalFormatting>
  <conditionalFormatting sqref="C21">
    <cfRule type="duplicateValues" dxfId="0" priority="101"/>
  </conditionalFormatting>
  <conditionalFormatting sqref="C22">
    <cfRule type="duplicateValues" dxfId="0" priority="96"/>
  </conditionalFormatting>
  <conditionalFormatting sqref="B23">
    <cfRule type="duplicateValues" dxfId="0" priority="100"/>
  </conditionalFormatting>
  <conditionalFormatting sqref="C23">
    <cfRule type="duplicateValues" dxfId="0" priority="95"/>
  </conditionalFormatting>
  <conditionalFormatting sqref="C24">
    <cfRule type="duplicateValues" dxfId="0" priority="92"/>
    <cfRule type="duplicateValues" dxfId="0" priority="93"/>
    <cfRule type="duplicateValues" dxfId="0" priority="94"/>
  </conditionalFormatting>
  <conditionalFormatting sqref="B25">
    <cfRule type="duplicateValues" dxfId="0" priority="322"/>
    <cfRule type="duplicateValues" dxfId="0" priority="323"/>
    <cfRule type="duplicateValues" dxfId="0" priority="324"/>
  </conditionalFormatting>
  <conditionalFormatting sqref="C25">
    <cfRule type="duplicateValues" dxfId="0" priority="303"/>
  </conditionalFormatting>
  <conditionalFormatting sqref="C27">
    <cfRule type="duplicateValues" dxfId="0" priority="62"/>
  </conditionalFormatting>
  <conditionalFormatting sqref="B28">
    <cfRule type="duplicateValues" dxfId="0" priority="67"/>
  </conditionalFormatting>
  <conditionalFormatting sqref="C28">
    <cfRule type="duplicateValues" dxfId="0" priority="61"/>
  </conditionalFormatting>
  <conditionalFormatting sqref="C29">
    <cfRule type="duplicateValues" dxfId="0" priority="270"/>
    <cfRule type="duplicateValues" dxfId="0" priority="271"/>
    <cfRule type="duplicateValues" dxfId="0" priority="272"/>
    <cfRule type="duplicateValues" dxfId="0" priority="273"/>
  </conditionalFormatting>
  <conditionalFormatting sqref="B30">
    <cfRule type="duplicateValues" dxfId="0" priority="274"/>
    <cfRule type="duplicateValues" dxfId="0" priority="275"/>
    <cfRule type="duplicateValues" dxfId="0" priority="276"/>
    <cfRule type="duplicateValues" dxfId="0" priority="277"/>
  </conditionalFormatting>
  <conditionalFormatting sqref="C32">
    <cfRule type="duplicateValues" dxfId="0" priority="25"/>
  </conditionalFormatting>
  <conditionalFormatting sqref="C33">
    <cfRule type="duplicateValues" dxfId="0" priority="22"/>
    <cfRule type="duplicateValues" dxfId="0" priority="23"/>
    <cfRule type="duplicateValues" dxfId="0" priority="24"/>
  </conditionalFormatting>
  <conditionalFormatting sqref="B34">
    <cfRule type="duplicateValues" dxfId="0" priority="26"/>
    <cfRule type="duplicateValues" dxfId="0" priority="27"/>
    <cfRule type="duplicateValues" dxfId="0" priority="28"/>
  </conditionalFormatting>
  <conditionalFormatting sqref="C34">
    <cfRule type="duplicateValues" dxfId="0" priority="30"/>
  </conditionalFormatting>
  <conditionalFormatting sqref="C42">
    <cfRule type="duplicateValues" dxfId="0" priority="57"/>
  </conditionalFormatting>
  <conditionalFormatting sqref="C43">
    <cfRule type="duplicateValues" dxfId="0" priority="56"/>
  </conditionalFormatting>
  <conditionalFormatting sqref="C44">
    <cfRule type="duplicateValues" dxfId="0" priority="52"/>
  </conditionalFormatting>
  <conditionalFormatting sqref="B45">
    <cfRule type="duplicateValues" dxfId="0" priority="55"/>
  </conditionalFormatting>
  <conditionalFormatting sqref="C45">
    <cfRule type="duplicateValues" dxfId="0" priority="51"/>
  </conditionalFormatting>
  <conditionalFormatting sqref="B46">
    <cfRule type="duplicateValues" dxfId="0" priority="287"/>
  </conditionalFormatting>
  <conditionalFormatting sqref="C46">
    <cfRule type="duplicateValues" dxfId="0" priority="47"/>
  </conditionalFormatting>
  <conditionalFormatting sqref="B47">
    <cfRule type="duplicateValues" dxfId="0" priority="209"/>
  </conditionalFormatting>
  <conditionalFormatting sqref="C47">
    <cfRule type="duplicateValues" dxfId="0" priority="46"/>
  </conditionalFormatting>
  <conditionalFormatting sqref="C48">
    <cfRule type="duplicateValues" dxfId="0" priority="45"/>
  </conditionalFormatting>
  <conditionalFormatting sqref="C49">
    <cfRule type="duplicateValues" dxfId="0" priority="59"/>
  </conditionalFormatting>
  <conditionalFormatting sqref="B50">
    <cfRule type="duplicateValues" dxfId="0" priority="202"/>
  </conditionalFormatting>
  <conditionalFormatting sqref="C50">
    <cfRule type="duplicateValues" dxfId="0" priority="199"/>
  </conditionalFormatting>
  <conditionalFormatting sqref="C51">
    <cfRule type="duplicateValues" dxfId="0" priority="196"/>
  </conditionalFormatting>
  <conditionalFormatting sqref="B52">
    <cfRule type="duplicateValues" dxfId="0" priority="198"/>
  </conditionalFormatting>
  <conditionalFormatting sqref="C52">
    <cfRule type="duplicateValues" dxfId="0" priority="194"/>
  </conditionalFormatting>
  <conditionalFormatting sqref="B53">
    <cfRule type="duplicateValues" dxfId="0" priority="195"/>
  </conditionalFormatting>
  <conditionalFormatting sqref="C54">
    <cfRule type="duplicateValues" dxfId="0" priority="231"/>
    <cfRule type="duplicateValues" dxfId="0" priority="232"/>
    <cfRule type="duplicateValues" dxfId="0" priority="233"/>
    <cfRule type="duplicateValues" dxfId="0" priority="234"/>
  </conditionalFormatting>
  <conditionalFormatting sqref="B55">
    <cfRule type="duplicateValues" dxfId="0" priority="242"/>
    <cfRule type="duplicateValues" dxfId="0" priority="243"/>
    <cfRule type="duplicateValues" dxfId="0" priority="244"/>
    <cfRule type="duplicateValues" dxfId="0" priority="245"/>
  </conditionalFormatting>
  <conditionalFormatting sqref="C55">
    <cfRule type="duplicateValues" dxfId="0" priority="77"/>
  </conditionalFormatting>
  <conditionalFormatting sqref="C56">
    <cfRule type="duplicateValues" dxfId="0" priority="76"/>
  </conditionalFormatting>
  <conditionalFormatting sqref="B57">
    <cfRule type="duplicateValues" dxfId="0" priority="193"/>
  </conditionalFormatting>
  <conditionalFormatting sqref="C57">
    <cfRule type="duplicateValues" dxfId="0" priority="185"/>
  </conditionalFormatting>
  <conditionalFormatting sqref="B58">
    <cfRule type="duplicateValues" dxfId="0" priority="186"/>
  </conditionalFormatting>
  <conditionalFormatting sqref="C58">
    <cfRule type="duplicateValues" dxfId="0" priority="68"/>
    <cfRule type="duplicateValues" dxfId="0" priority="69"/>
    <cfRule type="duplicateValues" dxfId="0" priority="70"/>
  </conditionalFormatting>
  <conditionalFormatting sqref="B59">
    <cfRule type="duplicateValues" dxfId="0" priority="308"/>
    <cfRule type="duplicateValues" dxfId="0" priority="309"/>
    <cfRule type="duplicateValues" dxfId="0" priority="310"/>
  </conditionalFormatting>
  <conditionalFormatting sqref="C59">
    <cfRule type="duplicateValues" dxfId="0" priority="75"/>
  </conditionalFormatting>
  <conditionalFormatting sqref="B60">
    <cfRule type="duplicateValues" dxfId="0" priority="184"/>
  </conditionalFormatting>
  <conditionalFormatting sqref="C60">
    <cfRule type="duplicateValues" dxfId="0" priority="71"/>
    <cfRule type="duplicateValues" dxfId="0" priority="72"/>
    <cfRule type="duplicateValues" dxfId="0" priority="73"/>
    <cfRule type="duplicateValues" dxfId="0" priority="74"/>
  </conditionalFormatting>
  <conditionalFormatting sqref="B61">
    <cfRule type="duplicateValues" dxfId="0" priority="177"/>
    <cfRule type="duplicateValues" dxfId="0" priority="178"/>
    <cfRule type="duplicateValues" dxfId="0" priority="179"/>
    <cfRule type="duplicateValues" dxfId="0" priority="180"/>
  </conditionalFormatting>
  <conditionalFormatting sqref="C61">
    <cfRule type="duplicateValues" dxfId="0" priority="82"/>
  </conditionalFormatting>
  <conditionalFormatting sqref="B62">
    <cfRule type="duplicateValues" dxfId="0" priority="182"/>
  </conditionalFormatting>
  <conditionalFormatting sqref="C62">
    <cfRule type="duplicateValues" dxfId="0" priority="166"/>
    <cfRule type="duplicateValues" dxfId="0" priority="167"/>
    <cfRule type="duplicateValues" dxfId="0" priority="168"/>
    <cfRule type="duplicateValues" dxfId="0" priority="169"/>
  </conditionalFormatting>
  <conditionalFormatting sqref="B63">
    <cfRule type="duplicateValues" dxfId="0" priority="227"/>
    <cfRule type="duplicateValues" dxfId="0" priority="228"/>
    <cfRule type="duplicateValues" dxfId="0" priority="229"/>
    <cfRule type="duplicateValues" dxfId="0" priority="230"/>
  </conditionalFormatting>
  <conditionalFormatting sqref="C63">
    <cfRule type="duplicateValues" dxfId="0" priority="170"/>
  </conditionalFormatting>
  <conditionalFormatting sqref="B64">
    <cfRule type="duplicateValues" dxfId="0" priority="172"/>
  </conditionalFormatting>
  <conditionalFormatting sqref="C64">
    <cfRule type="duplicateValues" dxfId="0" priority="162"/>
    <cfRule type="duplicateValues" dxfId="0" priority="163"/>
    <cfRule type="duplicateValues" dxfId="0" priority="164"/>
    <cfRule type="duplicateValues" dxfId="0" priority="165"/>
  </conditionalFormatting>
  <conditionalFormatting sqref="B65">
    <cfRule type="duplicateValues" dxfId="0" priority="339"/>
    <cfRule type="duplicateValues" dxfId="0" priority="340"/>
    <cfRule type="duplicateValues" dxfId="0" priority="341"/>
  </conditionalFormatting>
  <conditionalFormatting sqref="C65">
    <cfRule type="duplicateValues" dxfId="0" priority="161"/>
  </conditionalFormatting>
  <conditionalFormatting sqref="C66">
    <cfRule type="duplicateValues" dxfId="0" priority="41"/>
  </conditionalFormatting>
  <conditionalFormatting sqref="B67">
    <cfRule type="duplicateValues" dxfId="0" priority="285"/>
  </conditionalFormatting>
  <conditionalFormatting sqref="C67">
    <cfRule type="duplicateValues" dxfId="0" priority="42"/>
  </conditionalFormatting>
  <conditionalFormatting sqref="C68">
    <cfRule type="duplicateValues" dxfId="0" priority="31"/>
  </conditionalFormatting>
  <conditionalFormatting sqref="C69">
    <cfRule type="duplicateValues" dxfId="0" priority="157"/>
  </conditionalFormatting>
  <conditionalFormatting sqref="C70">
    <cfRule type="duplicateValues" dxfId="0" priority="44"/>
  </conditionalFormatting>
  <conditionalFormatting sqref="C71">
    <cfRule type="duplicateValues" dxfId="0" priority="43"/>
  </conditionalFormatting>
  <conditionalFormatting sqref="C72">
    <cfRule type="duplicateValues" dxfId="0" priority="156"/>
  </conditionalFormatting>
  <conditionalFormatting sqref="C74">
    <cfRule type="duplicateValues" dxfId="0" priority="149"/>
  </conditionalFormatting>
  <conditionalFormatting sqref="B75">
    <cfRule type="duplicateValues" dxfId="0" priority="154"/>
  </conditionalFormatting>
  <conditionalFormatting sqref="C75">
    <cfRule type="duplicateValues" dxfId="0" priority="146"/>
    <cfRule type="duplicateValues" dxfId="0" priority="147"/>
    <cfRule type="duplicateValues" dxfId="0" priority="148"/>
  </conditionalFormatting>
  <conditionalFormatting sqref="B76">
    <cfRule type="duplicateValues" dxfId="0" priority="331"/>
    <cfRule type="duplicateValues" dxfId="0" priority="332"/>
    <cfRule type="duplicateValues" dxfId="0" priority="333"/>
  </conditionalFormatting>
  <conditionalFormatting sqref="C76">
    <cfRule type="duplicateValues" dxfId="0" priority="137"/>
  </conditionalFormatting>
  <conditionalFormatting sqref="B77">
    <cfRule type="duplicateValues" dxfId="0" priority="145"/>
  </conditionalFormatting>
  <conditionalFormatting sqref="C77">
    <cfRule type="duplicateValues" dxfId="0" priority="135"/>
  </conditionalFormatting>
  <conditionalFormatting sqref="B78">
    <cfRule type="duplicateValues" dxfId="0" priority="136"/>
  </conditionalFormatting>
  <conditionalFormatting sqref="C78">
    <cfRule type="duplicateValues" dxfId="0" priority="128"/>
  </conditionalFormatting>
  <conditionalFormatting sqref="B79">
    <cfRule type="duplicateValues" dxfId="0" priority="134"/>
  </conditionalFormatting>
  <conditionalFormatting sqref="C79">
    <cfRule type="duplicateValues" dxfId="0" priority="127"/>
  </conditionalFormatting>
  <conditionalFormatting sqref="B81">
    <cfRule type="duplicateValues" dxfId="0" priority="325"/>
    <cfRule type="duplicateValues" dxfId="0" priority="326"/>
    <cfRule type="duplicateValues" dxfId="0" priority="327"/>
  </conditionalFormatting>
  <conditionalFormatting sqref="B32:B33">
    <cfRule type="duplicateValues" dxfId="0" priority="29"/>
  </conditionalFormatting>
  <conditionalFormatting sqref="B1:B6 B8:B11 B14 B17:B20 B22 B24 B26:B27 B29 B31 B51 B48:B49 B35:B44 B54 B65:B66 B56 B68:B74 B80 B82:B1048576">
    <cfRule type="duplicateValues" dxfId="0" priority="334"/>
  </conditionalFormatting>
  <conditionalFormatting sqref="C1:C5 C8:C10 C16:C19 C26 C30:C31 C73 C53 C35:C41 C80:C1048576">
    <cfRule type="duplicateValues" dxfId="0" priority="335"/>
  </conditionalFormatting>
  <pageMargins left="0.7" right="0.7" top="0.75" bottom="0.75" header="0.3" footer="0.3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D13"/>
  <sheetViews>
    <sheetView workbookViewId="0">
      <selection activeCell="E20" sqref="E20"/>
    </sheetView>
  </sheetViews>
  <sheetFormatPr defaultColWidth="9" defaultRowHeight="15" outlineLevelCol="3"/>
  <cols>
    <col min="4" max="4" width="14.5714285714286" customWidth="1"/>
  </cols>
  <sheetData>
    <row r="1" spans="1:4">
      <c r="A1" s="10" t="s">
        <v>2097</v>
      </c>
      <c r="B1" s="10" t="s">
        <v>2102</v>
      </c>
      <c r="C1" s="10" t="s">
        <v>2103</v>
      </c>
      <c r="D1" s="11" t="s">
        <v>2104</v>
      </c>
    </row>
    <row r="2" spans="1:4">
      <c r="A2">
        <v>1001</v>
      </c>
      <c r="C2">
        <v>1</v>
      </c>
      <c r="D2" t="str">
        <f>VLOOKUP(A2,任务库!A:C,3,0)</f>
        <v>Thường ngày Đăng nhập</v>
      </c>
    </row>
    <row r="3" spans="1:4">
      <c r="A3">
        <v>1002</v>
      </c>
      <c r="B3">
        <v>900</v>
      </c>
      <c r="C3">
        <v>2</v>
      </c>
      <c r="D3" t="str">
        <f>VLOOKUP(A3,任务库!A:C,3,0)</f>
        <v>Hữu nghị hỗ tặng</v>
      </c>
    </row>
    <row r="4" spans="1:4">
      <c r="A4">
        <v>1003</v>
      </c>
      <c r="B4">
        <v>2100</v>
      </c>
      <c r="C4">
        <v>3</v>
      </c>
      <c r="D4" t="str">
        <f>VLOOKUP(A4,任务库!A:C,3,0)</f>
        <v>Anh hùng triệu hoán</v>
      </c>
    </row>
    <row r="5" spans="1:4">
      <c r="A5">
        <v>1004</v>
      </c>
      <c r="B5">
        <v>3002</v>
      </c>
      <c r="C5">
        <v>4</v>
      </c>
      <c r="D5" t="str">
        <f>VLOOKUP(A5,任务库!A:C,3,0)</f>
        <v>guild phó bản</v>
      </c>
    </row>
    <row r="6" spans="1:4">
      <c r="A6">
        <v>1005</v>
      </c>
      <c r="B6">
        <v>3000</v>
      </c>
      <c r="C6">
        <v>5</v>
      </c>
      <c r="D6" t="str">
        <f>VLOOKUP(A6,任务库!A:C,3,0)</f>
        <v>guild hiến cho</v>
      </c>
    </row>
    <row r="7" spans="1:4">
      <c r="A7">
        <v>1006</v>
      </c>
      <c r="B7">
        <v>1100</v>
      </c>
      <c r="C7">
        <v>6</v>
      </c>
      <c r="D7" t="str">
        <f>VLOOKUP(A7,任务库!A:C,3,0)</f>
        <v>Viêm Đế Thí Luyện</v>
      </c>
    </row>
    <row r="8" spans="1:4">
      <c r="A8">
        <v>1007</v>
      </c>
      <c r="C8">
        <v>7</v>
      </c>
      <c r="D8" t="str">
        <f>VLOOKUP(A8,任务库!A:C,3,0)</f>
        <v>thưởng thiện phạt ác</v>
      </c>
    </row>
    <row r="9" spans="1:4">
      <c r="A9">
        <v>1008</v>
      </c>
      <c r="B9">
        <v>4000</v>
      </c>
      <c r="C9">
        <v>8</v>
      </c>
      <c r="D9" t="str">
        <f>VLOOKUP(A9,任务库!A:C,3,0)</f>
        <v>Thường ngày phó bản</v>
      </c>
    </row>
    <row r="10" spans="1:4">
      <c r="A10" s="4">
        <v>240002</v>
      </c>
      <c r="C10">
        <v>9</v>
      </c>
      <c r="D10" t="str">
        <f>VLOOKUP(A10,任务库!A:C,3,0)</f>
        <v>Trang bị hợp thành</v>
      </c>
    </row>
    <row r="11" spans="1:4">
      <c r="A11">
        <v>1010</v>
      </c>
      <c r="B11">
        <v>1080</v>
      </c>
      <c r="C11">
        <v>10</v>
      </c>
      <c r="D11" t="str">
        <f>VLOOKUP(A11,任务库!A:C,3,0)</f>
        <v>thông thiên tháp</v>
      </c>
    </row>
    <row r="12" spans="1:4">
      <c r="A12">
        <v>1011</v>
      </c>
      <c r="B12">
        <v>1090</v>
      </c>
      <c r="C12">
        <v>11</v>
      </c>
      <c r="D12" t="str">
        <f>VLOOKUP(A12,任务库!A:C,3,0)</f>
        <v>Đấu trường</v>
      </c>
    </row>
    <row r="13" spans="1:4">
      <c r="A13">
        <v>1012</v>
      </c>
      <c r="C13">
        <v>12</v>
      </c>
      <c r="D13" t="str">
        <f>VLOOKUP(A13,任务库!A:C,3,0)</f>
        <v>Nhanh chóng tác chiến</v>
      </c>
    </row>
  </sheetData>
  <conditionalFormatting sqref="A10">
    <cfRule type="duplicateValues" dxfId="0" priority="1"/>
    <cfRule type="duplicateValues" dxfId="0" priority="2"/>
    <cfRule type="duplicateValues" dxfId="0" priority="3"/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H5"/>
  <sheetViews>
    <sheetView workbookViewId="0">
      <selection activeCell="F14" sqref="F14"/>
    </sheetView>
  </sheetViews>
  <sheetFormatPr defaultColWidth="9" defaultRowHeight="15" outlineLevelRow="4" outlineLevelCol="7"/>
  <cols>
    <col min="3" max="3" width="54.4285714285714" customWidth="1"/>
  </cols>
  <sheetData>
    <row r="1" spans="1:3">
      <c r="A1" s="10" t="s">
        <v>2105</v>
      </c>
      <c r="B1" s="10" t="s">
        <v>2106</v>
      </c>
      <c r="C1" s="10" t="s">
        <v>17</v>
      </c>
    </row>
    <row r="2" spans="1:3">
      <c r="A2">
        <v>1</v>
      </c>
      <c r="B2">
        <v>25</v>
      </c>
      <c r="C2" s="5" t="s">
        <v>2107</v>
      </c>
    </row>
    <row r="3" spans="1:3">
      <c r="A3">
        <v>2</v>
      </c>
      <c r="B3">
        <v>50</v>
      </c>
      <c r="C3" s="5" t="s">
        <v>2108</v>
      </c>
    </row>
    <row r="4" spans="1:8">
      <c r="A4">
        <v>3</v>
      </c>
      <c r="B4">
        <v>75</v>
      </c>
      <c r="C4" s="5" t="s">
        <v>2109</v>
      </c>
      <c r="H4" s="4"/>
    </row>
    <row r="5" spans="1:3">
      <c r="A5">
        <v>4</v>
      </c>
      <c r="B5">
        <v>100</v>
      </c>
      <c r="C5" s="5" t="s">
        <v>2110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D14"/>
  <sheetViews>
    <sheetView workbookViewId="0">
      <selection activeCell="D37" sqref="D37"/>
    </sheetView>
  </sheetViews>
  <sheetFormatPr defaultColWidth="9" defaultRowHeight="15" outlineLevelCol="3"/>
  <cols>
    <col min="4" max="4" width="26.7142857142857" customWidth="1"/>
  </cols>
  <sheetData>
    <row r="1" spans="1:4">
      <c r="A1" s="10" t="s">
        <v>2097</v>
      </c>
      <c r="B1" s="10" t="s">
        <v>2102</v>
      </c>
      <c r="C1" s="10" t="s">
        <v>2103</v>
      </c>
      <c r="D1" s="11" t="s">
        <v>2104</v>
      </c>
    </row>
    <row r="2" spans="1:4">
      <c r="A2" s="4">
        <v>580001</v>
      </c>
      <c r="B2">
        <v>2120</v>
      </c>
      <c r="C2">
        <v>1</v>
      </c>
      <c r="D2" s="8" t="s">
        <v>2111</v>
      </c>
    </row>
    <row r="3" spans="1:4">
      <c r="A3" s="4">
        <v>580002</v>
      </c>
      <c r="B3">
        <v>890</v>
      </c>
      <c r="C3">
        <v>2</v>
      </c>
      <c r="D3" s="8" t="s">
        <v>2112</v>
      </c>
    </row>
    <row r="4" spans="1:4">
      <c r="A4" s="4">
        <v>580003</v>
      </c>
      <c r="C4">
        <v>3</v>
      </c>
      <c r="D4" s="8" t="s">
        <v>2113</v>
      </c>
    </row>
    <row r="5" spans="1:4">
      <c r="A5" s="4">
        <v>580004</v>
      </c>
      <c r="C5">
        <v>4</v>
      </c>
      <c r="D5" s="8" t="s">
        <v>2114</v>
      </c>
    </row>
    <row r="6" spans="1:4">
      <c r="A6" s="4">
        <v>580005</v>
      </c>
      <c r="B6">
        <v>9000</v>
      </c>
      <c r="C6">
        <v>5</v>
      </c>
      <c r="D6" s="8" t="s">
        <v>2115</v>
      </c>
    </row>
    <row r="7" spans="1:4">
      <c r="A7" s="4">
        <v>580006</v>
      </c>
      <c r="C7">
        <v>6</v>
      </c>
      <c r="D7" s="8" t="s">
        <v>2116</v>
      </c>
    </row>
    <row r="8" spans="1:4">
      <c r="A8" s="4">
        <v>580007</v>
      </c>
      <c r="C8">
        <v>7</v>
      </c>
      <c r="D8" s="8" t="s">
        <v>2117</v>
      </c>
    </row>
    <row r="9" spans="1:4">
      <c r="A9" s="4">
        <v>580008</v>
      </c>
      <c r="B9">
        <v>5000</v>
      </c>
      <c r="C9">
        <v>8</v>
      </c>
      <c r="D9" s="8" t="s">
        <v>2118</v>
      </c>
    </row>
    <row r="10" spans="1:4">
      <c r="A10" s="4">
        <v>580009</v>
      </c>
      <c r="B10">
        <v>5000</v>
      </c>
      <c r="C10">
        <v>9</v>
      </c>
      <c r="D10" s="8" t="s">
        <v>2119</v>
      </c>
    </row>
    <row r="11" spans="1:4">
      <c r="A11" s="4">
        <v>580010</v>
      </c>
      <c r="B11">
        <v>5000</v>
      </c>
      <c r="C11">
        <v>10</v>
      </c>
      <c r="D11" s="8" t="s">
        <v>2120</v>
      </c>
    </row>
    <row r="12" spans="1:4">
      <c r="A12" s="4">
        <v>580012</v>
      </c>
      <c r="B12">
        <v>10010</v>
      </c>
      <c r="C12">
        <v>12</v>
      </c>
      <c r="D12" s="8" t="s">
        <v>2121</v>
      </c>
    </row>
    <row r="13" spans="1:4">
      <c r="A13" s="4">
        <v>580013</v>
      </c>
      <c r="B13">
        <v>710</v>
      </c>
      <c r="C13">
        <v>13</v>
      </c>
      <c r="D13" s="8" t="s">
        <v>2122</v>
      </c>
    </row>
    <row r="14" spans="1:4">
      <c r="A14" s="4">
        <v>580014</v>
      </c>
      <c r="B14">
        <v>8600</v>
      </c>
      <c r="C14">
        <v>14</v>
      </c>
      <c r="D14" s="8" t="s">
        <v>2123</v>
      </c>
    </row>
  </sheetData>
  <conditionalFormatting sqref="A2:A14">
    <cfRule type="duplicateValues" dxfId="0" priority="555"/>
  </conditionalFormatting>
  <pageMargins left="0.7" right="0.7" top="0.75" bottom="0.75" header="0.3" footer="0.3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C5"/>
  <sheetViews>
    <sheetView tabSelected="1" workbookViewId="0">
      <selection activeCell="G14" sqref="G14"/>
    </sheetView>
  </sheetViews>
  <sheetFormatPr defaultColWidth="9" defaultRowHeight="15" outlineLevelRow="4" outlineLevelCol="2"/>
  <cols>
    <col min="3" max="3" width="55.2857142857143" customWidth="1"/>
  </cols>
  <sheetData>
    <row r="1" spans="1:3">
      <c r="A1" s="10" t="s">
        <v>2105</v>
      </c>
      <c r="B1" s="10" t="s">
        <v>2106</v>
      </c>
      <c r="C1" s="10" t="s">
        <v>17</v>
      </c>
    </row>
    <row r="2" spans="1:3">
      <c r="A2">
        <v>1</v>
      </c>
      <c r="B2">
        <v>25</v>
      </c>
      <c r="C2" s="5" t="s">
        <v>2124</v>
      </c>
    </row>
    <row r="3" spans="1:3">
      <c r="A3">
        <v>2</v>
      </c>
      <c r="B3">
        <v>50</v>
      </c>
      <c r="C3" s="5" t="s">
        <v>2125</v>
      </c>
    </row>
    <row r="4" spans="1:3">
      <c r="A4">
        <v>3</v>
      </c>
      <c r="B4">
        <v>75</v>
      </c>
      <c r="C4" s="5" t="s">
        <v>2126</v>
      </c>
    </row>
    <row r="5" spans="1:3">
      <c r="A5">
        <v>4</v>
      </c>
      <c r="B5">
        <v>100</v>
      </c>
      <c r="C5" s="5" t="s">
        <v>2127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D169"/>
  <sheetViews>
    <sheetView workbookViewId="0">
      <pane xSplit="1" ySplit="1" topLeftCell="B152" activePane="bottomRight" state="frozen"/>
      <selection/>
      <selection pane="topRight"/>
      <selection pane="bottomLeft"/>
      <selection pane="bottomRight" activeCell="D139" sqref="D139"/>
    </sheetView>
  </sheetViews>
  <sheetFormatPr defaultColWidth="9" defaultRowHeight="15" outlineLevelCol="3"/>
  <cols>
    <col min="1" max="2" width="9" style="4"/>
    <col min="3" max="3" width="5.28571428571429" style="4" customWidth="1"/>
    <col min="4" max="4" width="68.2857142857143" style="4" customWidth="1"/>
  </cols>
  <sheetData>
    <row r="1" spans="1:4">
      <c r="A1" s="9" t="s">
        <v>2097</v>
      </c>
      <c r="B1" s="4" t="s">
        <v>2128</v>
      </c>
      <c r="C1" s="4" t="s">
        <v>2129</v>
      </c>
      <c r="D1" s="4" t="s">
        <v>2130</v>
      </c>
    </row>
    <row r="2" spans="1:4">
      <c r="A2" s="7">
        <v>1114</v>
      </c>
      <c r="B2" s="4">
        <v>1</v>
      </c>
      <c r="C2" s="4">
        <v>1</v>
      </c>
      <c r="D2" s="4" t="str">
        <f>VLOOKUP(A2,任务库!A:D,4,0)</f>
        <v>Nhân vật chính đẳng cấp đạt tới 5 Cấp</v>
      </c>
    </row>
    <row r="3" spans="1:4">
      <c r="A3" s="7">
        <v>1115</v>
      </c>
      <c r="B3" s="4">
        <v>1</v>
      </c>
      <c r="C3" s="4">
        <v>2</v>
      </c>
      <c r="D3" s="4" t="str">
        <f>VLOOKUP(A3,任务库!A:D,4,0)</f>
        <v>Nhân vật chính đẳng cấp đạt tới 10 Cấp</v>
      </c>
    </row>
    <row r="4" spans="1:4">
      <c r="A4" s="7">
        <v>1116</v>
      </c>
      <c r="B4" s="4">
        <v>1</v>
      </c>
      <c r="C4" s="4">
        <v>3</v>
      </c>
      <c r="D4" s="4" t="str">
        <f>VLOOKUP(A4,任务库!A:D,4,0)</f>
        <v>Nhân vật chính đẳng cấp đạt tới 15 Cấp</v>
      </c>
    </row>
    <row r="5" spans="1:4">
      <c r="A5" s="7">
        <v>1117</v>
      </c>
      <c r="B5" s="4">
        <v>1</v>
      </c>
      <c r="C5" s="4">
        <v>4</v>
      </c>
      <c r="D5" s="4" t="str">
        <f>VLOOKUP(A5,任务库!A:D,4,0)</f>
        <v>Nhân vật chính đẳng cấp đạt tới 20 Cấp</v>
      </c>
    </row>
    <row r="6" spans="1:4">
      <c r="A6" s="4">
        <v>1101</v>
      </c>
      <c r="B6" s="4">
        <v>1</v>
      </c>
      <c r="C6" s="4">
        <v>5</v>
      </c>
      <c r="D6" s="4" t="str">
        <f>VLOOKUP(A6,任务库!A:D,4,0)</f>
        <v>Nhân vật chính đẳng cấp đạt tới 30 Cấp</v>
      </c>
    </row>
    <row r="7" spans="1:4">
      <c r="A7" s="4">
        <v>1102</v>
      </c>
      <c r="B7" s="4">
        <v>1</v>
      </c>
      <c r="C7" s="4">
        <v>6</v>
      </c>
      <c r="D7" s="4" t="str">
        <f>VLOOKUP(A7,任务库!A:D,4,0)</f>
        <v>Nhân vật chính đẳng cấp đạt tới 40 Cấp</v>
      </c>
    </row>
    <row r="8" spans="1:4">
      <c r="A8" s="4">
        <v>1103</v>
      </c>
      <c r="B8" s="4">
        <v>1</v>
      </c>
      <c r="C8" s="4">
        <v>7</v>
      </c>
      <c r="D8" s="4" t="str">
        <f>VLOOKUP(A8,任务库!A:D,4,0)</f>
        <v>Nhân vật chính đẳng cấp đạt tới 50 Cấp</v>
      </c>
    </row>
    <row r="9" spans="1:4">
      <c r="A9" s="4">
        <v>1104</v>
      </c>
      <c r="B9" s="4">
        <v>1</v>
      </c>
      <c r="C9" s="4">
        <v>8</v>
      </c>
      <c r="D9" s="4" t="str">
        <f>VLOOKUP(A9,任务库!A:D,4,0)</f>
        <v>Nhân vật chính đẳng cấp đạt tới 60 Cấp</v>
      </c>
    </row>
    <row r="10" spans="1:4">
      <c r="A10" s="4">
        <v>1105</v>
      </c>
      <c r="B10" s="4">
        <v>1</v>
      </c>
      <c r="C10" s="4">
        <v>9</v>
      </c>
      <c r="D10" s="4" t="str">
        <f>VLOOKUP(A10,任务库!A:D,4,0)</f>
        <v>Nhân vật chính đẳng cấp đạt tới 70 Cấp</v>
      </c>
    </row>
    <row r="11" spans="1:4">
      <c r="A11" s="4">
        <v>1106</v>
      </c>
      <c r="B11" s="4">
        <v>1</v>
      </c>
      <c r="C11" s="4">
        <v>10</v>
      </c>
      <c r="D11" s="4" t="str">
        <f>VLOOKUP(A11,任务库!A:D,4,0)</f>
        <v>Nhân vật chính đẳng cấp đạt tới 80 Cấp</v>
      </c>
    </row>
    <row r="12" spans="1:4">
      <c r="A12" s="4">
        <v>1107</v>
      </c>
      <c r="B12" s="4">
        <v>1</v>
      </c>
      <c r="C12" s="4">
        <v>11</v>
      </c>
      <c r="D12" s="4" t="str">
        <f>VLOOKUP(A12,任务库!A:D,4,0)</f>
        <v>Nhân vật chính đẳng cấp đạt tới 90 Cấp</v>
      </c>
    </row>
    <row r="13" spans="1:4">
      <c r="A13" s="4">
        <v>1108</v>
      </c>
      <c r="B13" s="4">
        <v>1</v>
      </c>
      <c r="C13" s="4">
        <v>12</v>
      </c>
      <c r="D13" s="4" t="str">
        <f>VLOOKUP(A13,任务库!A:D,4,0)</f>
        <v>Nhân vật chính đẳng cấp đạt tới 100 Cấp</v>
      </c>
    </row>
    <row r="14" spans="1:4">
      <c r="A14" s="4">
        <v>1109</v>
      </c>
      <c r="B14" s="4">
        <v>1</v>
      </c>
      <c r="C14" s="4">
        <v>13</v>
      </c>
      <c r="D14" s="4" t="str">
        <f>VLOOKUP(A14,任务库!A:D,4,0)</f>
        <v>Nhân vật chính đẳng cấp đạt tới 120 Cấp</v>
      </c>
    </row>
    <row r="15" spans="1:4">
      <c r="A15" s="4">
        <v>1110</v>
      </c>
      <c r="B15" s="4">
        <v>1</v>
      </c>
      <c r="C15" s="4">
        <v>14</v>
      </c>
      <c r="D15" s="4" t="str">
        <f>VLOOKUP(A15,任务库!A:D,4,0)</f>
        <v>Nhân vật chính đẳng cấp đạt tới 140 Cấp</v>
      </c>
    </row>
    <row r="16" spans="1:4">
      <c r="A16" s="4">
        <v>1111</v>
      </c>
      <c r="B16" s="4">
        <v>1</v>
      </c>
      <c r="C16" s="4">
        <v>15</v>
      </c>
      <c r="D16" s="4" t="str">
        <f>VLOOKUP(A16,任务库!A:D,4,0)</f>
        <v>Nhân vật chính đẳng cấp đạt tới 160 Cấp</v>
      </c>
    </row>
    <row r="17" spans="1:4">
      <c r="A17" s="4">
        <v>1112</v>
      </c>
      <c r="B17" s="4">
        <v>1</v>
      </c>
      <c r="C17" s="4">
        <v>16</v>
      </c>
      <c r="D17" s="4" t="str">
        <f>VLOOKUP(A17,任务库!A:D,4,0)</f>
        <v>Nhân vật chính đẳng cấp đạt tới 180 Cấp</v>
      </c>
    </row>
    <row r="18" spans="1:4">
      <c r="A18" s="4">
        <v>1113</v>
      </c>
      <c r="B18" s="4">
        <v>1</v>
      </c>
      <c r="C18" s="4">
        <v>17</v>
      </c>
      <c r="D18" s="4" t="str">
        <f>VLOOKUP(A18,任务库!A:D,4,0)</f>
        <v>Nhân vật chính đẳng cấp đạt tới 200 Cấp</v>
      </c>
    </row>
    <row r="19" spans="1:4">
      <c r="A19" s="4">
        <v>1201</v>
      </c>
      <c r="B19" s="4">
        <v>2</v>
      </c>
      <c r="C19" s="4">
        <v>1</v>
      </c>
      <c r="D19" s="4" t="str">
        <f>VLOOKUP(A19,任务库!A:D,4,0)</f>
        <v>Trước mắt có được một 30 Cấp anh hùng</v>
      </c>
    </row>
    <row r="20" spans="1:4">
      <c r="A20" s="4">
        <v>1202</v>
      </c>
      <c r="B20" s="4">
        <v>2</v>
      </c>
      <c r="C20" s="4">
        <v>2</v>
      </c>
      <c r="D20" s="4" t="str">
        <f>VLOOKUP(A20,任务库!A:D,4,0)</f>
        <v>Trước mắt có được ba 40 Cấp anh hùng</v>
      </c>
    </row>
    <row r="21" spans="1:4">
      <c r="A21" s="4">
        <v>1203</v>
      </c>
      <c r="B21" s="4">
        <v>2</v>
      </c>
      <c r="C21" s="4">
        <v>3</v>
      </c>
      <c r="D21" s="4" t="str">
        <f>VLOOKUP(A21,任务库!A:D,4,0)</f>
        <v>Trước mắt có được năm 40 Cấp anh hùng</v>
      </c>
    </row>
    <row r="22" spans="1:4">
      <c r="A22" s="4">
        <v>1204</v>
      </c>
      <c r="B22" s="4">
        <v>2</v>
      </c>
      <c r="C22" s="4">
        <v>4</v>
      </c>
      <c r="D22" s="4" t="str">
        <f>VLOOKUP(A22,任务库!A:D,4,0)</f>
        <v>Trước mắt có được ba 50 Cấp anh hùng</v>
      </c>
    </row>
    <row r="23" spans="1:4">
      <c r="A23" s="4">
        <v>1205</v>
      </c>
      <c r="B23" s="4">
        <v>2</v>
      </c>
      <c r="C23" s="4">
        <v>5</v>
      </c>
      <c r="D23" s="4" t="str">
        <f>VLOOKUP(A23,任务库!A:D,4,0)</f>
        <v>Trước mắt có được năm 50 Cấp anh hùng</v>
      </c>
    </row>
    <row r="24" spans="1:4">
      <c r="A24" s="4">
        <v>1206</v>
      </c>
      <c r="B24" s="4">
        <v>2</v>
      </c>
      <c r="C24" s="4">
        <v>6</v>
      </c>
      <c r="D24" s="4" t="str">
        <f>VLOOKUP(A24,任务库!A:D,4,0)</f>
        <v>Trước mắt có được ba 60 Cấp anh hùng</v>
      </c>
    </row>
    <row r="25" spans="1:4">
      <c r="A25" s="4">
        <v>1207</v>
      </c>
      <c r="B25" s="4">
        <v>2</v>
      </c>
      <c r="C25" s="4">
        <v>7</v>
      </c>
      <c r="D25" s="4" t="str">
        <f>VLOOKUP(A25,任务库!A:D,4,0)</f>
        <v>Trước mắt có được năm 60 Cấp anh hùng</v>
      </c>
    </row>
    <row r="26" spans="1:4">
      <c r="A26" s="4">
        <v>1208</v>
      </c>
      <c r="B26" s="4">
        <v>2</v>
      </c>
      <c r="C26" s="4">
        <v>8</v>
      </c>
      <c r="D26" s="4" t="str">
        <f>VLOOKUP(A26,任务库!A:D,4,0)</f>
        <v>Trước mắt có được ba 80 Cấp anh hùng</v>
      </c>
    </row>
    <row r="27" spans="1:4">
      <c r="A27" s="4">
        <v>1209</v>
      </c>
      <c r="B27" s="4">
        <v>2</v>
      </c>
      <c r="C27" s="4">
        <v>9</v>
      </c>
      <c r="D27" s="4" t="str">
        <f>VLOOKUP(A27,任务库!A:D,4,0)</f>
        <v>Trước mắt có được năm 80 Cấp anh hùng</v>
      </c>
    </row>
    <row r="28" spans="1:4">
      <c r="A28" s="4">
        <v>1210</v>
      </c>
      <c r="B28" s="4">
        <v>2</v>
      </c>
      <c r="C28" s="4">
        <v>10</v>
      </c>
      <c r="D28" s="4" t="str">
        <f>VLOOKUP(A28,任务库!A:D,4,0)</f>
        <v>Trước mắt có được ba 100 Cấp anh hùng</v>
      </c>
    </row>
    <row r="29" spans="1:4">
      <c r="A29" s="4">
        <v>1211</v>
      </c>
      <c r="B29" s="4">
        <v>2</v>
      </c>
      <c r="C29" s="4">
        <v>11</v>
      </c>
      <c r="D29" s="4" t="str">
        <f>VLOOKUP(A29,任务库!A:D,4,0)</f>
        <v>Trước mắt có được năm 100 Cấp anh hùng</v>
      </c>
    </row>
    <row r="30" spans="1:4">
      <c r="A30" s="4">
        <v>1301</v>
      </c>
      <c r="B30" s="4">
        <v>3</v>
      </c>
      <c r="C30" s="4">
        <v>1</v>
      </c>
      <c r="D30" s="4" t="str">
        <f>VLOOKUP(A30,任务库!A:D,4,0)</f>
        <v>Tính gộp lại thu hoạch được ba 145 Cấp anh hùng</v>
      </c>
    </row>
    <row r="31" spans="1:4">
      <c r="A31" s="4">
        <v>1302</v>
      </c>
      <c r="B31" s="4">
        <v>3</v>
      </c>
      <c r="C31" s="4">
        <v>2</v>
      </c>
      <c r="D31" s="4" t="str">
        <f>VLOOKUP(A31,任务库!A:D,4,0)</f>
        <v>Tính gộp lại thu hoạch được năm 145 Cấp anh hùng</v>
      </c>
    </row>
    <row r="32" spans="1:4">
      <c r="A32" s="4">
        <v>1303</v>
      </c>
      <c r="B32" s="4">
        <v>3</v>
      </c>
      <c r="C32" s="4">
        <v>3</v>
      </c>
      <c r="D32" s="4" t="str">
        <f>VLOOKUP(A32,任务库!A:D,4,0)</f>
        <v>Tính gộp lại thu hoạch được ba 165 Cấp anh hùng</v>
      </c>
    </row>
    <row r="33" spans="1:4">
      <c r="A33" s="4">
        <v>1304</v>
      </c>
      <c r="B33" s="4">
        <v>3</v>
      </c>
      <c r="C33" s="4">
        <v>4</v>
      </c>
      <c r="D33" s="4" t="str">
        <f>VLOOKUP(A33,任务库!A:D,4,0)</f>
        <v>Tính gộp lại thu hoạch được năm 165 Cấp anh hùng</v>
      </c>
    </row>
    <row r="34" spans="1:4">
      <c r="A34" s="4">
        <v>1305</v>
      </c>
      <c r="B34" s="4">
        <v>3</v>
      </c>
      <c r="C34" s="4">
        <v>5</v>
      </c>
      <c r="D34" s="4" t="str">
        <f>VLOOKUP(A34,任务库!A:D,4,0)</f>
        <v>Tính gộp lại thu hoạch được ba 185 Cấp anh hùng</v>
      </c>
    </row>
    <row r="35" spans="1:4">
      <c r="A35" s="4">
        <v>1306</v>
      </c>
      <c r="B35" s="4">
        <v>3</v>
      </c>
      <c r="C35" s="4">
        <v>6</v>
      </c>
      <c r="D35" s="4" t="str">
        <f>VLOOKUP(A35,任务库!A:D,4,0)</f>
        <v>Tính gộp lại thu hoạch được năm 185 Cấp anh hùng</v>
      </c>
    </row>
    <row r="36" spans="1:4">
      <c r="A36" s="4">
        <v>1307</v>
      </c>
      <c r="B36" s="4">
        <v>3</v>
      </c>
      <c r="C36" s="4">
        <v>7</v>
      </c>
      <c r="D36" s="4" t="str">
        <f>VLOOKUP(A36,任务库!A:D,4,0)</f>
        <v>Tính gộp lại thu hoạch được ba 205 Cấp anh hùng</v>
      </c>
    </row>
    <row r="37" spans="1:4">
      <c r="A37" s="4">
        <v>1308</v>
      </c>
      <c r="B37" s="4">
        <v>3</v>
      </c>
      <c r="C37" s="4">
        <v>8</v>
      </c>
      <c r="D37" s="4" t="str">
        <f>VLOOKUP(A37,任务库!A:D,4,0)</f>
        <v>Tính gộp lại thu hoạch được năm 205 Cấp anh hùng</v>
      </c>
    </row>
    <row r="38" spans="1:4">
      <c r="A38" s="4">
        <v>1309</v>
      </c>
      <c r="B38" s="4">
        <v>3</v>
      </c>
      <c r="C38" s="4">
        <v>9</v>
      </c>
      <c r="D38" s="4" t="str">
        <f>VLOOKUP(A38,任务库!A:D,4,0)</f>
        <v>Tính gộp lại thu hoạch được ba 255 Cấp anh hùng</v>
      </c>
    </row>
    <row r="39" spans="1:4">
      <c r="A39" s="4">
        <v>1310</v>
      </c>
      <c r="B39" s="4">
        <v>3</v>
      </c>
      <c r="C39" s="4">
        <v>10</v>
      </c>
      <c r="D39" s="4" t="str">
        <f>VLOOKUP(A39,任务库!A:D,4,0)</f>
        <v>Tính gộp lại thu hoạch được năm 255 Cấp anh hùng</v>
      </c>
    </row>
    <row r="40" spans="1:4">
      <c r="A40" s="4">
        <v>1401</v>
      </c>
      <c r="B40" s="4">
        <v>4</v>
      </c>
      <c r="C40" s="4">
        <v>1</v>
      </c>
      <c r="D40" s="4" t="str">
        <f>VLOOKUP(A40,任务库!A:D,4,0)</f>
        <v>Trước mắt có được một 4 Tinh anh hùng</v>
      </c>
    </row>
    <row r="41" spans="1:4">
      <c r="A41" s="4">
        <v>1402</v>
      </c>
      <c r="B41" s="4">
        <v>4</v>
      </c>
      <c r="C41" s="4">
        <v>2</v>
      </c>
      <c r="D41" s="4" t="str">
        <f>VLOOKUP(A41,任务库!A:D,4,0)</f>
        <v>Trước mắt có được ba 4 Tinh anh hùng</v>
      </c>
    </row>
    <row r="42" spans="1:4">
      <c r="A42" s="4">
        <v>1403</v>
      </c>
      <c r="B42" s="4">
        <v>4</v>
      </c>
      <c r="C42" s="4">
        <v>3</v>
      </c>
      <c r="D42" s="4" t="str">
        <f>VLOOKUP(A42,任务库!A:D,4,0)</f>
        <v>Trước mắt có được năm 4 Tinh anh hùng</v>
      </c>
    </row>
    <row r="43" spans="1:4">
      <c r="A43" s="4">
        <v>1404</v>
      </c>
      <c r="B43" s="4">
        <v>4</v>
      </c>
      <c r="C43" s="4">
        <v>4</v>
      </c>
      <c r="D43" s="4" t="str">
        <f>VLOOKUP(A43,任务库!A:D,4,0)</f>
        <v>Trước mắt có được tám 4 Tinh anh hùng</v>
      </c>
    </row>
    <row r="44" spans="1:4">
      <c r="A44" s="4">
        <v>1405</v>
      </c>
      <c r="B44" s="4">
        <v>4</v>
      </c>
      <c r="C44" s="4">
        <v>5</v>
      </c>
      <c r="D44" s="4" t="str">
        <f>VLOOKUP(A44,任务库!A:D,4,0)</f>
        <v>Trước mắt có được mười 4 Tinh anh hùng</v>
      </c>
    </row>
    <row r="45" spans="1:4">
      <c r="A45" s="4">
        <v>1501</v>
      </c>
      <c r="B45" s="4">
        <v>5</v>
      </c>
      <c r="C45" s="4">
        <v>1</v>
      </c>
      <c r="D45" s="4" t="str">
        <f>VLOOKUP(A45,任务库!A:D,4,0)</f>
        <v>Trước mắt có được một 5 sao anh hùng</v>
      </c>
    </row>
    <row r="46" spans="1:4">
      <c r="A46" s="4">
        <v>1502</v>
      </c>
      <c r="B46" s="4">
        <v>5</v>
      </c>
      <c r="C46" s="4">
        <v>2</v>
      </c>
      <c r="D46" s="4" t="str">
        <f>VLOOKUP(A46,任务库!A:D,4,0)</f>
        <v>Trước mắt có được ba 5 sao anh hùng</v>
      </c>
    </row>
    <row r="47" spans="1:4">
      <c r="A47" s="4">
        <v>1503</v>
      </c>
      <c r="B47" s="4">
        <v>5</v>
      </c>
      <c r="C47" s="4">
        <v>3</v>
      </c>
      <c r="D47" s="4" t="str">
        <f>VLOOKUP(A47,任务库!A:D,4,0)</f>
        <v>Trước mắt có được năm 5 sao anh hùng</v>
      </c>
    </row>
    <row r="48" spans="1:4">
      <c r="A48" s="4">
        <v>1504</v>
      </c>
      <c r="B48" s="4">
        <v>5</v>
      </c>
      <c r="C48" s="4">
        <v>4</v>
      </c>
      <c r="D48" s="4" t="str">
        <f>VLOOKUP(A48,任务库!A:D,4,0)</f>
        <v>Trước mắt có được tám 5 sao anh hùng</v>
      </c>
    </row>
    <row r="49" spans="1:4">
      <c r="A49" s="4">
        <v>1505</v>
      </c>
      <c r="B49" s="4">
        <v>5</v>
      </c>
      <c r="C49" s="4">
        <v>5</v>
      </c>
      <c r="D49" s="4" t="str">
        <f>VLOOKUP(A49,任务库!A:D,4,0)</f>
        <v>Trước mắt có được mười 5 sao anh hùng</v>
      </c>
    </row>
    <row r="50" spans="1:4">
      <c r="A50" s="7">
        <v>3501</v>
      </c>
      <c r="B50" s="4">
        <v>6</v>
      </c>
      <c r="C50" s="4">
        <v>1</v>
      </c>
      <c r="D50" s="4" t="str">
        <f>VLOOKUP(A50,任务库!A:D,4,0)</f>
        <v>Trước mắt có được một 9 sao anh hùng</v>
      </c>
    </row>
    <row r="51" spans="1:4">
      <c r="A51" s="7">
        <v>3502</v>
      </c>
      <c r="B51" s="4">
        <v>7</v>
      </c>
      <c r="C51" s="4">
        <v>1</v>
      </c>
      <c r="D51" s="4" t="str">
        <f>VLOOKUP(A51,任务库!A:D,4,0)</f>
        <v>Trước mắt có được một 10 sao anh hùng</v>
      </c>
    </row>
    <row r="52" spans="1:4">
      <c r="A52" s="4">
        <v>1601</v>
      </c>
      <c r="B52" s="4">
        <v>8</v>
      </c>
      <c r="C52" s="4">
        <v>1</v>
      </c>
      <c r="D52" s="4" t="str">
        <f>VLOOKUP(A52,任务库!A:D,4,0)</f>
        <v>Tính gộp lại thu hoạch được một 6 sao anh hùng</v>
      </c>
    </row>
    <row r="53" spans="1:4">
      <c r="A53" s="4">
        <v>1602</v>
      </c>
      <c r="B53" s="4">
        <v>8</v>
      </c>
      <c r="C53" s="4">
        <v>2</v>
      </c>
      <c r="D53" s="4" t="str">
        <f>VLOOKUP(A53,任务库!A:D,4,0)</f>
        <v>Tính gộp lại thu hoạch được ba 6 sao anh hùng</v>
      </c>
    </row>
    <row r="54" spans="1:4">
      <c r="A54" s="4">
        <v>1603</v>
      </c>
      <c r="B54" s="4">
        <v>8</v>
      </c>
      <c r="C54" s="4">
        <v>3</v>
      </c>
      <c r="D54" s="4" t="str">
        <f>VLOOKUP(A54,任务库!A:D,4,0)</f>
        <v>Tính gộp lại thu hoạch được năm 6 sao anh hùng</v>
      </c>
    </row>
    <row r="55" spans="1:4">
      <c r="A55" s="4">
        <v>1604</v>
      </c>
      <c r="B55" s="4">
        <v>8</v>
      </c>
      <c r="C55" s="4">
        <v>4</v>
      </c>
      <c r="D55" s="4" t="str">
        <f>VLOOKUP(A55,任务库!A:D,4,0)</f>
        <v>Tính gộp lại thu hoạch được tám 6 sao anh hùng</v>
      </c>
    </row>
    <row r="56" spans="1:4">
      <c r="A56" s="4">
        <v>1605</v>
      </c>
      <c r="B56" s="4">
        <v>8</v>
      </c>
      <c r="C56" s="4">
        <v>5</v>
      </c>
      <c r="D56" s="4" t="str">
        <f>VLOOKUP(A56,任务库!A:D,4,0)</f>
        <v>Tính gộp lại thu hoạch được mười 6 sao anh hùng</v>
      </c>
    </row>
    <row r="57" spans="1:4">
      <c r="A57" s="4">
        <v>1701</v>
      </c>
      <c r="B57" s="4">
        <v>9</v>
      </c>
      <c r="C57" s="4">
        <v>1</v>
      </c>
      <c r="D57" s="4" t="str">
        <f>VLOOKUP(A57,任务库!A:D,4,0)</f>
        <v>Tiến hành 10 Lần cao cấp triệu hoán</v>
      </c>
    </row>
    <row r="58" spans="1:4">
      <c r="A58" s="4">
        <v>1702</v>
      </c>
      <c r="B58" s="4">
        <v>9</v>
      </c>
      <c r="C58" s="4">
        <v>2</v>
      </c>
      <c r="D58" s="4" t="str">
        <f>VLOOKUP(A58,任务库!A:D,4,0)</f>
        <v>Tiến hành 20 Lần cao cấp triệu hoán</v>
      </c>
    </row>
    <row r="59" spans="1:4">
      <c r="A59" s="4">
        <v>1703</v>
      </c>
      <c r="B59" s="4">
        <v>9</v>
      </c>
      <c r="C59" s="4">
        <v>3</v>
      </c>
      <c r="D59" s="4" t="str">
        <f>VLOOKUP(A59,任务库!A:D,4,0)</f>
        <v>Tiến hành 30 Lần cao cấp triệu hoán</v>
      </c>
    </row>
    <row r="60" spans="1:4">
      <c r="A60" s="4">
        <v>1704</v>
      </c>
      <c r="B60" s="4">
        <v>9</v>
      </c>
      <c r="C60" s="4">
        <v>4</v>
      </c>
      <c r="D60" s="4" t="str">
        <f>VLOOKUP(A60,任务库!A:D,4,0)</f>
        <v>Tiến hành 40 Lần cao cấp triệu hoán</v>
      </c>
    </row>
    <row r="61" spans="1:4">
      <c r="A61" s="4">
        <v>1705</v>
      </c>
      <c r="B61" s="4">
        <v>9</v>
      </c>
      <c r="C61" s="4">
        <v>5</v>
      </c>
      <c r="D61" s="4" t="str">
        <f>VLOOKUP(A61,任务库!A:D,4,0)</f>
        <v>Tiến hành 50 Lần cao cấp triệu hoán</v>
      </c>
    </row>
    <row r="62" spans="1:4">
      <c r="A62" s="4">
        <v>1706</v>
      </c>
      <c r="B62" s="4">
        <v>9</v>
      </c>
      <c r="C62" s="4">
        <v>6</v>
      </c>
      <c r="D62" s="4" t="str">
        <f>VLOOKUP(A62,任务库!A:D,4,0)</f>
        <v>Tiến hành 60 Lần cao cấp triệu hoán</v>
      </c>
    </row>
    <row r="63" spans="1:4">
      <c r="A63" s="4">
        <v>1707</v>
      </c>
      <c r="B63" s="4">
        <v>9</v>
      </c>
      <c r="C63" s="4">
        <v>7</v>
      </c>
      <c r="D63" s="4" t="str">
        <f>VLOOKUP(A63,任务库!A:D,4,0)</f>
        <v>Tiến hành 70 Lần cao cấp triệu hoán</v>
      </c>
    </row>
    <row r="64" spans="1:4">
      <c r="A64" s="4">
        <v>1708</v>
      </c>
      <c r="B64" s="4">
        <v>9</v>
      </c>
      <c r="C64" s="4">
        <v>8</v>
      </c>
      <c r="D64" s="4" t="str">
        <f>VLOOKUP(A64,任务库!A:D,4,0)</f>
        <v>Tiến hành 80 Lần cao cấp triệu hoán</v>
      </c>
    </row>
    <row r="65" spans="1:4">
      <c r="A65" s="4">
        <v>1709</v>
      </c>
      <c r="B65" s="4">
        <v>9</v>
      </c>
      <c r="C65" s="4">
        <v>9</v>
      </c>
      <c r="D65" s="4" t="str">
        <f>VLOOKUP(A65,任务库!A:D,4,0)</f>
        <v>Tiến hành 90 Lần cao cấp triệu hoán</v>
      </c>
    </row>
    <row r="66" spans="1:4">
      <c r="A66" s="4">
        <v>1710</v>
      </c>
      <c r="B66" s="4">
        <v>9</v>
      </c>
      <c r="C66" s="4">
        <v>10</v>
      </c>
      <c r="D66" s="4" t="str">
        <f>VLOOKUP(A66,任务库!A:D,4,0)</f>
        <v>Tiến hành 100 Lần cao cấp triệu hoán</v>
      </c>
    </row>
    <row r="67" spans="1:4">
      <c r="A67" s="4">
        <v>1801</v>
      </c>
      <c r="B67" s="4">
        <v>10</v>
      </c>
      <c r="C67" s="4">
        <v>1</v>
      </c>
      <c r="D67" s="4" t="str">
        <f>VLOOKUP(A67,任务库!A:D,4,0)</f>
        <v>Tiến hành 10 Lần mời rượu</v>
      </c>
    </row>
    <row r="68" spans="1:4">
      <c r="A68" s="4">
        <v>1802</v>
      </c>
      <c r="B68" s="4">
        <v>10</v>
      </c>
      <c r="C68" s="4">
        <v>2</v>
      </c>
      <c r="D68" s="4" t="str">
        <f>VLOOKUP(A68,任务库!A:D,4,0)</f>
        <v>Tiến hành 20 Lần mời rượu</v>
      </c>
    </row>
    <row r="69" spans="1:4">
      <c r="A69" s="4">
        <v>1803</v>
      </c>
      <c r="B69" s="4">
        <v>10</v>
      </c>
      <c r="C69" s="4">
        <v>3</v>
      </c>
      <c r="D69" s="4" t="str">
        <f>VLOOKUP(A69,任务库!A:D,4,0)</f>
        <v>Tiến hành 30 Lần mời rượu</v>
      </c>
    </row>
    <row r="70" spans="1:4">
      <c r="A70" s="4">
        <v>1804</v>
      </c>
      <c r="B70" s="4">
        <v>10</v>
      </c>
      <c r="C70" s="4">
        <v>4</v>
      </c>
      <c r="D70" s="4" t="str">
        <f>VLOOKUP(A70,任务库!A:D,4,0)</f>
        <v>Tiến hành 40 Lần mời rượu</v>
      </c>
    </row>
    <row r="71" spans="1:4">
      <c r="A71" s="4">
        <v>1805</v>
      </c>
      <c r="B71" s="4">
        <v>10</v>
      </c>
      <c r="C71" s="4">
        <v>5</v>
      </c>
      <c r="D71" s="4" t="str">
        <f>VLOOKUP(A71,任务库!A:D,4,0)</f>
        <v>Tiến hành 50 Lần mời rượu</v>
      </c>
    </row>
    <row r="72" spans="1:4">
      <c r="A72" s="4">
        <v>1806</v>
      </c>
      <c r="B72" s="4">
        <v>10</v>
      </c>
      <c r="C72" s="4">
        <v>6</v>
      </c>
      <c r="D72" s="4" t="str">
        <f>VLOOKUP(A72,任务库!A:D,4,0)</f>
        <v>Tiến hành 60 Lần mời rượu</v>
      </c>
    </row>
    <row r="73" spans="1:4">
      <c r="A73" s="4">
        <v>1807</v>
      </c>
      <c r="B73" s="4">
        <v>10</v>
      </c>
      <c r="C73" s="4">
        <v>7</v>
      </c>
      <c r="D73" s="4" t="str">
        <f>VLOOKUP(A73,任务库!A:D,4,0)</f>
        <v>Tiến hành 70 Lần mời rượu</v>
      </c>
    </row>
    <row r="74" spans="1:4">
      <c r="A74" s="4">
        <v>1808</v>
      </c>
      <c r="B74" s="4">
        <v>10</v>
      </c>
      <c r="C74" s="4">
        <v>8</v>
      </c>
      <c r="D74" s="4" t="str">
        <f>VLOOKUP(A74,任务库!A:D,4,0)</f>
        <v>Tiến hành 80 Lần mời rượu</v>
      </c>
    </row>
    <row r="75" spans="1:4">
      <c r="A75" s="4">
        <v>1809</v>
      </c>
      <c r="B75" s="4">
        <v>10</v>
      </c>
      <c r="C75" s="4">
        <v>9</v>
      </c>
      <c r="D75" s="4" t="str">
        <f>VLOOKUP(A75,任务库!A:D,4,0)</f>
        <v>Tiến hành 90 Lần mời rượu</v>
      </c>
    </row>
    <row r="76" spans="1:4">
      <c r="A76" s="4">
        <v>1810</v>
      </c>
      <c r="B76" s="4">
        <v>10</v>
      </c>
      <c r="C76" s="4">
        <v>10</v>
      </c>
      <c r="D76" s="4" t="str">
        <f>VLOOKUP(A76,任务库!A:D,4,0)</f>
        <v>Tiến hành 100 Lần mời rượu</v>
      </c>
    </row>
    <row r="77" spans="1:4">
      <c r="A77" s="4">
        <v>1901</v>
      </c>
      <c r="B77" s="4">
        <v>11</v>
      </c>
      <c r="C77" s="4">
        <v>1</v>
      </c>
      <c r="D77" s="4" t="str">
        <f>VLOOKUP(A77,任务库!A:D,4,0)</f>
        <v>Tính gộp lại phân giải 10 Anh hùng</v>
      </c>
    </row>
    <row r="78" spans="1:4">
      <c r="A78" s="4">
        <v>1902</v>
      </c>
      <c r="B78" s="4">
        <v>11</v>
      </c>
      <c r="C78" s="4">
        <v>2</v>
      </c>
      <c r="D78" s="4" t="str">
        <f>VLOOKUP(A78,任务库!A:D,4,0)</f>
        <v>Tính gộp lại phân giải 20 Anh hùng</v>
      </c>
    </row>
    <row r="79" spans="1:4">
      <c r="A79" s="4">
        <v>1903</v>
      </c>
      <c r="B79" s="4">
        <v>11</v>
      </c>
      <c r="C79" s="4">
        <v>3</v>
      </c>
      <c r="D79" s="4" t="str">
        <f>VLOOKUP(A79,任务库!A:D,4,0)</f>
        <v>Tính gộp lại phân giải 30 Anh hùng</v>
      </c>
    </row>
    <row r="80" spans="1:4">
      <c r="A80" s="4">
        <v>1904</v>
      </c>
      <c r="B80" s="4">
        <v>11</v>
      </c>
      <c r="C80" s="4">
        <v>4</v>
      </c>
      <c r="D80" s="4" t="str">
        <f>VLOOKUP(A80,任务库!A:D,4,0)</f>
        <v>Tính gộp lại phân giải 40 Anh hùng</v>
      </c>
    </row>
    <row r="81" spans="1:4">
      <c r="A81" s="4">
        <v>1905</v>
      </c>
      <c r="B81" s="4">
        <v>11</v>
      </c>
      <c r="C81" s="4">
        <v>5</v>
      </c>
      <c r="D81" s="4" t="str">
        <f>VLOOKUP(A81,任务库!A:D,4,0)</f>
        <v>Tính gộp lại phân giải 50 Anh hùng</v>
      </c>
    </row>
    <row r="82" spans="1:4">
      <c r="A82" s="4">
        <v>1906</v>
      </c>
      <c r="B82" s="4">
        <v>11</v>
      </c>
      <c r="C82" s="4">
        <v>6</v>
      </c>
      <c r="D82" s="4" t="str">
        <f>VLOOKUP(A82,任务库!A:D,4,0)</f>
        <v>Tính gộp lại phân giải 60 Anh hùng</v>
      </c>
    </row>
    <row r="83" spans="1:4">
      <c r="A83" s="4">
        <v>1907</v>
      </c>
      <c r="B83" s="4">
        <v>11</v>
      </c>
      <c r="C83" s="4">
        <v>7</v>
      </c>
      <c r="D83" s="4" t="str">
        <f>VLOOKUP(A83,任务库!A:D,4,0)</f>
        <v>Tính gộp lại phân giải 70 Anh hùng</v>
      </c>
    </row>
    <row r="84" spans="1:4">
      <c r="A84" s="4">
        <v>1908</v>
      </c>
      <c r="B84" s="4">
        <v>11</v>
      </c>
      <c r="C84" s="4">
        <v>8</v>
      </c>
      <c r="D84" s="4" t="str">
        <f>VLOOKUP(A84,任务库!A:D,4,0)</f>
        <v>Tính gộp lại phân giải 80 Anh hùng</v>
      </c>
    </row>
    <row r="85" spans="1:4">
      <c r="A85" s="4">
        <v>1909</v>
      </c>
      <c r="B85" s="4">
        <v>11</v>
      </c>
      <c r="C85" s="4">
        <v>9</v>
      </c>
      <c r="D85" s="4" t="str">
        <f>VLOOKUP(A85,任务库!A:D,4,0)</f>
        <v>Tính gộp lại phân giải 90 Anh hùng</v>
      </c>
    </row>
    <row r="86" spans="1:4">
      <c r="A86" s="4">
        <v>1910</v>
      </c>
      <c r="B86" s="4">
        <v>11</v>
      </c>
      <c r="C86" s="4">
        <v>10</v>
      </c>
      <c r="D86" s="4" t="str">
        <f>VLOOKUP(A86,任务库!A:D,4,0)</f>
        <v>Tính gộp lại phân giải 100 Anh hùng</v>
      </c>
    </row>
    <row r="87" spans="1:4">
      <c r="A87" s="4">
        <v>2001</v>
      </c>
      <c r="B87" s="4">
        <v>12</v>
      </c>
      <c r="C87" s="4">
        <v>1</v>
      </c>
      <c r="D87" s="4" t="str">
        <f>VLOOKUP(A87,任务库!A:D,4,0)</f>
        <v>Tính gộp lại có được một hảo hữu</v>
      </c>
    </row>
    <row r="88" spans="1:4">
      <c r="A88" s="4">
        <v>2002</v>
      </c>
      <c r="B88" s="4">
        <v>12</v>
      </c>
      <c r="C88" s="4">
        <v>2</v>
      </c>
      <c r="D88" s="4" t="str">
        <f>VLOOKUP(A88,任务库!A:D,4,0)</f>
        <v>Tính gộp lại có được 20 Cái hảo hữu</v>
      </c>
    </row>
    <row r="89" spans="1:4">
      <c r="A89" s="4">
        <v>2003</v>
      </c>
      <c r="B89" s="4">
        <v>12</v>
      </c>
      <c r="C89" s="4">
        <v>3</v>
      </c>
      <c r="D89" s="4" t="str">
        <f>VLOOKUP(A89,任务库!A:D,4,0)</f>
        <v>Tính gộp lại có được 30 Cái hảo hữu</v>
      </c>
    </row>
    <row r="90" spans="1:4">
      <c r="A90" s="4">
        <v>2004</v>
      </c>
      <c r="B90" s="4">
        <v>12</v>
      </c>
      <c r="C90" s="4">
        <v>4</v>
      </c>
      <c r="D90" s="4" t="str">
        <f>VLOOKUP(A90,任务库!A:D,4,0)</f>
        <v>Tính gộp lại có được 40 Cái hảo hữu</v>
      </c>
    </row>
    <row r="91" spans="1:4">
      <c r="A91" s="4">
        <v>2005</v>
      </c>
      <c r="B91" s="4">
        <v>12</v>
      </c>
      <c r="C91" s="4">
        <v>5</v>
      </c>
      <c r="D91" s="4" t="str">
        <f>VLOOKUP(A91,任务库!A:D,4,0)</f>
        <v>Tính gộp lại có được 50 Cái hảo hữu</v>
      </c>
    </row>
    <row r="92" spans="1:4">
      <c r="A92" s="4">
        <v>2101</v>
      </c>
      <c r="B92" s="4">
        <v>13</v>
      </c>
      <c r="C92" s="4">
        <v>1</v>
      </c>
      <c r="D92" s="4" t="str">
        <f>VLOOKUP(A92,任务库!A:D,4,0)</f>
        <v>Tính gộp lại thu hoạch được 4 Kiện tử sắc phẩm chất trang bị</v>
      </c>
    </row>
    <row r="93" spans="1:4">
      <c r="A93" s="4">
        <v>2102</v>
      </c>
      <c r="B93" s="4">
        <v>13</v>
      </c>
      <c r="C93" s="4">
        <v>2</v>
      </c>
      <c r="D93" s="4" t="str">
        <f>VLOOKUP(A93,任务库!A:D,4,0)</f>
        <v>Tính gộp lại thu hoạch được 8 Kiện tử sắc phẩm chất trang bị</v>
      </c>
    </row>
    <row r="94" spans="1:4">
      <c r="A94" s="4">
        <v>2103</v>
      </c>
      <c r="B94" s="4">
        <v>13</v>
      </c>
      <c r="C94" s="4">
        <v>3</v>
      </c>
      <c r="D94" s="4" t="str">
        <f>VLOOKUP(A94,任务库!A:D,4,0)</f>
        <v>Tính gộp lại thu hoạch được 12 Kiện tử sắc phẩm chất trang bị</v>
      </c>
    </row>
    <row r="95" spans="1:4">
      <c r="A95" s="4">
        <v>2104</v>
      </c>
      <c r="B95" s="4">
        <v>13</v>
      </c>
      <c r="C95" s="4">
        <v>4</v>
      </c>
      <c r="D95" s="4" t="str">
        <f>VLOOKUP(A95,任务库!A:D,4,0)</f>
        <v>Tính gộp lại thu hoạch được 16 Kiện tử sắc phẩm chất trang bị</v>
      </c>
    </row>
    <row r="96" spans="1:4">
      <c r="A96" s="4">
        <v>2105</v>
      </c>
      <c r="B96" s="4">
        <v>13</v>
      </c>
      <c r="C96" s="4">
        <v>5</v>
      </c>
      <c r="D96" s="4" t="str">
        <f>VLOOKUP(A96,任务库!A:D,4,0)</f>
        <v>Tính gộp lại thu hoạch được 20 Kiện tử sắc phẩm chất trang bị</v>
      </c>
    </row>
    <row r="97" spans="1:4">
      <c r="A97" s="4">
        <v>2201</v>
      </c>
      <c r="B97" s="4">
        <v>14</v>
      </c>
      <c r="C97" s="4">
        <v>1</v>
      </c>
      <c r="D97" s="4" t="str">
        <f>VLOOKUP(A97,任务库!A:D,4,0)</f>
        <v>Tính gộp lại thu hoạch được 4 Kiện màu cam phẩm chất trang bị</v>
      </c>
    </row>
    <row r="98" spans="1:4">
      <c r="A98" s="4">
        <v>2202</v>
      </c>
      <c r="B98" s="4">
        <v>14</v>
      </c>
      <c r="C98" s="4">
        <v>2</v>
      </c>
      <c r="D98" s="4" t="str">
        <f>VLOOKUP(A98,任务库!A:D,4,0)</f>
        <v>Tính gộp lại thu hoạch được 8 Kiện màu cam phẩm chất trang bị</v>
      </c>
    </row>
    <row r="99" spans="1:4">
      <c r="A99" s="4">
        <v>2203</v>
      </c>
      <c r="B99" s="4">
        <v>14</v>
      </c>
      <c r="C99" s="4">
        <v>3</v>
      </c>
      <c r="D99" s="4" t="str">
        <f>VLOOKUP(A99,任务库!A:D,4,0)</f>
        <v>Tính gộp lại thu hoạch được 12 Kiện màu cam phẩm chất trang bị</v>
      </c>
    </row>
    <row r="100" spans="1:4">
      <c r="A100" s="4">
        <v>2204</v>
      </c>
      <c r="B100" s="4">
        <v>14</v>
      </c>
      <c r="C100" s="4">
        <v>4</v>
      </c>
      <c r="D100" s="4" t="str">
        <f>VLOOKUP(A100,任务库!A:D,4,0)</f>
        <v>Tính gộp lại thu hoạch được 16 Kiện màu cam phẩm chất trang bị</v>
      </c>
    </row>
    <row r="101" spans="1:4">
      <c r="A101" s="4">
        <v>2205</v>
      </c>
      <c r="B101" s="4">
        <v>14</v>
      </c>
      <c r="C101" s="4">
        <v>5</v>
      </c>
      <c r="D101" s="4" t="str">
        <f>VLOOKUP(A101,任务库!A:D,4,0)</f>
        <v>Tính gộp lại thu hoạch được 20 Kiện màu cam phẩm chất trang bị</v>
      </c>
    </row>
    <row r="102" spans="1:4">
      <c r="A102" s="4">
        <v>2301</v>
      </c>
      <c r="B102" s="4">
        <v>15</v>
      </c>
      <c r="C102" s="4">
        <v>1</v>
      </c>
      <c r="D102" s="4" t="str">
        <f>VLOOKUP(A102,任务库!A:D,4,0)</f>
        <v>Tính gộp lại thu hoạch được 4 trang bị đỏ</v>
      </c>
    </row>
    <row r="103" spans="1:4">
      <c r="A103" s="4">
        <v>2302</v>
      </c>
      <c r="B103" s="4">
        <v>15</v>
      </c>
      <c r="C103" s="4">
        <v>2</v>
      </c>
      <c r="D103" s="4" t="str">
        <f>VLOOKUP(A103,任务库!A:D,4,0)</f>
        <v>Tính gộp lại thu hoạch được 8 trang bị đỏ</v>
      </c>
    </row>
    <row r="104" spans="1:4">
      <c r="A104" s="4">
        <v>2303</v>
      </c>
      <c r="B104" s="4">
        <v>15</v>
      </c>
      <c r="C104" s="4">
        <v>3</v>
      </c>
      <c r="D104" s="4" t="str">
        <f>VLOOKUP(A104,任务库!A:D,4,0)</f>
        <v>Tính gộp lại thu hoạch được 12 trang bị đỏ</v>
      </c>
    </row>
    <row r="105" spans="1:4">
      <c r="A105" s="4">
        <v>2304</v>
      </c>
      <c r="B105" s="4">
        <v>15</v>
      </c>
      <c r="C105" s="4">
        <v>4</v>
      </c>
      <c r="D105" s="4" t="str">
        <f>VLOOKUP(A105,任务库!A:D,4,0)</f>
        <v>Tính gộp lại thu hoạch được 16 trang bị đỏ</v>
      </c>
    </row>
    <row r="106" spans="1:4">
      <c r="A106" s="4">
        <v>2305</v>
      </c>
      <c r="B106" s="4">
        <v>15</v>
      </c>
      <c r="C106" s="4">
        <v>5</v>
      </c>
      <c r="D106" s="4" t="str">
        <f>VLOOKUP(A106,任务库!A:D,4,0)</f>
        <v>Tính gộp lại thu hoạch được 20 trang bị đỏ</v>
      </c>
    </row>
    <row r="107" spans="1:4">
      <c r="A107" s="4">
        <v>2401</v>
      </c>
      <c r="B107" s="4">
        <v>16</v>
      </c>
      <c r="C107" s="4">
        <v>1</v>
      </c>
      <c r="D107" s="4" t="str">
        <f>VLOOKUP(A107,任务库!A:D,4,0)</f>
        <v>Tiến hành 1 Lần hợp thiên phú</v>
      </c>
    </row>
    <row r="108" spans="1:4">
      <c r="A108" s="4">
        <v>2402</v>
      </c>
      <c r="B108" s="4">
        <v>16</v>
      </c>
      <c r="C108" s="4">
        <v>2</v>
      </c>
      <c r="D108" s="4" t="str">
        <f>VLOOKUP(A108,任务库!A:D,4,0)</f>
        <v>Tiến hành 5 Lần hợp thiên phú</v>
      </c>
    </row>
    <row r="109" spans="1:4">
      <c r="A109" s="4">
        <v>2403</v>
      </c>
      <c r="B109" s="4">
        <v>16</v>
      </c>
      <c r="C109" s="4">
        <v>3</v>
      </c>
      <c r="D109" s="4" t="str">
        <f>VLOOKUP(A109,任务库!A:D,4,0)</f>
        <v>Tiến hành 10 Lần hợp thiên phú</v>
      </c>
    </row>
    <row r="110" spans="1:4">
      <c r="A110" s="4">
        <v>2404</v>
      </c>
      <c r="B110" s="4">
        <v>16</v>
      </c>
      <c r="C110" s="4">
        <v>4</v>
      </c>
      <c r="D110" s="4" t="str">
        <f>VLOOKUP(A110,任务库!A:D,4,0)</f>
        <v>Tiến hành 30 Lần hợp thiên phú</v>
      </c>
    </row>
    <row r="111" spans="1:4">
      <c r="A111" s="4">
        <v>2405</v>
      </c>
      <c r="B111" s="4">
        <v>16</v>
      </c>
      <c r="C111" s="4">
        <v>5</v>
      </c>
      <c r="D111" s="4" t="str">
        <f>VLOOKUP(A111,任务库!A:D,4,0)</f>
        <v>Tiến hành 50 Lần hợp thiên phú</v>
      </c>
    </row>
    <row r="112" spans="1:4">
      <c r="A112" s="4">
        <v>2406</v>
      </c>
      <c r="B112" s="4">
        <v>16</v>
      </c>
      <c r="C112" s="4">
        <v>6</v>
      </c>
      <c r="D112" s="4" t="str">
        <f>VLOOKUP(A112,任务库!A:D,4,0)</f>
        <v>Tiến hành 70 Lần hợp thiên phú</v>
      </c>
    </row>
    <row r="113" spans="1:4">
      <c r="A113" s="4">
        <v>2407</v>
      </c>
      <c r="B113" s="4">
        <v>16</v>
      </c>
      <c r="C113" s="4">
        <v>7</v>
      </c>
      <c r="D113" s="4" t="str">
        <f>VLOOKUP(A113,任务库!A:D,4,0)</f>
        <v>Tiến hành 100 Lần hợp thiên phú</v>
      </c>
    </row>
    <row r="114" spans="1:4">
      <c r="A114" s="4">
        <v>2501</v>
      </c>
      <c r="B114" s="4">
        <v>17</v>
      </c>
      <c r="C114" s="4">
        <v>1</v>
      </c>
      <c r="D114" s="4" t="str">
        <f>VLOOKUP(A114,任务库!A:D,4,0)</f>
        <v>Đấu trường lịch sử tối cao điểm tích lũy đạt tới 1100 Phân</v>
      </c>
    </row>
    <row r="115" spans="1:4">
      <c r="A115" s="4">
        <v>2502</v>
      </c>
      <c r="B115" s="4">
        <v>17</v>
      </c>
      <c r="C115" s="4">
        <v>2</v>
      </c>
      <c r="D115" s="4" t="str">
        <f>VLOOKUP(A115,任务库!A:D,4,0)</f>
        <v>Đấu trường lịch sử tối cao điểm tích lũy đạt tới 1300 Phân</v>
      </c>
    </row>
    <row r="116" spans="1:4">
      <c r="A116" s="4">
        <v>2503</v>
      </c>
      <c r="B116" s="4">
        <v>17</v>
      </c>
      <c r="C116" s="4">
        <v>3</v>
      </c>
      <c r="D116" s="4" t="str">
        <f>VLOOKUP(A116,任务库!A:D,4,0)</f>
        <v>Đấu trường lịch sử tối cao điểm tích lũy đạt tới 1500 Phân</v>
      </c>
    </row>
    <row r="117" spans="1:4">
      <c r="A117" s="4">
        <v>2504</v>
      </c>
      <c r="B117" s="4">
        <v>17</v>
      </c>
      <c r="C117" s="4">
        <v>4</v>
      </c>
      <c r="D117" s="4" t="str">
        <f>VLOOKUP(A117,任务库!A:D,4,0)</f>
        <v>Đấu trường lịch sử tối cao điểm tích lũy đạt tới 1800 Phân</v>
      </c>
    </row>
    <row r="118" spans="1:4">
      <c r="A118" s="4">
        <v>2505</v>
      </c>
      <c r="B118" s="4">
        <v>17</v>
      </c>
      <c r="C118" s="4">
        <v>5</v>
      </c>
      <c r="D118" s="4" t="str">
        <f>VLOOKUP(A118,任务库!A:D,4,0)</f>
        <v>Đấu trường lịch sử tối cao điểm tích lũy đạt tới 2000 Phân</v>
      </c>
    </row>
    <row r="119" spans="1:4">
      <c r="A119" s="4">
        <v>2506</v>
      </c>
      <c r="B119" s="4">
        <v>17</v>
      </c>
      <c r="C119" s="4">
        <v>6</v>
      </c>
      <c r="D119" s="4" t="str">
        <f>VLOOKUP(A119,任务库!A:D,4,0)</f>
        <v>Đấu trường lịch sử tối cao điểm tích lũy đạt tới 2200 Phân</v>
      </c>
    </row>
    <row r="120" spans="1:4">
      <c r="A120" s="4">
        <v>2507</v>
      </c>
      <c r="B120" s="4">
        <v>17</v>
      </c>
      <c r="C120" s="4">
        <v>7</v>
      </c>
      <c r="D120" s="4" t="str">
        <f>VLOOKUP(A120,任务库!A:D,4,0)</f>
        <v>Đấu trường lịch sử tối cao điểm tích lũy đạt tới 2400 Phân</v>
      </c>
    </row>
    <row r="121" spans="1:4">
      <c r="A121" s="4">
        <v>2508</v>
      </c>
      <c r="B121" s="4">
        <v>17</v>
      </c>
      <c r="C121" s="4">
        <v>8</v>
      </c>
      <c r="D121" s="4" t="str">
        <f>VLOOKUP(A121,任务库!A:D,4,0)</f>
        <v>Đấu trường lịch sử tối cao điểm tích lũy đạt tới 2600 Phân</v>
      </c>
    </row>
    <row r="122" spans="1:4">
      <c r="A122" s="4">
        <v>2509</v>
      </c>
      <c r="B122" s="4">
        <v>17</v>
      </c>
      <c r="C122" s="4">
        <v>9</v>
      </c>
      <c r="D122" s="4" t="str">
        <f>VLOOKUP(A122,任务库!A:D,4,0)</f>
        <v>Đấu trường lịch sử tối cao điểm tích lũy đạt tới 2800 Phân</v>
      </c>
    </row>
    <row r="123" spans="1:4">
      <c r="A123" s="4">
        <v>2510</v>
      </c>
      <c r="B123" s="4">
        <v>17</v>
      </c>
      <c r="C123" s="4">
        <v>10</v>
      </c>
      <c r="D123" s="4" t="str">
        <f>VLOOKUP(A123,任务库!A:D,4,0)</f>
        <v>Đấu trường lịch sử tối cao điểm tích lũy đạt tới 3000 Phân</v>
      </c>
    </row>
    <row r="124" spans="1:4">
      <c r="A124" s="4">
        <v>2601</v>
      </c>
      <c r="B124" s="4">
        <v>18</v>
      </c>
      <c r="C124" s="4">
        <v>1</v>
      </c>
      <c r="D124" s="4" t="str">
        <f>VLOOKUP(A124,任务库!A:D,4,0)</f>
        <v>Đấu trường mỗi ngày kết toán lúc bảng xếp hạng tiến vào trước 50 Tên</v>
      </c>
    </row>
    <row r="125" spans="1:4">
      <c r="A125" s="4">
        <v>2602</v>
      </c>
      <c r="B125" s="4">
        <v>18</v>
      </c>
      <c r="C125" s="4">
        <v>2</v>
      </c>
      <c r="D125" s="4" t="str">
        <f>VLOOKUP(A125,任务库!A:D,4,0)</f>
        <v>Đấu trường mỗi ngày kết toán lúc bảng xếp hạng tiến vào trước 30 Tên</v>
      </c>
    </row>
    <row r="126" spans="1:4">
      <c r="A126" s="4">
        <v>2603</v>
      </c>
      <c r="B126" s="4">
        <v>18</v>
      </c>
      <c r="C126" s="4">
        <v>3</v>
      </c>
      <c r="D126" s="4" t="str">
        <f>VLOOKUP(A126,任务库!A:D,4,0)</f>
        <v>Đấu trường mỗi ngày kết toán lúc bảng xếp hạng tiến vào trước 10 Tên</v>
      </c>
    </row>
    <row r="127" spans="1:4">
      <c r="A127" s="4">
        <v>2604</v>
      </c>
      <c r="B127" s="4">
        <v>18</v>
      </c>
      <c r="C127" s="4">
        <v>4</v>
      </c>
      <c r="D127" s="4" t="str">
        <f>VLOOKUP(A127,任务库!A:D,4,0)</f>
        <v>Đấu trường mỗi ngày kết toán lúc bảng xếp hạng tiến vào trước 3 Tên</v>
      </c>
    </row>
    <row r="128" spans="1:4">
      <c r="A128" s="4">
        <v>2605</v>
      </c>
      <c r="B128" s="4">
        <v>18</v>
      </c>
      <c r="C128" s="4">
        <v>5</v>
      </c>
      <c r="D128" s="4" t="str">
        <f>VLOOKUP(A128,任务库!A:D,4,0)</f>
        <v>Đấu trường mỗi ngày kết toán lúc bảng xếp hạng tiến vào trước 2 Tên</v>
      </c>
    </row>
    <row r="129" spans="1:4">
      <c r="A129" s="4">
        <v>2606</v>
      </c>
      <c r="B129" s="4">
        <v>18</v>
      </c>
      <c r="C129" s="4">
        <v>6</v>
      </c>
      <c r="D129" s="4" t="str">
        <f>VLOOKUP(A129,任务库!A:D,4,0)</f>
        <v>Đấu trường mỗi ngày kết toán lúc xếp hạng thứ 1 Tên</v>
      </c>
    </row>
    <row r="130" spans="1:4">
      <c r="A130" s="4">
        <v>2701</v>
      </c>
      <c r="B130" s="4">
        <v>19</v>
      </c>
      <c r="C130" s="4">
        <v>1</v>
      </c>
      <c r="D130" s="4" t="str">
        <f>VLOOKUP(A130,任务库!A:D,4,0)</f>
        <v>Tính gộp lại khiêu chiến 10 Ngày kế tiếp thường phó bản</v>
      </c>
    </row>
    <row r="131" spans="1:4">
      <c r="A131" s="4">
        <v>2702</v>
      </c>
      <c r="B131" s="4">
        <v>19</v>
      </c>
      <c r="C131" s="4">
        <v>2</v>
      </c>
      <c r="D131" s="4" t="str">
        <f>VLOOKUP(A131,任务库!A:D,4,0)</f>
        <v>Tính gộp lại khiêu chiến 30 Ngày kế tiếp thường phó bản</v>
      </c>
    </row>
    <row r="132" spans="1:4">
      <c r="A132" s="4">
        <v>2703</v>
      </c>
      <c r="B132" s="4">
        <v>19</v>
      </c>
      <c r="C132" s="4">
        <v>3</v>
      </c>
      <c r="D132" s="4" t="str">
        <f>VLOOKUP(A132,任务库!A:D,4,0)</f>
        <v>Tính gộp lại khiêu chiến 50 Ngày kế tiếp thường phó bản</v>
      </c>
    </row>
    <row r="133" spans="1:4">
      <c r="A133" s="4">
        <v>2704</v>
      </c>
      <c r="B133" s="4">
        <v>19</v>
      </c>
      <c r="C133" s="4">
        <v>4</v>
      </c>
      <c r="D133" s="4" t="str">
        <f>VLOOKUP(A133,任务库!A:D,4,0)</f>
        <v>Tính gộp lại khiêu chiến 80 Ngày kế tiếp thường phó bản</v>
      </c>
    </row>
    <row r="134" spans="1:4">
      <c r="A134" s="4">
        <v>2705</v>
      </c>
      <c r="B134" s="4">
        <v>19</v>
      </c>
      <c r="C134" s="4">
        <v>5</v>
      </c>
      <c r="D134" s="4" t="str">
        <f>VLOOKUP(A134,任务库!A:D,4,0)</f>
        <v>Tính gộp lại khiêu chiến 100 Ngày kế tiếp thường phó bản</v>
      </c>
    </row>
    <row r="135" spans="1:4">
      <c r="A135" s="4">
        <v>2706</v>
      </c>
      <c r="B135" s="4">
        <v>19</v>
      </c>
      <c r="C135" s="4">
        <v>6</v>
      </c>
      <c r="D135" s="4" t="str">
        <f>VLOOKUP(A135,任务库!A:D,4,0)</f>
        <v>Tính gộp lại khiêu chiến 200 Ngày kế tiếp thường phó bản</v>
      </c>
    </row>
    <row r="136" spans="1:4">
      <c r="A136" s="4">
        <v>2801</v>
      </c>
      <c r="B136" s="4">
        <v>20</v>
      </c>
      <c r="C136" s="4">
        <v>1</v>
      </c>
      <c r="D136" s="4" t="str">
        <f>VLOOKUP(A136,任务库!A:D,4,0)</f>
        <v>Tính gộp lại xác nhận 10 Lần tử sắc phẩm chất nhiệm vụ</v>
      </c>
    </row>
    <row r="137" spans="1:4">
      <c r="A137" s="4">
        <v>2802</v>
      </c>
      <c r="B137" s="4">
        <v>20</v>
      </c>
      <c r="C137" s="4">
        <v>2</v>
      </c>
      <c r="D137" s="4" t="str">
        <f>VLOOKUP(A137,任务库!A:D,4,0)</f>
        <v>Tính gộp lại xác nhận 30 Lần tử sắc phẩm chất nhiệm vụ</v>
      </c>
    </row>
    <row r="138" spans="1:4">
      <c r="A138" s="4">
        <v>2803</v>
      </c>
      <c r="B138" s="4">
        <v>20</v>
      </c>
      <c r="C138" s="4">
        <v>3</v>
      </c>
      <c r="D138" s="4" t="str">
        <f>VLOOKUP(A138,任务库!A:D,4,0)</f>
        <v>Tính gộp lại xác nhận 50 Lần tử sắc phẩm chất nhiệm vụ</v>
      </c>
    </row>
    <row r="139" spans="1:4">
      <c r="A139" s="4">
        <v>2804</v>
      </c>
      <c r="B139" s="4">
        <v>20</v>
      </c>
      <c r="C139" s="4">
        <v>4</v>
      </c>
      <c r="D139" s="4" t="str">
        <f>VLOOKUP(A139,任务库!A:D,4,0)</f>
        <v>Tính gộp lại xác nhận 70 Lần tử sắc phẩm chất nhiệm vụ</v>
      </c>
    </row>
    <row r="140" spans="1:4">
      <c r="A140" s="4">
        <v>2805</v>
      </c>
      <c r="B140" s="4">
        <v>20</v>
      </c>
      <c r="C140" s="4">
        <v>5</v>
      </c>
      <c r="D140" s="4" t="str">
        <f>VLOOKUP(A140,任务库!A:D,4,0)</f>
        <v>Tính gộp lại xác nhận 100 Lần tử sắc phẩm chất nhiệm vụ</v>
      </c>
    </row>
    <row r="141" spans="1:4">
      <c r="A141" s="4">
        <v>2901</v>
      </c>
      <c r="B141" s="4">
        <v>21</v>
      </c>
      <c r="C141" s="4">
        <v>1</v>
      </c>
      <c r="D141" s="4" t="str">
        <f>VLOOKUP(A141,任务库!A:D,4,0)</f>
        <v>Tính gộp lại xác nhận 5 Lần màu cam phẩm chất nhiệm vụ</v>
      </c>
    </row>
    <row r="142" spans="1:4">
      <c r="A142" s="4">
        <v>2902</v>
      </c>
      <c r="B142" s="4">
        <v>21</v>
      </c>
      <c r="C142" s="4">
        <v>2</v>
      </c>
      <c r="D142" s="4" t="str">
        <f>VLOOKUP(A142,任务库!A:D,4,0)</f>
        <v>Tính gộp lại xác nhận 15 Lần màu cam phẩm chất nhiệm vụ</v>
      </c>
    </row>
    <row r="143" spans="1:4">
      <c r="A143" s="4">
        <v>2903</v>
      </c>
      <c r="B143" s="4">
        <v>21</v>
      </c>
      <c r="C143" s="4">
        <v>3</v>
      </c>
      <c r="D143" s="4" t="str">
        <f>VLOOKUP(A143,任务库!A:D,4,0)</f>
        <v>Tính gộp lại xác nhận 30 Lần màu cam phẩm chất nhiệm vụ</v>
      </c>
    </row>
    <row r="144" spans="1:4">
      <c r="A144" s="4">
        <v>2904</v>
      </c>
      <c r="B144" s="4">
        <v>21</v>
      </c>
      <c r="C144" s="4">
        <v>4</v>
      </c>
      <c r="D144" s="4" t="str">
        <f>VLOOKUP(A144,任务库!A:D,4,0)</f>
        <v>Tính gộp lại xác nhận 50 Lần màu cam phẩm chất nhiệm vụ</v>
      </c>
    </row>
    <row r="145" spans="1:4">
      <c r="A145" s="4">
        <v>2905</v>
      </c>
      <c r="B145" s="4">
        <v>21</v>
      </c>
      <c r="C145" s="4">
        <v>5</v>
      </c>
      <c r="D145" s="4" t="str">
        <f>VLOOKUP(A145,任务库!A:D,4,0)</f>
        <v>Tính gộp lại xác nhận 75 Lần màu cam phẩm chất nhiệm vụ</v>
      </c>
    </row>
    <row r="146" spans="1:4">
      <c r="A146" s="4">
        <v>2906</v>
      </c>
      <c r="B146" s="4">
        <v>21</v>
      </c>
      <c r="C146" s="4">
        <v>6</v>
      </c>
      <c r="D146" s="4" t="str">
        <f>VLOOKUP(A146,任务库!A:D,4,0)</f>
        <v>Tính gộp lại xác nhận 100 Lần màu cam phẩm chất nhiệm vụ</v>
      </c>
    </row>
    <row r="147" spans="1:4">
      <c r="A147" s="4">
        <v>3001</v>
      </c>
      <c r="B147" s="4">
        <v>22</v>
      </c>
      <c r="C147" s="4">
        <v>1</v>
      </c>
      <c r="D147" s="4" t="str">
        <f>VLOOKUP(A147,任务库!A:D,4,0)</f>
        <v>Tính gộp lại xác nhận 5 Lần màu đỏ phẩm chất nhiệm vụ</v>
      </c>
    </row>
    <row r="148" spans="1:4">
      <c r="A148" s="4">
        <v>3002</v>
      </c>
      <c r="B148" s="4">
        <v>22</v>
      </c>
      <c r="C148" s="4">
        <v>2</v>
      </c>
      <c r="D148" s="4" t="str">
        <f>VLOOKUP(A148,任务库!A:D,4,0)</f>
        <v>Tính gộp lại xác nhận 15 Lần màu đỏ phẩm chất nhiệm vụ</v>
      </c>
    </row>
    <row r="149" spans="1:4">
      <c r="A149" s="4">
        <v>3003</v>
      </c>
      <c r="B149" s="4">
        <v>22</v>
      </c>
      <c r="C149" s="4">
        <v>3</v>
      </c>
      <c r="D149" s="4" t="str">
        <f>VLOOKUP(A149,任务库!A:D,4,0)</f>
        <v>Tính gộp lại xác nhận 30 Lần màu đỏ phẩm chất nhiệm vụ</v>
      </c>
    </row>
    <row r="150" spans="1:4">
      <c r="A150" s="4">
        <v>3004</v>
      </c>
      <c r="B150" s="4">
        <v>22</v>
      </c>
      <c r="C150" s="4">
        <v>4</v>
      </c>
      <c r="D150" s="4" t="str">
        <f>VLOOKUP(A150,任务库!A:D,4,0)</f>
        <v>Tính gộp lại xác nhận 50 Lần màu đỏ phẩm chất nhiệm vụ</v>
      </c>
    </row>
    <row r="151" spans="1:4">
      <c r="A151" s="4">
        <v>3005</v>
      </c>
      <c r="B151" s="4">
        <v>22</v>
      </c>
      <c r="C151" s="4">
        <v>5</v>
      </c>
      <c r="D151" s="4" t="str">
        <f>VLOOKUP(A151,任务库!A:D,4,0)</f>
        <v>Tính gộp lại xác nhận 75 Lần màu đỏ phẩm chất nhiệm vụ</v>
      </c>
    </row>
    <row r="152" spans="1:4">
      <c r="A152" s="4">
        <v>3006</v>
      </c>
      <c r="B152" s="4">
        <v>22</v>
      </c>
      <c r="C152" s="4">
        <v>6</v>
      </c>
      <c r="D152" s="4" t="str">
        <f>VLOOKUP(A152,任务库!A:D,4,0)</f>
        <v>Tính gộp lại xác nhận 100 Lần màu đỏ phẩm chất nhiệm vụ</v>
      </c>
    </row>
    <row r="153" spans="1:4">
      <c r="A153" s="4">
        <v>3101</v>
      </c>
      <c r="B153" s="4">
        <v>23</v>
      </c>
      <c r="C153" s="4">
        <v>1</v>
      </c>
      <c r="D153" s="4" t="str">
        <f>VLOOKUP(A153,任务库!A:D,4,0)</f>
        <v>Võ lâm luận kiếm ( Tùy ý độ khó ) Lịch sử tối cao thông quan đạt tới 5 Quan</v>
      </c>
    </row>
    <row r="154" spans="1:4">
      <c r="A154" s="4">
        <v>3102</v>
      </c>
      <c r="B154" s="4">
        <v>23</v>
      </c>
      <c r="C154" s="4">
        <v>2</v>
      </c>
      <c r="D154" s="4" t="str">
        <f>VLOOKUP(A154,任务库!A:D,4,0)</f>
        <v>Võ lâm luận kiếm ( Tùy ý độ khó ) Lịch sử tối cao thông quan đạt tới 8 Quan</v>
      </c>
    </row>
    <row r="155" spans="1:4">
      <c r="A155" s="4">
        <v>3103</v>
      </c>
      <c r="B155" s="4">
        <v>23</v>
      </c>
      <c r="C155" s="4">
        <v>3</v>
      </c>
      <c r="D155" s="4" t="str">
        <f>VLOOKUP(A155,任务库!A:D,4,0)</f>
        <v>Võ lâm luận kiếm ( Tùy ý độ khó ) Lịch sử tối cao thông quan đạt tới 10 Quan</v>
      </c>
    </row>
    <row r="156" spans="1:4">
      <c r="A156" s="4">
        <v>3104</v>
      </c>
      <c r="B156" s="4">
        <v>23</v>
      </c>
      <c r="C156" s="4">
        <v>4</v>
      </c>
      <c r="D156" s="4" t="str">
        <f>VLOOKUP(A156,任务库!A:D,4,0)</f>
        <v>Võ lâm luận kiếm ( Tùy ý độ khó ) Lịch sử tối cao thông quan đạt tới 12 Quan</v>
      </c>
    </row>
    <row r="157" spans="1:4">
      <c r="A157" s="4">
        <v>3105</v>
      </c>
      <c r="B157" s="4">
        <v>23</v>
      </c>
      <c r="C157" s="4">
        <v>5</v>
      </c>
      <c r="D157" s="4" t="str">
        <f>VLOOKUP(A157,任务库!A:D,4,0)</f>
        <v>Võ lâm luận kiếm ( Tùy ý độ khó ) Lịch sử tối cao thông quan đạt tới 15 Quan</v>
      </c>
    </row>
    <row r="158" spans="1:4">
      <c r="A158" s="4">
        <v>3201</v>
      </c>
      <c r="B158" s="4">
        <v>24</v>
      </c>
      <c r="C158" s="4">
        <v>1</v>
      </c>
      <c r="D158" s="4" t="str">
        <f>VLOOKUP(A158,任务库!A:D,4,0)</f>
        <v>Sáng tạo hoặc gia nhập guild</v>
      </c>
    </row>
    <row r="159" spans="1:4">
      <c r="A159" s="4">
        <v>3301</v>
      </c>
      <c r="B159" s="4">
        <v>25</v>
      </c>
      <c r="C159" s="4">
        <v>1</v>
      </c>
      <c r="D159" s="4" t="str">
        <f>VLOOKUP(A159,任务库!A:D,4,0)</f>
        <v>Tính gộp lại khiêu chiến 2 Lần guild phó bản</v>
      </c>
    </row>
    <row r="160" spans="1:4">
      <c r="A160" s="4">
        <v>3302</v>
      </c>
      <c r="B160" s="4">
        <v>25</v>
      </c>
      <c r="C160" s="4">
        <v>2</v>
      </c>
      <c r="D160" s="4" t="str">
        <f>VLOOKUP(A160,任务库!A:D,4,0)</f>
        <v>Tính gộp lại khiêu chiến 10 Lần guild phó bản</v>
      </c>
    </row>
    <row r="161" spans="1:4">
      <c r="A161" s="4">
        <v>3303</v>
      </c>
      <c r="B161" s="4">
        <v>25</v>
      </c>
      <c r="C161" s="4">
        <v>3</v>
      </c>
      <c r="D161" s="4" t="str">
        <f>VLOOKUP(A161,任务库!A:D,4,0)</f>
        <v>Tính gộp lại khiêu chiến 30 Lần guild phó bản</v>
      </c>
    </row>
    <row r="162" spans="1:4">
      <c r="A162" s="4">
        <v>3304</v>
      </c>
      <c r="B162" s="4">
        <v>25</v>
      </c>
      <c r="C162" s="4">
        <v>4</v>
      </c>
      <c r="D162" s="4" t="str">
        <f>VLOOKUP(A162,任务库!A:D,4,0)</f>
        <v>Tính gộp lại khiêu chiến 50 Lần guild phó bản</v>
      </c>
    </row>
    <row r="163" spans="1:4">
      <c r="A163" s="4">
        <v>3305</v>
      </c>
      <c r="B163" s="4">
        <v>25</v>
      </c>
      <c r="C163" s="4">
        <v>5</v>
      </c>
      <c r="D163" s="4" t="str">
        <f>VLOOKUP(A163,任务库!A:D,4,0)</f>
        <v>Tính gộp lại khiêu chiến 80 Lần guild phó bản</v>
      </c>
    </row>
    <row r="164" spans="1:4">
      <c r="A164" s="4">
        <v>3306</v>
      </c>
      <c r="B164" s="4">
        <v>25</v>
      </c>
      <c r="C164" s="4">
        <v>6</v>
      </c>
      <c r="D164" s="4" t="str">
        <f>VLOOKUP(A164,任务库!A:D,4,0)</f>
        <v>Tính gộp lại khiêu chiến 100 Lần guild phó bản</v>
      </c>
    </row>
    <row r="165" spans="1:4">
      <c r="A165" s="4">
        <v>3401</v>
      </c>
      <c r="B165" s="4">
        <v>26</v>
      </c>
      <c r="C165" s="4">
        <v>1</v>
      </c>
      <c r="D165" s="4" t="str">
        <f>VLOOKUP(A165,任务库!A:D,4,0)</f>
        <v>Tính gộp lại đánh giết 1 Lần guild phó bản Boss</v>
      </c>
    </row>
    <row r="166" spans="1:4">
      <c r="A166" s="4">
        <v>3402</v>
      </c>
      <c r="B166" s="4">
        <v>26</v>
      </c>
      <c r="C166" s="4">
        <v>2</v>
      </c>
      <c r="D166" s="4" t="str">
        <f>VLOOKUP(A166,任务库!A:D,4,0)</f>
        <v>Tính gộp lại đánh giết 3 Lần guild phó bản Boss</v>
      </c>
    </row>
    <row r="167" spans="1:4">
      <c r="A167" s="4">
        <v>3403</v>
      </c>
      <c r="B167" s="4">
        <v>26</v>
      </c>
      <c r="C167" s="4">
        <v>3</v>
      </c>
      <c r="D167" s="4" t="str">
        <f>VLOOKUP(A167,任务库!A:D,4,0)</f>
        <v>Tính gộp lại đánh giết 5 Lần guild phó bản Boss</v>
      </c>
    </row>
    <row r="168" spans="1:4">
      <c r="A168" s="4">
        <v>3404</v>
      </c>
      <c r="B168" s="4">
        <v>26</v>
      </c>
      <c r="C168" s="4">
        <v>4</v>
      </c>
      <c r="D168" s="4" t="str">
        <f>VLOOKUP(A168,任务库!A:D,4,0)</f>
        <v>Tính gộp lại đánh giết 10 Lần guild phó bản Boss</v>
      </c>
    </row>
    <row r="169" spans="1:4">
      <c r="A169" s="4">
        <v>3405</v>
      </c>
      <c r="B169" s="4">
        <v>26</v>
      </c>
      <c r="C169" s="4">
        <v>5</v>
      </c>
      <c r="D169" s="4" t="str">
        <f>VLOOKUP(A169,任务库!A:D,4,0)</f>
        <v>Tính gộp lại đánh giết 20 Lần guild phó bản Boss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D53"/>
  <sheetViews>
    <sheetView workbookViewId="0">
      <selection activeCell="D46" sqref="D46"/>
    </sheetView>
  </sheetViews>
  <sheetFormatPr defaultColWidth="9" defaultRowHeight="15" outlineLevelCol="3"/>
  <cols>
    <col min="1" max="2" width="9" style="4"/>
    <col min="3" max="3" width="16.8571428571429" style="4" customWidth="1"/>
    <col min="4" max="4" width="51.7142857142857" style="4" customWidth="1"/>
    <col min="5" max="16384" width="9" style="4"/>
  </cols>
  <sheetData>
    <row r="1" spans="1:4">
      <c r="A1" s="9" t="s">
        <v>2097</v>
      </c>
      <c r="B1" s="4" t="s">
        <v>2131</v>
      </c>
      <c r="C1" s="4" t="s">
        <v>2129</v>
      </c>
      <c r="D1" s="4" t="s">
        <v>2130</v>
      </c>
    </row>
    <row r="2" spans="1:4">
      <c r="A2" s="4">
        <v>10001</v>
      </c>
      <c r="B2" s="4">
        <v>1</v>
      </c>
      <c r="C2" s="4">
        <v>1</v>
      </c>
      <c r="D2" s="4" t="str">
        <f>VLOOKUP(A2,任务库!A:D,4,0)</f>
        <v>Tại PVP Chiến đấu bên trong, 8 Hiệp nội chiến thắng chiến lực cao hơn đối thủ của mình 5 Lần</v>
      </c>
    </row>
    <row r="3" spans="1:4">
      <c r="A3" s="4">
        <v>10002</v>
      </c>
      <c r="B3" s="4">
        <v>1</v>
      </c>
      <c r="C3" s="4">
        <v>2</v>
      </c>
      <c r="D3" s="4" t="str">
        <f>VLOOKUP(A3,任务库!A:D,4,0)</f>
        <v>Tại PVP Chiến đấu bên trong, 7 Hiệp nội chiến thắng chiến lực cao hơn đối thủ của mình 4 Lần</v>
      </c>
    </row>
    <row r="4" spans="1:4">
      <c r="A4" s="4">
        <v>10003</v>
      </c>
      <c r="B4" s="4">
        <v>1</v>
      </c>
      <c r="C4" s="4">
        <v>3</v>
      </c>
      <c r="D4" s="4" t="str">
        <f>VLOOKUP(A4,任务库!A:D,4,0)</f>
        <v>Tại PVP Chiến đấu bên trong, 6 Hiệp nội chiến thắng chiến lực cao hơn đối thủ của mình 3 Lần</v>
      </c>
    </row>
    <row r="5" spans="1:4">
      <c r="A5" s="4">
        <v>11001</v>
      </c>
      <c r="B5" s="4">
        <v>1</v>
      </c>
      <c r="C5" s="4">
        <v>4</v>
      </c>
      <c r="D5" s="4" t="str">
        <f>VLOOKUP(A5,任务库!A:D,4,0)</f>
        <v>Tại PVP Chiến đấu bên trong, chiến thắng chiến lực cao hơn tự thân 10 Vạn đối thủ 20 Lần</v>
      </c>
    </row>
    <row r="6" spans="1:4">
      <c r="A6" s="4">
        <v>11002</v>
      </c>
      <c r="B6" s="4">
        <v>1</v>
      </c>
      <c r="C6" s="4">
        <v>5</v>
      </c>
      <c r="D6" s="4" t="str">
        <f>VLOOKUP(A6,任务库!A:D,4,0)</f>
        <v>Tại PVP Chiến đấu bên trong, chiến thắng chiến lực cao hơn tự thân 20 Vạn đối thủ 15 Lần</v>
      </c>
    </row>
    <row r="7" spans="1:4">
      <c r="A7" s="4">
        <v>11003</v>
      </c>
      <c r="B7" s="4">
        <v>1</v>
      </c>
      <c r="C7" s="4">
        <v>6</v>
      </c>
      <c r="D7" s="4" t="str">
        <f>VLOOKUP(A7,任务库!A:D,4,0)</f>
        <v>Tại PVP Chiến đấu bên trong, chiến thắng chiến lực cao hơn tự thân 30 Vạn đối thủ 10 Lần</v>
      </c>
    </row>
    <row r="8" spans="1:4">
      <c r="A8" s="4">
        <v>12001</v>
      </c>
      <c r="B8" s="4">
        <v>1</v>
      </c>
      <c r="C8" s="4">
        <v>7</v>
      </c>
      <c r="D8" s="4" t="str">
        <f>VLOOKUP(A8,任务库!A:D,4,0)</f>
        <v>Tại PVP Chiến đấu bên trong, đầy máu đủ quân số chiến thắng chiến lực cao hơn tự thân đối thủ 10 Lần</v>
      </c>
    </row>
    <row r="9" spans="1:4">
      <c r="A9" s="4">
        <v>13001</v>
      </c>
      <c r="B9" s="4">
        <v>1</v>
      </c>
      <c r="C9" s="4">
        <v>8</v>
      </c>
      <c r="D9" s="4" t="str">
        <f>VLOOKUP(A9,任务库!A:D,4,0)</f>
        <v>Tại PVP Chiến đấu bên trong, sử dụng thần binh tính gộp lại đánh giết địch quân anh hùng 100 Lần</v>
      </c>
    </row>
    <row r="10" spans="1:4">
      <c r="A10" s="4">
        <v>14001</v>
      </c>
      <c r="B10" s="4">
        <v>1</v>
      </c>
      <c r="C10" s="4">
        <v>9</v>
      </c>
      <c r="D10" s="4" t="str">
        <f>VLOOKUP(A10,任务库!A:D,4,0)</f>
        <v>Tại PVP Chiến đấu bên trong, sử dụng Hạo Thiên Chùy tính gộp lại mê muội 200 Cái địch quân anh hùng</v>
      </c>
    </row>
    <row r="11" spans="1:4">
      <c r="A11" s="4">
        <v>15001</v>
      </c>
      <c r="B11" s="4">
        <v>1</v>
      </c>
      <c r="C11" s="4">
        <v>10</v>
      </c>
      <c r="D11" s="4" t="str">
        <f>VLOOKUP(A11,任务库!A:D,4,0)</f>
        <v>Tại đơn trận PVP Chiến đấu bên trong sử dụng kỹ năng chủ động phục sinh phe mình anh hùng 3 Lần</v>
      </c>
    </row>
    <row r="12" spans="1:4">
      <c r="A12" s="4">
        <v>16001</v>
      </c>
      <c r="B12" s="4">
        <v>1</v>
      </c>
      <c r="C12" s="4">
        <v>11</v>
      </c>
      <c r="D12" s="4" t="str">
        <f>VLOOKUP(A12,任务库!A:D,4,0)</f>
        <v>Tại đơn trận PVP Chiến đấu bên trong tổng trị liệu lượng đạt tới 500 Vạn</v>
      </c>
    </row>
    <row r="13" spans="1:4">
      <c r="A13" s="4">
        <v>17001</v>
      </c>
      <c r="B13" s="4">
        <v>2</v>
      </c>
      <c r="C13" s="4">
        <v>12</v>
      </c>
      <c r="D13" s="4" t="str">
        <f>VLOOKUP(A13,任务库!A:D,4,0)</f>
        <v>thông thiên tháp đạt cao nhất 200</v>
      </c>
    </row>
    <row r="14" spans="1:4">
      <c r="A14" s="4">
        <v>17002</v>
      </c>
      <c r="B14" s="4">
        <v>2</v>
      </c>
      <c r="C14" s="4">
        <v>13</v>
      </c>
      <c r="D14" s="4" t="str">
        <f>VLOOKUP(A14,任务库!A:D,4,0)</f>
        <v>thông thiên tháp đạt cao nhất 400</v>
      </c>
    </row>
    <row r="15" spans="1:4">
      <c r="A15" s="4">
        <v>17003</v>
      </c>
      <c r="B15" s="4">
        <v>2</v>
      </c>
      <c r="C15" s="4">
        <v>14</v>
      </c>
      <c r="D15" s="4" t="str">
        <f>VLOOKUP(A15,任务库!A:D,4,0)</f>
        <v>thông thiên tháp đạt cao nhất 600</v>
      </c>
    </row>
    <row r="16" spans="1:4">
      <c r="A16" s="4">
        <v>18001</v>
      </c>
      <c r="B16" s="4">
        <v>2</v>
      </c>
      <c r="C16" s="4">
        <v>15</v>
      </c>
      <c r="D16" s="4" t="str">
        <f>VLOOKUP(A16,任务库!A:D,4,0)</f>
        <v>Viêm Đế Thí Luyện đạt cao nhất 150</v>
      </c>
    </row>
    <row r="17" spans="1:4">
      <c r="A17" s="4">
        <v>18002</v>
      </c>
      <c r="B17" s="4">
        <v>2</v>
      </c>
      <c r="C17" s="4">
        <v>16</v>
      </c>
      <c r="D17" s="4" t="str">
        <f>VLOOKUP(A17,任务库!A:D,4,0)</f>
        <v>Viêm Đế Thí Luyện đạt cao nhất 350</v>
      </c>
    </row>
    <row r="18" spans="1:4">
      <c r="A18" s="4">
        <v>18003</v>
      </c>
      <c r="B18" s="4">
        <v>2</v>
      </c>
      <c r="C18" s="4">
        <v>17</v>
      </c>
      <c r="D18" s="4" t="str">
        <f>VLOOKUP(A18,任务库!A:D,4,0)</f>
        <v>Viêm Đế Thí Luyện đạt cao nhất 500</v>
      </c>
    </row>
    <row r="19" spans="1:4">
      <c r="A19" s="4">
        <v>19001</v>
      </c>
      <c r="B19" s="4">
        <v>2</v>
      </c>
      <c r="C19" s="4">
        <v>18</v>
      </c>
      <c r="D19" s="4" t="str">
        <f>VLOOKUP(A19,任务库!A:D,4,0)</f>
        <v>Hoàn chỉnh thông quan 5 Lần phổ thông độ khó Võ lâm luận kiếm</v>
      </c>
    </row>
    <row r="20" spans="1:4">
      <c r="A20" s="4">
        <v>19002</v>
      </c>
      <c r="B20" s="4">
        <v>2</v>
      </c>
      <c r="C20" s="4">
        <v>19</v>
      </c>
      <c r="D20" s="4" t="str">
        <f>VLOOKUP(A20,任务库!A:D,4,0)</f>
        <v>Hoàn chỉnh thông quan 5 Lần khó khăn độ khó Võ lâm luận kiếm</v>
      </c>
    </row>
    <row r="21" spans="1:4">
      <c r="A21" s="4">
        <v>19003</v>
      </c>
      <c r="B21" s="4">
        <v>2</v>
      </c>
      <c r="C21" s="4">
        <v>20</v>
      </c>
      <c r="D21" s="4" t="str">
        <f>VLOOKUP(A21,任务库!A:D,4,0)</f>
        <v>Hoàn chỉnh thông quan 5 Lần ác mộng độ khó Võ lâm luận kiếm</v>
      </c>
    </row>
    <row r="22" spans="1:4">
      <c r="A22" s="4">
        <v>20001</v>
      </c>
      <c r="B22" s="4">
        <v>2</v>
      </c>
      <c r="C22" s="4">
        <v>21</v>
      </c>
      <c r="D22" s="4" t="str">
        <f>VLOOKUP(A22,任务库!A:D,4,0)</f>
        <v>Tùy ý 1 Loại Thí luyện đạt cao nhất 5</v>
      </c>
    </row>
    <row r="23" spans="1:4">
      <c r="A23" s="4">
        <v>20002</v>
      </c>
      <c r="B23" s="4">
        <v>2</v>
      </c>
      <c r="C23" s="4">
        <v>22</v>
      </c>
      <c r="D23" s="4" t="str">
        <f>VLOOKUP(A23,任务库!A:D,4,0)</f>
        <v>Tùy ý 1 Loại Thí luyện đạt cao nhất 8</v>
      </c>
    </row>
    <row r="24" spans="1:4">
      <c r="A24" s="4">
        <v>20003</v>
      </c>
      <c r="B24" s="4">
        <v>2</v>
      </c>
      <c r="C24" s="4">
        <v>23</v>
      </c>
      <c r="D24" s="4" t="str">
        <f>VLOOKUP(A24,任务库!A:D,4,0)</f>
        <v>Tùy ý 1 Loại Thí luyện đạt cao nhất 10</v>
      </c>
    </row>
    <row r="25" spans="1:4">
      <c r="A25" s="4">
        <v>21001</v>
      </c>
      <c r="B25" s="4">
        <v>2</v>
      </c>
      <c r="C25" s="4">
        <v>24</v>
      </c>
      <c r="D25" s="4" t="str">
        <f>VLOOKUP(A25,任务库!A:D,4,0)</f>
        <v>Tính gộp lại tiến vào Thí luyện bảng xếp hạng trước 10 Tên 3 Lần</v>
      </c>
    </row>
    <row r="26" spans="1:4">
      <c r="A26" s="4">
        <v>21002</v>
      </c>
      <c r="B26" s="4">
        <v>2</v>
      </c>
      <c r="C26" s="4">
        <v>25</v>
      </c>
      <c r="D26" s="4" t="str">
        <f>VLOOKUP(A26,任务库!A:D,4,0)</f>
        <v>Tính gộp lại tiến vào Thí luyện bảng xếp hạng trước 3 Tên 3 Lần</v>
      </c>
    </row>
    <row r="27" spans="1:4">
      <c r="A27" s="4">
        <v>30001</v>
      </c>
      <c r="B27" s="4">
        <v>2</v>
      </c>
      <c r="C27" s="4">
        <v>26</v>
      </c>
      <c r="D27" s="4" t="str">
        <f>VLOOKUP(A27,任务库!A:D,4,0)</f>
        <v>Đơn cuộc chiến đấu tính gộp lại tạo thành 150 Vạn điểm trúng độc tổn thương</v>
      </c>
    </row>
    <row r="28" spans="1:4">
      <c r="A28" s="4">
        <v>30002</v>
      </c>
      <c r="B28" s="4">
        <v>2</v>
      </c>
      <c r="C28" s="4">
        <v>27</v>
      </c>
      <c r="D28" s="4" t="str">
        <f>VLOOKUP(A28,任务库!A:D,4,0)</f>
        <v>Đơn cuộc chiến đấu tính gộp lại tạo thành 200 Vạn điểm trúng độc tổn thương</v>
      </c>
    </row>
    <row r="29" spans="1:4">
      <c r="A29" s="4">
        <v>30003</v>
      </c>
      <c r="B29" s="4">
        <v>2</v>
      </c>
      <c r="C29" s="4">
        <v>28</v>
      </c>
      <c r="D29" s="4" t="str">
        <f>VLOOKUP(A29,任务库!A:D,4,0)</f>
        <v>Đơn cuộc chiến đấu tính gộp lại tạo thành 300 Vạn điểm trúng độc tổn thương</v>
      </c>
    </row>
    <row r="30" spans="1:4">
      <c r="A30" s="4">
        <v>31001</v>
      </c>
      <c r="B30" s="4">
        <v>2</v>
      </c>
      <c r="C30" s="4">
        <v>29</v>
      </c>
      <c r="D30" s="4" t="str">
        <f>VLOOKUP(A30,任务库!A:D,4,0)</f>
        <v>Đơn cuộc chiến đấu tính gộp lại tạo thành 150 Vạn điểm thiêu đốt tổn thương</v>
      </c>
    </row>
    <row r="31" spans="1:4">
      <c r="A31" s="4">
        <v>31002</v>
      </c>
      <c r="B31" s="4">
        <v>2</v>
      </c>
      <c r="C31" s="4">
        <v>30</v>
      </c>
      <c r="D31" s="4" t="str">
        <f>VLOOKUP(A31,任务库!A:D,4,0)</f>
        <v>Đơn cuộc chiến đấu tính gộp lại tạo thành 200 Vạn điểm thiêu đốt tổn thương</v>
      </c>
    </row>
    <row r="32" spans="1:4">
      <c r="A32" s="4">
        <v>31003</v>
      </c>
      <c r="B32" s="4">
        <v>2</v>
      </c>
      <c r="C32" s="4">
        <v>31</v>
      </c>
      <c r="D32" s="4" t="str">
        <f>VLOOKUP(A32,任务库!A:D,4,0)</f>
        <v>Đơn cuộc chiến đấu tính gộp lại tạo thành 300 Vạn điểm thiêu đốt tổn thương</v>
      </c>
    </row>
    <row r="33" spans="1:4">
      <c r="A33" s="4">
        <v>32001</v>
      </c>
      <c r="B33" s="4">
        <v>2</v>
      </c>
      <c r="C33" s="4">
        <v>32</v>
      </c>
      <c r="D33" s="4" t="str">
        <f>VLOOKUP(A33,任务库!A:D,4,0)</f>
        <v>Đơn cuộc chiến đấu tính gộp lại tạo thành 150 Vạn điểm chảy máu tổn thương</v>
      </c>
    </row>
    <row r="34" spans="1:4">
      <c r="A34" s="4">
        <v>32002</v>
      </c>
      <c r="B34" s="4">
        <v>2</v>
      </c>
      <c r="C34" s="4">
        <v>33</v>
      </c>
      <c r="D34" s="4" t="str">
        <f>VLOOKUP(A34,任务库!A:D,4,0)</f>
        <v>Đơn cuộc chiến đấu tính gộp lại tạo thành 200 Vạn điểm chảy máu tổn thương</v>
      </c>
    </row>
    <row r="35" spans="1:4">
      <c r="A35" s="4">
        <v>32003</v>
      </c>
      <c r="B35" s="4">
        <v>2</v>
      </c>
      <c r="C35" s="4">
        <v>34</v>
      </c>
      <c r="D35" s="4" t="str">
        <f>VLOOKUP(A35,任务库!A:D,4,0)</f>
        <v>Đơn cuộc chiến đấu tính gộp lại tạo thành 300 Vạn điểm chảy máu tổn thương</v>
      </c>
    </row>
    <row r="36" spans="1:4">
      <c r="A36" s="4">
        <v>33001</v>
      </c>
      <c r="B36" s="4">
        <v>2</v>
      </c>
      <c r="C36" s="4">
        <v>35</v>
      </c>
      <c r="D36" s="4" t="str">
        <f>VLOOKUP(A36,任务库!A:D,4,0)</f>
        <v>Đơn trận guild phó bản chiến đấu bên trong tính gộp lại tạo thành 150 Vạn điểm tổn thương</v>
      </c>
    </row>
    <row r="37" spans="1:4">
      <c r="A37" s="4">
        <v>33002</v>
      </c>
      <c r="B37" s="4">
        <v>2</v>
      </c>
      <c r="C37" s="4">
        <v>36</v>
      </c>
      <c r="D37" s="4" t="str">
        <f>VLOOKUP(A37,任务库!A:D,4,0)</f>
        <v>Đơn trận guild phó bản chiến đấu bên trong tính gộp lại tạo thành 200 Vạn điểm tổn thương</v>
      </c>
    </row>
    <row r="38" spans="1:4">
      <c r="A38" s="4">
        <v>33003</v>
      </c>
      <c r="B38" s="4">
        <v>2</v>
      </c>
      <c r="C38" s="4">
        <v>37</v>
      </c>
      <c r="D38" s="4" t="str">
        <f>VLOOKUP(A38,任务库!A:D,4,0)</f>
        <v>Đơn trận guild phó bản chiến đấu bên trong tính gộp lại tạo thành 300 Vạn điểm tổn thương</v>
      </c>
    </row>
    <row r="39" spans="1:4">
      <c r="A39" s="4">
        <v>22001</v>
      </c>
      <c r="B39" s="4">
        <v>3</v>
      </c>
      <c r="C39" s="4">
        <v>38</v>
      </c>
      <c r="D39" s="4" t="str">
        <f>VLOOKUP(A39,任务库!A:D,4,0)</f>
        <v>Sức chiến đấu cao nhất đạt tới 50 Vạn</v>
      </c>
    </row>
    <row r="40" spans="1:4">
      <c r="A40" s="4">
        <v>22002</v>
      </c>
      <c r="B40" s="4">
        <v>3</v>
      </c>
      <c r="C40" s="4">
        <v>39</v>
      </c>
      <c r="D40" s="4" t="str">
        <f>VLOOKUP(A40,任务库!A:D,4,0)</f>
        <v>Sức chiến đấu cao nhất đạt tới 100 Vạn</v>
      </c>
    </row>
    <row r="41" spans="1:4">
      <c r="A41" s="4">
        <v>22003</v>
      </c>
      <c r="B41" s="4">
        <v>3</v>
      </c>
      <c r="C41" s="4">
        <v>40</v>
      </c>
      <c r="D41" s="4" t="str">
        <f>VLOOKUP(A41,任务库!A:D,4,0)</f>
        <v>Sức chiến đấu cao nhất đạt tới 200 Vạn</v>
      </c>
    </row>
    <row r="42" spans="1:4">
      <c r="A42" s="4">
        <v>23001</v>
      </c>
      <c r="B42" s="4">
        <v>3</v>
      </c>
      <c r="C42" s="4">
        <v>41</v>
      </c>
      <c r="D42" s="4" t="str">
        <f>VLOOKUP(A42,任务库!A:D,4,0)</f>
        <v>Trước mắt có được năm 10 sao anh hùng</v>
      </c>
    </row>
    <row r="43" spans="1:4">
      <c r="A43" s="4">
        <v>24001</v>
      </c>
      <c r="B43" s="4">
        <v>3</v>
      </c>
      <c r="C43" s="4">
        <v>42</v>
      </c>
      <c r="D43" s="4" t="str">
        <f>VLOOKUP(A43,任务库!A:D,4,0)</f>
        <v>Tính gộp lại thu hoạch được một 10 sao Tân binh anh hùng</v>
      </c>
    </row>
    <row r="44" spans="1:4">
      <c r="A44" s="4">
        <v>25001</v>
      </c>
      <c r="B44" s="4">
        <v>3</v>
      </c>
      <c r="C44" s="4">
        <v>43</v>
      </c>
      <c r="D44" s="4" t="str">
        <f>VLOOKUP(A44,任务库!A:D,4,0)</f>
        <v>Tính gộp lại thu hoạch được một 10 sao Hải tặc anh hùng</v>
      </c>
    </row>
    <row r="45" spans="1:4">
      <c r="A45" s="4">
        <v>26001</v>
      </c>
      <c r="B45" s="4">
        <v>3</v>
      </c>
      <c r="C45" s="4">
        <v>44</v>
      </c>
      <c r="D45" s="4" t="str">
        <f>VLOOKUP(A45,任务库!A:D,4,0)</f>
        <v>Tính gộp lại thu hoạch được một 10 sao Dũng sĩ anh hùng</v>
      </c>
    </row>
    <row r="46" spans="1:4">
      <c r="A46" s="4">
        <v>27001</v>
      </c>
      <c r="B46" s="4">
        <v>3</v>
      </c>
      <c r="C46" s="4">
        <v>45</v>
      </c>
      <c r="D46" s="4" t="str">
        <f>VLOOKUP(A46,任务库!A:D,4,0)</f>
        <v>Tính gộp lại thu hoạch được một 10 sao Hải quân anh hùng</v>
      </c>
    </row>
    <row r="47" spans="1:4">
      <c r="A47" s="4">
        <v>28001</v>
      </c>
      <c r="B47" s="4">
        <v>3</v>
      </c>
      <c r="C47" s="4">
        <v>46</v>
      </c>
      <c r="D47" s="4" t="str">
        <f>VLOOKUP(A47,任务库!A:D,4,0)</f>
        <v>Tính gộp lại thu hoạch được một 10 sao Ngũ hoàng anh hùng</v>
      </c>
    </row>
    <row r="48" spans="1:4">
      <c r="A48" s="4">
        <v>29001</v>
      </c>
      <c r="B48" s="4">
        <v>3</v>
      </c>
      <c r="C48" s="4">
        <v>47</v>
      </c>
      <c r="D48" s="4" t="str">
        <f>VLOOKUP(A48,任务库!A:D,4,0)</f>
        <v>Tính gộp lại lĩnh ngộ mười sơ cấp thiên phú</v>
      </c>
    </row>
    <row r="49" spans="1:4">
      <c r="A49" s="4">
        <v>29002</v>
      </c>
      <c r="B49" s="4">
        <v>3</v>
      </c>
      <c r="C49" s="4">
        <v>48</v>
      </c>
      <c r="D49" s="4" t="str">
        <f>VLOOKUP(A49,任务库!A:D,4,0)</f>
        <v>Tính gộp lại lĩnh ngộ mười trung cấp thiên phú</v>
      </c>
    </row>
    <row r="50" spans="1:4">
      <c r="A50" s="4">
        <v>29003</v>
      </c>
      <c r="B50" s="4">
        <v>3</v>
      </c>
      <c r="C50" s="4">
        <v>49</v>
      </c>
      <c r="D50" s="4" t="str">
        <f>VLOOKUP(A50,任务库!A:D,4,0)</f>
        <v>Tính gộp lại lĩnh ngộ mười cao cấp thiên phú</v>
      </c>
    </row>
    <row r="51" spans="1:4">
      <c r="A51" s="4">
        <v>34001</v>
      </c>
      <c r="B51" s="4">
        <v>3</v>
      </c>
      <c r="C51" s="4">
        <v>50</v>
      </c>
      <c r="D51" s="4" t="str">
        <f>VLOOKUP(A51,任务库!A:D,4,0)</f>
        <v>Tính gộp lại thu hoạch được một Thiên phú đỏ</v>
      </c>
    </row>
    <row r="52" spans="1:4">
      <c r="A52" s="4">
        <v>34002</v>
      </c>
      <c r="B52" s="4">
        <v>3</v>
      </c>
      <c r="C52" s="4">
        <v>51</v>
      </c>
      <c r="D52" s="4" t="str">
        <f>VLOOKUP(A52,任务库!A:D,4,0)</f>
        <v>Tính gộp lại thu hoạch được năm Thiên phú đỏ</v>
      </c>
    </row>
    <row r="53" spans="1:4">
      <c r="A53" s="4">
        <v>34003</v>
      </c>
      <c r="B53" s="4">
        <v>3</v>
      </c>
      <c r="C53" s="4">
        <v>52</v>
      </c>
      <c r="D53" s="4" t="str">
        <f>VLOOKUP(A53,任务库!A:D,4,0)</f>
        <v>Tính gộp lại thu hoạch được mười Thiên phú đỏ</v>
      </c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B2:C18"/>
  <sheetViews>
    <sheetView workbookViewId="0">
      <selection activeCell="C15" sqref="C15"/>
    </sheetView>
  </sheetViews>
  <sheetFormatPr defaultColWidth="9" defaultRowHeight="15" outlineLevelCol="2"/>
  <cols>
    <col min="2" max="2" width="24.2857142857143" style="6" customWidth="1"/>
    <col min="3" max="3" width="71.5714285714286" customWidth="1"/>
  </cols>
  <sheetData>
    <row r="2" spans="2:3">
      <c r="B2" s="6" t="s">
        <v>2132</v>
      </c>
      <c r="C2" t="s">
        <v>2133</v>
      </c>
    </row>
    <row r="3" spans="2:3">
      <c r="B3" s="6" t="s">
        <v>2134</v>
      </c>
      <c r="C3" t="s">
        <v>2135</v>
      </c>
    </row>
    <row r="4" spans="2:3">
      <c r="B4" s="6" t="s">
        <v>2136</v>
      </c>
      <c r="C4" t="s">
        <v>2137</v>
      </c>
    </row>
    <row r="5" spans="2:3">
      <c r="B5" s="6" t="s">
        <v>2138</v>
      </c>
      <c r="C5" t="s">
        <v>2139</v>
      </c>
    </row>
    <row r="6" spans="2:3">
      <c r="B6" s="6" t="s">
        <v>2140</v>
      </c>
      <c r="C6" t="s">
        <v>2141</v>
      </c>
    </row>
    <row r="7" spans="2:3">
      <c r="B7" s="6" t="s">
        <v>2142</v>
      </c>
      <c r="C7" t="s">
        <v>2143</v>
      </c>
    </row>
    <row r="8" spans="2:3">
      <c r="B8" s="6" t="s">
        <v>2144</v>
      </c>
      <c r="C8" t="s">
        <v>2145</v>
      </c>
    </row>
    <row r="14" customHeight="1" spans="2:3">
      <c r="B14" s="7" t="s">
        <v>2146</v>
      </c>
      <c r="C14" s="7"/>
    </row>
    <row r="15" spans="2:3">
      <c r="B15" s="8" t="s">
        <v>2147</v>
      </c>
      <c r="C15" s="8" t="s">
        <v>2148</v>
      </c>
    </row>
    <row r="16" spans="2:3">
      <c r="B16" s="8"/>
      <c r="C16" s="8"/>
    </row>
    <row r="17" spans="2:3">
      <c r="B17" s="8"/>
      <c r="C17" s="8"/>
    </row>
    <row r="18" spans="2:3">
      <c r="B18" s="8"/>
      <c r="C18" s="8"/>
    </row>
  </sheetData>
  <mergeCells count="1">
    <mergeCell ref="B14:C14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R7"/>
  <sheetViews>
    <sheetView workbookViewId="0">
      <selection activeCell="A1" sqref="A1"/>
    </sheetView>
  </sheetViews>
  <sheetFormatPr defaultColWidth="9" defaultRowHeight="15" outlineLevelRow="6"/>
  <sheetData>
    <row r="1" spans="1:18">
      <c r="A1" s="4">
        <v>457001</v>
      </c>
      <c r="B1" s="4">
        <v>4001</v>
      </c>
      <c r="C1" t="s">
        <v>2149</v>
      </c>
      <c r="D1" s="5" t="s">
        <v>2150</v>
      </c>
      <c r="G1">
        <v>100</v>
      </c>
      <c r="J1">
        <v>4</v>
      </c>
      <c r="N1">
        <v>2</v>
      </c>
      <c r="P1">
        <v>2</v>
      </c>
      <c r="R1" t="s">
        <v>846</v>
      </c>
    </row>
    <row r="2" spans="1:18">
      <c r="A2" s="4">
        <v>457002</v>
      </c>
      <c r="B2" s="4">
        <v>4001</v>
      </c>
      <c r="C2" t="s">
        <v>2149</v>
      </c>
      <c r="D2" t="s">
        <v>2151</v>
      </c>
      <c r="G2">
        <v>200</v>
      </c>
      <c r="J2">
        <v>4</v>
      </c>
      <c r="N2">
        <v>2</v>
      </c>
      <c r="P2">
        <v>2</v>
      </c>
      <c r="R2" t="s">
        <v>848</v>
      </c>
    </row>
    <row r="3" spans="1:18">
      <c r="A3" s="4">
        <v>457003</v>
      </c>
      <c r="B3" s="4">
        <v>4001</v>
      </c>
      <c r="C3" t="s">
        <v>2149</v>
      </c>
      <c r="D3" t="s">
        <v>2152</v>
      </c>
      <c r="G3">
        <v>500</v>
      </c>
      <c r="J3">
        <v>4</v>
      </c>
      <c r="N3">
        <v>2</v>
      </c>
      <c r="P3">
        <v>2</v>
      </c>
      <c r="R3" t="s">
        <v>2153</v>
      </c>
    </row>
    <row r="4" spans="1:18">
      <c r="A4" s="4">
        <v>457004</v>
      </c>
      <c r="B4" s="4">
        <v>4001</v>
      </c>
      <c r="C4" t="s">
        <v>2149</v>
      </c>
      <c r="D4" t="s">
        <v>2154</v>
      </c>
      <c r="G4">
        <v>1000</v>
      </c>
      <c r="J4">
        <v>4</v>
      </c>
      <c r="N4">
        <v>2</v>
      </c>
      <c r="P4">
        <v>2</v>
      </c>
      <c r="R4" t="s">
        <v>680</v>
      </c>
    </row>
    <row r="5" spans="1:18">
      <c r="A5" s="4">
        <v>457005</v>
      </c>
      <c r="B5" s="4">
        <v>4001</v>
      </c>
      <c r="C5" t="s">
        <v>2149</v>
      </c>
      <c r="D5" t="s">
        <v>2155</v>
      </c>
      <c r="G5">
        <v>2000</v>
      </c>
      <c r="J5">
        <v>4</v>
      </c>
      <c r="N5">
        <v>2</v>
      </c>
      <c r="P5">
        <v>2</v>
      </c>
      <c r="R5" t="s">
        <v>854</v>
      </c>
    </row>
    <row r="6" spans="1:18">
      <c r="A6" s="4">
        <v>457006</v>
      </c>
      <c r="B6" s="4">
        <v>4001</v>
      </c>
      <c r="C6" t="s">
        <v>2149</v>
      </c>
      <c r="D6" t="s">
        <v>2156</v>
      </c>
      <c r="G6">
        <v>3000</v>
      </c>
      <c r="J6">
        <v>4</v>
      </c>
      <c r="N6">
        <v>2</v>
      </c>
      <c r="P6">
        <v>2</v>
      </c>
      <c r="R6" t="s">
        <v>2157</v>
      </c>
    </row>
    <row r="7" spans="1:18">
      <c r="A7" s="4">
        <v>457007</v>
      </c>
      <c r="B7" s="4">
        <v>4001</v>
      </c>
      <c r="C7" t="s">
        <v>2149</v>
      </c>
      <c r="D7" t="s">
        <v>2158</v>
      </c>
      <c r="G7">
        <v>5000</v>
      </c>
      <c r="J7">
        <v>4</v>
      </c>
      <c r="N7">
        <v>2</v>
      </c>
      <c r="P7">
        <v>2</v>
      </c>
      <c r="R7" t="s">
        <v>2159</v>
      </c>
    </row>
  </sheetData>
  <conditionalFormatting sqref="A1:A7">
    <cfRule type="duplicateValues" dxfId="0" priority="4"/>
    <cfRule type="duplicateValues" dxfId="0" priority="5"/>
    <cfRule type="duplicateValues" dxfId="0" priority="6"/>
  </conditionalFormatting>
  <conditionalFormatting sqref="A2:A7">
    <cfRule type="duplicateValues" dxfId="0" priority="1"/>
    <cfRule type="duplicateValues" dxfId="0" priority="2"/>
    <cfRule type="duplicateValues" dxfId="0" priority="3"/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F19:H28"/>
  <sheetViews>
    <sheetView workbookViewId="0">
      <selection activeCell="H28" sqref="H28"/>
    </sheetView>
  </sheetViews>
  <sheetFormatPr defaultColWidth="9" defaultRowHeight="15" outlineLevelCol="7"/>
  <cols>
    <col min="6" max="6" width="64.5714285714286" customWidth="1"/>
  </cols>
  <sheetData>
    <row r="19" spans="7:7">
      <c r="G19" t="s">
        <v>2160</v>
      </c>
    </row>
    <row r="20" spans="6:8">
      <c r="F20" s="1" t="s">
        <v>2161</v>
      </c>
      <c r="G20" t="str">
        <f>F20&amp;$G$19</f>
        <v>3:500017:2#3:100001:1000#0:0:500000#0:4:50000#</v>
      </c>
      <c r="H20" t="str">
        <f>G20</f>
        <v>3:500017:2#3:100001:1000#0:0:500000#0:4:50000#</v>
      </c>
    </row>
    <row r="21" ht="16.5" spans="6:8">
      <c r="F21" s="2" t="s">
        <v>2162</v>
      </c>
      <c r="G21" t="str">
        <f t="shared" ref="G21:G28" si="0">F21&amp;$G$19</f>
        <v>5:4:1#3:100036:300#0:0:500000#0:4:100000#</v>
      </c>
      <c r="H21" t="str">
        <f>H20&amp;G21</f>
        <v>3:500017:2#3:100001:1000#0:0:500000#0:4:50000#5:4:1#3:100036:300#0:0:500000#0:4:100000#</v>
      </c>
    </row>
    <row r="22" spans="6:8">
      <c r="F22" s="3" t="s">
        <v>2163</v>
      </c>
      <c r="G22" t="str">
        <f t="shared" si="0"/>
        <v>3:1000010:1#3:100004:5000#0:0:1000000#0:4:200000#</v>
      </c>
      <c r="H22" t="str">
        <f t="shared" ref="H22:H28" si="1">H21&amp;G22</f>
        <v>3:500017:2#3:100001:1000#0:0:500000#0:4:50000#5:4:1#3:100036:300#0:0:500000#0:4:100000#3:1000010:1#3:100004:5000#0:0:1000000#0:4:200000#</v>
      </c>
    </row>
    <row r="23" spans="6:8">
      <c r="F23" s="3" t="s">
        <v>2164</v>
      </c>
      <c r="G23" t="str">
        <f t="shared" si="0"/>
        <v>3:1000010:2#3:100252:200#0:0:2000000#0:4:400000#</v>
      </c>
      <c r="H23" t="str">
        <f t="shared" si="1"/>
        <v>3:500017:2#3:100001:1000#0:0:500000#0:4:50000#5:4:1#3:100036:300#0:0:500000#0:4:100000#3:1000010:1#3:100004:5000#0:0:1000000#0:4:200000#3:1000010:2#3:100252:200#0:0:2000000#0:4:400000#</v>
      </c>
    </row>
    <row r="24" spans="6:8">
      <c r="F24" s="3" t="s">
        <v>2165</v>
      </c>
      <c r="G24" t="str">
        <f t="shared" si="0"/>
        <v>3:500023:2#3:590001:9#0:0:4000000#0:4:600000#</v>
      </c>
      <c r="H24" t="str">
        <f t="shared" si="1"/>
        <v>3:500017:2#3:100001:1000#0:0:500000#0:4:50000#5:4:1#3:100036:300#0:0:500000#0:4:100000#3:1000010:1#3:100004:5000#0:0:1000000#0:4:200000#3:1000010:2#3:100252:200#0:0:2000000#0:4:400000#3:500023:2#3:590001:9#0:0:4000000#0:4:600000#</v>
      </c>
    </row>
    <row r="25" spans="6:8">
      <c r="F25" s="3" t="s">
        <v>2166</v>
      </c>
      <c r="G25" t="str">
        <f t="shared" si="0"/>
        <v>5:4:3#3:200101:500#0:0:8000000#0:4:800000#</v>
      </c>
      <c r="H25" t="str">
        <f>G25</f>
        <v>5:4:3#3:200101:500#0:0:8000000#0:4:800000#</v>
      </c>
    </row>
    <row r="26" spans="6:8">
      <c r="F26" s="3" t="s">
        <v>2167</v>
      </c>
      <c r="G26" t="str">
        <f t="shared" si="0"/>
        <v>3:500024:3#3:1000010:5#0:0:10000000#0:4:1000000#</v>
      </c>
      <c r="H26" t="str">
        <f t="shared" si="1"/>
        <v>5:4:3#3:200101:500#0:0:8000000#0:4:800000#3:500024:3#3:1000010:5#0:0:10000000#0:4:1000000#</v>
      </c>
    </row>
    <row r="27" spans="6:8">
      <c r="F27" s="3" t="s">
        <v>2168</v>
      </c>
      <c r="G27" t="str">
        <f t="shared" si="0"/>
        <v>3:500026:1#3:1000010:6#3:100216:5000#3:500014:1#</v>
      </c>
      <c r="H27" t="str">
        <f t="shared" si="1"/>
        <v>5:4:3#3:200101:500#0:0:8000000#0:4:800000#3:500024:3#3:1000010:5#0:0:10000000#0:4:1000000#3:500026:1#3:1000010:6#3:100216:5000#3:500014:1#</v>
      </c>
    </row>
    <row r="28" spans="6:8">
      <c r="F28" s="3" t="s">
        <v>2169</v>
      </c>
      <c r="G28" t="str">
        <f t="shared" si="0"/>
        <v>3:200101:500#3:200191:500#3:1000010:7#3:100031:10000#3:100098:6000#</v>
      </c>
      <c r="H28" t="str">
        <f t="shared" si="1"/>
        <v>5:4:3#3:200101:500#0:0:8000000#0:4:800000#3:500024:3#3:1000010:5#0:0:10000000#0:4:1000000#3:500026:1#3:1000010:6#3:100216:5000#3:500014:1#3:200101:500#3:200191:500#3:1000010:7#3:100031:10000#3:100098:6000#</v>
      </c>
    </row>
  </sheetData>
  <conditionalFormatting sqref="F21">
    <cfRule type="duplicateValues" priority="4"/>
    <cfRule type="duplicateValues" dxfId="1" priority="1"/>
    <cfRule type="duplicateValues" dxfId="2" priority="2"/>
    <cfRule type="duplicateValues" dxfId="2" priority="3"/>
  </conditionalFormatting>
  <pageMargins left="0.7" right="0.7" top="0.75" bottom="0.75" header="0.3" footer="0.3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任务库</vt:lpstr>
      <vt:lpstr>永久历史</vt:lpstr>
      <vt:lpstr>主线任务</vt:lpstr>
      <vt:lpstr>日常任务</vt:lpstr>
      <vt:lpstr>日常任务宝箱</vt:lpstr>
      <vt:lpstr>周常任务</vt:lpstr>
      <vt:lpstr>周常任务宝箱</vt:lpstr>
      <vt:lpstr>成就</vt:lpstr>
      <vt:lpstr>历练</vt:lpstr>
      <vt:lpstr>Sheet缺少的事件类型</vt:lpstr>
      <vt:lpstr>Sheet1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Nhiem-Vu</dc:title>
  <dc:creator>Administrator</dc:creator>
  <cp:lastModifiedBy>dangm</cp:lastModifiedBy>
  <dcterms:created xsi:type="dcterms:W3CDTF">2015-06-05T18:19:00Z</dcterms:created>
  <cp:lastPrinted>2020-05-01T08:41:00Z</cp:lastPrinted>
  <dcterms:modified xsi:type="dcterms:W3CDTF">2024-04-22T06:32:27Z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59D653FC8BA3491E8D341FCF99E800F3</vt:lpwstr>
  </property>
  <property fmtid="{D5CDD505-2E9C-101B-9397-08002B2CF9AE}" pid="3" name="KSOProductBuildVer">
    <vt:lpwstr>1033-12.2.0.16731</vt:lpwstr>
  </property>
</Properties>
</file>