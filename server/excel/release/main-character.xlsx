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5410" windowHeight="11115" activeTab="1"/>
  </bookViews>
  <sheets>
    <sheet name="冒险等级" sheetId="2" r:id="rId1"/>
    <sheet name="vip等级" sheetId="1" r:id="rId2"/>
  </sheets>
  <calcPr calcId="144525"/>
</workbook>
</file>

<file path=xl/calcChain.xml><?xml version="1.0" encoding="utf-8"?>
<calcChain xmlns="http://schemas.openxmlformats.org/spreadsheetml/2006/main">
  <c r="R56" i="1" l="1"/>
  <c r="R57" i="1"/>
  <c r="N57" i="1"/>
  <c r="K57" i="1"/>
  <c r="L57" i="1" s="1"/>
  <c r="N56" i="1"/>
  <c r="K56" i="1"/>
  <c r="L56" i="1" s="1"/>
  <c r="R55" i="1"/>
  <c r="N55" i="1"/>
  <c r="K55" i="1"/>
  <c r="L55" i="1" s="1"/>
  <c r="R54" i="1"/>
  <c r="N54" i="1"/>
  <c r="K54" i="1"/>
  <c r="L54" i="1" s="1"/>
  <c r="R53" i="1"/>
  <c r="N53" i="1"/>
  <c r="K53" i="1"/>
  <c r="L53" i="1" s="1"/>
  <c r="R23" i="1" l="1"/>
  <c r="R24" i="1" s="1"/>
  <c r="R25" i="1" s="1"/>
  <c r="R26" i="1" s="1"/>
  <c r="R27" i="1" s="1"/>
  <c r="R28" i="1" s="1"/>
  <c r="R29" i="1" s="1"/>
  <c r="R30" i="1" s="1"/>
  <c r="R31" i="1" s="1"/>
  <c r="R32" i="1" s="1"/>
  <c r="R33" i="1" s="1"/>
  <c r="R34" i="1" s="1"/>
  <c r="R35" i="1" s="1"/>
  <c r="R36" i="1" s="1"/>
  <c r="R37" i="1" s="1"/>
  <c r="R38" i="1" s="1"/>
  <c r="R39" i="1" s="1"/>
  <c r="R40" i="1" s="1"/>
  <c r="R41" i="1" s="1"/>
  <c r="R4" i="1" l="1"/>
  <c r="R5" i="1"/>
  <c r="R6" i="1"/>
  <c r="R7" i="1"/>
  <c r="R8" i="1" s="1"/>
  <c r="R9" i="1" s="1"/>
  <c r="R10" i="1" s="1"/>
  <c r="R11" i="1" s="1"/>
  <c r="R12" i="1" s="1"/>
  <c r="R13" i="1" s="1"/>
  <c r="R14" i="1" s="1"/>
  <c r="R15" i="1" s="1"/>
  <c r="R16" i="1" s="1"/>
  <c r="R17" i="1" s="1"/>
  <c r="R18" i="1" s="1"/>
  <c r="R19" i="1" s="1"/>
  <c r="R20" i="1" s="1"/>
  <c r="R21" i="1" s="1"/>
  <c r="R22" i="1" s="1"/>
  <c r="R42" i="1" s="1"/>
  <c r="R43" i="1" s="1"/>
  <c r="R44" i="1" s="1"/>
  <c r="R45" i="1" s="1"/>
  <c r="R46" i="1" s="1"/>
  <c r="R47" i="1" s="1"/>
  <c r="R48" i="1" s="1"/>
  <c r="R49" i="1" s="1"/>
  <c r="R50" i="1" s="1"/>
  <c r="R51" i="1" s="1"/>
  <c r="R52" i="1" s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3" i="1"/>
  <c r="N42" i="1"/>
  <c r="N43" i="1"/>
  <c r="N44" i="1"/>
  <c r="N45" i="1"/>
  <c r="N46" i="1"/>
  <c r="N47" i="1"/>
  <c r="N48" i="1"/>
  <c r="N49" i="1"/>
  <c r="N50" i="1"/>
  <c r="N51" i="1"/>
  <c r="N52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3" i="1"/>
  <c r="K52" i="1"/>
  <c r="L42" i="1"/>
  <c r="L43" i="1"/>
  <c r="L44" i="1"/>
  <c r="L45" i="1"/>
  <c r="L46" i="1"/>
  <c r="L47" i="1"/>
  <c r="L48" i="1"/>
  <c r="L49" i="1"/>
  <c r="L50" i="1"/>
  <c r="L51" i="1"/>
  <c r="L4" i="1"/>
  <c r="L5" i="1"/>
  <c r="L6" i="1"/>
  <c r="L7" i="1"/>
  <c r="L8" i="1"/>
  <c r="L9" i="1"/>
  <c r="L10" i="1"/>
  <c r="L11" i="1"/>
  <c r="L12" i="1"/>
  <c r="L16" i="1"/>
  <c r="L17" i="1"/>
  <c r="L18" i="1"/>
  <c r="L19" i="1"/>
  <c r="L20" i="1"/>
  <c r="L21" i="1"/>
  <c r="L22" i="1"/>
  <c r="L3" i="1"/>
  <c r="K42" i="1"/>
  <c r="K43" i="1"/>
  <c r="K44" i="1"/>
  <c r="K45" i="1"/>
  <c r="K46" i="1"/>
  <c r="K47" i="1"/>
  <c r="K48" i="1"/>
  <c r="K49" i="1"/>
  <c r="K50" i="1"/>
  <c r="K51" i="1"/>
  <c r="L52" i="1"/>
  <c r="K4" i="1"/>
  <c r="K5" i="1"/>
  <c r="K6" i="1"/>
  <c r="K7" i="1"/>
  <c r="K8" i="1"/>
  <c r="K9" i="1"/>
  <c r="K10" i="1"/>
  <c r="K11" i="1"/>
  <c r="K12" i="1"/>
  <c r="K13" i="1"/>
  <c r="L13" i="1" s="1"/>
  <c r="K14" i="1"/>
  <c r="L14" i="1" s="1"/>
  <c r="K15" i="1"/>
  <c r="L15" i="1" s="1"/>
  <c r="K16" i="1"/>
  <c r="K17" i="1"/>
  <c r="K18" i="1"/>
  <c r="K19" i="1"/>
  <c r="K20" i="1"/>
  <c r="K21" i="1"/>
  <c r="K22" i="1"/>
  <c r="K3" i="1"/>
  <c r="R3" i="1" l="1"/>
</calcChain>
</file>

<file path=xl/sharedStrings.xml><?xml version="1.0" encoding="utf-8"?>
<sst xmlns="http://schemas.openxmlformats.org/spreadsheetml/2006/main" count="457" uniqueCount="325">
  <si>
    <t>等级</t>
  </si>
  <si>
    <t>升级所需经验</t>
  </si>
  <si>
    <t>升级奖励</t>
  </si>
  <si>
    <t>2:19000100:3</t>
  </si>
  <si>
    <t>0:1:12</t>
  </si>
  <si>
    <t>0:1:14</t>
  </si>
  <si>
    <t>0:1:16</t>
  </si>
  <si>
    <t>0:1:18</t>
  </si>
  <si>
    <t>0:1:20</t>
  </si>
  <si>
    <t>0:1:22</t>
  </si>
  <si>
    <t>0:1:24</t>
  </si>
  <si>
    <t>0:1:26</t>
  </si>
  <si>
    <t>0:1:28</t>
  </si>
  <si>
    <t>0:1:30</t>
  </si>
  <si>
    <t>0:1:32</t>
  </si>
  <si>
    <t>0:1:34</t>
  </si>
  <si>
    <t>0:1:36</t>
  </si>
  <si>
    <t>0:1:38</t>
  </si>
  <si>
    <t>0:1:40</t>
  </si>
  <si>
    <t>0:1:42</t>
  </si>
  <si>
    <t>0:1:44</t>
  </si>
  <si>
    <t>0:1:46</t>
  </si>
  <si>
    <t>0:1:48</t>
  </si>
  <si>
    <t>0:1:50</t>
  </si>
  <si>
    <t>0:1:52</t>
  </si>
  <si>
    <t>0:1:54</t>
  </si>
  <si>
    <t>0:1:56</t>
  </si>
  <si>
    <t>0:1:58</t>
  </si>
  <si>
    <t>0:1:60</t>
  </si>
  <si>
    <t>0:1:62</t>
  </si>
  <si>
    <t>0:1:64</t>
  </si>
  <si>
    <t>0:1:66</t>
  </si>
  <si>
    <t>0:1:68</t>
  </si>
  <si>
    <t>0:1:70</t>
  </si>
  <si>
    <t>0:1:72</t>
  </si>
  <si>
    <t>0:1:74</t>
  </si>
  <si>
    <t>0:1:76</t>
  </si>
  <si>
    <t>0:1:78</t>
  </si>
  <si>
    <t>0:1:80</t>
  </si>
  <si>
    <t>0:1:82</t>
  </si>
  <si>
    <t>0:1:84</t>
  </si>
  <si>
    <t>0:1:86</t>
  </si>
  <si>
    <t>0:1:88</t>
  </si>
  <si>
    <t>0:1:90</t>
  </si>
  <si>
    <t>0:1:92</t>
  </si>
  <si>
    <t>0:1:94</t>
  </si>
  <si>
    <t>0:1:96</t>
  </si>
  <si>
    <t>0:1:98</t>
  </si>
  <si>
    <t>0:1:100</t>
  </si>
  <si>
    <t>0:1:102</t>
  </si>
  <si>
    <t>0:1:104</t>
  </si>
  <si>
    <t>0:1:106</t>
  </si>
  <si>
    <t>0:1:108</t>
  </si>
  <si>
    <t>0:1:110</t>
  </si>
  <si>
    <t>0:1:112</t>
  </si>
  <si>
    <t>0:1:114</t>
  </si>
  <si>
    <t>0:1:116</t>
  </si>
  <si>
    <t>0:1:118</t>
  </si>
  <si>
    <t>0:1:120</t>
  </si>
  <si>
    <t>0:1:122</t>
  </si>
  <si>
    <t>0:1:124</t>
  </si>
  <si>
    <t>0:1:126</t>
  </si>
  <si>
    <t>0:1:128</t>
  </si>
  <si>
    <t>0:1:130</t>
  </si>
  <si>
    <t>0:1:132</t>
  </si>
  <si>
    <t>0:1:134</t>
  </si>
  <si>
    <t>0:1:136</t>
  </si>
  <si>
    <t>0:1:138</t>
  </si>
  <si>
    <t>0:1:140</t>
  </si>
  <si>
    <t>0:1:142</t>
  </si>
  <si>
    <t>0:1:144</t>
  </si>
  <si>
    <t>0:1:146</t>
  </si>
  <si>
    <t>0:1:148</t>
  </si>
  <si>
    <t>0:1:150</t>
  </si>
  <si>
    <t>0:1:152</t>
  </si>
  <si>
    <t>0:1:154</t>
  </si>
  <si>
    <t>0:1:156</t>
  </si>
  <si>
    <t>0:1:158</t>
  </si>
  <si>
    <t>0:1:160</t>
  </si>
  <si>
    <t>0:1:162</t>
  </si>
  <si>
    <t>0:1:164</t>
  </si>
  <si>
    <t>0:1:166</t>
  </si>
  <si>
    <t>0:1:168</t>
  </si>
  <si>
    <t>0:1:170</t>
  </si>
  <si>
    <t>0:1:172</t>
  </si>
  <si>
    <t>0:1:174</t>
  </si>
  <si>
    <t>0:1:176</t>
  </si>
  <si>
    <t>0:1:178</t>
  </si>
  <si>
    <t>0:1:180</t>
  </si>
  <si>
    <t>0:1:182</t>
  </si>
  <si>
    <t>0:1:184</t>
  </si>
  <si>
    <t>0:1:186</t>
  </si>
  <si>
    <t>0:1:188</t>
  </si>
  <si>
    <t>0:1:190</t>
  </si>
  <si>
    <t>0:1:192</t>
  </si>
  <si>
    <t>0:1:194</t>
  </si>
  <si>
    <t>0:1:196</t>
  </si>
  <si>
    <t>0:1:198</t>
  </si>
  <si>
    <t>0:1:200</t>
  </si>
  <si>
    <t>0:1:202</t>
  </si>
  <si>
    <t>0:1:204</t>
  </si>
  <si>
    <t>0:1:206</t>
  </si>
  <si>
    <t>0:1:208</t>
  </si>
  <si>
    <t>0:1:210</t>
  </si>
  <si>
    <t>0:1:212</t>
  </si>
  <si>
    <t>0:1:214</t>
  </si>
  <si>
    <t>0:1:216</t>
  </si>
  <si>
    <t>0:1:218</t>
  </si>
  <si>
    <t>0:1:220</t>
  </si>
  <si>
    <t>0:1:222</t>
  </si>
  <si>
    <t>0:1:224</t>
  </si>
  <si>
    <t>0:1:226</t>
  </si>
  <si>
    <t>0:1:228</t>
  </si>
  <si>
    <t>0:1:230</t>
  </si>
  <si>
    <t>0:1:232</t>
  </si>
  <si>
    <t>0:1:234</t>
  </si>
  <si>
    <t>0:1:236</t>
  </si>
  <si>
    <t>0:1:238</t>
  </si>
  <si>
    <t>0:1:240</t>
  </si>
  <si>
    <t>0:1:242</t>
  </si>
  <si>
    <t>0:1:244</t>
  </si>
  <si>
    <t>0:1:246</t>
  </si>
  <si>
    <t>0:1:248</t>
  </si>
  <si>
    <t>0:1:250</t>
  </si>
  <si>
    <t>0:1:252</t>
  </si>
  <si>
    <t>0:1:254</t>
  </si>
  <si>
    <t>0:1:256</t>
  </si>
  <si>
    <t>0:1:258</t>
  </si>
  <si>
    <t>0:1:260</t>
  </si>
  <si>
    <t>0:1:262</t>
  </si>
  <si>
    <t>0:1:264</t>
  </si>
  <si>
    <t>0:1:266</t>
  </si>
  <si>
    <t>0:1:268</t>
  </si>
  <si>
    <t>0:1:270</t>
  </si>
  <si>
    <t>0:1:272</t>
  </si>
  <si>
    <t>0:1:274</t>
  </si>
  <si>
    <t>0:1:276</t>
  </si>
  <si>
    <t>0:1:278</t>
  </si>
  <si>
    <t>0:1:280</t>
  </si>
  <si>
    <t>0:1:282</t>
  </si>
  <si>
    <t>0:1:284</t>
  </si>
  <si>
    <t>0:1:286</t>
  </si>
  <si>
    <t>0:1:288</t>
  </si>
  <si>
    <t>0:1:290</t>
  </si>
  <si>
    <t>0:1:292</t>
  </si>
  <si>
    <t>0:1:294</t>
  </si>
  <si>
    <t>0:1:296</t>
  </si>
  <si>
    <t>0:1:298</t>
  </si>
  <si>
    <t>0:1:300</t>
  </si>
  <si>
    <t>0:1:302</t>
  </si>
  <si>
    <t>0:1:304</t>
  </si>
  <si>
    <t>0:1:306</t>
  </si>
  <si>
    <t>0:1:308</t>
  </si>
  <si>
    <t>0:1:310</t>
  </si>
  <si>
    <t>0:1:312</t>
  </si>
  <si>
    <t>0:1:314</t>
  </si>
  <si>
    <t>0:1:316</t>
  </si>
  <si>
    <t>0:1:318</t>
  </si>
  <si>
    <t>0:1:320</t>
  </si>
  <si>
    <t>0:1:322</t>
  </si>
  <si>
    <t>0:1:324</t>
  </si>
  <si>
    <t>0:1:326</t>
  </si>
  <si>
    <t>0:1:328</t>
  </si>
  <si>
    <t>0:1:330</t>
  </si>
  <si>
    <t>0:1:332</t>
  </si>
  <si>
    <t>0:1:334</t>
  </si>
  <si>
    <t>0:1:336</t>
  </si>
  <si>
    <t>0:1:338</t>
  </si>
  <si>
    <t>0:1:340</t>
  </si>
  <si>
    <t>0:1:342</t>
  </si>
  <si>
    <t>0:1:344</t>
  </si>
  <si>
    <t>0:1:346</t>
  </si>
  <si>
    <t>0:1:348</t>
  </si>
  <si>
    <t>0:1:350</t>
  </si>
  <si>
    <t>0:1:352</t>
  </si>
  <si>
    <t>0:1:354</t>
  </si>
  <si>
    <t>0:1:356</t>
  </si>
  <si>
    <t>0:1:358</t>
  </si>
  <si>
    <t>0:1:360</t>
  </si>
  <si>
    <t>0:1:362</t>
  </si>
  <si>
    <t>0:1:364</t>
  </si>
  <si>
    <t>0:1:366</t>
  </si>
  <si>
    <t>0:1:368</t>
  </si>
  <si>
    <t>0:1:370</t>
  </si>
  <si>
    <t>0:1:372</t>
  </si>
  <si>
    <t>0:1:374</t>
  </si>
  <si>
    <t>0:1:376</t>
  </si>
  <si>
    <t>0:1:378</t>
  </si>
  <si>
    <t>0:1:380</t>
  </si>
  <si>
    <t>0:1:382</t>
  </si>
  <si>
    <t>0:1:384</t>
  </si>
  <si>
    <t>0:1:386</t>
  </si>
  <si>
    <t>0:1:388</t>
  </si>
  <si>
    <t>0:1:390</t>
  </si>
  <si>
    <t>0:1:392</t>
  </si>
  <si>
    <t>0:1:394</t>
  </si>
  <si>
    <t>0:1:396</t>
  </si>
  <si>
    <t>0:1:398</t>
  </si>
  <si>
    <t>0:1:400</t>
  </si>
  <si>
    <t>0:1:402</t>
  </si>
  <si>
    <t>0:1:404</t>
  </si>
  <si>
    <t>0:1:406</t>
  </si>
  <si>
    <t>0:1:408</t>
  </si>
  <si>
    <t>升级经验</t>
  </si>
  <si>
    <t>特权礼包</t>
  </si>
  <si>
    <t>特权礼包展示价格</t>
  </si>
  <si>
    <t>特权礼包元宝消耗</t>
  </si>
  <si>
    <t>每日福利</t>
  </si>
  <si>
    <t>专属奖励</t>
  </si>
  <si>
    <t>礼包展示</t>
  </si>
  <si>
    <t>礼包展示图片</t>
  </si>
  <si>
    <t>挂机冒险经验系数</t>
  </si>
  <si>
    <t>挂机金币系数</t>
  </si>
  <si>
    <t>挂机英雄经验系数</t>
  </si>
  <si>
    <t>挂机时间上限</t>
  </si>
  <si>
    <t>摇钱树金币系数</t>
  </si>
  <si>
    <t>英雄背包额外容量</t>
  </si>
  <si>
    <t>日常副本购买次数</t>
  </si>
  <si>
    <t>公会boss购买次数</t>
  </si>
  <si>
    <t>演武场挑战卷</t>
  </si>
  <si>
    <t>邮件ID</t>
  </si>
  <si>
    <t>服战每日购买攻城令</t>
  </si>
  <si>
    <t>服战每日购买迁移令</t>
  </si>
  <si>
    <t>兽灵互动次数上限</t>
  </si>
  <si>
    <t>0:0:300000#0:4:200000#3:100005:5</t>
  </si>
  <si>
    <t>3:100001:500#0:0:2000000#3:100005:5</t>
  </si>
  <si>
    <t>pic0</t>
  </si>
  <si>
    <t>4:606006:30#4:606007:30#0:4:3000000</t>
  </si>
  <si>
    <t>pic1</t>
  </si>
  <si>
    <t>3:100025:1#0:0:5000000#3:100005:12</t>
  </si>
  <si>
    <t>pic3</t>
  </si>
  <si>
    <t>4:606002:50#3:100025:2#0:4:5000000#2:19000409:1</t>
  </si>
  <si>
    <t>pic4</t>
  </si>
  <si>
    <t>4:601016:50#3:100025:2#0:0:5000000#2:19000309:1</t>
  </si>
  <si>
    <t>pic5</t>
  </si>
  <si>
    <t>4:601020:50#3:100025:3#5:3:1#0:4:5000000#2:19000209:1</t>
  </si>
  <si>
    <t>pic6</t>
  </si>
  <si>
    <t>4:601020:50#3:100025:3#5:3:1#0:0:10000000#2:19000109:1</t>
  </si>
  <si>
    <t>4:605007:50#3:100025:5#0:4:10000000#2:19000111:1</t>
  </si>
  <si>
    <t>pic7</t>
  </si>
  <si>
    <t>4:604008:50#3:100025:5#0:0:10000000#2:19000411:1#3:100038:1</t>
  </si>
  <si>
    <t>pic8</t>
  </si>
  <si>
    <t>4:605012:50#5:4:1#0:4:10000000#2:19000311:1</t>
  </si>
  <si>
    <t>pic9</t>
  </si>
  <si>
    <t>4:604012:50#4:606015:50#5:4:1#0:0:20000000#2:19000211:1</t>
  </si>
  <si>
    <t>4:605007:100#4:606012:50#5:4:1#0:4:20000000#2:19000113:1</t>
  </si>
  <si>
    <t>4:606015:150#4:606011:50#5:4:2#3:100025:10#2:19000413:1</t>
  </si>
  <si>
    <t>4:605007:150#4:606012:50#5:5:1#0:0:100000000#2:19000313:1</t>
  </si>
  <si>
    <t>pic2</t>
  </si>
  <si>
    <t>4:604007:400#4:606011:50#5:5:1#0:4:100000000#2:19000213:1</t>
  </si>
  <si>
    <t>3:500014:1#4:605009:100#3:1000022:1#0:0:200000000#5:5:1</t>
  </si>
  <si>
    <t>pic10</t>
  </si>
  <si>
    <t>3:500020:1#4:602023:100#3:1000022:1#0:0:200000000#5:5:1</t>
  </si>
  <si>
    <t>3:500026:1#4:605013:100#3:1000022:1#0:0:300000000#5:5:1</t>
  </si>
  <si>
    <t>pic11</t>
  </si>
  <si>
    <t>7:55000101:1#4:608003:100#3:1000022:1#0:0:1000000000#5:10001:1</t>
  </si>
  <si>
    <t>7:58000101:1#4:608004:100#3:1000022:1#0:0:2000000000#5:10001:1</t>
  </si>
  <si>
    <t>3:100252:25#3:100253:25#3:100255:3</t>
  </si>
  <si>
    <t>0:1:410</t>
  </si>
  <si>
    <t>0:1:412</t>
  </si>
  <si>
    <t>0:1:414</t>
  </si>
  <si>
    <t>0:1:416</t>
  </si>
  <si>
    <t>0:1:418</t>
  </si>
  <si>
    <t>0:1:420</t>
  </si>
  <si>
    <t>0:1:422</t>
  </si>
  <si>
    <t>0:1:424</t>
  </si>
  <si>
    <t>0:1:426</t>
  </si>
  <si>
    <t>0:1:428</t>
  </si>
  <si>
    <t>3:100252:30#3:100253:30#3:100255:4</t>
  </si>
  <si>
    <t>Quà lớn</t>
  </si>
  <si>
    <t>3:100252:35#3:100253:35#3:100255:5</t>
  </si>
  <si>
    <t>3:100252:40#3:100253:40#3:100255:6</t>
  </si>
  <si>
    <t>3:100252:50#3:100253:50#3:100255:10</t>
  </si>
  <si>
    <t>3:100252:100#3:100253:100#3:100255:32</t>
  </si>
  <si>
    <t>3:100252:60#3:100253:60#3:100255:20</t>
  </si>
  <si>
    <t>3:100252:70#3:100253:70#3:100255:30</t>
  </si>
  <si>
    <t>3:100252:80#3:100253:80#3:100255:31</t>
  </si>
  <si>
    <t>3:100252:120#3:100253:120#3:100255:33</t>
  </si>
  <si>
    <t>3:100252:140#3:100253:140#3:100255:34</t>
  </si>
  <si>
    <t>3:100252:160#3:100253:160#3:100255:35</t>
  </si>
  <si>
    <t>3:100252:180#3:100253:180#3:100255:36</t>
  </si>
  <si>
    <t>3:100252:200#3:100253:200#3:100255:37</t>
  </si>
  <si>
    <t>3:100252:210#3:100253:210#3:100255:38</t>
  </si>
  <si>
    <t>3:100252:220#3:100253:220#3:100255:39</t>
  </si>
  <si>
    <t>3:100252:230#3:100253:230#3:100255:40</t>
  </si>
  <si>
    <t>3:100252:250#3:100253:250#3:100255:41</t>
  </si>
  <si>
    <t>0:1:10000#4:606002:8</t>
  </si>
  <si>
    <t>0:1:10000#4:606002:7</t>
  </si>
  <si>
    <t>0:1:10000#4:606002:6</t>
  </si>
  <si>
    <t>0:1:10000#4:606002:5</t>
  </si>
  <si>
    <t>0:1:10000#4:606002:4</t>
  </si>
  <si>
    <t>0:1:10000#4:606002:3</t>
  </si>
  <si>
    <t>0:1:10000#4:606002:2</t>
  </si>
  <si>
    <t>0:1:10000#4:606002:1</t>
  </si>
  <si>
    <t>0:1:8000#4:606001:5</t>
  </si>
  <si>
    <t>0:1:6000#4:606001:4</t>
  </si>
  <si>
    <t>0:1:4000#4:606001:3</t>
  </si>
  <si>
    <t>0:1:2000#4:606001:2</t>
  </si>
  <si>
    <t>0:1:1000#4:606001:1</t>
  </si>
  <si>
    <t>0:1:14000#4:606002:10</t>
  </si>
  <si>
    <t>0:1:16000#4:606002:12</t>
  </si>
  <si>
    <t>0:1:18000#4:606002:14</t>
  </si>
  <si>
    <t>0:1:20000#4:606002:16</t>
  </si>
  <si>
    <t>0:1:22000#4:606002:18</t>
  </si>
  <si>
    <t>0:1:24000#4:606002:20</t>
  </si>
  <si>
    <t>0:1:26000#4:606002:22</t>
  </si>
  <si>
    <t>0:1:28000#4:606002:24</t>
  </si>
  <si>
    <t>0:1:30000#4:606002:26</t>
  </si>
  <si>
    <t>0:1:32000#4:606002:28</t>
  </si>
  <si>
    <t>0:1:34000#4:606002:30</t>
  </si>
  <si>
    <t>0:1:36000#4:606002:34</t>
  </si>
  <si>
    <t>3:500093:100#3:500015:100#3:100342:5000#3:100258:50#3:510100:1</t>
  </si>
  <si>
    <t>3:500093:120#3:500015:120#3:100342:6000#3:100258:60#3:510100:2</t>
  </si>
  <si>
    <t>3:500093:120#3:500015:140#3:100342:7000#3:100258:70#3:510100:3</t>
  </si>
  <si>
    <t>3:500093:120#3:500015:160#3:100342:8000#3:100258:80#3:510100:4</t>
  </si>
  <si>
    <t>3:500093:120#3:500015:180#3:100342:9000#3:100258:90#3:510100:5</t>
  </si>
  <si>
    <t>3:500093:140#3:500015:200#3:100342:10000#3:100258:100#3:510100:6</t>
  </si>
  <si>
    <t>3:500093:150#3:500015:300#3:100342:15000#3:100258:150#3:510100:9</t>
  </si>
  <si>
    <t>3:500193:170#3:500015:400#3:100342:20000#3:100258:150#3:510100:9</t>
  </si>
  <si>
    <t>3:500193:200#3:500015:500#3:100342:25000#3:100258:200#3:510100:9</t>
  </si>
  <si>
    <t>3:500193:5#3:500015:5#3:100342:5000</t>
  </si>
  <si>
    <t>3:500193:6#3:500015:6#3:100342:6000</t>
  </si>
  <si>
    <t>3:500193:7#3:500015:7#3:100342:7000</t>
  </si>
  <si>
    <t>3:500193:8#3:500015:8#3:100342:8000</t>
  </si>
  <si>
    <t>3:500193:9#3:500015:9#3:100342:9000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</si>
</sst>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5"/>
      <name val="Calibri"/>
      <family val="2"/>
      <scheme val="minor"/>
    </font>
    <font>
      <sz val="11"/>
      <color indexed="8"/>
      <name val="等线"/>
      <charset val="134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8" fillId="4" borderId="2" applyNumberFormat="0" applyAlignment="0" applyProtection="0">
      <alignment vertical="center"/>
    </xf>
    <xf numFmtId="0" fontId="7" fillId="4" borderId="1" applyNumberFormat="0" applyAlignment="0" applyProtection="0">
      <alignment vertical="center"/>
    </xf>
  </cellStyleXfs>
  <cellXfs count="27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0" xfId="0" applyFont="1" applyFill="1" applyAlignment="1">
      <alignment horizontal="center" vertical="center"/>
    </xf>
    <xf numFmtId="0" fontId="5" fillId="3" borderId="1" xfId="2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right" vertical="center"/>
    </xf>
    <xf numFmtId="49" fontId="0" fillId="0" borderId="0" xfId="0" applyNumberFormat="1" applyAlignment="1">
      <alignment horizontal="left" vertical="center" indent="1"/>
    </xf>
    <xf numFmtId="0" fontId="0" fillId="2" borderId="0" xfId="0" applyFill="1" applyAlignment="1">
      <alignment horizontal="right" vertical="center"/>
    </xf>
    <xf numFmtId="49" fontId="0" fillId="2" borderId="0" xfId="0" applyNumberFormat="1" applyFill="1" applyAlignment="1">
      <alignment horizontal="right" vertical="center"/>
    </xf>
    <xf numFmtId="49" fontId="0" fillId="2" borderId="0" xfId="0" applyNumberFormat="1" applyFill="1" applyAlignment="1">
      <alignment horizontal="left" vertical="center" indent="1"/>
    </xf>
    <xf numFmtId="0" fontId="6" fillId="0" borderId="0" xfId="0" applyNumberFormat="1" applyFont="1" applyFill="1" applyBorder="1" applyAlignment="1" applyProtection="1">
      <alignment horizontal="right"/>
    </xf>
    <xf numFmtId="0" fontId="5" fillId="3" borderId="1" xfId="1" applyFont="1" applyFill="1" applyBorder="1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49" fontId="0" fillId="0" borderId="0" xfId="0" applyNumberFormat="1"/>
    <xf numFmtId="0" fontId="7" fillId="4" borderId="1" xfId="2" applyAlignment="1">
      <alignment horizontal="center" vertical="center"/>
    </xf>
    <xf numFmtId="49" fontId="7" fillId="4" borderId="1" xfId="2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4" fillId="0" borderId="0" xfId="0" applyNumberFormat="1" applyFont="1" applyAlignment="1">
      <alignment horizontal="left" vertical="center" indent="1"/>
    </xf>
    <xf numFmtId="49" fontId="3" fillId="0" borderId="0" xfId="0" applyNumberFormat="1" applyFont="1" applyAlignment="1">
      <alignment horizontal="left" vertical="center" indent="1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left" vertical="center" indent="1"/>
    </xf>
    <xf numFmtId="49" fontId="1" fillId="0" borderId="0" xfId="0" applyNumberFormat="1" applyFont="1" applyAlignment="1">
      <alignment horizontal="left" vertical="center" indent="1"/>
    </xf>
  </cellXfs>
  <cellStyles count="3">
    <cellStyle name="Calculation" xfId="2" builtinId="22"/>
    <cellStyle name="Normal" xfId="0" builtinId="0"/>
    <cellStyle name="Output" xfId="1" builtinId="21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1"/>
  <sheetViews>
    <sheetView topLeftCell="A122" workbookViewId="0">
      <selection activeCell="G142" sqref="G142"/>
    </sheetView>
  </sheetViews>
  <sheetFormatPr defaultColWidth="9" defaultRowHeight="15"/>
  <cols>
    <col min="2" max="2" width="13.42578125" style="17" customWidth="1"/>
    <col min="3" max="3" width="18" style="18" customWidth="1"/>
  </cols>
  <sheetData>
    <row r="1" spans="1:5">
      <c r="A1" s="19" t="s">
        <v>0</v>
      </c>
      <c r="B1" s="19" t="s">
        <v>1</v>
      </c>
      <c r="C1" s="20" t="s">
        <v>2</v>
      </c>
      <c r="E1" s="19"/>
    </row>
    <row r="2" spans="1:5">
      <c r="A2" s="2">
        <v>1</v>
      </c>
      <c r="B2" s="2">
        <v>130</v>
      </c>
      <c r="C2" s="21" t="s">
        <v>3</v>
      </c>
    </row>
    <row r="3" spans="1:5">
      <c r="A3" s="2">
        <v>2</v>
      </c>
      <c r="B3" s="2">
        <v>371</v>
      </c>
      <c r="C3" s="21" t="s">
        <v>4</v>
      </c>
    </row>
    <row r="4" spans="1:5">
      <c r="A4" s="2">
        <v>3</v>
      </c>
      <c r="B4" s="2">
        <v>730</v>
      </c>
      <c r="C4" s="21" t="s">
        <v>5</v>
      </c>
    </row>
    <row r="5" spans="1:5">
      <c r="A5" s="2">
        <v>4</v>
      </c>
      <c r="B5" s="2">
        <v>1201</v>
      </c>
      <c r="C5" s="21" t="s">
        <v>6</v>
      </c>
    </row>
    <row r="6" spans="1:5">
      <c r="A6" s="2">
        <v>5</v>
      </c>
      <c r="B6" s="2">
        <v>1801</v>
      </c>
      <c r="C6" s="21" t="s">
        <v>7</v>
      </c>
    </row>
    <row r="7" spans="1:5">
      <c r="A7" s="2">
        <v>6</v>
      </c>
      <c r="B7" s="2">
        <v>2523</v>
      </c>
      <c r="C7" s="21" t="s">
        <v>8</v>
      </c>
    </row>
    <row r="8" spans="1:5">
      <c r="A8" s="2">
        <v>7</v>
      </c>
      <c r="B8" s="2">
        <v>3371</v>
      </c>
      <c r="C8" s="21" t="s">
        <v>9</v>
      </c>
    </row>
    <row r="9" spans="1:5">
      <c r="A9" s="2">
        <v>8</v>
      </c>
      <c r="B9" s="17">
        <v>4321</v>
      </c>
      <c r="C9" s="21" t="s">
        <v>10</v>
      </c>
    </row>
    <row r="10" spans="1:5">
      <c r="A10" s="2">
        <v>9</v>
      </c>
      <c r="B10" s="17">
        <v>5411</v>
      </c>
      <c r="C10" s="21" t="s">
        <v>11</v>
      </c>
    </row>
    <row r="11" spans="1:5">
      <c r="A11" s="2">
        <v>10</v>
      </c>
      <c r="B11" s="17">
        <v>7204</v>
      </c>
      <c r="C11" s="21" t="s">
        <v>12</v>
      </c>
    </row>
    <row r="12" spans="1:5">
      <c r="A12" s="2">
        <v>11</v>
      </c>
      <c r="B12" s="17">
        <v>9247</v>
      </c>
      <c r="C12" s="21" t="s">
        <v>13</v>
      </c>
    </row>
    <row r="13" spans="1:5">
      <c r="A13" s="2">
        <v>12</v>
      </c>
      <c r="B13" s="2">
        <v>11528</v>
      </c>
      <c r="C13" s="21" t="s">
        <v>14</v>
      </c>
    </row>
    <row r="14" spans="1:5">
      <c r="A14" s="2">
        <v>13</v>
      </c>
      <c r="B14" s="2">
        <v>14051</v>
      </c>
      <c r="C14" s="21" t="s">
        <v>15</v>
      </c>
    </row>
    <row r="15" spans="1:5">
      <c r="A15" s="2">
        <v>14</v>
      </c>
      <c r="B15" s="2">
        <v>16804</v>
      </c>
      <c r="C15" s="21" t="s">
        <v>16</v>
      </c>
    </row>
    <row r="16" spans="1:5">
      <c r="A16" s="2">
        <v>15</v>
      </c>
      <c r="B16" s="2">
        <v>19803</v>
      </c>
      <c r="C16" s="21" t="s">
        <v>17</v>
      </c>
    </row>
    <row r="17" spans="1:3">
      <c r="A17" s="2">
        <v>16</v>
      </c>
      <c r="B17" s="2">
        <v>23047</v>
      </c>
      <c r="C17" s="21" t="s">
        <v>18</v>
      </c>
    </row>
    <row r="18" spans="1:3">
      <c r="A18" s="2">
        <v>17</v>
      </c>
      <c r="B18" s="2">
        <v>26524</v>
      </c>
      <c r="C18" s="21" t="s">
        <v>19</v>
      </c>
    </row>
    <row r="19" spans="1:3">
      <c r="A19" s="2">
        <v>18</v>
      </c>
      <c r="B19" s="2">
        <v>30245</v>
      </c>
      <c r="C19" s="21" t="s">
        <v>20</v>
      </c>
    </row>
    <row r="20" spans="1:3">
      <c r="A20" s="2">
        <v>19</v>
      </c>
      <c r="B20" s="2">
        <v>34207</v>
      </c>
      <c r="C20" s="21" t="s">
        <v>21</v>
      </c>
    </row>
    <row r="21" spans="1:3">
      <c r="A21" s="2">
        <v>20</v>
      </c>
      <c r="B21" s="2">
        <v>39608</v>
      </c>
      <c r="C21" s="21" t="s">
        <v>22</v>
      </c>
    </row>
    <row r="22" spans="1:3">
      <c r="A22" s="2">
        <v>21</v>
      </c>
      <c r="B22" s="2">
        <v>45369</v>
      </c>
      <c r="C22" s="21" t="s">
        <v>23</v>
      </c>
    </row>
    <row r="23" spans="1:3">
      <c r="A23" s="2">
        <v>22</v>
      </c>
      <c r="B23" s="2">
        <v>51481</v>
      </c>
      <c r="C23" s="21" t="s">
        <v>24</v>
      </c>
    </row>
    <row r="24" spans="1:3">
      <c r="A24" s="2">
        <v>23</v>
      </c>
      <c r="B24" s="2">
        <v>57963</v>
      </c>
      <c r="C24" s="21" t="s">
        <v>25</v>
      </c>
    </row>
    <row r="25" spans="1:3">
      <c r="A25" s="2">
        <v>24</v>
      </c>
      <c r="B25" s="2">
        <v>64806</v>
      </c>
      <c r="C25" s="21" t="s">
        <v>26</v>
      </c>
    </row>
    <row r="26" spans="1:3">
      <c r="A26" s="2">
        <v>25</v>
      </c>
      <c r="B26" s="2">
        <v>72004</v>
      </c>
      <c r="C26" s="21" t="s">
        <v>27</v>
      </c>
    </row>
    <row r="27" spans="1:3">
      <c r="A27" s="2">
        <v>26</v>
      </c>
      <c r="B27" s="2">
        <v>79569</v>
      </c>
      <c r="C27" s="21" t="s">
        <v>28</v>
      </c>
    </row>
    <row r="28" spans="1:3">
      <c r="A28" s="2">
        <v>27</v>
      </c>
      <c r="B28" s="2">
        <v>87484</v>
      </c>
      <c r="C28" s="21" t="s">
        <v>29</v>
      </c>
    </row>
    <row r="29" spans="1:3">
      <c r="A29" s="2">
        <v>28</v>
      </c>
      <c r="B29" s="2">
        <v>95767</v>
      </c>
      <c r="C29" s="21" t="s">
        <v>30</v>
      </c>
    </row>
    <row r="30" spans="1:3">
      <c r="A30" s="2">
        <v>29</v>
      </c>
      <c r="B30" s="2">
        <v>104410</v>
      </c>
      <c r="C30" s="21" t="s">
        <v>31</v>
      </c>
    </row>
    <row r="31" spans="1:3">
      <c r="A31" s="2">
        <v>30</v>
      </c>
      <c r="B31" s="2">
        <v>115210</v>
      </c>
      <c r="C31" s="21" t="s">
        <v>32</v>
      </c>
    </row>
    <row r="32" spans="1:3">
      <c r="A32" s="2">
        <v>31</v>
      </c>
      <c r="B32" s="2">
        <v>126489</v>
      </c>
      <c r="C32" s="21" t="s">
        <v>33</v>
      </c>
    </row>
    <row r="33" spans="1:3">
      <c r="A33" s="2">
        <v>32</v>
      </c>
      <c r="B33" s="2">
        <v>138243</v>
      </c>
      <c r="C33" s="21" t="s">
        <v>34</v>
      </c>
    </row>
    <row r="34" spans="1:3">
      <c r="A34" s="2">
        <v>33</v>
      </c>
      <c r="B34" s="2">
        <v>150491</v>
      </c>
      <c r="C34" s="21" t="s">
        <v>35</v>
      </c>
    </row>
    <row r="35" spans="1:3">
      <c r="A35" s="2">
        <v>34</v>
      </c>
      <c r="B35" s="2">
        <v>163206</v>
      </c>
      <c r="C35" s="21" t="s">
        <v>36</v>
      </c>
    </row>
    <row r="36" spans="1:3">
      <c r="A36" s="2">
        <v>35</v>
      </c>
      <c r="B36" s="2">
        <v>176402</v>
      </c>
      <c r="C36" s="21" t="s">
        <v>37</v>
      </c>
    </row>
    <row r="37" spans="1:3">
      <c r="A37" s="2">
        <v>36</v>
      </c>
      <c r="B37" s="2">
        <v>190088</v>
      </c>
      <c r="C37" s="21" t="s">
        <v>38</v>
      </c>
    </row>
    <row r="38" spans="1:3">
      <c r="A38" s="2">
        <v>37</v>
      </c>
      <c r="B38" s="2">
        <v>204241</v>
      </c>
      <c r="C38" s="21" t="s">
        <v>39</v>
      </c>
    </row>
    <row r="39" spans="1:3">
      <c r="A39" s="2">
        <v>38</v>
      </c>
      <c r="B39" s="2">
        <v>218889</v>
      </c>
      <c r="C39" s="21" t="s">
        <v>40</v>
      </c>
    </row>
    <row r="40" spans="1:3">
      <c r="A40" s="2">
        <v>39</v>
      </c>
      <c r="B40" s="2">
        <v>234010</v>
      </c>
      <c r="C40" s="21" t="s">
        <v>41</v>
      </c>
    </row>
    <row r="41" spans="1:3">
      <c r="A41" s="2">
        <v>40</v>
      </c>
      <c r="B41" s="2">
        <v>252005</v>
      </c>
      <c r="C41" s="21" t="s">
        <v>42</v>
      </c>
    </row>
    <row r="42" spans="1:3">
      <c r="A42" s="2">
        <v>41</v>
      </c>
      <c r="B42" s="2">
        <v>270608</v>
      </c>
      <c r="C42" s="21" t="s">
        <v>43</v>
      </c>
    </row>
    <row r="43" spans="1:3">
      <c r="A43" s="2">
        <v>42</v>
      </c>
      <c r="B43" s="2">
        <v>289809</v>
      </c>
      <c r="C43" s="21" t="s">
        <v>44</v>
      </c>
    </row>
    <row r="44" spans="1:3">
      <c r="A44" s="2">
        <v>43</v>
      </c>
      <c r="B44" s="2">
        <v>309610</v>
      </c>
      <c r="C44" s="21" t="s">
        <v>45</v>
      </c>
    </row>
    <row r="45" spans="1:3">
      <c r="A45" s="2">
        <v>44</v>
      </c>
      <c r="B45" s="2">
        <v>330005</v>
      </c>
      <c r="C45" s="21" t="s">
        <v>46</v>
      </c>
    </row>
    <row r="46" spans="1:3">
      <c r="A46" s="2">
        <v>45</v>
      </c>
      <c r="B46" s="2">
        <v>351004</v>
      </c>
      <c r="C46" s="21" t="s">
        <v>47</v>
      </c>
    </row>
    <row r="47" spans="1:3">
      <c r="A47" s="2">
        <v>46</v>
      </c>
      <c r="B47" s="2">
        <v>372611</v>
      </c>
      <c r="C47" s="21" t="s">
        <v>48</v>
      </c>
    </row>
    <row r="48" spans="1:3">
      <c r="A48" s="2">
        <v>47</v>
      </c>
      <c r="B48" s="2">
        <v>394804</v>
      </c>
      <c r="C48" s="21" t="s">
        <v>49</v>
      </c>
    </row>
    <row r="49" spans="1:3">
      <c r="A49" s="2">
        <v>48</v>
      </c>
      <c r="B49" s="2">
        <v>417609</v>
      </c>
      <c r="C49" s="21" t="s">
        <v>50</v>
      </c>
    </row>
    <row r="50" spans="1:3">
      <c r="A50" s="2">
        <v>49</v>
      </c>
      <c r="B50" s="2">
        <v>441011</v>
      </c>
      <c r="C50" s="21" t="s">
        <v>51</v>
      </c>
    </row>
    <row r="51" spans="1:3">
      <c r="A51" s="2">
        <v>50</v>
      </c>
      <c r="B51" s="2">
        <v>468010</v>
      </c>
      <c r="C51" s="21" t="s">
        <v>52</v>
      </c>
    </row>
    <row r="52" spans="1:3">
      <c r="A52" s="2">
        <v>51</v>
      </c>
      <c r="B52" s="2">
        <v>495722</v>
      </c>
      <c r="C52" s="21" t="s">
        <v>53</v>
      </c>
    </row>
    <row r="53" spans="1:3">
      <c r="A53" s="2">
        <v>52</v>
      </c>
      <c r="B53" s="2">
        <v>524161</v>
      </c>
      <c r="C53" s="21" t="s">
        <v>54</v>
      </c>
    </row>
    <row r="54" spans="1:3">
      <c r="A54" s="2">
        <v>53</v>
      </c>
      <c r="B54" s="2">
        <v>553326</v>
      </c>
      <c r="C54" s="21" t="s">
        <v>55</v>
      </c>
    </row>
    <row r="55" spans="1:3">
      <c r="A55" s="2">
        <v>54</v>
      </c>
      <c r="B55" s="2">
        <v>583209</v>
      </c>
      <c r="C55" s="21" t="s">
        <v>56</v>
      </c>
    </row>
    <row r="56" spans="1:3">
      <c r="A56" s="2">
        <v>55</v>
      </c>
      <c r="B56" s="2">
        <v>613803</v>
      </c>
      <c r="C56" s="21" t="s">
        <v>57</v>
      </c>
    </row>
    <row r="57" spans="1:3">
      <c r="A57" s="2">
        <v>56</v>
      </c>
      <c r="B57" s="2">
        <v>645126</v>
      </c>
      <c r="C57" s="21" t="s">
        <v>58</v>
      </c>
    </row>
    <row r="58" spans="1:3">
      <c r="A58" s="2">
        <v>57</v>
      </c>
      <c r="B58" s="2">
        <v>677168</v>
      </c>
      <c r="C58" s="21" t="s">
        <v>59</v>
      </c>
    </row>
    <row r="59" spans="1:3">
      <c r="A59" s="2">
        <v>58</v>
      </c>
      <c r="B59" s="2">
        <v>709929</v>
      </c>
      <c r="C59" s="21" t="s">
        <v>60</v>
      </c>
    </row>
    <row r="60" spans="1:3">
      <c r="A60" s="2">
        <v>59</v>
      </c>
      <c r="B60" s="2">
        <v>743409</v>
      </c>
      <c r="C60" s="21" t="s">
        <v>61</v>
      </c>
    </row>
    <row r="61" spans="1:3">
      <c r="A61" s="2">
        <v>60</v>
      </c>
      <c r="B61" s="2">
        <v>781208</v>
      </c>
      <c r="C61" s="21" t="s">
        <v>62</v>
      </c>
    </row>
    <row r="62" spans="1:3">
      <c r="A62" s="2">
        <v>61</v>
      </c>
      <c r="B62" s="2">
        <v>819842</v>
      </c>
      <c r="C62" s="21" t="s">
        <v>63</v>
      </c>
    </row>
    <row r="63" spans="1:3">
      <c r="A63" s="2">
        <v>62</v>
      </c>
      <c r="B63" s="2">
        <v>859323</v>
      </c>
      <c r="C63" s="21" t="s">
        <v>64</v>
      </c>
    </row>
    <row r="64" spans="1:3">
      <c r="A64" s="2">
        <v>63</v>
      </c>
      <c r="B64" s="2">
        <v>899648</v>
      </c>
      <c r="C64" s="21" t="s">
        <v>65</v>
      </c>
    </row>
    <row r="65" spans="1:3">
      <c r="A65" s="2">
        <v>64</v>
      </c>
      <c r="B65" s="2">
        <v>940805</v>
      </c>
      <c r="C65" s="21" t="s">
        <v>66</v>
      </c>
    </row>
    <row r="66" spans="1:3">
      <c r="A66" s="2">
        <v>65</v>
      </c>
      <c r="B66" s="2">
        <v>982806</v>
      </c>
      <c r="C66" s="21" t="s">
        <v>67</v>
      </c>
    </row>
    <row r="67" spans="1:3">
      <c r="A67" s="2">
        <v>66</v>
      </c>
      <c r="B67" s="2">
        <v>1025647</v>
      </c>
      <c r="C67" s="21" t="s">
        <v>68</v>
      </c>
    </row>
    <row r="68" spans="1:3">
      <c r="A68" s="2">
        <v>67</v>
      </c>
      <c r="B68" s="2">
        <v>1069321</v>
      </c>
      <c r="C68" s="21" t="s">
        <v>69</v>
      </c>
    </row>
    <row r="69" spans="1:3">
      <c r="A69" s="2">
        <v>68</v>
      </c>
      <c r="B69" s="2">
        <v>1113845</v>
      </c>
      <c r="C69" s="21" t="s">
        <v>70</v>
      </c>
    </row>
    <row r="70" spans="1:3">
      <c r="A70" s="2">
        <v>69</v>
      </c>
      <c r="B70" s="2">
        <v>1159201</v>
      </c>
      <c r="C70" s="21" t="s">
        <v>71</v>
      </c>
    </row>
    <row r="71" spans="1:3">
      <c r="A71" s="2">
        <v>70</v>
      </c>
      <c r="B71" s="2">
        <v>1209606</v>
      </c>
      <c r="C71" s="21" t="s">
        <v>72</v>
      </c>
    </row>
    <row r="72" spans="1:3">
      <c r="A72" s="2">
        <v>71</v>
      </c>
      <c r="B72" s="2">
        <v>1260971</v>
      </c>
      <c r="C72" s="21" t="s">
        <v>73</v>
      </c>
    </row>
    <row r="73" spans="1:3">
      <c r="A73" s="2">
        <v>72</v>
      </c>
      <c r="B73" s="2">
        <v>1313284</v>
      </c>
      <c r="C73" s="21" t="s">
        <v>74</v>
      </c>
    </row>
    <row r="74" spans="1:3">
      <c r="A74" s="2">
        <v>73</v>
      </c>
      <c r="B74" s="2">
        <v>1366566</v>
      </c>
      <c r="C74" s="21" t="s">
        <v>75</v>
      </c>
    </row>
    <row r="75" spans="1:3">
      <c r="A75" s="2">
        <v>74</v>
      </c>
      <c r="B75" s="2">
        <v>1420805</v>
      </c>
      <c r="C75" s="21" t="s">
        <v>76</v>
      </c>
    </row>
    <row r="76" spans="1:3">
      <c r="A76" s="2">
        <v>75</v>
      </c>
      <c r="B76" s="2">
        <v>1476006</v>
      </c>
      <c r="C76" s="21" t="s">
        <v>77</v>
      </c>
    </row>
    <row r="77" spans="1:3">
      <c r="A77" s="2">
        <v>76</v>
      </c>
      <c r="B77" s="2">
        <v>1532162</v>
      </c>
      <c r="C77" s="21" t="s">
        <v>78</v>
      </c>
    </row>
    <row r="78" spans="1:3">
      <c r="A78" s="2">
        <v>77</v>
      </c>
      <c r="B78" s="2">
        <v>1589284</v>
      </c>
      <c r="C78" s="21" t="s">
        <v>79</v>
      </c>
    </row>
    <row r="79" spans="1:3">
      <c r="A79" s="2">
        <v>78</v>
      </c>
      <c r="B79" s="2">
        <v>1647362</v>
      </c>
      <c r="C79" s="21" t="s">
        <v>80</v>
      </c>
    </row>
    <row r="80" spans="1:3">
      <c r="A80" s="2">
        <v>79</v>
      </c>
      <c r="B80" s="2">
        <v>1706405</v>
      </c>
      <c r="C80" s="21" t="s">
        <v>81</v>
      </c>
    </row>
    <row r="81" spans="1:3">
      <c r="A81" s="2">
        <v>80</v>
      </c>
      <c r="B81" s="2">
        <v>1771210</v>
      </c>
      <c r="C81" s="21" t="s">
        <v>82</v>
      </c>
    </row>
    <row r="82" spans="1:3">
      <c r="A82" s="2">
        <v>81</v>
      </c>
      <c r="B82" s="2">
        <v>1837088</v>
      </c>
      <c r="C82" s="21" t="s">
        <v>83</v>
      </c>
    </row>
    <row r="83" spans="1:3">
      <c r="A83" s="2">
        <v>82</v>
      </c>
      <c r="B83" s="2">
        <v>1904050</v>
      </c>
      <c r="C83" s="21" t="s">
        <v>84</v>
      </c>
    </row>
    <row r="84" spans="1:3">
      <c r="A84" s="2">
        <v>83</v>
      </c>
      <c r="B84" s="2">
        <v>1972090</v>
      </c>
      <c r="C84" s="21" t="s">
        <v>85</v>
      </c>
    </row>
    <row r="85" spans="1:3">
      <c r="A85" s="2">
        <v>84</v>
      </c>
      <c r="B85" s="2">
        <v>2041208</v>
      </c>
      <c r="C85" s="21" t="s">
        <v>86</v>
      </c>
    </row>
    <row r="86" spans="1:3">
      <c r="A86" s="2">
        <v>85</v>
      </c>
      <c r="B86" s="2">
        <v>2111408</v>
      </c>
      <c r="C86" s="21" t="s">
        <v>87</v>
      </c>
    </row>
    <row r="87" spans="1:3">
      <c r="A87" s="2">
        <v>86</v>
      </c>
      <c r="B87" s="2">
        <v>2182690</v>
      </c>
      <c r="C87" s="21" t="s">
        <v>88</v>
      </c>
    </row>
    <row r="88" spans="1:3">
      <c r="A88" s="2">
        <v>87</v>
      </c>
      <c r="B88" s="2">
        <v>2255043</v>
      </c>
      <c r="C88" s="21" t="s">
        <v>89</v>
      </c>
    </row>
    <row r="89" spans="1:3">
      <c r="A89" s="2">
        <v>88</v>
      </c>
      <c r="B89" s="2">
        <v>2328489</v>
      </c>
      <c r="C89" s="21" t="s">
        <v>90</v>
      </c>
    </row>
    <row r="90" spans="1:3">
      <c r="A90" s="2">
        <v>89</v>
      </c>
      <c r="B90" s="2">
        <v>2403002</v>
      </c>
      <c r="C90" s="21" t="s">
        <v>91</v>
      </c>
    </row>
    <row r="91" spans="1:3">
      <c r="A91" s="2">
        <v>90</v>
      </c>
      <c r="B91" s="2">
        <v>2484008</v>
      </c>
      <c r="C91" s="21" t="s">
        <v>92</v>
      </c>
    </row>
    <row r="92" spans="1:3">
      <c r="A92" s="2">
        <v>91</v>
      </c>
      <c r="B92" s="2">
        <v>2566202</v>
      </c>
      <c r="C92" s="21" t="s">
        <v>93</v>
      </c>
    </row>
    <row r="93" spans="1:3">
      <c r="A93" s="2">
        <v>92</v>
      </c>
      <c r="B93" s="2">
        <v>2649607</v>
      </c>
      <c r="C93" s="21" t="s">
        <v>94</v>
      </c>
    </row>
    <row r="94" spans="1:3">
      <c r="A94" s="2">
        <v>93</v>
      </c>
      <c r="B94" s="2">
        <v>2734211</v>
      </c>
      <c r="C94" s="21" t="s">
        <v>95</v>
      </c>
    </row>
    <row r="95" spans="1:3">
      <c r="A95" s="2">
        <v>94</v>
      </c>
      <c r="B95" s="2">
        <v>2820008</v>
      </c>
      <c r="C95" s="21" t="s">
        <v>96</v>
      </c>
    </row>
    <row r="96" spans="1:3">
      <c r="A96" s="2">
        <v>95</v>
      </c>
      <c r="B96" s="2">
        <v>2907001</v>
      </c>
      <c r="C96" s="21" t="s">
        <v>97</v>
      </c>
    </row>
    <row r="97" spans="1:3">
      <c r="A97" s="2">
        <v>96</v>
      </c>
      <c r="B97" s="2">
        <v>2995208</v>
      </c>
      <c r="C97" s="21" t="s">
        <v>98</v>
      </c>
    </row>
    <row r="98" spans="1:3">
      <c r="A98" s="2">
        <v>97</v>
      </c>
      <c r="B98" s="2">
        <v>3084611</v>
      </c>
      <c r="C98" s="21" t="s">
        <v>99</v>
      </c>
    </row>
    <row r="99" spans="1:3">
      <c r="A99" s="2">
        <v>98</v>
      </c>
      <c r="B99" s="2">
        <v>3175208</v>
      </c>
      <c r="C99" s="21" t="s">
        <v>100</v>
      </c>
    </row>
    <row r="100" spans="1:3">
      <c r="A100" s="2">
        <v>99</v>
      </c>
      <c r="B100" s="2">
        <v>3267006</v>
      </c>
      <c r="C100" s="21" t="s">
        <v>101</v>
      </c>
    </row>
    <row r="101" spans="1:3">
      <c r="A101" s="2">
        <v>100</v>
      </c>
      <c r="B101" s="2">
        <v>3366008</v>
      </c>
      <c r="C101" s="21" t="s">
        <v>102</v>
      </c>
    </row>
    <row r="102" spans="1:3">
      <c r="A102" s="2">
        <v>101</v>
      </c>
      <c r="B102" s="2">
        <v>3466328</v>
      </c>
      <c r="C102" s="21" t="s">
        <v>103</v>
      </c>
    </row>
    <row r="103" spans="1:3">
      <c r="A103" s="2">
        <v>102</v>
      </c>
      <c r="B103" s="2">
        <v>3567964</v>
      </c>
      <c r="C103" s="21" t="s">
        <v>104</v>
      </c>
    </row>
    <row r="104" spans="1:3">
      <c r="A104" s="2">
        <v>103</v>
      </c>
      <c r="B104" s="2">
        <v>3670927</v>
      </c>
      <c r="C104" s="21" t="s">
        <v>105</v>
      </c>
    </row>
    <row r="105" spans="1:3">
      <c r="A105" s="2">
        <v>104</v>
      </c>
      <c r="B105" s="2">
        <v>3775203</v>
      </c>
      <c r="C105" s="21" t="s">
        <v>106</v>
      </c>
    </row>
    <row r="106" spans="1:3">
      <c r="A106" s="2">
        <v>105</v>
      </c>
      <c r="B106" s="2">
        <v>3880804</v>
      </c>
      <c r="C106" s="21" t="s">
        <v>107</v>
      </c>
    </row>
    <row r="107" spans="1:3">
      <c r="A107" s="2">
        <v>106</v>
      </c>
      <c r="B107" s="2">
        <v>3987728</v>
      </c>
      <c r="C107" s="21" t="s">
        <v>108</v>
      </c>
    </row>
    <row r="108" spans="1:3">
      <c r="A108" s="2">
        <v>107</v>
      </c>
      <c r="B108" s="2">
        <v>4095967</v>
      </c>
      <c r="C108" s="21" t="s">
        <v>109</v>
      </c>
    </row>
    <row r="109" spans="1:3">
      <c r="A109" s="2">
        <v>108</v>
      </c>
      <c r="B109" s="2">
        <v>4205526</v>
      </c>
      <c r="C109" s="21" t="s">
        <v>110</v>
      </c>
    </row>
    <row r="110" spans="1:3">
      <c r="A110" s="2">
        <v>109</v>
      </c>
      <c r="B110" s="2">
        <v>4316408</v>
      </c>
      <c r="C110" s="21" t="s">
        <v>111</v>
      </c>
    </row>
    <row r="111" spans="1:3">
      <c r="A111" s="2">
        <v>110</v>
      </c>
      <c r="B111" s="2">
        <v>4435205</v>
      </c>
      <c r="C111" s="21" t="s">
        <v>112</v>
      </c>
    </row>
    <row r="112" spans="1:3">
      <c r="A112" s="2">
        <v>111</v>
      </c>
      <c r="B112" s="2">
        <v>4555450</v>
      </c>
      <c r="C112" s="21" t="s">
        <v>113</v>
      </c>
    </row>
    <row r="113" spans="1:3">
      <c r="A113" s="2">
        <v>112</v>
      </c>
      <c r="B113" s="2">
        <v>4677122</v>
      </c>
      <c r="C113" s="21" t="s">
        <v>114</v>
      </c>
    </row>
    <row r="114" spans="1:3">
      <c r="A114" s="2">
        <v>113</v>
      </c>
      <c r="B114" s="2">
        <v>4800245</v>
      </c>
      <c r="C114" s="21" t="s">
        <v>115</v>
      </c>
    </row>
    <row r="115" spans="1:3">
      <c r="A115" s="2">
        <v>114</v>
      </c>
      <c r="B115" s="2">
        <v>4924808</v>
      </c>
      <c r="C115" s="21" t="s">
        <v>116</v>
      </c>
    </row>
    <row r="116" spans="1:3">
      <c r="A116" s="2">
        <v>115</v>
      </c>
      <c r="B116" s="2">
        <v>5050807</v>
      </c>
      <c r="C116" s="21" t="s">
        <v>117</v>
      </c>
    </row>
    <row r="117" spans="1:3">
      <c r="A117" s="2">
        <v>116</v>
      </c>
      <c r="B117" s="2">
        <v>5178250</v>
      </c>
      <c r="C117" s="21" t="s">
        <v>118</v>
      </c>
    </row>
    <row r="118" spans="1:3">
      <c r="A118" s="2">
        <v>117</v>
      </c>
      <c r="B118" s="2">
        <v>5307123</v>
      </c>
      <c r="C118" s="21" t="s">
        <v>119</v>
      </c>
    </row>
    <row r="119" spans="1:3">
      <c r="A119" s="2">
        <v>118</v>
      </c>
      <c r="B119" s="2">
        <v>5437451</v>
      </c>
      <c r="C119" s="21" t="s">
        <v>120</v>
      </c>
    </row>
    <row r="120" spans="1:3">
      <c r="A120" s="2">
        <v>119</v>
      </c>
      <c r="B120" s="2">
        <v>5569205</v>
      </c>
      <c r="C120" s="21" t="s">
        <v>121</v>
      </c>
    </row>
    <row r="121" spans="1:3">
      <c r="A121" s="2">
        <v>120</v>
      </c>
      <c r="B121" s="2">
        <v>5709605</v>
      </c>
      <c r="C121" s="21" t="s">
        <v>122</v>
      </c>
    </row>
    <row r="122" spans="1:3">
      <c r="A122" s="2">
        <v>121</v>
      </c>
      <c r="B122" s="2">
        <v>5851570</v>
      </c>
      <c r="C122" s="21" t="s">
        <v>123</v>
      </c>
    </row>
    <row r="123" spans="1:3">
      <c r="A123" s="2">
        <v>122</v>
      </c>
      <c r="B123" s="2">
        <v>5995081</v>
      </c>
      <c r="C123" s="21" t="s">
        <v>124</v>
      </c>
    </row>
    <row r="124" spans="1:3">
      <c r="A124" s="2">
        <v>123</v>
      </c>
      <c r="B124" s="2">
        <v>6140166</v>
      </c>
      <c r="C124" s="21" t="s">
        <v>125</v>
      </c>
    </row>
    <row r="125" spans="1:3">
      <c r="A125" s="2">
        <v>124</v>
      </c>
      <c r="B125" s="2">
        <v>6286804</v>
      </c>
      <c r="C125" s="21" t="s">
        <v>126</v>
      </c>
    </row>
    <row r="126" spans="1:3">
      <c r="A126" s="2">
        <v>125</v>
      </c>
      <c r="B126" s="2">
        <v>6435001</v>
      </c>
      <c r="C126" s="21" t="s">
        <v>127</v>
      </c>
    </row>
    <row r="127" spans="1:3">
      <c r="A127" s="2">
        <v>126</v>
      </c>
      <c r="B127" s="2">
        <v>6584763</v>
      </c>
      <c r="C127" s="21" t="s">
        <v>128</v>
      </c>
    </row>
    <row r="128" spans="1:3">
      <c r="A128" s="2">
        <v>127</v>
      </c>
      <c r="B128" s="2">
        <v>6736081</v>
      </c>
      <c r="C128" s="21" t="s">
        <v>129</v>
      </c>
    </row>
    <row r="129" spans="1:3">
      <c r="A129" s="2">
        <v>128</v>
      </c>
      <c r="B129" s="2">
        <v>6888962</v>
      </c>
      <c r="C129" s="21" t="s">
        <v>130</v>
      </c>
    </row>
    <row r="130" spans="1:3">
      <c r="A130" s="2">
        <v>129</v>
      </c>
      <c r="B130" s="2">
        <v>7043408</v>
      </c>
      <c r="C130" s="21" t="s">
        <v>131</v>
      </c>
    </row>
    <row r="131" spans="1:3">
      <c r="A131" s="2">
        <v>130</v>
      </c>
      <c r="B131" s="2">
        <v>7207206</v>
      </c>
      <c r="C131" s="21" t="s">
        <v>132</v>
      </c>
    </row>
    <row r="132" spans="1:3">
      <c r="A132" s="2">
        <v>131</v>
      </c>
      <c r="B132" s="2">
        <v>7372683</v>
      </c>
      <c r="C132" s="21" t="s">
        <v>133</v>
      </c>
    </row>
    <row r="133" spans="1:3">
      <c r="A133" s="2">
        <v>132</v>
      </c>
      <c r="B133" s="2">
        <v>7539847</v>
      </c>
      <c r="C133" s="21" t="s">
        <v>134</v>
      </c>
    </row>
    <row r="134" spans="1:3">
      <c r="A134" s="2">
        <v>133</v>
      </c>
      <c r="B134" s="2">
        <v>7708687</v>
      </c>
      <c r="C134" s="21" t="s">
        <v>135</v>
      </c>
    </row>
    <row r="135" spans="1:3">
      <c r="A135" s="2">
        <v>134</v>
      </c>
      <c r="B135" s="2">
        <v>7879206</v>
      </c>
      <c r="C135" s="21" t="s">
        <v>136</v>
      </c>
    </row>
    <row r="136" spans="1:3">
      <c r="A136" s="2">
        <v>135</v>
      </c>
      <c r="B136" s="2">
        <v>8051403</v>
      </c>
      <c r="C136" s="21" t="s">
        <v>137</v>
      </c>
    </row>
    <row r="137" spans="1:3">
      <c r="A137" s="2">
        <v>136</v>
      </c>
      <c r="B137" s="2">
        <v>8225291</v>
      </c>
      <c r="C137" s="21" t="s">
        <v>138</v>
      </c>
    </row>
    <row r="138" spans="1:3">
      <c r="A138" s="2">
        <v>137</v>
      </c>
      <c r="B138" s="2">
        <v>8400849</v>
      </c>
      <c r="C138" s="21" t="s">
        <v>139</v>
      </c>
    </row>
    <row r="139" spans="1:3">
      <c r="A139" s="2">
        <v>138</v>
      </c>
      <c r="B139" s="2">
        <v>8578082</v>
      </c>
      <c r="C139" s="21" t="s">
        <v>140</v>
      </c>
    </row>
    <row r="140" spans="1:3">
      <c r="A140" s="2">
        <v>139</v>
      </c>
      <c r="B140" s="2">
        <v>8757007</v>
      </c>
      <c r="C140" s="21" t="s">
        <v>141</v>
      </c>
    </row>
    <row r="141" spans="1:3">
      <c r="A141" s="2">
        <v>140</v>
      </c>
      <c r="B141" s="2">
        <v>8946006</v>
      </c>
      <c r="C141" s="21" t="s">
        <v>142</v>
      </c>
    </row>
    <row r="142" spans="1:3">
      <c r="A142" s="2">
        <v>141</v>
      </c>
      <c r="B142" s="2">
        <v>9136802</v>
      </c>
      <c r="C142" s="21" t="s">
        <v>143</v>
      </c>
    </row>
    <row r="143" spans="1:3">
      <c r="A143" s="2">
        <v>142</v>
      </c>
      <c r="B143" s="2">
        <v>9329401</v>
      </c>
      <c r="C143" s="21" t="s">
        <v>144</v>
      </c>
    </row>
    <row r="144" spans="1:3">
      <c r="A144" s="2">
        <v>143</v>
      </c>
      <c r="B144" s="2">
        <v>9523810</v>
      </c>
      <c r="C144" s="21" t="s">
        <v>145</v>
      </c>
    </row>
    <row r="145" spans="1:3">
      <c r="A145" s="2">
        <v>144</v>
      </c>
      <c r="B145" s="2">
        <v>9720001</v>
      </c>
      <c r="C145" s="21" t="s">
        <v>146</v>
      </c>
    </row>
    <row r="146" spans="1:3">
      <c r="A146" s="2">
        <v>145</v>
      </c>
      <c r="B146" s="2">
        <v>9918003</v>
      </c>
      <c r="C146" s="21" t="s">
        <v>147</v>
      </c>
    </row>
    <row r="147" spans="1:3">
      <c r="A147" s="2">
        <v>146</v>
      </c>
      <c r="B147" s="2">
        <v>10117805</v>
      </c>
      <c r="C147" s="21" t="s">
        <v>148</v>
      </c>
    </row>
    <row r="148" spans="1:3">
      <c r="A148" s="2">
        <v>147</v>
      </c>
      <c r="B148" s="2">
        <v>10319404</v>
      </c>
      <c r="C148" s="21" t="s">
        <v>149</v>
      </c>
    </row>
    <row r="149" spans="1:3">
      <c r="A149" s="2">
        <v>148</v>
      </c>
      <c r="B149" s="2">
        <v>10522802</v>
      </c>
      <c r="C149" s="21" t="s">
        <v>150</v>
      </c>
    </row>
    <row r="150" spans="1:3">
      <c r="A150" s="2">
        <v>149</v>
      </c>
      <c r="B150" s="2">
        <v>10728006</v>
      </c>
      <c r="C150" s="21" t="s">
        <v>151</v>
      </c>
    </row>
    <row r="151" spans="1:3">
      <c r="A151" s="2">
        <v>150</v>
      </c>
      <c r="B151" s="2">
        <v>10944003</v>
      </c>
      <c r="C151" s="21" t="s">
        <v>152</v>
      </c>
    </row>
    <row r="152" spans="1:3">
      <c r="A152" s="2">
        <v>151</v>
      </c>
      <c r="B152" s="2">
        <v>11161929</v>
      </c>
      <c r="C152" s="21" t="s">
        <v>153</v>
      </c>
    </row>
    <row r="153" spans="1:3">
      <c r="A153" s="2">
        <v>152</v>
      </c>
      <c r="B153" s="2">
        <v>11381765</v>
      </c>
      <c r="C153" s="21" t="s">
        <v>154</v>
      </c>
    </row>
    <row r="154" spans="1:3">
      <c r="A154" s="2">
        <v>153</v>
      </c>
      <c r="B154" s="2">
        <v>11603521</v>
      </c>
      <c r="C154" s="21" t="s">
        <v>155</v>
      </c>
    </row>
    <row r="155" spans="1:3">
      <c r="A155" s="2">
        <v>154</v>
      </c>
      <c r="B155" s="2">
        <v>11827202</v>
      </c>
      <c r="C155" s="21" t="s">
        <v>156</v>
      </c>
    </row>
    <row r="156" spans="1:3">
      <c r="A156" s="2">
        <v>155</v>
      </c>
      <c r="B156" s="2">
        <v>12052808</v>
      </c>
      <c r="C156" s="21" t="s">
        <v>157</v>
      </c>
    </row>
    <row r="157" spans="1:3">
      <c r="A157" s="2">
        <v>156</v>
      </c>
      <c r="B157" s="2">
        <v>12280327</v>
      </c>
      <c r="C157" s="21" t="s">
        <v>158</v>
      </c>
    </row>
    <row r="158" spans="1:3">
      <c r="A158" s="2">
        <v>157</v>
      </c>
      <c r="B158" s="2">
        <v>12509761</v>
      </c>
      <c r="C158" s="21" t="s">
        <v>159</v>
      </c>
    </row>
    <row r="159" spans="1:3">
      <c r="A159" s="2">
        <v>158</v>
      </c>
      <c r="B159" s="2">
        <v>12741121</v>
      </c>
      <c r="C159" s="21" t="s">
        <v>160</v>
      </c>
    </row>
    <row r="160" spans="1:3">
      <c r="A160" s="2">
        <v>159</v>
      </c>
      <c r="B160" s="2">
        <v>12974403</v>
      </c>
      <c r="C160" s="21" t="s">
        <v>161</v>
      </c>
    </row>
    <row r="161" spans="1:3">
      <c r="A161" s="2">
        <v>160</v>
      </c>
      <c r="B161" s="2">
        <v>13219209</v>
      </c>
      <c r="C161" s="21" t="s">
        <v>162</v>
      </c>
    </row>
    <row r="162" spans="1:3">
      <c r="A162" s="2">
        <v>161</v>
      </c>
      <c r="B162" s="2">
        <v>13466042</v>
      </c>
      <c r="C162" s="21" t="s">
        <v>163</v>
      </c>
    </row>
    <row r="163" spans="1:3">
      <c r="A163" s="2">
        <v>162</v>
      </c>
      <c r="B163" s="2">
        <v>13714921</v>
      </c>
      <c r="C163" s="21" t="s">
        <v>164</v>
      </c>
    </row>
    <row r="164" spans="1:3">
      <c r="A164" s="2">
        <v>163</v>
      </c>
      <c r="B164" s="2">
        <v>13965847</v>
      </c>
      <c r="C164" s="21" t="s">
        <v>165</v>
      </c>
    </row>
    <row r="165" spans="1:3">
      <c r="A165" s="2">
        <v>164</v>
      </c>
      <c r="B165" s="2">
        <v>14218807</v>
      </c>
      <c r="C165" s="21" t="s">
        <v>166</v>
      </c>
    </row>
    <row r="166" spans="1:3">
      <c r="A166" s="2">
        <v>165</v>
      </c>
      <c r="B166" s="2">
        <v>14473804</v>
      </c>
      <c r="C166" s="21" t="s">
        <v>167</v>
      </c>
    </row>
    <row r="167" spans="1:3">
      <c r="A167" s="2">
        <v>166</v>
      </c>
      <c r="B167" s="2">
        <v>14730847</v>
      </c>
      <c r="C167" s="21" t="s">
        <v>168</v>
      </c>
    </row>
    <row r="168" spans="1:3">
      <c r="A168" s="2">
        <v>167</v>
      </c>
      <c r="B168" s="2">
        <v>14989930</v>
      </c>
      <c r="C168" s="21" t="s">
        <v>169</v>
      </c>
    </row>
    <row r="169" spans="1:3">
      <c r="A169" s="2">
        <v>168</v>
      </c>
      <c r="B169" s="2">
        <v>15251042</v>
      </c>
      <c r="C169" s="21" t="s">
        <v>170</v>
      </c>
    </row>
    <row r="170" spans="1:3">
      <c r="A170" s="2">
        <v>169</v>
      </c>
      <c r="B170" s="2">
        <v>15514205</v>
      </c>
      <c r="C170" s="21" t="s">
        <v>171</v>
      </c>
    </row>
    <row r="171" spans="1:3">
      <c r="A171" s="2">
        <v>170</v>
      </c>
      <c r="B171" s="2">
        <v>15789607</v>
      </c>
      <c r="C171" s="21" t="s">
        <v>172</v>
      </c>
    </row>
    <row r="172" spans="1:3">
      <c r="A172" s="2">
        <v>171</v>
      </c>
      <c r="B172" s="2">
        <v>16067167</v>
      </c>
      <c r="C172" s="21" t="s">
        <v>173</v>
      </c>
    </row>
    <row r="173" spans="1:3">
      <c r="A173" s="2">
        <v>172</v>
      </c>
      <c r="B173" s="2">
        <v>16346891</v>
      </c>
      <c r="C173" s="21" t="s">
        <v>174</v>
      </c>
    </row>
    <row r="174" spans="1:3">
      <c r="A174" s="2">
        <v>173</v>
      </c>
      <c r="B174" s="2">
        <v>16628764</v>
      </c>
      <c r="C174" s="21" t="s">
        <v>175</v>
      </c>
    </row>
    <row r="175" spans="1:3">
      <c r="A175" s="2">
        <v>174</v>
      </c>
      <c r="B175" s="2">
        <v>16912803</v>
      </c>
      <c r="C175" s="21" t="s">
        <v>176</v>
      </c>
    </row>
    <row r="176" spans="1:3">
      <c r="A176" s="2">
        <v>175</v>
      </c>
      <c r="B176" s="2">
        <v>17199005</v>
      </c>
      <c r="C176" s="21" t="s">
        <v>177</v>
      </c>
    </row>
    <row r="177" spans="1:3">
      <c r="A177" s="2">
        <v>176</v>
      </c>
      <c r="B177" s="2">
        <v>17487362</v>
      </c>
      <c r="C177" s="21" t="s">
        <v>178</v>
      </c>
    </row>
    <row r="178" spans="1:3">
      <c r="A178" s="2">
        <v>177</v>
      </c>
      <c r="B178" s="2">
        <v>17777883</v>
      </c>
      <c r="C178" s="21" t="s">
        <v>179</v>
      </c>
    </row>
    <row r="179" spans="1:3">
      <c r="A179" s="2">
        <v>178</v>
      </c>
      <c r="B179" s="2">
        <v>18070569</v>
      </c>
      <c r="C179" s="21" t="s">
        <v>180</v>
      </c>
    </row>
    <row r="180" spans="1:3">
      <c r="A180" s="2">
        <v>179</v>
      </c>
      <c r="B180" s="2">
        <v>18365406</v>
      </c>
      <c r="C180" s="21" t="s">
        <v>181</v>
      </c>
    </row>
    <row r="181" spans="1:3">
      <c r="A181" s="2">
        <v>180</v>
      </c>
      <c r="B181" s="2">
        <v>18673206</v>
      </c>
      <c r="C181" s="21" t="s">
        <v>182</v>
      </c>
    </row>
    <row r="182" spans="1:3">
      <c r="A182" s="2">
        <v>181</v>
      </c>
      <c r="B182" s="2">
        <v>18983290</v>
      </c>
      <c r="C182" s="21" t="s">
        <v>183</v>
      </c>
    </row>
    <row r="183" spans="1:3">
      <c r="A183" s="2">
        <v>182</v>
      </c>
      <c r="B183" s="2">
        <v>19295646</v>
      </c>
      <c r="C183" s="21" t="s">
        <v>184</v>
      </c>
    </row>
    <row r="184" spans="1:3">
      <c r="A184" s="2">
        <v>183</v>
      </c>
      <c r="B184" s="2">
        <v>19610284</v>
      </c>
      <c r="C184" s="21" t="s">
        <v>185</v>
      </c>
    </row>
    <row r="185" spans="1:3">
      <c r="A185" s="2">
        <v>184</v>
      </c>
      <c r="B185" s="2">
        <v>19927209</v>
      </c>
      <c r="C185" s="21" t="s">
        <v>186</v>
      </c>
    </row>
    <row r="186" spans="1:3">
      <c r="A186" s="2">
        <v>185</v>
      </c>
      <c r="B186" s="2">
        <v>20246409</v>
      </c>
      <c r="C186" s="21" t="s">
        <v>187</v>
      </c>
    </row>
    <row r="187" spans="1:3">
      <c r="A187" s="2">
        <v>186</v>
      </c>
      <c r="B187" s="2">
        <v>20567888</v>
      </c>
      <c r="C187" s="21" t="s">
        <v>188</v>
      </c>
    </row>
    <row r="188" spans="1:3">
      <c r="A188" s="2">
        <v>187</v>
      </c>
      <c r="B188" s="2">
        <v>20891644</v>
      </c>
      <c r="C188" s="21" t="s">
        <v>189</v>
      </c>
    </row>
    <row r="189" spans="1:3">
      <c r="A189" s="2">
        <v>188</v>
      </c>
      <c r="B189" s="2">
        <v>21217687</v>
      </c>
      <c r="C189" s="21" t="s">
        <v>190</v>
      </c>
    </row>
    <row r="190" spans="1:3">
      <c r="A190" s="2">
        <v>189</v>
      </c>
      <c r="B190" s="2">
        <v>21546003</v>
      </c>
      <c r="C190" s="21" t="s">
        <v>191</v>
      </c>
    </row>
    <row r="191" spans="1:3">
      <c r="A191" s="2">
        <v>190</v>
      </c>
      <c r="B191" s="2">
        <v>21888010</v>
      </c>
      <c r="C191" s="21" t="s">
        <v>192</v>
      </c>
    </row>
    <row r="192" spans="1:3">
      <c r="A192" s="2">
        <v>191</v>
      </c>
      <c r="B192" s="2">
        <v>22232411</v>
      </c>
      <c r="C192" s="21" t="s">
        <v>193</v>
      </c>
    </row>
    <row r="193" spans="1:3">
      <c r="A193" s="2">
        <v>192</v>
      </c>
      <c r="B193" s="2">
        <v>22579211</v>
      </c>
      <c r="C193" s="21" t="s">
        <v>194</v>
      </c>
    </row>
    <row r="194" spans="1:3">
      <c r="A194" s="2">
        <v>193</v>
      </c>
      <c r="B194" s="2">
        <v>22928407</v>
      </c>
      <c r="C194" s="21" t="s">
        <v>195</v>
      </c>
    </row>
    <row r="195" spans="1:3">
      <c r="A195" s="2">
        <v>194</v>
      </c>
      <c r="B195" s="2">
        <v>23280008</v>
      </c>
      <c r="C195" s="21" t="s">
        <v>196</v>
      </c>
    </row>
    <row r="196" spans="1:3">
      <c r="A196" s="2">
        <v>195</v>
      </c>
      <c r="B196" s="2">
        <v>23634009</v>
      </c>
      <c r="C196" s="21" t="s">
        <v>197</v>
      </c>
    </row>
    <row r="197" spans="1:3">
      <c r="A197" s="2">
        <v>196</v>
      </c>
      <c r="B197" s="2">
        <v>23990405</v>
      </c>
      <c r="C197" s="21" t="s">
        <v>198</v>
      </c>
    </row>
    <row r="198" spans="1:3">
      <c r="A198" s="2">
        <v>197</v>
      </c>
      <c r="B198" s="2">
        <v>24349206</v>
      </c>
      <c r="C198" s="21" t="s">
        <v>199</v>
      </c>
    </row>
    <row r="199" spans="1:3">
      <c r="A199" s="2">
        <v>198</v>
      </c>
      <c r="B199" s="2">
        <v>24710409</v>
      </c>
      <c r="C199" s="21" t="s">
        <v>200</v>
      </c>
    </row>
    <row r="200" spans="1:3">
      <c r="A200" s="2">
        <v>199</v>
      </c>
      <c r="B200" s="2">
        <v>25074011</v>
      </c>
      <c r="C200" s="21" t="s">
        <v>201</v>
      </c>
    </row>
    <row r="201" spans="1:3">
      <c r="A201" s="2">
        <v>200</v>
      </c>
      <c r="B201" s="2">
        <v>25437613</v>
      </c>
      <c r="C201" s="21" t="s">
        <v>202</v>
      </c>
    </row>
    <row r="202" spans="1:3">
      <c r="A202" s="2">
        <v>201</v>
      </c>
      <c r="B202" s="2">
        <v>25801215</v>
      </c>
      <c r="C202" s="21" t="s">
        <v>258</v>
      </c>
    </row>
    <row r="203" spans="1:3">
      <c r="A203" s="2">
        <v>202</v>
      </c>
      <c r="B203" s="2">
        <v>26164817</v>
      </c>
      <c r="C203" s="21" t="s">
        <v>259</v>
      </c>
    </row>
    <row r="204" spans="1:3">
      <c r="A204" s="2">
        <v>203</v>
      </c>
      <c r="B204" s="2">
        <v>26528419</v>
      </c>
      <c r="C204" s="21" t="s">
        <v>260</v>
      </c>
    </row>
    <row r="205" spans="1:3">
      <c r="A205" s="2">
        <v>204</v>
      </c>
      <c r="B205" s="2">
        <v>26892021</v>
      </c>
      <c r="C205" s="21" t="s">
        <v>261</v>
      </c>
    </row>
    <row r="206" spans="1:3">
      <c r="A206" s="2">
        <v>205</v>
      </c>
      <c r="B206" s="2">
        <v>27255623</v>
      </c>
      <c r="C206" s="21" t="s">
        <v>262</v>
      </c>
    </row>
    <row r="207" spans="1:3">
      <c r="A207" s="2">
        <v>206</v>
      </c>
      <c r="B207" s="2">
        <v>27619225</v>
      </c>
      <c r="C207" s="21" t="s">
        <v>263</v>
      </c>
    </row>
    <row r="208" spans="1:3">
      <c r="A208" s="2">
        <v>207</v>
      </c>
      <c r="B208" s="2">
        <v>27982827</v>
      </c>
      <c r="C208" s="21" t="s">
        <v>264</v>
      </c>
    </row>
    <row r="209" spans="1:3">
      <c r="A209" s="2">
        <v>208</v>
      </c>
      <c r="B209" s="2">
        <v>28346429</v>
      </c>
      <c r="C209" s="21" t="s">
        <v>265</v>
      </c>
    </row>
    <row r="210" spans="1:3">
      <c r="A210" s="2">
        <v>209</v>
      </c>
      <c r="B210" s="2">
        <v>28710031</v>
      </c>
      <c r="C210" s="21" t="s">
        <v>266</v>
      </c>
    </row>
    <row r="211" spans="1:3">
      <c r="A211" s="2">
        <v>210</v>
      </c>
      <c r="B211" s="17">
        <v>-1</v>
      </c>
      <c r="C211" s="21" t="s">
        <v>267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7"/>
  <sheetViews>
    <sheetView tabSelected="1" workbookViewId="0">
      <pane xSplit="1" ySplit="1" topLeftCell="B28" activePane="bottomRight" state="frozen"/>
      <selection pane="topRight"/>
      <selection pane="bottomLeft"/>
      <selection pane="bottomRight" activeCell="C50" sqref="C50"/>
    </sheetView>
  </sheetViews>
  <sheetFormatPr defaultColWidth="9" defaultRowHeight="15"/>
  <cols>
    <col min="1" max="1" width="7.28515625" style="2" customWidth="1"/>
    <col min="2" max="2" width="10.140625" style="3" bestFit="1" customWidth="1"/>
    <col min="3" max="3" width="71.85546875" style="4" customWidth="1"/>
    <col min="4" max="4" width="19.5703125" style="2" bestFit="1" customWidth="1"/>
    <col min="5" max="5" width="17.28515625" style="2" customWidth="1"/>
    <col min="6" max="6" width="37.5703125" style="5" bestFit="1" customWidth="1"/>
    <col min="7" max="7" width="10.140625" style="2" bestFit="1" customWidth="1"/>
    <col min="8" max="8" width="20.5703125" style="2" bestFit="1" customWidth="1"/>
    <col min="9" max="9" width="13" style="2" customWidth="1"/>
    <col min="10" max="10" width="17.28515625" style="2" customWidth="1"/>
    <col min="11" max="11" width="13" style="2" customWidth="1"/>
    <col min="12" max="12" width="17.28515625" style="2" customWidth="1"/>
    <col min="13" max="13" width="13" style="2" customWidth="1"/>
    <col min="14" max="15" width="15.140625" style="2" customWidth="1"/>
    <col min="16" max="16" width="15.5703125" style="2" customWidth="1"/>
    <col min="17" max="17" width="17.28515625" style="2" customWidth="1"/>
    <col min="18" max="18" width="13" style="2" customWidth="1"/>
    <col min="19" max="19" width="7.140625" style="2" customWidth="1"/>
    <col min="20" max="20" width="16.85546875" style="2" customWidth="1"/>
    <col min="21" max="21" width="11.5703125" style="2" customWidth="1"/>
    <col min="22" max="22" width="14.5703125" style="6" customWidth="1"/>
    <col min="23" max="23" width="19.7109375" style="2" customWidth="1"/>
    <col min="24" max="16384" width="9" style="2"/>
  </cols>
  <sheetData>
    <row r="1" spans="1:22">
      <c r="A1" s="7" t="s">
        <v>0</v>
      </c>
      <c r="B1" s="8" t="s">
        <v>203</v>
      </c>
      <c r="C1" s="8" t="s">
        <v>204</v>
      </c>
      <c r="D1" s="8" t="s">
        <v>205</v>
      </c>
      <c r="E1" s="8" t="s">
        <v>206</v>
      </c>
      <c r="F1" s="8" t="s">
        <v>207</v>
      </c>
      <c r="G1" s="8" t="s">
        <v>208</v>
      </c>
      <c r="H1" s="8" t="s">
        <v>209</v>
      </c>
      <c r="I1" s="8" t="s">
        <v>210</v>
      </c>
      <c r="J1" s="8" t="s">
        <v>211</v>
      </c>
      <c r="K1" s="8" t="s">
        <v>212</v>
      </c>
      <c r="L1" s="8" t="s">
        <v>213</v>
      </c>
      <c r="M1" s="15" t="s">
        <v>214</v>
      </c>
      <c r="N1" s="8" t="s">
        <v>215</v>
      </c>
      <c r="O1" s="8" t="s">
        <v>216</v>
      </c>
      <c r="P1" s="15" t="s">
        <v>217</v>
      </c>
      <c r="Q1" s="7" t="s">
        <v>218</v>
      </c>
      <c r="R1" s="7" t="s">
        <v>219</v>
      </c>
      <c r="S1" s="7" t="s">
        <v>220</v>
      </c>
      <c r="T1" s="2" t="s">
        <v>221</v>
      </c>
      <c r="U1" s="2" t="s">
        <v>222</v>
      </c>
      <c r="V1" s="6" t="s">
        <v>223</v>
      </c>
    </row>
    <row r="2" spans="1:22">
      <c r="A2" s="2">
        <v>0</v>
      </c>
      <c r="B2" s="3">
        <v>0</v>
      </c>
      <c r="C2" s="9" t="s">
        <v>224</v>
      </c>
      <c r="D2" s="3">
        <v>238</v>
      </c>
      <c r="E2" s="3">
        <v>0</v>
      </c>
      <c r="F2" s="9" t="s">
        <v>298</v>
      </c>
      <c r="J2" s="2">
        <v>1</v>
      </c>
      <c r="K2" s="2">
        <v>1</v>
      </c>
      <c r="L2" s="2">
        <v>1</v>
      </c>
      <c r="M2" s="2">
        <v>720</v>
      </c>
      <c r="N2" s="2">
        <v>1</v>
      </c>
      <c r="O2" s="2">
        <v>0</v>
      </c>
      <c r="P2" s="2">
        <v>0</v>
      </c>
      <c r="Q2" s="2">
        <v>4</v>
      </c>
      <c r="R2" s="2">
        <v>20</v>
      </c>
      <c r="T2" s="2">
        <v>5</v>
      </c>
      <c r="U2" s="2">
        <v>5</v>
      </c>
      <c r="V2" s="6">
        <v>3</v>
      </c>
    </row>
    <row r="3" spans="1:22">
      <c r="A3" s="2">
        <v>1</v>
      </c>
      <c r="B3" s="3">
        <v>5000</v>
      </c>
      <c r="C3" s="9" t="s">
        <v>225</v>
      </c>
      <c r="D3" s="3">
        <v>888</v>
      </c>
      <c r="E3" s="3">
        <v>238</v>
      </c>
      <c r="F3" s="9" t="s">
        <v>297</v>
      </c>
      <c r="H3" s="24" t="s">
        <v>269</v>
      </c>
      <c r="I3" s="2" t="s">
        <v>226</v>
      </c>
      <c r="J3" s="2">
        <v>1.1000000000000001</v>
      </c>
      <c r="K3" s="2">
        <f>J3</f>
        <v>1.1000000000000001</v>
      </c>
      <c r="L3" s="2">
        <f>K3</f>
        <v>1.1000000000000001</v>
      </c>
      <c r="M3" s="2">
        <v>740</v>
      </c>
      <c r="N3" s="2">
        <f>J3</f>
        <v>1.1000000000000001</v>
      </c>
      <c r="O3" s="2">
        <v>25</v>
      </c>
      <c r="P3" s="2">
        <v>1</v>
      </c>
      <c r="Q3" s="2">
        <v>4</v>
      </c>
      <c r="R3" s="2">
        <f>R2+10</f>
        <v>30</v>
      </c>
      <c r="S3" s="2">
        <v>20001</v>
      </c>
      <c r="T3" s="2">
        <v>10</v>
      </c>
      <c r="U3" s="2">
        <f>T3</f>
        <v>10</v>
      </c>
      <c r="V3" s="6">
        <v>3</v>
      </c>
    </row>
    <row r="4" spans="1:22">
      <c r="A4" s="2">
        <v>2</v>
      </c>
      <c r="B4" s="3">
        <v>10000</v>
      </c>
      <c r="C4" s="9" t="s">
        <v>227</v>
      </c>
      <c r="D4" s="3">
        <v>2880</v>
      </c>
      <c r="E4" s="3">
        <v>688</v>
      </c>
      <c r="F4" s="9" t="s">
        <v>296</v>
      </c>
      <c r="H4" s="24" t="s">
        <v>269</v>
      </c>
      <c r="I4" s="2" t="s">
        <v>228</v>
      </c>
      <c r="J4" s="2">
        <v>1.1499999999999999</v>
      </c>
      <c r="K4" s="2">
        <f t="shared" ref="K4:L51" si="0">J4</f>
        <v>1.1499999999999999</v>
      </c>
      <c r="L4" s="2">
        <f t="shared" si="0"/>
        <v>1.1499999999999999</v>
      </c>
      <c r="M4" s="2">
        <v>760</v>
      </c>
      <c r="N4" s="2">
        <f t="shared" ref="N4:N52" si="1">J4</f>
        <v>1.1499999999999999</v>
      </c>
      <c r="O4" s="2">
        <v>50</v>
      </c>
      <c r="P4" s="2">
        <v>1</v>
      </c>
      <c r="Q4" s="2">
        <v>4</v>
      </c>
      <c r="R4" s="2">
        <f t="shared" ref="R4:R57" si="2">R3+10</f>
        <v>40</v>
      </c>
      <c r="S4" s="2">
        <v>20002</v>
      </c>
      <c r="T4" s="2">
        <v>10</v>
      </c>
      <c r="U4" s="2">
        <f t="shared" ref="U4:U22" si="3">T4</f>
        <v>10</v>
      </c>
      <c r="V4" s="6">
        <v>3</v>
      </c>
    </row>
    <row r="5" spans="1:22">
      <c r="A5" s="2">
        <v>3</v>
      </c>
      <c r="B5" s="3">
        <v>15000</v>
      </c>
      <c r="C5" s="9" t="s">
        <v>229</v>
      </c>
      <c r="D5" s="3">
        <v>4288</v>
      </c>
      <c r="E5" s="3">
        <v>988</v>
      </c>
      <c r="F5" s="9" t="s">
        <v>295</v>
      </c>
      <c r="H5" s="24" t="s">
        <v>269</v>
      </c>
      <c r="I5" s="2" t="s">
        <v>230</v>
      </c>
      <c r="J5" s="2">
        <v>1.2</v>
      </c>
      <c r="K5" s="2">
        <f t="shared" si="0"/>
        <v>1.2</v>
      </c>
      <c r="L5" s="2">
        <f t="shared" si="0"/>
        <v>1.2</v>
      </c>
      <c r="M5" s="2">
        <v>780</v>
      </c>
      <c r="N5" s="2">
        <f t="shared" si="1"/>
        <v>1.2</v>
      </c>
      <c r="O5" s="2">
        <v>75</v>
      </c>
      <c r="P5" s="2">
        <v>1</v>
      </c>
      <c r="Q5" s="2">
        <v>4</v>
      </c>
      <c r="R5" s="2">
        <f t="shared" si="2"/>
        <v>50</v>
      </c>
      <c r="S5" s="2">
        <v>20003</v>
      </c>
      <c r="T5" s="2">
        <v>10</v>
      </c>
      <c r="U5" s="2">
        <f t="shared" si="3"/>
        <v>10</v>
      </c>
      <c r="V5" s="6">
        <v>3</v>
      </c>
    </row>
    <row r="6" spans="1:22">
      <c r="A6" s="2">
        <v>4</v>
      </c>
      <c r="B6" s="3">
        <v>20000</v>
      </c>
      <c r="C6" s="9" t="s">
        <v>231</v>
      </c>
      <c r="D6" s="3">
        <v>8888</v>
      </c>
      <c r="E6" s="3">
        <v>1888</v>
      </c>
      <c r="F6" s="9" t="s">
        <v>294</v>
      </c>
      <c r="H6" s="24" t="s">
        <v>269</v>
      </c>
      <c r="I6" s="2" t="s">
        <v>232</v>
      </c>
      <c r="J6" s="2">
        <v>1.25</v>
      </c>
      <c r="K6" s="2">
        <f t="shared" si="0"/>
        <v>1.25</v>
      </c>
      <c r="L6" s="2">
        <f t="shared" si="0"/>
        <v>1.25</v>
      </c>
      <c r="M6" s="2">
        <v>800</v>
      </c>
      <c r="N6" s="2">
        <f t="shared" si="1"/>
        <v>1.25</v>
      </c>
      <c r="O6" s="2">
        <v>100</v>
      </c>
      <c r="P6" s="2">
        <v>1</v>
      </c>
      <c r="Q6" s="2">
        <v>4</v>
      </c>
      <c r="R6" s="2">
        <f t="shared" si="2"/>
        <v>60</v>
      </c>
      <c r="S6" s="2">
        <v>20004</v>
      </c>
      <c r="T6" s="2">
        <v>10</v>
      </c>
      <c r="U6" s="2">
        <f t="shared" si="3"/>
        <v>10</v>
      </c>
      <c r="V6" s="6">
        <v>3</v>
      </c>
    </row>
    <row r="7" spans="1:22">
      <c r="A7" s="2">
        <v>5</v>
      </c>
      <c r="B7" s="3">
        <v>25000</v>
      </c>
      <c r="C7" s="9" t="s">
        <v>233</v>
      </c>
      <c r="D7" s="3">
        <v>10880</v>
      </c>
      <c r="E7" s="3">
        <v>2288</v>
      </c>
      <c r="F7" s="10" t="s">
        <v>293</v>
      </c>
      <c r="H7" s="24" t="s">
        <v>269</v>
      </c>
      <c r="I7" s="2" t="s">
        <v>234</v>
      </c>
      <c r="J7" s="2">
        <v>1.3</v>
      </c>
      <c r="K7" s="2">
        <f t="shared" si="0"/>
        <v>1.3</v>
      </c>
      <c r="L7" s="2">
        <f t="shared" si="0"/>
        <v>1.3</v>
      </c>
      <c r="M7" s="2">
        <v>820</v>
      </c>
      <c r="N7" s="2">
        <f t="shared" si="1"/>
        <v>1.3</v>
      </c>
      <c r="O7" s="2">
        <v>125</v>
      </c>
      <c r="P7" s="2">
        <v>1</v>
      </c>
      <c r="Q7" s="2">
        <v>4</v>
      </c>
      <c r="R7" s="2">
        <f t="shared" si="2"/>
        <v>70</v>
      </c>
      <c r="S7" s="2">
        <v>20005</v>
      </c>
      <c r="T7" s="2">
        <v>10</v>
      </c>
      <c r="U7" s="2">
        <f t="shared" si="3"/>
        <v>10</v>
      </c>
      <c r="V7" s="6">
        <v>3</v>
      </c>
    </row>
    <row r="8" spans="1:22">
      <c r="A8" s="2">
        <v>6</v>
      </c>
      <c r="B8" s="3">
        <v>30000</v>
      </c>
      <c r="C8" s="9" t="s">
        <v>235</v>
      </c>
      <c r="D8" s="3">
        <v>18880</v>
      </c>
      <c r="E8" s="3">
        <v>3888</v>
      </c>
      <c r="F8" s="10" t="s">
        <v>292</v>
      </c>
      <c r="H8" s="24" t="s">
        <v>269</v>
      </c>
      <c r="I8" s="2" t="s">
        <v>236</v>
      </c>
      <c r="J8" s="2">
        <v>1.35</v>
      </c>
      <c r="K8" s="2">
        <f t="shared" si="0"/>
        <v>1.35</v>
      </c>
      <c r="L8" s="2">
        <f t="shared" si="0"/>
        <v>1.35</v>
      </c>
      <c r="M8" s="2">
        <v>840</v>
      </c>
      <c r="N8" s="2">
        <f t="shared" si="1"/>
        <v>1.35</v>
      </c>
      <c r="O8" s="2">
        <v>150</v>
      </c>
      <c r="P8" s="2">
        <v>1</v>
      </c>
      <c r="Q8" s="2">
        <v>4</v>
      </c>
      <c r="R8" s="2">
        <f t="shared" si="2"/>
        <v>80</v>
      </c>
      <c r="S8" s="2">
        <v>20006</v>
      </c>
      <c r="T8" s="2">
        <v>10</v>
      </c>
      <c r="U8" s="2">
        <f t="shared" si="3"/>
        <v>10</v>
      </c>
      <c r="V8" s="6">
        <v>3</v>
      </c>
    </row>
    <row r="9" spans="1:22">
      <c r="A9" s="2">
        <v>7</v>
      </c>
      <c r="B9" s="3">
        <v>35000</v>
      </c>
      <c r="C9" s="9" t="s">
        <v>237</v>
      </c>
      <c r="D9" s="3">
        <v>20880</v>
      </c>
      <c r="E9" s="3">
        <v>4188</v>
      </c>
      <c r="F9" s="10" t="s">
        <v>291</v>
      </c>
      <c r="H9" s="24" t="s">
        <v>269</v>
      </c>
      <c r="I9" s="2" t="s">
        <v>236</v>
      </c>
      <c r="J9" s="2">
        <v>1.4</v>
      </c>
      <c r="K9" s="2">
        <f t="shared" si="0"/>
        <v>1.4</v>
      </c>
      <c r="L9" s="2">
        <f t="shared" si="0"/>
        <v>1.4</v>
      </c>
      <c r="M9" s="2">
        <v>860</v>
      </c>
      <c r="N9" s="2">
        <f t="shared" si="1"/>
        <v>1.4</v>
      </c>
      <c r="O9" s="2">
        <v>175</v>
      </c>
      <c r="P9" s="2">
        <v>1</v>
      </c>
      <c r="Q9" s="2">
        <v>4</v>
      </c>
      <c r="R9" s="2">
        <f t="shared" si="2"/>
        <v>90</v>
      </c>
      <c r="S9" s="2">
        <v>20007</v>
      </c>
      <c r="T9" s="2">
        <v>10</v>
      </c>
      <c r="U9" s="2">
        <f t="shared" si="3"/>
        <v>10</v>
      </c>
      <c r="V9" s="6">
        <v>3</v>
      </c>
    </row>
    <row r="10" spans="1:22">
      <c r="A10" s="2">
        <v>8</v>
      </c>
      <c r="B10" s="3">
        <v>40000</v>
      </c>
      <c r="C10" s="9" t="s">
        <v>237</v>
      </c>
      <c r="D10" s="3">
        <v>23880</v>
      </c>
      <c r="E10" s="3">
        <v>4688</v>
      </c>
      <c r="F10" s="10" t="s">
        <v>290</v>
      </c>
      <c r="H10" s="24" t="s">
        <v>269</v>
      </c>
      <c r="I10" s="2" t="s">
        <v>236</v>
      </c>
      <c r="J10" s="2">
        <v>1.45</v>
      </c>
      <c r="K10" s="2">
        <f t="shared" si="0"/>
        <v>1.45</v>
      </c>
      <c r="L10" s="2">
        <f t="shared" si="0"/>
        <v>1.45</v>
      </c>
      <c r="M10" s="2">
        <v>880</v>
      </c>
      <c r="N10" s="2">
        <f t="shared" si="1"/>
        <v>1.45</v>
      </c>
      <c r="O10" s="2">
        <v>200</v>
      </c>
      <c r="P10" s="2">
        <v>1</v>
      </c>
      <c r="Q10" s="2">
        <v>4</v>
      </c>
      <c r="R10" s="2">
        <f t="shared" si="2"/>
        <v>100</v>
      </c>
      <c r="S10" s="2">
        <v>20008</v>
      </c>
      <c r="T10" s="2">
        <v>10</v>
      </c>
      <c r="U10" s="2">
        <f t="shared" si="3"/>
        <v>10</v>
      </c>
      <c r="V10" s="6">
        <v>3</v>
      </c>
    </row>
    <row r="11" spans="1:22">
      <c r="A11" s="2">
        <v>9</v>
      </c>
      <c r="B11" s="3">
        <v>45000</v>
      </c>
      <c r="C11" s="9" t="s">
        <v>237</v>
      </c>
      <c r="D11" s="3">
        <v>23880</v>
      </c>
      <c r="E11" s="3">
        <v>4888</v>
      </c>
      <c r="F11" s="10" t="s">
        <v>289</v>
      </c>
      <c r="H11" s="24" t="s">
        <v>269</v>
      </c>
      <c r="I11" s="2" t="s">
        <v>236</v>
      </c>
      <c r="J11" s="2">
        <v>1.5</v>
      </c>
      <c r="K11" s="2">
        <f t="shared" si="0"/>
        <v>1.5</v>
      </c>
      <c r="L11" s="2">
        <f t="shared" si="0"/>
        <v>1.5</v>
      </c>
      <c r="M11" s="2">
        <v>900</v>
      </c>
      <c r="N11" s="2">
        <f t="shared" si="1"/>
        <v>1.5</v>
      </c>
      <c r="O11" s="2">
        <v>225</v>
      </c>
      <c r="P11" s="2">
        <v>1</v>
      </c>
      <c r="Q11" s="2">
        <v>4</v>
      </c>
      <c r="R11" s="2">
        <f t="shared" si="2"/>
        <v>110</v>
      </c>
      <c r="S11" s="2">
        <v>20009</v>
      </c>
      <c r="T11" s="2">
        <v>10</v>
      </c>
      <c r="U11" s="2">
        <f t="shared" si="3"/>
        <v>10</v>
      </c>
      <c r="V11" s="6">
        <v>3</v>
      </c>
    </row>
    <row r="12" spans="1:22" s="1" customFormat="1">
      <c r="A12" s="2">
        <v>10</v>
      </c>
      <c r="B12" s="3">
        <v>50000</v>
      </c>
      <c r="C12" s="9" t="s">
        <v>237</v>
      </c>
      <c r="D12" s="3">
        <v>23880</v>
      </c>
      <c r="E12" s="3">
        <v>4888</v>
      </c>
      <c r="F12" s="10" t="s">
        <v>288</v>
      </c>
      <c r="H12" s="24" t="s">
        <v>269</v>
      </c>
      <c r="I12" s="2" t="s">
        <v>236</v>
      </c>
      <c r="J12" s="2">
        <v>1.55</v>
      </c>
      <c r="K12" s="2">
        <f t="shared" si="0"/>
        <v>1.55</v>
      </c>
      <c r="L12" s="2">
        <f t="shared" si="0"/>
        <v>1.55</v>
      </c>
      <c r="M12" s="2">
        <v>920</v>
      </c>
      <c r="N12" s="2">
        <f t="shared" si="1"/>
        <v>1.55</v>
      </c>
      <c r="O12" s="2">
        <v>250</v>
      </c>
      <c r="P12" s="2">
        <v>1</v>
      </c>
      <c r="Q12" s="1">
        <v>4</v>
      </c>
      <c r="R12" s="2">
        <f t="shared" si="2"/>
        <v>120</v>
      </c>
      <c r="S12" s="1">
        <v>20010</v>
      </c>
      <c r="T12" s="2">
        <v>10</v>
      </c>
      <c r="U12" s="2">
        <f t="shared" si="3"/>
        <v>10</v>
      </c>
      <c r="V12" s="6">
        <v>3</v>
      </c>
    </row>
    <row r="13" spans="1:22" s="1" customFormat="1">
      <c r="A13" s="2">
        <v>11</v>
      </c>
      <c r="B13" s="3">
        <v>100000</v>
      </c>
      <c r="C13" s="9" t="s">
        <v>237</v>
      </c>
      <c r="D13" s="3">
        <v>23880</v>
      </c>
      <c r="E13" s="3">
        <v>4888</v>
      </c>
      <c r="F13" s="10" t="s">
        <v>287</v>
      </c>
      <c r="H13" s="24" t="s">
        <v>269</v>
      </c>
      <c r="I13" s="2" t="s">
        <v>236</v>
      </c>
      <c r="J13" s="2">
        <v>1.6</v>
      </c>
      <c r="K13" s="2">
        <f t="shared" si="0"/>
        <v>1.6</v>
      </c>
      <c r="L13" s="2">
        <f t="shared" si="0"/>
        <v>1.6</v>
      </c>
      <c r="M13" s="2">
        <v>940</v>
      </c>
      <c r="N13" s="2">
        <f t="shared" si="1"/>
        <v>1.6</v>
      </c>
      <c r="O13" s="2">
        <v>275</v>
      </c>
      <c r="P13" s="2">
        <v>1</v>
      </c>
      <c r="Q13" s="1">
        <v>4</v>
      </c>
      <c r="R13" s="2">
        <f t="shared" si="2"/>
        <v>130</v>
      </c>
      <c r="S13" s="1">
        <v>20011</v>
      </c>
      <c r="T13" s="2">
        <v>10</v>
      </c>
      <c r="U13" s="2">
        <f t="shared" si="3"/>
        <v>10</v>
      </c>
      <c r="V13" s="6">
        <v>3</v>
      </c>
    </row>
    <row r="14" spans="1:22" s="1" customFormat="1">
      <c r="A14" s="2">
        <v>12</v>
      </c>
      <c r="B14" s="3">
        <v>150000</v>
      </c>
      <c r="C14" s="9" t="s">
        <v>237</v>
      </c>
      <c r="D14" s="3">
        <v>23880</v>
      </c>
      <c r="E14" s="3">
        <v>4888</v>
      </c>
      <c r="F14" s="10" t="s">
        <v>287</v>
      </c>
      <c r="H14" s="24" t="s">
        <v>269</v>
      </c>
      <c r="I14" s="2" t="s">
        <v>236</v>
      </c>
      <c r="J14" s="2">
        <v>1.6</v>
      </c>
      <c r="K14" s="2">
        <f t="shared" si="0"/>
        <v>1.6</v>
      </c>
      <c r="L14" s="2">
        <f t="shared" si="0"/>
        <v>1.6</v>
      </c>
      <c r="M14" s="2">
        <v>960</v>
      </c>
      <c r="N14" s="2">
        <f t="shared" si="1"/>
        <v>1.6</v>
      </c>
      <c r="O14" s="2">
        <v>300</v>
      </c>
      <c r="P14" s="1">
        <v>2</v>
      </c>
      <c r="Q14" s="1">
        <v>4</v>
      </c>
      <c r="R14" s="2">
        <f t="shared" si="2"/>
        <v>140</v>
      </c>
      <c r="S14" s="1">
        <v>20012</v>
      </c>
      <c r="T14" s="2">
        <v>10</v>
      </c>
      <c r="U14" s="2">
        <f t="shared" si="3"/>
        <v>10</v>
      </c>
      <c r="V14" s="6">
        <v>3</v>
      </c>
    </row>
    <row r="15" spans="1:22" s="1" customFormat="1">
      <c r="A15" s="2">
        <v>13</v>
      </c>
      <c r="B15" s="3">
        <v>200000</v>
      </c>
      <c r="C15" s="9" t="s">
        <v>237</v>
      </c>
      <c r="D15" s="3">
        <v>23880</v>
      </c>
      <c r="E15" s="3">
        <v>4888</v>
      </c>
      <c r="F15" s="10" t="s">
        <v>287</v>
      </c>
      <c r="H15" s="24" t="s">
        <v>269</v>
      </c>
      <c r="I15" s="2" t="s">
        <v>236</v>
      </c>
      <c r="J15" s="2">
        <v>1.6</v>
      </c>
      <c r="K15" s="2">
        <f t="shared" si="0"/>
        <v>1.6</v>
      </c>
      <c r="L15" s="2">
        <f t="shared" si="0"/>
        <v>1.6</v>
      </c>
      <c r="M15" s="2">
        <v>980</v>
      </c>
      <c r="N15" s="2">
        <f t="shared" si="1"/>
        <v>1.6</v>
      </c>
      <c r="O15" s="2">
        <v>315</v>
      </c>
      <c r="P15" s="1">
        <v>2</v>
      </c>
      <c r="Q15" s="1">
        <v>4</v>
      </c>
      <c r="R15" s="2">
        <f t="shared" si="2"/>
        <v>150</v>
      </c>
      <c r="S15" s="1">
        <v>20013</v>
      </c>
      <c r="T15" s="2">
        <v>10</v>
      </c>
      <c r="U15" s="2">
        <f t="shared" si="3"/>
        <v>10</v>
      </c>
      <c r="V15" s="6">
        <v>3</v>
      </c>
    </row>
    <row r="16" spans="1:22">
      <c r="A16" s="2">
        <v>14</v>
      </c>
      <c r="B16" s="3">
        <v>250000</v>
      </c>
      <c r="C16" s="9" t="s">
        <v>237</v>
      </c>
      <c r="D16" s="3">
        <v>23880</v>
      </c>
      <c r="E16" s="3">
        <v>4888</v>
      </c>
      <c r="F16" s="10" t="s">
        <v>287</v>
      </c>
      <c r="H16" s="24" t="s">
        <v>269</v>
      </c>
      <c r="I16" s="2" t="s">
        <v>236</v>
      </c>
      <c r="J16" s="2">
        <v>1.6</v>
      </c>
      <c r="K16" s="2">
        <f t="shared" si="0"/>
        <v>1.6</v>
      </c>
      <c r="L16" s="2">
        <f t="shared" si="0"/>
        <v>1.6</v>
      </c>
      <c r="M16" s="2">
        <v>1000</v>
      </c>
      <c r="N16" s="2">
        <f t="shared" si="1"/>
        <v>1.6</v>
      </c>
      <c r="O16" s="2">
        <v>330</v>
      </c>
      <c r="P16" s="1">
        <v>2</v>
      </c>
      <c r="Q16" s="1">
        <v>4</v>
      </c>
      <c r="R16" s="2">
        <f t="shared" si="2"/>
        <v>160</v>
      </c>
      <c r="S16" s="2">
        <v>20014</v>
      </c>
      <c r="T16" s="2">
        <v>10</v>
      </c>
      <c r="U16" s="2">
        <f t="shared" si="3"/>
        <v>10</v>
      </c>
      <c r="V16" s="6">
        <v>3</v>
      </c>
    </row>
    <row r="17" spans="1:22">
      <c r="A17" s="2">
        <v>15</v>
      </c>
      <c r="B17" s="3">
        <v>300000</v>
      </c>
      <c r="C17" s="9" t="s">
        <v>237</v>
      </c>
      <c r="D17" s="3">
        <v>23880</v>
      </c>
      <c r="E17" s="3">
        <v>4888</v>
      </c>
      <c r="F17" s="10" t="s">
        <v>287</v>
      </c>
      <c r="H17" s="24" t="s">
        <v>269</v>
      </c>
      <c r="I17" s="2" t="s">
        <v>236</v>
      </c>
      <c r="J17" s="2">
        <v>1.6</v>
      </c>
      <c r="K17" s="2">
        <f t="shared" si="0"/>
        <v>1.6</v>
      </c>
      <c r="L17" s="2">
        <f t="shared" si="0"/>
        <v>1.6</v>
      </c>
      <c r="M17" s="2">
        <v>1020</v>
      </c>
      <c r="N17" s="2">
        <f t="shared" si="1"/>
        <v>1.6</v>
      </c>
      <c r="O17" s="2">
        <v>345</v>
      </c>
      <c r="P17" s="1">
        <v>2</v>
      </c>
      <c r="Q17" s="1">
        <v>4</v>
      </c>
      <c r="R17" s="2">
        <f t="shared" si="2"/>
        <v>170</v>
      </c>
      <c r="S17" s="2">
        <v>20015</v>
      </c>
      <c r="T17" s="2">
        <v>10</v>
      </c>
      <c r="U17" s="2">
        <f t="shared" si="3"/>
        <v>10</v>
      </c>
      <c r="V17" s="6">
        <v>3</v>
      </c>
    </row>
    <row r="18" spans="1:22">
      <c r="A18" s="2">
        <v>16</v>
      </c>
      <c r="B18" s="3">
        <v>350000</v>
      </c>
      <c r="C18" s="9" t="s">
        <v>237</v>
      </c>
      <c r="D18" s="3">
        <v>23880</v>
      </c>
      <c r="E18" s="3">
        <v>4888</v>
      </c>
      <c r="F18" s="10" t="s">
        <v>287</v>
      </c>
      <c r="H18" s="24" t="s">
        <v>269</v>
      </c>
      <c r="I18" s="2" t="s">
        <v>236</v>
      </c>
      <c r="J18" s="2">
        <v>1.6</v>
      </c>
      <c r="K18" s="2">
        <f t="shared" si="0"/>
        <v>1.6</v>
      </c>
      <c r="L18" s="2">
        <f t="shared" si="0"/>
        <v>1.6</v>
      </c>
      <c r="M18" s="2">
        <v>1040</v>
      </c>
      <c r="N18" s="2">
        <f t="shared" si="1"/>
        <v>1.6</v>
      </c>
      <c r="O18" s="2">
        <v>360</v>
      </c>
      <c r="P18" s="1">
        <v>2</v>
      </c>
      <c r="Q18" s="1">
        <v>4</v>
      </c>
      <c r="R18" s="2">
        <f t="shared" si="2"/>
        <v>180</v>
      </c>
      <c r="S18" s="2">
        <v>20016</v>
      </c>
      <c r="T18" s="2">
        <v>10</v>
      </c>
      <c r="U18" s="2">
        <f t="shared" si="3"/>
        <v>10</v>
      </c>
      <c r="V18" s="6">
        <v>3</v>
      </c>
    </row>
    <row r="19" spans="1:22">
      <c r="A19" s="2">
        <v>17</v>
      </c>
      <c r="B19" s="3">
        <v>400000</v>
      </c>
      <c r="C19" s="9" t="s">
        <v>237</v>
      </c>
      <c r="D19" s="3">
        <v>23880</v>
      </c>
      <c r="E19" s="3">
        <v>4888</v>
      </c>
      <c r="F19" s="10" t="s">
        <v>287</v>
      </c>
      <c r="H19" s="24" t="s">
        <v>269</v>
      </c>
      <c r="I19" s="2" t="s">
        <v>236</v>
      </c>
      <c r="J19" s="2">
        <v>1.6</v>
      </c>
      <c r="K19" s="2">
        <f t="shared" si="0"/>
        <v>1.6</v>
      </c>
      <c r="L19" s="2">
        <f t="shared" si="0"/>
        <v>1.6</v>
      </c>
      <c r="M19" s="2">
        <v>1060</v>
      </c>
      <c r="N19" s="2">
        <f t="shared" si="1"/>
        <v>1.6</v>
      </c>
      <c r="O19" s="2">
        <v>375</v>
      </c>
      <c r="P19" s="1">
        <v>2</v>
      </c>
      <c r="Q19" s="1">
        <v>4</v>
      </c>
      <c r="R19" s="2">
        <f t="shared" si="2"/>
        <v>190</v>
      </c>
      <c r="S19" s="2">
        <v>20017</v>
      </c>
      <c r="T19" s="2">
        <v>10</v>
      </c>
      <c r="U19" s="2">
        <f t="shared" si="3"/>
        <v>10</v>
      </c>
      <c r="V19" s="6">
        <v>3</v>
      </c>
    </row>
    <row r="20" spans="1:22">
      <c r="A20" s="2">
        <v>18</v>
      </c>
      <c r="B20" s="3">
        <v>450000</v>
      </c>
      <c r="C20" s="9" t="s">
        <v>237</v>
      </c>
      <c r="D20" s="3">
        <v>23880</v>
      </c>
      <c r="E20" s="3">
        <v>4888</v>
      </c>
      <c r="F20" s="10" t="s">
        <v>287</v>
      </c>
      <c r="H20" s="24" t="s">
        <v>269</v>
      </c>
      <c r="I20" s="2" t="s">
        <v>236</v>
      </c>
      <c r="J20" s="2">
        <v>1.6</v>
      </c>
      <c r="K20" s="2">
        <f t="shared" si="0"/>
        <v>1.6</v>
      </c>
      <c r="L20" s="2">
        <f t="shared" si="0"/>
        <v>1.6</v>
      </c>
      <c r="M20" s="2">
        <v>1080</v>
      </c>
      <c r="N20" s="2">
        <f t="shared" si="1"/>
        <v>1.6</v>
      </c>
      <c r="O20" s="2">
        <v>390</v>
      </c>
      <c r="P20" s="1">
        <v>3</v>
      </c>
      <c r="Q20" s="1">
        <v>4</v>
      </c>
      <c r="R20" s="2">
        <f t="shared" si="2"/>
        <v>200</v>
      </c>
      <c r="S20" s="2">
        <v>20018</v>
      </c>
      <c r="T20" s="2">
        <v>10</v>
      </c>
      <c r="U20" s="2">
        <f t="shared" si="3"/>
        <v>10</v>
      </c>
      <c r="V20" s="6">
        <v>3</v>
      </c>
    </row>
    <row r="21" spans="1:22">
      <c r="A21" s="2">
        <v>19</v>
      </c>
      <c r="B21" s="3">
        <v>500000</v>
      </c>
      <c r="C21" s="9" t="s">
        <v>237</v>
      </c>
      <c r="D21" s="3">
        <v>23880</v>
      </c>
      <c r="E21" s="3">
        <v>4888</v>
      </c>
      <c r="F21" s="10" t="s">
        <v>287</v>
      </c>
      <c r="H21" s="24" t="s">
        <v>269</v>
      </c>
      <c r="I21" s="2" t="s">
        <v>236</v>
      </c>
      <c r="J21" s="2">
        <v>1.6</v>
      </c>
      <c r="K21" s="2">
        <f t="shared" si="0"/>
        <v>1.6</v>
      </c>
      <c r="L21" s="2">
        <f t="shared" si="0"/>
        <v>1.6</v>
      </c>
      <c r="M21" s="2">
        <v>1100</v>
      </c>
      <c r="N21" s="2">
        <f t="shared" si="1"/>
        <v>1.6</v>
      </c>
      <c r="O21" s="2">
        <v>405</v>
      </c>
      <c r="P21" s="1">
        <v>4</v>
      </c>
      <c r="Q21" s="1">
        <v>4</v>
      </c>
      <c r="R21" s="2">
        <f t="shared" si="2"/>
        <v>210</v>
      </c>
      <c r="S21" s="2">
        <v>20018</v>
      </c>
      <c r="T21" s="2">
        <v>10</v>
      </c>
      <c r="U21" s="2">
        <f t="shared" si="3"/>
        <v>10</v>
      </c>
      <c r="V21" s="6">
        <v>3</v>
      </c>
    </row>
    <row r="22" spans="1:22">
      <c r="A22" s="2">
        <v>20</v>
      </c>
      <c r="B22" s="3">
        <v>550000</v>
      </c>
      <c r="C22" s="9" t="s">
        <v>237</v>
      </c>
      <c r="D22" s="3">
        <v>23880</v>
      </c>
      <c r="E22" s="3">
        <v>4888</v>
      </c>
      <c r="F22" s="10" t="s">
        <v>286</v>
      </c>
      <c r="H22" s="24" t="s">
        <v>269</v>
      </c>
      <c r="I22" s="2" t="s">
        <v>236</v>
      </c>
      <c r="J22" s="2">
        <v>1.6</v>
      </c>
      <c r="K22" s="2">
        <f t="shared" si="0"/>
        <v>1.6</v>
      </c>
      <c r="L22" s="2">
        <f t="shared" si="0"/>
        <v>1.6</v>
      </c>
      <c r="M22" s="2">
        <v>1120</v>
      </c>
      <c r="N22" s="2">
        <f t="shared" si="1"/>
        <v>1.6</v>
      </c>
      <c r="O22" s="2">
        <v>420</v>
      </c>
      <c r="P22" s="1">
        <v>5</v>
      </c>
      <c r="Q22" s="1">
        <v>4</v>
      </c>
      <c r="R22" s="2">
        <f t="shared" si="2"/>
        <v>220</v>
      </c>
      <c r="S22" s="2">
        <v>20018</v>
      </c>
      <c r="T22" s="2">
        <v>10</v>
      </c>
      <c r="U22" s="2">
        <f t="shared" si="3"/>
        <v>10</v>
      </c>
      <c r="V22" s="6">
        <v>3</v>
      </c>
    </row>
    <row r="23" spans="1:22">
      <c r="A23" s="2">
        <v>21</v>
      </c>
      <c r="B23" s="3">
        <v>600000</v>
      </c>
      <c r="C23" s="9" t="s">
        <v>237</v>
      </c>
      <c r="D23" s="3">
        <v>20880</v>
      </c>
      <c r="E23" s="3">
        <v>4188</v>
      </c>
      <c r="F23" s="10" t="s">
        <v>299</v>
      </c>
      <c r="H23" s="24" t="s">
        <v>269</v>
      </c>
      <c r="I23" s="2" t="s">
        <v>236</v>
      </c>
      <c r="J23" s="2">
        <v>1.6</v>
      </c>
      <c r="K23" s="2">
        <v>1.6</v>
      </c>
      <c r="L23" s="2">
        <v>1.6</v>
      </c>
      <c r="M23" s="2">
        <v>1320</v>
      </c>
      <c r="N23" s="2">
        <v>2.2000000000000002</v>
      </c>
      <c r="O23" s="2">
        <v>435</v>
      </c>
      <c r="P23" s="2">
        <v>10</v>
      </c>
      <c r="Q23" s="2">
        <v>4</v>
      </c>
      <c r="R23" s="2">
        <f t="shared" si="2"/>
        <v>230</v>
      </c>
      <c r="S23" s="2">
        <v>20018</v>
      </c>
      <c r="T23" s="2">
        <v>40</v>
      </c>
      <c r="U23" s="2">
        <v>40</v>
      </c>
      <c r="V23" s="6">
        <v>10</v>
      </c>
    </row>
    <row r="24" spans="1:22">
      <c r="A24" s="2">
        <v>22</v>
      </c>
      <c r="B24" s="3">
        <v>650000</v>
      </c>
      <c r="C24" s="9" t="s">
        <v>238</v>
      </c>
      <c r="D24" s="3">
        <v>23880</v>
      </c>
      <c r="E24" s="3">
        <v>4688</v>
      </c>
      <c r="F24" s="10" t="s">
        <v>300</v>
      </c>
      <c r="H24" s="24" t="s">
        <v>269</v>
      </c>
      <c r="I24" s="2" t="s">
        <v>239</v>
      </c>
      <c r="J24" s="2">
        <v>1.7</v>
      </c>
      <c r="K24" s="2">
        <v>1.7</v>
      </c>
      <c r="L24" s="2">
        <v>1.7</v>
      </c>
      <c r="M24" s="2">
        <v>1440</v>
      </c>
      <c r="N24" s="2">
        <v>2.4</v>
      </c>
      <c r="O24" s="2">
        <v>450</v>
      </c>
      <c r="P24" s="2">
        <v>12</v>
      </c>
      <c r="Q24" s="2">
        <v>4</v>
      </c>
      <c r="R24" s="2">
        <f t="shared" si="2"/>
        <v>240</v>
      </c>
      <c r="S24" s="2">
        <v>20018</v>
      </c>
      <c r="T24" s="2">
        <v>45</v>
      </c>
      <c r="U24" s="2">
        <v>45</v>
      </c>
      <c r="V24" s="6">
        <v>10</v>
      </c>
    </row>
    <row r="25" spans="1:22">
      <c r="A25" s="2">
        <v>23</v>
      </c>
      <c r="B25" s="3">
        <v>700000</v>
      </c>
      <c r="C25" s="9" t="s">
        <v>240</v>
      </c>
      <c r="D25" s="3">
        <v>26880</v>
      </c>
      <c r="E25" s="3">
        <v>4888</v>
      </c>
      <c r="F25" s="10" t="s">
        <v>301</v>
      </c>
      <c r="H25" s="24" t="s">
        <v>269</v>
      </c>
      <c r="I25" s="2" t="s">
        <v>241</v>
      </c>
      <c r="J25" s="2">
        <v>1.8</v>
      </c>
      <c r="K25" s="2">
        <v>1.8</v>
      </c>
      <c r="L25" s="2">
        <v>1.8</v>
      </c>
      <c r="M25" s="2">
        <v>1560</v>
      </c>
      <c r="N25" s="2">
        <v>2.6</v>
      </c>
      <c r="O25" s="2">
        <v>465</v>
      </c>
      <c r="P25" s="2">
        <v>13</v>
      </c>
      <c r="Q25" s="2">
        <v>4</v>
      </c>
      <c r="R25" s="2">
        <f t="shared" si="2"/>
        <v>250</v>
      </c>
      <c r="S25" s="2">
        <v>20018</v>
      </c>
      <c r="T25" s="2">
        <v>50</v>
      </c>
      <c r="U25" s="2">
        <v>50</v>
      </c>
      <c r="V25" s="6">
        <v>10</v>
      </c>
    </row>
    <row r="26" spans="1:22" s="1" customFormat="1">
      <c r="A26" s="2">
        <v>24</v>
      </c>
      <c r="B26" s="3">
        <v>750000</v>
      </c>
      <c r="C26" s="12" t="s">
        <v>242</v>
      </c>
      <c r="D26" s="11">
        <v>38880</v>
      </c>
      <c r="E26" s="11">
        <v>6888</v>
      </c>
      <c r="F26" s="13" t="s">
        <v>302</v>
      </c>
      <c r="H26" s="24" t="s">
        <v>269</v>
      </c>
      <c r="I26" s="1" t="s">
        <v>243</v>
      </c>
      <c r="J26" s="1">
        <v>1.9</v>
      </c>
      <c r="K26" s="1">
        <v>1.9</v>
      </c>
      <c r="L26" s="1">
        <v>1.9</v>
      </c>
      <c r="M26" s="1">
        <v>1680</v>
      </c>
      <c r="N26" s="1">
        <v>2.8</v>
      </c>
      <c r="O26" s="2">
        <v>480</v>
      </c>
      <c r="P26" s="1">
        <v>14</v>
      </c>
      <c r="Q26" s="1">
        <v>4</v>
      </c>
      <c r="R26" s="1">
        <f t="shared" si="2"/>
        <v>260</v>
      </c>
      <c r="S26" s="2">
        <v>20018</v>
      </c>
      <c r="T26" s="1">
        <v>55</v>
      </c>
      <c r="U26" s="1">
        <v>55</v>
      </c>
      <c r="V26" s="16">
        <v>10</v>
      </c>
    </row>
    <row r="27" spans="1:22" s="1" customFormat="1">
      <c r="A27" s="2">
        <v>25</v>
      </c>
      <c r="B27" s="3">
        <v>800000</v>
      </c>
      <c r="C27" s="12" t="s">
        <v>244</v>
      </c>
      <c r="D27" s="11">
        <v>58880</v>
      </c>
      <c r="E27" s="11">
        <v>9888</v>
      </c>
      <c r="F27" s="13" t="s">
        <v>303</v>
      </c>
      <c r="H27" s="24" t="s">
        <v>269</v>
      </c>
      <c r="I27" s="1" t="s">
        <v>243</v>
      </c>
      <c r="J27" s="1">
        <v>2</v>
      </c>
      <c r="K27" s="1">
        <v>2</v>
      </c>
      <c r="L27" s="1">
        <v>2</v>
      </c>
      <c r="M27" s="1">
        <v>1800</v>
      </c>
      <c r="N27" s="1">
        <v>3</v>
      </c>
      <c r="O27" s="2">
        <v>495</v>
      </c>
      <c r="P27" s="1">
        <v>15</v>
      </c>
      <c r="Q27" s="1">
        <v>4</v>
      </c>
      <c r="R27" s="1">
        <f t="shared" si="2"/>
        <v>270</v>
      </c>
      <c r="S27" s="2">
        <v>20018</v>
      </c>
      <c r="T27" s="1">
        <v>60</v>
      </c>
      <c r="U27" s="1">
        <v>60</v>
      </c>
      <c r="V27" s="16">
        <v>10</v>
      </c>
    </row>
    <row r="28" spans="1:22" s="1" customFormat="1">
      <c r="A28" s="2">
        <v>26</v>
      </c>
      <c r="B28" s="11">
        <v>1000000</v>
      </c>
      <c r="C28" s="12" t="s">
        <v>245</v>
      </c>
      <c r="D28" s="11">
        <v>128880</v>
      </c>
      <c r="E28" s="11">
        <v>12888</v>
      </c>
      <c r="F28" s="13" t="s">
        <v>304</v>
      </c>
      <c r="H28" s="24" t="s">
        <v>269</v>
      </c>
      <c r="I28" s="1" t="s">
        <v>243</v>
      </c>
      <c r="J28" s="1">
        <v>2.1</v>
      </c>
      <c r="K28" s="1">
        <v>2.1</v>
      </c>
      <c r="L28" s="1">
        <v>2.1</v>
      </c>
      <c r="M28" s="1">
        <v>1920</v>
      </c>
      <c r="N28" s="1">
        <v>3.2</v>
      </c>
      <c r="O28" s="2">
        <v>510</v>
      </c>
      <c r="P28" s="1">
        <v>17</v>
      </c>
      <c r="Q28" s="1">
        <v>4</v>
      </c>
      <c r="R28" s="1">
        <f t="shared" si="2"/>
        <v>280</v>
      </c>
      <c r="S28" s="2">
        <v>20018</v>
      </c>
      <c r="T28" s="1">
        <v>65</v>
      </c>
      <c r="U28" s="1">
        <v>65</v>
      </c>
      <c r="V28" s="16">
        <v>10</v>
      </c>
    </row>
    <row r="29" spans="1:22" s="1" customFormat="1">
      <c r="A29" s="2">
        <v>27</v>
      </c>
      <c r="B29" s="11">
        <v>2000000</v>
      </c>
      <c r="C29" s="12" t="s">
        <v>246</v>
      </c>
      <c r="D29" s="11">
        <v>158880</v>
      </c>
      <c r="E29" s="11">
        <v>15888</v>
      </c>
      <c r="F29" s="13" t="s">
        <v>305</v>
      </c>
      <c r="H29" s="24" t="s">
        <v>269</v>
      </c>
      <c r="I29" s="1" t="s">
        <v>243</v>
      </c>
      <c r="J29" s="1">
        <v>2.2000000000000002</v>
      </c>
      <c r="K29" s="1">
        <v>2.2000000000000002</v>
      </c>
      <c r="L29" s="1">
        <v>2.2000000000000002</v>
      </c>
      <c r="M29" s="1">
        <v>2040</v>
      </c>
      <c r="N29" s="1">
        <v>3.4</v>
      </c>
      <c r="O29" s="2">
        <v>525</v>
      </c>
      <c r="P29" s="1">
        <v>19</v>
      </c>
      <c r="Q29" s="1">
        <v>4</v>
      </c>
      <c r="R29" s="1">
        <f t="shared" si="2"/>
        <v>290</v>
      </c>
      <c r="S29" s="2">
        <v>20018</v>
      </c>
      <c r="T29" s="1">
        <v>70</v>
      </c>
      <c r="U29" s="1">
        <v>70</v>
      </c>
      <c r="V29" s="16">
        <v>10</v>
      </c>
    </row>
    <row r="30" spans="1:22">
      <c r="A30" s="2">
        <v>28</v>
      </c>
      <c r="B30" s="11">
        <v>3000000</v>
      </c>
      <c r="C30" s="9" t="s">
        <v>247</v>
      </c>
      <c r="D30" s="3">
        <v>188880</v>
      </c>
      <c r="E30" s="3">
        <v>18888</v>
      </c>
      <c r="F30" s="10" t="s">
        <v>306</v>
      </c>
      <c r="H30" s="24" t="s">
        <v>269</v>
      </c>
      <c r="I30" s="2" t="s">
        <v>248</v>
      </c>
      <c r="J30" s="2">
        <v>2.2999999999999998</v>
      </c>
      <c r="K30" s="2">
        <v>2.2999999999999998</v>
      </c>
      <c r="L30" s="2">
        <v>2.2999999999999998</v>
      </c>
      <c r="M30" s="2">
        <v>2160</v>
      </c>
      <c r="N30" s="2">
        <v>3.6</v>
      </c>
      <c r="O30" s="2">
        <v>540</v>
      </c>
      <c r="P30" s="1">
        <v>21</v>
      </c>
      <c r="Q30" s="2">
        <v>4</v>
      </c>
      <c r="R30" s="2">
        <f t="shared" si="2"/>
        <v>300</v>
      </c>
      <c r="S30" s="2">
        <v>20018</v>
      </c>
      <c r="T30" s="2">
        <v>75</v>
      </c>
      <c r="U30" s="2">
        <v>75</v>
      </c>
      <c r="V30" s="6">
        <v>10</v>
      </c>
    </row>
    <row r="31" spans="1:22">
      <c r="A31" s="2">
        <v>29</v>
      </c>
      <c r="B31" s="11">
        <v>4000000</v>
      </c>
      <c r="C31" s="9" t="s">
        <v>249</v>
      </c>
      <c r="D31" s="3">
        <v>228880</v>
      </c>
      <c r="E31" s="3">
        <v>22888</v>
      </c>
      <c r="F31" s="10" t="s">
        <v>307</v>
      </c>
      <c r="H31" s="24" t="s">
        <v>269</v>
      </c>
      <c r="I31" s="2" t="s">
        <v>248</v>
      </c>
      <c r="J31" s="2">
        <v>2.5</v>
      </c>
      <c r="K31" s="2">
        <v>2.5</v>
      </c>
      <c r="L31" s="2">
        <v>2.5</v>
      </c>
      <c r="M31" s="2">
        <v>2280</v>
      </c>
      <c r="N31" s="2">
        <v>3.8</v>
      </c>
      <c r="O31" s="2">
        <v>555</v>
      </c>
      <c r="P31" s="1">
        <v>23</v>
      </c>
      <c r="Q31" s="2">
        <v>4</v>
      </c>
      <c r="R31" s="2">
        <f t="shared" si="2"/>
        <v>310</v>
      </c>
      <c r="S31" s="2">
        <v>20018</v>
      </c>
      <c r="T31" s="2">
        <v>80</v>
      </c>
      <c r="U31" s="2">
        <v>80</v>
      </c>
      <c r="V31" s="6">
        <v>10</v>
      </c>
    </row>
    <row r="32" spans="1:22">
      <c r="A32" s="2">
        <v>30</v>
      </c>
      <c r="B32" s="11">
        <v>5000000</v>
      </c>
      <c r="C32" s="14" t="s">
        <v>250</v>
      </c>
      <c r="D32" s="3">
        <v>328880</v>
      </c>
      <c r="E32" s="3">
        <v>32888</v>
      </c>
      <c r="F32" s="10" t="s">
        <v>308</v>
      </c>
      <c r="H32" s="24" t="s">
        <v>269</v>
      </c>
      <c r="I32" s="2" t="s">
        <v>251</v>
      </c>
      <c r="J32" s="2">
        <v>2.6</v>
      </c>
      <c r="K32" s="2">
        <v>2.6</v>
      </c>
      <c r="L32" s="2">
        <v>2.6</v>
      </c>
      <c r="M32" s="2">
        <v>2400</v>
      </c>
      <c r="N32" s="2">
        <v>4</v>
      </c>
      <c r="O32" s="2">
        <v>570</v>
      </c>
      <c r="P32" s="1">
        <v>25</v>
      </c>
      <c r="Q32" s="2">
        <v>4</v>
      </c>
      <c r="R32" s="2">
        <f t="shared" si="2"/>
        <v>320</v>
      </c>
      <c r="S32" s="2">
        <v>20018</v>
      </c>
      <c r="T32" s="2">
        <v>85</v>
      </c>
      <c r="U32" s="2">
        <v>85</v>
      </c>
      <c r="V32" s="6">
        <v>10</v>
      </c>
    </row>
    <row r="33" spans="1:22">
      <c r="A33" s="2">
        <v>31</v>
      </c>
      <c r="B33" s="11">
        <v>6000000</v>
      </c>
      <c r="C33" s="14" t="s">
        <v>252</v>
      </c>
      <c r="D33" s="3">
        <v>428880</v>
      </c>
      <c r="E33" s="3">
        <v>42888</v>
      </c>
      <c r="F33" s="10" t="s">
        <v>309</v>
      </c>
      <c r="H33" s="24" t="s">
        <v>269</v>
      </c>
      <c r="I33" s="2" t="s">
        <v>251</v>
      </c>
      <c r="J33" s="2">
        <v>2.7</v>
      </c>
      <c r="K33" s="2">
        <v>2.7</v>
      </c>
      <c r="L33" s="2">
        <v>2.7</v>
      </c>
      <c r="M33" s="2">
        <v>2520</v>
      </c>
      <c r="N33" s="2">
        <v>4.2</v>
      </c>
      <c r="O33" s="2">
        <v>585</v>
      </c>
      <c r="P33" s="1">
        <v>27</v>
      </c>
      <c r="Q33" s="2">
        <v>4</v>
      </c>
      <c r="R33" s="2">
        <f t="shared" si="2"/>
        <v>330</v>
      </c>
      <c r="S33" s="2">
        <v>20018</v>
      </c>
      <c r="T33" s="2">
        <v>90</v>
      </c>
      <c r="U33" s="2">
        <v>90</v>
      </c>
      <c r="V33" s="6">
        <v>10</v>
      </c>
    </row>
    <row r="34" spans="1:22">
      <c r="A34" s="2">
        <v>32</v>
      </c>
      <c r="B34" s="11">
        <v>7000000</v>
      </c>
      <c r="C34" s="14" t="s">
        <v>253</v>
      </c>
      <c r="D34" s="3">
        <v>528880</v>
      </c>
      <c r="E34" s="3">
        <v>52888</v>
      </c>
      <c r="F34" s="10" t="s">
        <v>310</v>
      </c>
      <c r="H34" s="24" t="s">
        <v>269</v>
      </c>
      <c r="I34" s="2" t="s">
        <v>254</v>
      </c>
      <c r="J34" s="2">
        <v>2.8</v>
      </c>
      <c r="K34" s="2">
        <v>2.8</v>
      </c>
      <c r="L34" s="2">
        <v>2.8</v>
      </c>
      <c r="M34" s="2">
        <v>2640</v>
      </c>
      <c r="N34" s="2">
        <v>4.4000000000000004</v>
      </c>
      <c r="O34" s="2">
        <v>600</v>
      </c>
      <c r="P34" s="1">
        <v>30</v>
      </c>
      <c r="Q34" s="2">
        <v>4</v>
      </c>
      <c r="R34" s="2">
        <f t="shared" si="2"/>
        <v>340</v>
      </c>
      <c r="S34" s="2">
        <v>20018</v>
      </c>
      <c r="T34" s="2">
        <v>95</v>
      </c>
      <c r="U34" s="2">
        <v>95</v>
      </c>
      <c r="V34" s="6">
        <v>10</v>
      </c>
    </row>
    <row r="35" spans="1:22">
      <c r="A35" s="2">
        <v>33</v>
      </c>
      <c r="B35" s="11">
        <v>8000000</v>
      </c>
      <c r="C35" s="14" t="s">
        <v>256</v>
      </c>
      <c r="D35" s="3">
        <v>528880</v>
      </c>
      <c r="E35" s="3">
        <v>328880</v>
      </c>
      <c r="F35" s="22" t="s">
        <v>257</v>
      </c>
      <c r="H35" s="24" t="s">
        <v>269</v>
      </c>
      <c r="I35" s="2" t="s">
        <v>254</v>
      </c>
      <c r="J35" s="2">
        <v>2.9</v>
      </c>
      <c r="K35" s="2">
        <v>2.9</v>
      </c>
      <c r="L35" s="2">
        <v>2.9</v>
      </c>
      <c r="M35" s="2">
        <v>2760</v>
      </c>
      <c r="N35" s="2">
        <v>4.5999999999999996</v>
      </c>
      <c r="O35" s="2">
        <v>615</v>
      </c>
      <c r="P35" s="1">
        <v>33</v>
      </c>
      <c r="Q35" s="2">
        <v>4</v>
      </c>
      <c r="R35" s="2">
        <f t="shared" si="2"/>
        <v>350</v>
      </c>
      <c r="S35" s="2">
        <v>20018</v>
      </c>
      <c r="T35" s="2">
        <v>100</v>
      </c>
      <c r="U35" s="2">
        <v>100</v>
      </c>
      <c r="V35" s="6">
        <v>10</v>
      </c>
    </row>
    <row r="36" spans="1:22">
      <c r="A36" s="2">
        <v>34</v>
      </c>
      <c r="B36" s="11">
        <v>10000000</v>
      </c>
      <c r="C36" s="14" t="s">
        <v>255</v>
      </c>
      <c r="D36" s="3">
        <v>528880</v>
      </c>
      <c r="E36" s="3">
        <v>328880</v>
      </c>
      <c r="F36" s="23" t="s">
        <v>268</v>
      </c>
      <c r="H36" s="24" t="s">
        <v>269</v>
      </c>
      <c r="I36" s="2" t="s">
        <v>254</v>
      </c>
      <c r="J36" s="2">
        <v>3</v>
      </c>
      <c r="K36" s="2">
        <v>3</v>
      </c>
      <c r="L36" s="2">
        <v>3</v>
      </c>
      <c r="M36" s="2">
        <v>2880</v>
      </c>
      <c r="N36" s="2">
        <v>4.8</v>
      </c>
      <c r="O36" s="2">
        <v>630</v>
      </c>
      <c r="P36" s="1">
        <v>36</v>
      </c>
      <c r="Q36" s="2">
        <v>4</v>
      </c>
      <c r="R36" s="2">
        <f t="shared" si="2"/>
        <v>360</v>
      </c>
      <c r="S36" s="2">
        <v>20018</v>
      </c>
      <c r="T36" s="2">
        <v>105</v>
      </c>
      <c r="U36" s="2">
        <v>105</v>
      </c>
      <c r="V36" s="6">
        <v>10</v>
      </c>
    </row>
    <row r="37" spans="1:22">
      <c r="A37" s="2">
        <v>35</v>
      </c>
      <c r="B37" s="11">
        <v>12000000</v>
      </c>
      <c r="C37" s="14" t="s">
        <v>311</v>
      </c>
      <c r="D37" s="3">
        <v>1028880</v>
      </c>
      <c r="E37" s="3">
        <v>428880</v>
      </c>
      <c r="F37" s="25" t="s">
        <v>270</v>
      </c>
      <c r="H37" s="24" t="s">
        <v>269</v>
      </c>
      <c r="I37" s="2" t="s">
        <v>254</v>
      </c>
      <c r="J37" s="2">
        <v>3.2</v>
      </c>
      <c r="K37" s="2">
        <v>3.2</v>
      </c>
      <c r="L37" s="2">
        <v>3.2</v>
      </c>
      <c r="M37" s="2">
        <v>3000</v>
      </c>
      <c r="N37" s="2">
        <v>5</v>
      </c>
      <c r="O37" s="2">
        <v>645</v>
      </c>
      <c r="P37" s="1">
        <v>39</v>
      </c>
      <c r="Q37" s="2">
        <v>4</v>
      </c>
      <c r="R37" s="2">
        <f t="shared" si="2"/>
        <v>370</v>
      </c>
      <c r="S37" s="2">
        <v>20018</v>
      </c>
      <c r="T37" s="2">
        <v>110</v>
      </c>
      <c r="U37" s="2">
        <v>110</v>
      </c>
      <c r="V37" s="6">
        <v>10</v>
      </c>
    </row>
    <row r="38" spans="1:22">
      <c r="A38" s="2">
        <v>36</v>
      </c>
      <c r="B38" s="11">
        <v>14000000</v>
      </c>
      <c r="C38" s="14" t="s">
        <v>312</v>
      </c>
      <c r="D38" s="3">
        <v>1028880</v>
      </c>
      <c r="E38" s="3">
        <v>448880</v>
      </c>
      <c r="F38" s="25" t="s">
        <v>271</v>
      </c>
      <c r="H38" s="24" t="s">
        <v>269</v>
      </c>
      <c r="I38" s="2" t="s">
        <v>254</v>
      </c>
      <c r="J38" s="2">
        <v>3.4</v>
      </c>
      <c r="K38" s="2">
        <v>3.4</v>
      </c>
      <c r="L38" s="2">
        <v>3.4</v>
      </c>
      <c r="M38" s="2">
        <v>3120</v>
      </c>
      <c r="N38" s="2">
        <v>5.2</v>
      </c>
      <c r="O38" s="2">
        <v>660</v>
      </c>
      <c r="P38" s="1">
        <v>42</v>
      </c>
      <c r="Q38" s="2">
        <v>4</v>
      </c>
      <c r="R38" s="2">
        <f t="shared" si="2"/>
        <v>380</v>
      </c>
      <c r="S38" s="2">
        <v>20018</v>
      </c>
      <c r="T38" s="2">
        <v>115</v>
      </c>
      <c r="U38" s="2">
        <v>115</v>
      </c>
      <c r="V38" s="6">
        <v>10</v>
      </c>
    </row>
    <row r="39" spans="1:22" s="1" customFormat="1">
      <c r="A39" s="2">
        <v>37</v>
      </c>
      <c r="B39" s="11">
        <v>16000000</v>
      </c>
      <c r="C39" s="14" t="s">
        <v>313</v>
      </c>
      <c r="D39" s="3">
        <v>1028880</v>
      </c>
      <c r="E39" s="3">
        <v>468880</v>
      </c>
      <c r="F39" s="25" t="s">
        <v>272</v>
      </c>
      <c r="G39" s="2"/>
      <c r="H39" s="24" t="s">
        <v>269</v>
      </c>
      <c r="I39" s="2" t="s">
        <v>254</v>
      </c>
      <c r="J39" s="2">
        <v>3.6</v>
      </c>
      <c r="K39" s="2">
        <v>3.6</v>
      </c>
      <c r="L39" s="2">
        <v>3.6</v>
      </c>
      <c r="M39" s="2">
        <v>3240</v>
      </c>
      <c r="N39" s="2">
        <v>5.4</v>
      </c>
      <c r="O39" s="2">
        <v>675</v>
      </c>
      <c r="P39" s="1">
        <v>45</v>
      </c>
      <c r="Q39" s="2">
        <v>4</v>
      </c>
      <c r="R39" s="2">
        <f t="shared" si="2"/>
        <v>390</v>
      </c>
      <c r="S39" s="2">
        <v>20018</v>
      </c>
      <c r="T39" s="2">
        <v>120</v>
      </c>
      <c r="U39" s="2">
        <v>120</v>
      </c>
      <c r="V39" s="6">
        <v>10</v>
      </c>
    </row>
    <row r="40" spans="1:22" s="1" customFormat="1">
      <c r="A40" s="2">
        <v>38</v>
      </c>
      <c r="B40" s="11">
        <v>18000000</v>
      </c>
      <c r="C40" s="14" t="s">
        <v>314</v>
      </c>
      <c r="D40" s="3">
        <v>1028880</v>
      </c>
      <c r="E40" s="3">
        <v>488880</v>
      </c>
      <c r="F40" s="25" t="s">
        <v>274</v>
      </c>
      <c r="G40" s="2"/>
      <c r="H40" s="24" t="s">
        <v>269</v>
      </c>
      <c r="I40" s="2" t="s">
        <v>254</v>
      </c>
      <c r="J40" s="2">
        <v>3.8</v>
      </c>
      <c r="K40" s="2">
        <v>3.8</v>
      </c>
      <c r="L40" s="2">
        <v>3.8</v>
      </c>
      <c r="M40" s="2">
        <v>3360</v>
      </c>
      <c r="N40" s="2">
        <v>5.6</v>
      </c>
      <c r="O40" s="2">
        <v>690</v>
      </c>
      <c r="P40" s="1">
        <v>48</v>
      </c>
      <c r="Q40" s="2">
        <v>4</v>
      </c>
      <c r="R40" s="2">
        <f t="shared" si="2"/>
        <v>400</v>
      </c>
      <c r="S40" s="2">
        <v>20018</v>
      </c>
      <c r="T40" s="2">
        <v>125</v>
      </c>
      <c r="U40" s="2">
        <v>125</v>
      </c>
      <c r="V40" s="6">
        <v>10</v>
      </c>
    </row>
    <row r="41" spans="1:22" s="1" customFormat="1">
      <c r="A41" s="2">
        <v>39</v>
      </c>
      <c r="B41" s="11">
        <v>20000000</v>
      </c>
      <c r="C41" s="14" t="s">
        <v>315</v>
      </c>
      <c r="D41" s="3">
        <v>1028880</v>
      </c>
      <c r="E41" s="3">
        <v>508880</v>
      </c>
      <c r="F41" s="25" t="s">
        <v>275</v>
      </c>
      <c r="G41" s="2"/>
      <c r="H41" s="24" t="s">
        <v>269</v>
      </c>
      <c r="I41" s="2" t="s">
        <v>254</v>
      </c>
      <c r="J41" s="2">
        <v>4</v>
      </c>
      <c r="K41" s="2">
        <v>4</v>
      </c>
      <c r="L41" s="2">
        <v>4</v>
      </c>
      <c r="M41" s="2">
        <v>3480</v>
      </c>
      <c r="N41" s="2">
        <v>5.8</v>
      </c>
      <c r="O41" s="2">
        <v>705</v>
      </c>
      <c r="P41" s="1">
        <v>51</v>
      </c>
      <c r="Q41" s="2">
        <v>4</v>
      </c>
      <c r="R41" s="2">
        <f t="shared" si="2"/>
        <v>410</v>
      </c>
      <c r="S41" s="2">
        <v>20018</v>
      </c>
      <c r="T41" s="2">
        <v>130</v>
      </c>
      <c r="U41" s="2">
        <v>130</v>
      </c>
      <c r="V41" s="6">
        <v>10</v>
      </c>
    </row>
    <row r="42" spans="1:22" s="1" customFormat="1">
      <c r="A42" s="2">
        <v>40</v>
      </c>
      <c r="B42" s="11">
        <v>22000000</v>
      </c>
      <c r="C42" s="14" t="s">
        <v>316</v>
      </c>
      <c r="D42" s="3">
        <v>1328880</v>
      </c>
      <c r="E42" s="3">
        <v>528880</v>
      </c>
      <c r="F42" s="25" t="s">
        <v>276</v>
      </c>
      <c r="H42" s="24" t="s">
        <v>269</v>
      </c>
      <c r="I42" s="2" t="s">
        <v>254</v>
      </c>
      <c r="J42" s="2">
        <v>4.0999999999999996</v>
      </c>
      <c r="K42" s="2">
        <f t="shared" si="0"/>
        <v>4.0999999999999996</v>
      </c>
      <c r="L42" s="2">
        <f t="shared" ref="L42" si="4">K42</f>
        <v>4.0999999999999996</v>
      </c>
      <c r="M42" s="2">
        <v>3600</v>
      </c>
      <c r="N42" s="2">
        <f t="shared" si="1"/>
        <v>4.0999999999999996</v>
      </c>
      <c r="O42" s="2">
        <v>720</v>
      </c>
      <c r="P42" s="1">
        <v>30</v>
      </c>
      <c r="Q42" s="1">
        <v>4</v>
      </c>
      <c r="R42" s="2">
        <f t="shared" si="2"/>
        <v>420</v>
      </c>
      <c r="S42" s="2">
        <v>20018</v>
      </c>
      <c r="T42" s="2">
        <v>135</v>
      </c>
      <c r="U42" s="2">
        <v>135</v>
      </c>
      <c r="V42" s="6">
        <v>10</v>
      </c>
    </row>
    <row r="43" spans="1:22">
      <c r="A43" s="2">
        <v>41</v>
      </c>
      <c r="B43" s="11">
        <v>24000000</v>
      </c>
      <c r="C43" s="14" t="s">
        <v>316</v>
      </c>
      <c r="D43" s="3">
        <v>1328880</v>
      </c>
      <c r="E43" s="3">
        <v>528880</v>
      </c>
      <c r="F43" s="25" t="s">
        <v>273</v>
      </c>
      <c r="G43" s="1"/>
      <c r="H43" s="24" t="s">
        <v>269</v>
      </c>
      <c r="I43" s="2" t="s">
        <v>254</v>
      </c>
      <c r="J43" s="2">
        <v>4.2</v>
      </c>
      <c r="K43" s="2">
        <f t="shared" si="0"/>
        <v>4.2</v>
      </c>
      <c r="L43" s="2">
        <f t="shared" ref="L43" si="5">K43</f>
        <v>4.2</v>
      </c>
      <c r="M43" s="2">
        <v>3720</v>
      </c>
      <c r="N43" s="2">
        <f t="shared" si="1"/>
        <v>4.2</v>
      </c>
      <c r="O43" s="2">
        <v>735</v>
      </c>
      <c r="P43" s="1">
        <v>32</v>
      </c>
      <c r="Q43" s="1">
        <v>4</v>
      </c>
      <c r="R43" s="2">
        <f t="shared" si="2"/>
        <v>430</v>
      </c>
      <c r="S43" s="2">
        <v>20018</v>
      </c>
      <c r="T43" s="2">
        <v>140</v>
      </c>
      <c r="U43" s="2">
        <v>140</v>
      </c>
      <c r="V43" s="6">
        <v>10</v>
      </c>
    </row>
    <row r="44" spans="1:22">
      <c r="A44" s="2">
        <v>42</v>
      </c>
      <c r="B44" s="11">
        <v>26000000</v>
      </c>
      <c r="C44" s="14" t="s">
        <v>316</v>
      </c>
      <c r="D44" s="3">
        <v>1328880</v>
      </c>
      <c r="E44" s="3">
        <v>528880</v>
      </c>
      <c r="F44" s="25" t="s">
        <v>277</v>
      </c>
      <c r="G44" s="1"/>
      <c r="H44" s="24" t="s">
        <v>269</v>
      </c>
      <c r="I44" s="2" t="s">
        <v>254</v>
      </c>
      <c r="J44" s="2">
        <v>4.3</v>
      </c>
      <c r="K44" s="2">
        <f t="shared" si="0"/>
        <v>4.3</v>
      </c>
      <c r="L44" s="2">
        <f t="shared" ref="L44" si="6">K44</f>
        <v>4.3</v>
      </c>
      <c r="M44" s="2">
        <v>3840</v>
      </c>
      <c r="N44" s="2">
        <f t="shared" si="1"/>
        <v>4.3</v>
      </c>
      <c r="O44" s="2">
        <v>750</v>
      </c>
      <c r="P44" s="1">
        <v>34</v>
      </c>
      <c r="Q44" s="1">
        <v>4</v>
      </c>
      <c r="R44" s="2">
        <f t="shared" si="2"/>
        <v>440</v>
      </c>
      <c r="S44" s="2">
        <v>20018</v>
      </c>
      <c r="T44" s="2">
        <v>145</v>
      </c>
      <c r="U44" s="2">
        <v>145</v>
      </c>
      <c r="V44" s="6">
        <v>10</v>
      </c>
    </row>
    <row r="45" spans="1:22">
      <c r="A45" s="2">
        <v>43</v>
      </c>
      <c r="B45" s="11">
        <v>28000000</v>
      </c>
      <c r="C45" s="14" t="s">
        <v>316</v>
      </c>
      <c r="D45" s="3">
        <v>1328880</v>
      </c>
      <c r="E45" s="3">
        <v>528880</v>
      </c>
      <c r="F45" s="25" t="s">
        <v>278</v>
      </c>
      <c r="G45" s="1"/>
      <c r="H45" s="24" t="s">
        <v>269</v>
      </c>
      <c r="I45" s="2" t="s">
        <v>254</v>
      </c>
      <c r="J45" s="2">
        <v>4.4000000000000004</v>
      </c>
      <c r="K45" s="2">
        <f t="shared" si="0"/>
        <v>4.4000000000000004</v>
      </c>
      <c r="L45" s="2">
        <f t="shared" ref="L45" si="7">K45</f>
        <v>4.4000000000000004</v>
      </c>
      <c r="M45" s="2">
        <v>3960</v>
      </c>
      <c r="N45" s="2">
        <f t="shared" si="1"/>
        <v>4.4000000000000004</v>
      </c>
      <c r="O45" s="2">
        <v>765</v>
      </c>
      <c r="P45" s="1">
        <v>36</v>
      </c>
      <c r="Q45" s="1">
        <v>4</v>
      </c>
      <c r="R45" s="2">
        <f t="shared" si="2"/>
        <v>450</v>
      </c>
      <c r="S45" s="2">
        <v>20018</v>
      </c>
      <c r="T45" s="2">
        <v>150</v>
      </c>
      <c r="U45" s="2">
        <v>150</v>
      </c>
      <c r="V45" s="6">
        <v>10</v>
      </c>
    </row>
    <row r="46" spans="1:22">
      <c r="A46" s="2">
        <v>44</v>
      </c>
      <c r="B46" s="11">
        <v>30000000</v>
      </c>
      <c r="C46" s="14" t="s">
        <v>316</v>
      </c>
      <c r="D46" s="3">
        <v>1328880</v>
      </c>
      <c r="E46" s="3">
        <v>528880</v>
      </c>
      <c r="F46" s="25" t="s">
        <v>279</v>
      </c>
      <c r="H46" s="24" t="s">
        <v>269</v>
      </c>
      <c r="I46" s="2" t="s">
        <v>254</v>
      </c>
      <c r="J46" s="2">
        <v>4.5</v>
      </c>
      <c r="K46" s="2">
        <f t="shared" si="0"/>
        <v>4.5</v>
      </c>
      <c r="L46" s="2">
        <f t="shared" ref="L46" si="8">K46</f>
        <v>4.5</v>
      </c>
      <c r="M46" s="2">
        <v>4080</v>
      </c>
      <c r="N46" s="2">
        <f t="shared" si="1"/>
        <v>4.5</v>
      </c>
      <c r="O46" s="2">
        <v>780</v>
      </c>
      <c r="P46" s="1">
        <v>38</v>
      </c>
      <c r="Q46" s="2">
        <v>4</v>
      </c>
      <c r="R46" s="2">
        <f t="shared" si="2"/>
        <v>460</v>
      </c>
      <c r="S46" s="2">
        <v>20018</v>
      </c>
      <c r="T46" s="2">
        <v>155</v>
      </c>
      <c r="U46" s="2">
        <v>155</v>
      </c>
      <c r="V46" s="6">
        <v>10</v>
      </c>
    </row>
    <row r="47" spans="1:22">
      <c r="A47" s="2">
        <v>45</v>
      </c>
      <c r="B47" s="11">
        <v>32000000</v>
      </c>
      <c r="C47" s="14" t="s">
        <v>316</v>
      </c>
      <c r="D47" s="3">
        <v>1328880</v>
      </c>
      <c r="E47" s="3">
        <v>528880</v>
      </c>
      <c r="F47" s="25" t="s">
        <v>280</v>
      </c>
      <c r="H47" s="24" t="s">
        <v>269</v>
      </c>
      <c r="I47" s="2" t="s">
        <v>254</v>
      </c>
      <c r="J47" s="2">
        <v>4.5999999999999996</v>
      </c>
      <c r="K47" s="2">
        <f t="shared" si="0"/>
        <v>4.5999999999999996</v>
      </c>
      <c r="L47" s="2">
        <f t="shared" ref="L47" si="9">K47</f>
        <v>4.5999999999999996</v>
      </c>
      <c r="M47" s="2">
        <v>4200</v>
      </c>
      <c r="N47" s="2">
        <f t="shared" si="1"/>
        <v>4.5999999999999996</v>
      </c>
      <c r="O47" s="2">
        <v>795</v>
      </c>
      <c r="P47" s="1">
        <v>40</v>
      </c>
      <c r="Q47" s="2">
        <v>4</v>
      </c>
      <c r="R47" s="2">
        <f t="shared" si="2"/>
        <v>470</v>
      </c>
      <c r="S47" s="2">
        <v>20018</v>
      </c>
      <c r="T47" s="2">
        <v>160</v>
      </c>
      <c r="U47" s="2">
        <v>160</v>
      </c>
      <c r="V47" s="6">
        <v>10</v>
      </c>
    </row>
    <row r="48" spans="1:22">
      <c r="A48" s="2">
        <v>46</v>
      </c>
      <c r="B48" s="11">
        <v>34000000</v>
      </c>
      <c r="C48" s="14" t="s">
        <v>316</v>
      </c>
      <c r="D48" s="3">
        <v>1328880</v>
      </c>
      <c r="E48" s="3">
        <v>528880</v>
      </c>
      <c r="F48" s="25" t="s">
        <v>281</v>
      </c>
      <c r="H48" s="24" t="s">
        <v>269</v>
      </c>
      <c r="I48" s="2" t="s">
        <v>254</v>
      </c>
      <c r="J48" s="2">
        <v>4.7</v>
      </c>
      <c r="K48" s="2">
        <f t="shared" si="0"/>
        <v>4.7</v>
      </c>
      <c r="L48" s="2">
        <f t="shared" ref="L48" si="10">K48</f>
        <v>4.7</v>
      </c>
      <c r="M48" s="2">
        <v>4320</v>
      </c>
      <c r="N48" s="2">
        <f t="shared" si="1"/>
        <v>4.7</v>
      </c>
      <c r="O48" s="2">
        <v>810</v>
      </c>
      <c r="P48" s="1">
        <v>42</v>
      </c>
      <c r="Q48" s="2">
        <v>4</v>
      </c>
      <c r="R48" s="2">
        <f t="shared" si="2"/>
        <v>480</v>
      </c>
      <c r="S48" s="2">
        <v>20018</v>
      </c>
      <c r="T48" s="2">
        <v>165</v>
      </c>
      <c r="U48" s="2">
        <v>165</v>
      </c>
      <c r="V48" s="6">
        <v>10</v>
      </c>
    </row>
    <row r="49" spans="1:22">
      <c r="A49" s="2">
        <v>47</v>
      </c>
      <c r="B49" s="11">
        <v>36000000</v>
      </c>
      <c r="C49" s="14" t="s">
        <v>316</v>
      </c>
      <c r="D49" s="3">
        <v>1328880</v>
      </c>
      <c r="E49" s="3">
        <v>528880</v>
      </c>
      <c r="F49" s="25" t="s">
        <v>282</v>
      </c>
      <c r="H49" s="24" t="s">
        <v>269</v>
      </c>
      <c r="I49" s="2" t="s">
        <v>254</v>
      </c>
      <c r="J49" s="2">
        <v>4.8</v>
      </c>
      <c r="K49" s="2">
        <f t="shared" si="0"/>
        <v>4.8</v>
      </c>
      <c r="L49" s="2">
        <f t="shared" ref="L49" si="11">K49</f>
        <v>4.8</v>
      </c>
      <c r="M49" s="2">
        <v>4440</v>
      </c>
      <c r="N49" s="2">
        <f t="shared" si="1"/>
        <v>4.8</v>
      </c>
      <c r="O49" s="2">
        <v>825</v>
      </c>
      <c r="P49" s="1">
        <v>44</v>
      </c>
      <c r="Q49" s="2">
        <v>4</v>
      </c>
      <c r="R49" s="2">
        <f t="shared" si="2"/>
        <v>490</v>
      </c>
      <c r="S49" s="2">
        <v>20018</v>
      </c>
      <c r="T49" s="2">
        <v>170</v>
      </c>
      <c r="U49" s="2">
        <v>170</v>
      </c>
      <c r="V49" s="6">
        <v>10</v>
      </c>
    </row>
    <row r="50" spans="1:22">
      <c r="A50" s="2">
        <v>48</v>
      </c>
      <c r="B50" s="11">
        <v>38000000</v>
      </c>
      <c r="C50" s="14" t="s">
        <v>317</v>
      </c>
      <c r="D50" s="3">
        <v>1728880</v>
      </c>
      <c r="E50" s="3">
        <v>628880</v>
      </c>
      <c r="F50" s="25" t="s">
        <v>283</v>
      </c>
      <c r="H50" s="24" t="s">
        <v>269</v>
      </c>
      <c r="I50" s="2" t="s">
        <v>254</v>
      </c>
      <c r="J50" s="2">
        <v>4.9000000000000004</v>
      </c>
      <c r="K50" s="2">
        <f t="shared" si="0"/>
        <v>4.9000000000000004</v>
      </c>
      <c r="L50" s="2">
        <f t="shared" ref="L50" si="12">K50</f>
        <v>4.9000000000000004</v>
      </c>
      <c r="M50" s="2">
        <v>4560</v>
      </c>
      <c r="N50" s="2">
        <f t="shared" si="1"/>
        <v>4.9000000000000004</v>
      </c>
      <c r="O50" s="2">
        <v>840</v>
      </c>
      <c r="P50" s="1">
        <v>46</v>
      </c>
      <c r="Q50" s="2">
        <v>4</v>
      </c>
      <c r="R50" s="2">
        <f t="shared" si="2"/>
        <v>500</v>
      </c>
      <c r="S50" s="2">
        <v>20018</v>
      </c>
      <c r="T50" s="2">
        <v>175</v>
      </c>
      <c r="U50" s="2">
        <v>175</v>
      </c>
      <c r="V50" s="6">
        <v>10</v>
      </c>
    </row>
    <row r="51" spans="1:22">
      <c r="A51" s="2">
        <v>49</v>
      </c>
      <c r="B51" s="11">
        <v>40000000</v>
      </c>
      <c r="C51" s="14" t="s">
        <v>318</v>
      </c>
      <c r="D51" s="3">
        <v>2028880</v>
      </c>
      <c r="E51" s="3">
        <v>728880</v>
      </c>
      <c r="F51" s="25" t="s">
        <v>284</v>
      </c>
      <c r="H51" s="24" t="s">
        <v>269</v>
      </c>
      <c r="I51" s="2" t="s">
        <v>254</v>
      </c>
      <c r="J51" s="2">
        <v>5</v>
      </c>
      <c r="K51" s="2">
        <f t="shared" si="0"/>
        <v>5</v>
      </c>
      <c r="L51" s="2">
        <f t="shared" ref="L51" si="13">K51</f>
        <v>5</v>
      </c>
      <c r="M51" s="2">
        <v>4680</v>
      </c>
      <c r="N51" s="2">
        <f t="shared" si="1"/>
        <v>5</v>
      </c>
      <c r="O51" s="2">
        <v>855</v>
      </c>
      <c r="P51" s="1">
        <v>48</v>
      </c>
      <c r="Q51" s="2">
        <v>4</v>
      </c>
      <c r="R51" s="2">
        <f t="shared" si="2"/>
        <v>510</v>
      </c>
      <c r="S51" s="2">
        <v>20018</v>
      </c>
      <c r="T51" s="2">
        <v>180</v>
      </c>
      <c r="U51" s="2">
        <v>180</v>
      </c>
      <c r="V51" s="6">
        <v>10</v>
      </c>
    </row>
    <row r="52" spans="1:22">
      <c r="A52" s="2">
        <v>50</v>
      </c>
      <c r="B52" s="11">
        <v>42000000</v>
      </c>
      <c r="C52" s="14" t="s">
        <v>319</v>
      </c>
      <c r="D52" s="3">
        <v>2328880</v>
      </c>
      <c r="E52" s="3">
        <v>828880</v>
      </c>
      <c r="F52" s="25" t="s">
        <v>285</v>
      </c>
      <c r="H52" s="24" t="s">
        <v>269</v>
      </c>
      <c r="I52" s="2" t="s">
        <v>254</v>
      </c>
      <c r="J52" s="2">
        <v>5.5</v>
      </c>
      <c r="K52" s="2">
        <f t="shared" ref="K52:K57" si="14">J52</f>
        <v>5.5</v>
      </c>
      <c r="L52" s="2">
        <f t="shared" ref="L52" si="15">K52</f>
        <v>5.5</v>
      </c>
      <c r="M52" s="2">
        <v>4800</v>
      </c>
      <c r="N52" s="2">
        <f t="shared" si="1"/>
        <v>5.5</v>
      </c>
      <c r="O52" s="2">
        <v>870</v>
      </c>
      <c r="P52" s="1">
        <v>50</v>
      </c>
      <c r="Q52" s="2">
        <v>4</v>
      </c>
      <c r="R52" s="2">
        <f t="shared" si="2"/>
        <v>520</v>
      </c>
      <c r="S52" s="2">
        <v>20018</v>
      </c>
      <c r="T52" s="2">
        <v>185</v>
      </c>
      <c r="U52" s="2">
        <v>185</v>
      </c>
      <c r="V52" s="6">
        <v>10</v>
      </c>
    </row>
    <row r="53" spans="1:22">
      <c r="A53" s="2">
        <v>51</v>
      </c>
      <c r="B53" s="11">
        <v>45000000</v>
      </c>
      <c r="C53" s="14" t="s">
        <v>319</v>
      </c>
      <c r="D53" s="3">
        <v>2328880</v>
      </c>
      <c r="E53" s="3">
        <v>828880</v>
      </c>
      <c r="F53" s="26" t="s">
        <v>320</v>
      </c>
      <c r="H53" s="24" t="s">
        <v>269</v>
      </c>
      <c r="I53" s="2" t="s">
        <v>254</v>
      </c>
      <c r="J53" s="2">
        <v>6</v>
      </c>
      <c r="K53" s="2">
        <f t="shared" si="14"/>
        <v>6</v>
      </c>
      <c r="L53" s="2">
        <f t="shared" ref="L53:L55" si="16">K53</f>
        <v>6</v>
      </c>
      <c r="M53" s="2">
        <v>4920</v>
      </c>
      <c r="N53" s="2">
        <f t="shared" ref="N53:N55" si="17">J53</f>
        <v>6</v>
      </c>
      <c r="O53" s="2">
        <v>885</v>
      </c>
      <c r="P53" s="1">
        <v>50</v>
      </c>
      <c r="Q53" s="2">
        <v>4</v>
      </c>
      <c r="R53" s="2">
        <f t="shared" si="2"/>
        <v>530</v>
      </c>
      <c r="S53" s="2">
        <v>20018</v>
      </c>
      <c r="T53" s="2">
        <v>190</v>
      </c>
      <c r="U53" s="2">
        <v>190</v>
      </c>
      <c r="V53" s="6">
        <v>10</v>
      </c>
    </row>
    <row r="54" spans="1:22">
      <c r="A54" s="2">
        <v>52</v>
      </c>
      <c r="B54" s="11">
        <v>50000000</v>
      </c>
      <c r="C54" s="14" t="s">
        <v>319</v>
      </c>
      <c r="D54" s="3">
        <v>2328880</v>
      </c>
      <c r="E54" s="3">
        <v>828880</v>
      </c>
      <c r="F54" s="26" t="s">
        <v>321</v>
      </c>
      <c r="H54" s="24" t="s">
        <v>269</v>
      </c>
      <c r="I54" s="2" t="s">
        <v>254</v>
      </c>
      <c r="J54" s="2">
        <v>6.5</v>
      </c>
      <c r="K54" s="2">
        <f t="shared" si="14"/>
        <v>6.5</v>
      </c>
      <c r="L54" s="2">
        <f t="shared" si="16"/>
        <v>6.5</v>
      </c>
      <c r="M54" s="2">
        <v>5040</v>
      </c>
      <c r="N54" s="2">
        <f t="shared" si="17"/>
        <v>6.5</v>
      </c>
      <c r="O54" s="2">
        <v>900</v>
      </c>
      <c r="P54" s="1">
        <v>50</v>
      </c>
      <c r="Q54" s="2">
        <v>4</v>
      </c>
      <c r="R54" s="2">
        <f t="shared" si="2"/>
        <v>540</v>
      </c>
      <c r="S54" s="2">
        <v>20018</v>
      </c>
      <c r="T54" s="2">
        <v>195</v>
      </c>
      <c r="U54" s="2">
        <v>195</v>
      </c>
      <c r="V54" s="6">
        <v>10</v>
      </c>
    </row>
    <row r="55" spans="1:22">
      <c r="A55" s="2">
        <v>53</v>
      </c>
      <c r="B55" s="11">
        <v>55000000</v>
      </c>
      <c r="C55" s="14" t="s">
        <v>319</v>
      </c>
      <c r="D55" s="3">
        <v>2328880</v>
      </c>
      <c r="E55" s="3">
        <v>828880</v>
      </c>
      <c r="F55" s="26" t="s">
        <v>322</v>
      </c>
      <c r="H55" s="24" t="s">
        <v>269</v>
      </c>
      <c r="I55" s="2" t="s">
        <v>254</v>
      </c>
      <c r="J55" s="2">
        <v>7</v>
      </c>
      <c r="K55" s="2">
        <f t="shared" si="14"/>
        <v>7</v>
      </c>
      <c r="L55" s="2">
        <f t="shared" si="16"/>
        <v>7</v>
      </c>
      <c r="M55" s="2">
        <v>5160</v>
      </c>
      <c r="N55" s="2">
        <f t="shared" si="17"/>
        <v>7</v>
      </c>
      <c r="O55" s="2">
        <v>915</v>
      </c>
      <c r="P55" s="1">
        <v>50</v>
      </c>
      <c r="Q55" s="2">
        <v>4</v>
      </c>
      <c r="R55" s="2">
        <f t="shared" si="2"/>
        <v>550</v>
      </c>
      <c r="S55" s="2">
        <v>20018</v>
      </c>
      <c r="T55" s="2">
        <v>200</v>
      </c>
      <c r="U55" s="2">
        <v>200</v>
      </c>
      <c r="V55" s="6">
        <v>10</v>
      </c>
    </row>
    <row r="56" spans="1:22">
      <c r="A56" s="2">
        <v>54</v>
      </c>
      <c r="B56" s="11">
        <v>60000000</v>
      </c>
      <c r="C56" s="14" t="s">
        <v>319</v>
      </c>
      <c r="D56" s="3">
        <v>2328880</v>
      </c>
      <c r="E56" s="3">
        <v>828880</v>
      </c>
      <c r="F56" s="26" t="s">
        <v>323</v>
      </c>
      <c r="H56" s="24" t="s">
        <v>269</v>
      </c>
      <c r="I56" s="2" t="s">
        <v>254</v>
      </c>
      <c r="J56" s="2">
        <v>7.5</v>
      </c>
      <c r="K56" s="2">
        <f t="shared" si="14"/>
        <v>7.5</v>
      </c>
      <c r="L56" s="2">
        <f t="shared" ref="L56:L57" si="18">K56</f>
        <v>7.5</v>
      </c>
      <c r="M56" s="2">
        <v>5280</v>
      </c>
      <c r="N56" s="2">
        <f t="shared" ref="N56:N57" si="19">J56</f>
        <v>7.5</v>
      </c>
      <c r="O56" s="2">
        <v>930</v>
      </c>
      <c r="P56" s="1">
        <v>50</v>
      </c>
      <c r="Q56" s="2">
        <v>4</v>
      </c>
      <c r="R56" s="2">
        <f t="shared" si="2"/>
        <v>560</v>
      </c>
      <c r="S56" s="2">
        <v>20018</v>
      </c>
      <c r="T56" s="2">
        <v>205</v>
      </c>
      <c r="U56" s="2">
        <v>205</v>
      </c>
      <c r="V56" s="6">
        <v>10</v>
      </c>
    </row>
    <row r="57" spans="1:22">
      <c r="A57" s="2">
        <v>55</v>
      </c>
      <c r="B57" s="11">
        <v>70000000</v>
      </c>
      <c r="C57" s="14" t="s">
        <v>319</v>
      </c>
      <c r="D57" s="3">
        <v>2328880</v>
      </c>
      <c r="E57" s="3">
        <v>828880</v>
      </c>
      <c r="F57" s="26" t="s">
        <v>324</v>
      </c>
      <c r="H57" s="24" t="s">
        <v>269</v>
      </c>
      <c r="I57" s="2" t="s">
        <v>254</v>
      </c>
      <c r="J57" s="2">
        <v>8</v>
      </c>
      <c r="K57" s="2">
        <f t="shared" si="14"/>
        <v>8</v>
      </c>
      <c r="L57" s="2">
        <f t="shared" si="18"/>
        <v>8</v>
      </c>
      <c r="M57" s="2">
        <v>5400</v>
      </c>
      <c r="N57" s="2">
        <f t="shared" si="19"/>
        <v>8</v>
      </c>
      <c r="O57" s="2">
        <v>945</v>
      </c>
      <c r="P57" s="1">
        <v>50</v>
      </c>
      <c r="Q57" s="2">
        <v>4</v>
      </c>
      <c r="R57" s="2">
        <f t="shared" si="2"/>
        <v>570</v>
      </c>
      <c r="S57" s="2">
        <v>20018</v>
      </c>
      <c r="T57" s="2">
        <v>210</v>
      </c>
      <c r="U57" s="2">
        <v>210</v>
      </c>
      <c r="V57" s="6">
        <v>10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冒险等级</vt:lpstr>
      <vt:lpstr>vip等级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 ken</cp:lastModifiedBy>
  <dcterms:created xsi:type="dcterms:W3CDTF">2015-06-05T18:19:00Z</dcterms:created>
  <dcterms:modified xsi:type="dcterms:W3CDTF">2023-12-28T08:57:38Z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4FD514615DB54163BF5C6F457F589B83</vt:lpwstr>
  </property>
  <property fmtid="{D5CDD505-2E9C-101B-9397-08002B2CF9AE}" pid="3" name="KSOProductBuildVer">
    <vt:lpwstr>2052-11.1.0.11294</vt:lpwstr>
  </property>
</Properties>
</file>