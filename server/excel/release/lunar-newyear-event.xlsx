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 codeName="ThisWorkbook"/>
  <mc:AlternateContent xmlns:mc="http://schemas.openxmlformats.org/markup-compatibility/2006">
    <mc:Choice Requires="x15">
      <x15ac:absPath xmlns:x15ac="http://schemas.microsoft.com/office/spreadsheetml/2010/11/ac" url="D:\tool\release\"/>
    </mc:Choice>
  </mc:AlternateContent>
  <xr:revisionPtr revIDLastSave="0" documentId="13_ncr:1_{76D8A150-A3AF-4A24-860B-E201067BD153}" xr6:coauthVersionLast="47" xr6:coauthVersionMax="47" xr10:uidLastSave="{00000000-0000-0000-0000-000000000000}"/>
  <bookViews>
    <workbookView xWindow="-108" yWindow="-108" windowWidth="23256" windowHeight="12456" tabRatio="833" xr2:uid="{00000000-000D-0000-FFFF-FFFF00000000}"/>
  </bookViews>
  <sheets>
    <sheet name="春节基础" sheetId="1" r:id="rId1"/>
    <sheet name="春节登陆好礼" sheetId="2" r:id="rId2"/>
    <sheet name="春节任务" sheetId="3" r:id="rId3"/>
    <sheet name="春节礼包" sheetId="4" r:id="rId4"/>
    <sheet name="春节大富翁" sheetId="5" r:id="rId5"/>
    <sheet name="大富翁BOSS" sheetId="8" r:id="rId6"/>
    <sheet name="大富翁商店" sheetId="7" r:id="rId7"/>
    <sheet name="大富翁宝箱" sheetId="10" r:id="rId8"/>
    <sheet name="大富翁事件类型" sheetId="9" r:id="rId9"/>
    <sheet name="大富翁祝福" sheetId="11" r:id="rId10"/>
    <sheet name="大富翁厄运" sheetId="12" r:id="rId11"/>
    <sheet name="大富翁圈数奖励" sheetId="14" r:id="rId12"/>
    <sheet name="Sheet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4" l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F3" i="14" l="1"/>
  <c r="F5" i="14" s="1"/>
  <c r="F7" i="14" s="1"/>
  <c r="F9" i="14" s="1"/>
  <c r="F11" i="14" s="1"/>
  <c r="F13" i="14" s="1"/>
  <c r="F15" i="14" s="1"/>
  <c r="F17" i="14" s="1"/>
  <c r="F19" i="14" s="1"/>
  <c r="F21" i="14" s="1"/>
  <c r="F23" i="14" s="1"/>
  <c r="F25" i="14" s="1"/>
  <c r="F27" i="14" s="1"/>
  <c r="F29" i="14" s="1"/>
  <c r="F31" i="14" s="1"/>
  <c r="F3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1" authorId="0" shapeId="0" xr:uid="{00000000-0006-0000-0800-000001000000}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1.展示
0.不展示
</t>
        </r>
      </text>
    </comment>
  </commentList>
</comments>
</file>

<file path=xl/sharedStrings.xml><?xml version="1.0" encoding="utf-8"?>
<sst xmlns="http://schemas.openxmlformats.org/spreadsheetml/2006/main" count="541" uniqueCount="372">
  <si>
    <t>活动ID</t>
  </si>
  <si>
    <t>分组</t>
  </si>
  <si>
    <t>开服天数</t>
  </si>
  <si>
    <t>活动名称</t>
  </si>
  <si>
    <t>开启时间</t>
  </si>
  <si>
    <t>结束时间</t>
  </si>
  <si>
    <t>ID</t>
  </si>
  <si>
    <t>签到天数</t>
  </si>
  <si>
    <t>签到奖励</t>
  </si>
  <si>
    <t>追加奖励</t>
  </si>
  <si>
    <t>追加奖励价格</t>
  </si>
  <si>
    <t>充值项ID</t>
  </si>
  <si>
    <t>*备注</t>
  </si>
  <si>
    <t>51511</t>
  </si>
  <si>
    <r>
      <rPr>
        <sz val="11"/>
        <color theme="1"/>
        <rFont val="Calibri"/>
        <family val="2"/>
        <scheme val="minor"/>
      </rPr>
      <t>高抽*</t>
    </r>
    <r>
      <rPr>
        <sz val="11"/>
        <color theme="1"/>
        <rFont val="Calibri"/>
        <family val="2"/>
        <scheme val="minor"/>
      </rPr>
      <t>2</t>
    </r>
  </si>
  <si>
    <t>命签*2，精英抽*10，高抽*10，头像</t>
  </si>
  <si>
    <t>51512</t>
  </si>
  <si>
    <r>
      <rPr>
        <sz val="11"/>
        <color theme="1"/>
        <rFont val="Calibri"/>
        <family val="2"/>
        <scheme val="minor"/>
      </rPr>
      <t>鎏金粉*</t>
    </r>
    <r>
      <rPr>
        <sz val="11"/>
        <color theme="1"/>
        <rFont val="Calibri"/>
        <family val="2"/>
        <scheme val="minor"/>
      </rPr>
      <t>200</t>
    </r>
  </si>
  <si>
    <t>命签*2，精英抽*10，高抽*10，金币袋*4</t>
  </si>
  <si>
    <t>51513</t>
  </si>
  <si>
    <t>高抽*1</t>
  </si>
  <si>
    <t>51514</t>
  </si>
  <si>
    <t>太乙精金*50</t>
  </si>
  <si>
    <t>51515</t>
  </si>
  <si>
    <t>51516</t>
  </si>
  <si>
    <t>普通寻宝券*2</t>
  </si>
  <si>
    <t>51517</t>
  </si>
  <si>
    <t>进阶石*200</t>
  </si>
  <si>
    <t>任务ID</t>
  </si>
  <si>
    <t>商品</t>
  </si>
  <si>
    <t>价格</t>
  </si>
  <si>
    <t>限购数量</t>
  </si>
  <si>
    <t>排序</t>
  </si>
  <si>
    <t>元宝*60,高级寻宝券*1,高级点将券*2,骰子*1</t>
  </si>
  <si>
    <t>元宝*60,高级点将券*3,万能骰子*1</t>
  </si>
  <si>
    <t>元宝*300,高级点将券*10,5星随机碎片*25,骰子*6</t>
  </si>
  <si>
    <t>元宝*500,高级点将券*15,5星随机碎片*50,骰子*10</t>
  </si>
  <si>
    <t>元宝*500,命签*3,万能骰子*5</t>
  </si>
  <si>
    <t>元宝*1280,高级点将券*30,5星通用英魂*1,骰子*30</t>
  </si>
  <si>
    <t>元宝*1280,命签*6,鎏金粉*8000,万能骰子*10</t>
  </si>
  <si>
    <t>元宝*3280,高级点将券*80,精英点将券*35,骰子*85</t>
  </si>
  <si>
    <t>元宝*3280,灌魔之瓶礼包*15,龙魂*5,万能骰子*30</t>
  </si>
  <si>
    <t>新增的</t>
  </si>
  <si>
    <t>元宝*6480,龙雀无双礼盒*1,鎏金粉*15000,龙魂*10</t>
  </si>
  <si>
    <t>元宝*6480,高级点将券*160,龙珠*2500,骰子*170</t>
  </si>
  <si>
    <t>元宝*6480,天级兽魂自选*1,兽魂经验(大)*10,万能骰子*60</t>
  </si>
  <si>
    <t>格子ID</t>
  </si>
  <si>
    <t>格子属性</t>
  </si>
  <si>
    <t>1:100</t>
  </si>
  <si>
    <t>1:100#10:100#11:100</t>
  </si>
  <si>
    <t>5:100#3:100</t>
  </si>
  <si>
    <t>1:20#2:40#4:40#11:100</t>
  </si>
  <si>
    <t>1:100#9:100</t>
  </si>
  <si>
    <t>1:100#11:100</t>
  </si>
  <si>
    <t>无事件</t>
  </si>
  <si>
    <t>4:100#2:100</t>
  </si>
  <si>
    <t>打BOSS</t>
  </si>
  <si>
    <t>DFW_boss</t>
  </si>
  <si>
    <t>进行一场战斗，战斗胜利可获得奖励</t>
  </si>
  <si>
    <t>0:1:100</t>
  </si>
  <si>
    <t>1:40#9:60#11:100</t>
  </si>
  <si>
    <t>开宝箱</t>
  </si>
  <si>
    <t>DFW_baoxiang</t>
  </si>
  <si>
    <t>打开宝箱可随机获得神秘奖励</t>
  </si>
  <si>
    <t>1:100#4:100</t>
  </si>
  <si>
    <t>神秘商店</t>
  </si>
  <si>
    <t>DFW_shangdian</t>
  </si>
  <si>
    <t>商店中会随机刷出商品，可消耗元宝购买</t>
  </si>
  <si>
    <t>祝福</t>
  </si>
  <si>
    <t>增加100-600元宝</t>
  </si>
  <si>
    <t>DFW_zhufu</t>
  </si>
  <si>
    <t>可随机获得1-600元宝</t>
  </si>
  <si>
    <t>5:100#3:100#11:100</t>
  </si>
  <si>
    <t>前进</t>
  </si>
  <si>
    <t>前进1-6格子</t>
  </si>
  <si>
    <t>DFW_qianjin</t>
  </si>
  <si>
    <t>随机前进1-6个格子</t>
  </si>
  <si>
    <t>1:100#10:100</t>
  </si>
  <si>
    <t>监狱</t>
  </si>
  <si>
    <t>空掷一次骰子</t>
  </si>
  <si>
    <t>DFW_jianyu</t>
  </si>
  <si>
    <t>下一次投掷骰子，不会行动</t>
  </si>
  <si>
    <t>再行动</t>
  </si>
  <si>
    <t>再掷一次骰子</t>
  </si>
  <si>
    <t>DFW_zaizhiyici</t>
  </si>
  <si>
    <t>可再次投掷一次骰子，不消耗道具</t>
  </si>
  <si>
    <t>2:100#4:100#11:100</t>
  </si>
  <si>
    <t>双倍</t>
  </si>
  <si>
    <t>下一次投掷双倍步数</t>
  </si>
  <si>
    <t>DFW_double</t>
  </si>
  <si>
    <t>chunjie_shaizi1</t>
  </si>
  <si>
    <t>下一次掷骰子双倍步数</t>
  </si>
  <si>
    <t>2:100#4:100</t>
  </si>
  <si>
    <t>1:100#10:80</t>
  </si>
  <si>
    <t>9:100#10:100</t>
  </si>
  <si>
    <t>1:100#3:100</t>
  </si>
  <si>
    <t>一方实例ID</t>
  </si>
  <si>
    <t>奖励</t>
  </si>
  <si>
    <t>权重</t>
  </si>
  <si>
    <r>
      <rPr>
        <sz val="11"/>
        <color theme="1"/>
        <rFont val="Calibri"/>
        <family val="2"/>
        <scheme val="minor"/>
      </rPr>
      <t>0:1:100#0:0:500000#0:4:500000</t>
    </r>
    <r>
      <rPr>
        <sz val="11"/>
        <color theme="1"/>
        <rFont val="Calibri"/>
        <family val="2"/>
        <scheme val="minor"/>
      </rPr>
      <t>#3:100027:5</t>
    </r>
  </si>
  <si>
    <r>
      <rPr>
        <sz val="11"/>
        <color theme="1"/>
        <rFont val="Calibri"/>
        <family val="2"/>
        <scheme val="minor"/>
      </rPr>
      <t>元宝*100，金币*50w，经验*50w，悬赏刷新券</t>
    </r>
    <r>
      <rPr>
        <sz val="11"/>
        <color theme="1"/>
        <rFont val="Calibri"/>
        <family val="2"/>
        <scheme val="minor"/>
      </rPr>
      <t>*5</t>
    </r>
  </si>
  <si>
    <t>0:1:100#3:100001:100#3:100023:5</t>
  </si>
  <si>
    <t>元宝*100，进阶石*100，演武场挑战券*5</t>
  </si>
  <si>
    <t>0:1:100#5:2:1#3:100212:10#3:100214:1</t>
  </si>
  <si>
    <t>元宝*100，蓝印，玄铁*10，陨铁精华*1</t>
  </si>
  <si>
    <t>0:1:100#3:100004:500#0:0:1000000#3:100217:10#3:100216:1000</t>
  </si>
  <si>
    <t>元宝*100，鎏金粉*500，金币*100w，仙器精华*10，麒麟仙玉*1000</t>
  </si>
  <si>
    <t>0:1:100#6:30001:10#3:100031:50</t>
  </si>
  <si>
    <t>元宝*100，兽魂经验小*10，洗练石*50</t>
  </si>
  <si>
    <t>0:1:100#3:100022:1#0:4:1000000</t>
  </si>
  <si>
    <t>元宝*100，高抽*1，经验*100w</t>
  </si>
  <si>
    <t>0:1:100#4:606001:30#0:0:1000000</t>
  </si>
  <si>
    <t>元宝*100，4星英雄碎片*30，金币*100w</t>
  </si>
  <si>
    <r>
      <rPr>
        <sz val="11"/>
        <color theme="1"/>
        <rFont val="Calibri"/>
        <family val="2"/>
        <scheme val="minor"/>
      </rPr>
      <t>0:1:100#4:606002:</t>
    </r>
    <r>
      <rPr>
        <sz val="11"/>
        <color theme="1"/>
        <rFont val="Calibri"/>
        <family val="2"/>
        <scheme val="minor"/>
      </rPr>
      <t>50</t>
    </r>
    <r>
      <rPr>
        <sz val="11"/>
        <color theme="1"/>
        <rFont val="Calibri"/>
        <family val="2"/>
        <scheme val="minor"/>
      </rPr>
      <t>#3:100001:100</t>
    </r>
  </si>
  <si>
    <r>
      <rPr>
        <sz val="11"/>
        <color theme="1"/>
        <rFont val="Calibri"/>
        <family val="2"/>
        <scheme val="minor"/>
      </rPr>
      <t>元宝*100，5星英雄碎片*</t>
    </r>
    <r>
      <rPr>
        <sz val="11"/>
        <color theme="1"/>
        <rFont val="Calibri"/>
        <family val="2"/>
        <scheme val="minor"/>
      </rPr>
      <t>50</t>
    </r>
    <r>
      <rPr>
        <sz val="11"/>
        <color theme="1"/>
        <rFont val="Calibri"/>
        <family val="2"/>
        <scheme val="minor"/>
      </rPr>
      <t>，进阶石*100</t>
    </r>
  </si>
  <si>
    <t>0:1:100#3:100006:1#0:4:1000000</t>
  </si>
  <si>
    <t>元宝*100，高寻*1，经验*100w</t>
  </si>
  <si>
    <t>0:1:100#3:100025:1#3:100001:100</t>
  </si>
  <si>
    <t>元宝*100，命签*1，进阶石*100</t>
  </si>
  <si>
    <t>商品内容</t>
  </si>
  <si>
    <t>折扣</t>
  </si>
  <si>
    <t>3:100023:1</t>
  </si>
  <si>
    <t>0:1:15</t>
  </si>
  <si>
    <t>演武场挑战券*1</t>
  </si>
  <si>
    <t>3:100024:100</t>
  </si>
  <si>
    <t>0:1:500</t>
  </si>
  <si>
    <t>灵龛*100</t>
  </si>
  <si>
    <t>4:606008:1</t>
  </si>
  <si>
    <t>0:1:60</t>
  </si>
  <si>
    <t>5星人族碎片*1</t>
  </si>
  <si>
    <t>4:606009:1</t>
  </si>
  <si>
    <t>5星仙族碎片*1</t>
  </si>
  <si>
    <t>4:606010:1</t>
  </si>
  <si>
    <t>5星妖族碎片*1</t>
  </si>
  <si>
    <t>4:606002:1</t>
  </si>
  <si>
    <t>5星随机碎片*1</t>
  </si>
  <si>
    <t>3:200108:1</t>
  </si>
  <si>
    <t>0:1:1500</t>
  </si>
  <si>
    <t>幼年·云龙蛋*1</t>
  </si>
  <si>
    <t>3:200106:1</t>
  </si>
  <si>
    <t>幼年·苍龙蛋*1</t>
  </si>
  <si>
    <t>3:200105:1</t>
  </si>
  <si>
    <t>幼年·应龙蛋*1</t>
  </si>
  <si>
    <t>3:200107:1</t>
  </si>
  <si>
    <t>幼年·虬龙蛋*1</t>
  </si>
  <si>
    <t>3:200192:5</t>
  </si>
  <si>
    <t>0:1:420</t>
  </si>
  <si>
    <t>龙蛋壳*5</t>
  </si>
  <si>
    <t>3:200192:3</t>
  </si>
  <si>
    <t>0:1:250</t>
  </si>
  <si>
    <t>龙蛋壳*3</t>
  </si>
  <si>
    <t>3:100217:5</t>
  </si>
  <si>
    <t>0:1:800</t>
  </si>
  <si>
    <t>仙器精华*5</t>
  </si>
  <si>
    <t>3:100217:3</t>
  </si>
  <si>
    <t>0:1:480</t>
  </si>
  <si>
    <t>仙器精华*3</t>
  </si>
  <si>
    <t>4:606011:1</t>
  </si>
  <si>
    <t>5星神族碎片*1</t>
  </si>
  <si>
    <t>4:606012:1</t>
  </si>
  <si>
    <t>5星魔族碎片*1</t>
  </si>
  <si>
    <t>4:606011:5</t>
  </si>
  <si>
    <t>0:1:700</t>
  </si>
  <si>
    <t>5星神族碎片*5</t>
  </si>
  <si>
    <t>4:606012:5</t>
  </si>
  <si>
    <t>5星魔族碎片*5</t>
  </si>
  <si>
    <t>3:100004:500</t>
  </si>
  <si>
    <t>鎏金粉*500</t>
  </si>
  <si>
    <t>3:100004:1000</t>
  </si>
  <si>
    <t>鎏金粉*1000</t>
  </si>
  <si>
    <t>3:100006:1</t>
  </si>
  <si>
    <t>0:1:600</t>
  </si>
  <si>
    <t>高级寻宝券*1</t>
  </si>
  <si>
    <t>0:0:1000000</t>
  </si>
  <si>
    <t>金币*1000000</t>
  </si>
  <si>
    <t>3:100022:1</t>
  </si>
  <si>
    <t>0:1:150</t>
  </si>
  <si>
    <t>高级点将券*1</t>
  </si>
  <si>
    <t>3:100001:100</t>
  </si>
  <si>
    <t>0:1:50</t>
  </si>
  <si>
    <t>进阶石*100</t>
  </si>
  <si>
    <t>3:100059:1</t>
  </si>
  <si>
    <t>魂丹*1</t>
  </si>
  <si>
    <t>4:606008:50</t>
  </si>
  <si>
    <t>0:1:4000</t>
  </si>
  <si>
    <t>5星人族碎片*50</t>
  </si>
  <si>
    <t>4:606009:50</t>
  </si>
  <si>
    <t>5星仙族碎片*50</t>
  </si>
  <si>
    <t>4:606010:50</t>
  </si>
  <si>
    <t>5星妖族碎片*50</t>
  </si>
  <si>
    <t>4:606002:50</t>
  </si>
  <si>
    <t>5星随机碎片*50</t>
  </si>
  <si>
    <t>3:100025:1</t>
  </si>
  <si>
    <t>命签*1</t>
  </si>
  <si>
    <t>3:400040:1</t>
  </si>
  <si>
    <t>福地珍藏*1</t>
  </si>
  <si>
    <t>3:100098:100</t>
  </si>
  <si>
    <t>龙珠*100</t>
  </si>
  <si>
    <t>3:100029:10</t>
  </si>
  <si>
    <r>
      <rPr>
        <sz val="10"/>
        <rFont val="微软雅黑"/>
        <family val="2"/>
      </rPr>
      <t>0:1:</t>
    </r>
    <r>
      <rPr>
        <sz val="10"/>
        <rFont val="微软雅黑"/>
        <family val="2"/>
      </rPr>
      <t>1000</t>
    </r>
  </si>
  <si>
    <t>皮肤碎片*10</t>
  </si>
  <si>
    <t>3:100214:1</t>
  </si>
  <si>
    <t>0:1:400</t>
  </si>
  <si>
    <t>陨铁精华*1</t>
  </si>
  <si>
    <t>3:100216:500</t>
  </si>
  <si>
    <t>麒麟仙玉*500</t>
  </si>
  <si>
    <t>0:4:1000000</t>
  </si>
  <si>
    <t>3:100001:300</t>
  </si>
  <si>
    <t>3:100059:10</t>
  </si>
  <si>
    <t>魂丹*10</t>
  </si>
  <si>
    <t>高寻*1</t>
  </si>
  <si>
    <t>4:606002:10</t>
  </si>
  <si>
    <t>5星随机碎片</t>
  </si>
  <si>
    <t>福地珍藏</t>
  </si>
  <si>
    <t>鎏金粉</t>
  </si>
  <si>
    <t>4:606001:30</t>
  </si>
  <si>
    <t>4星随机碎片</t>
  </si>
  <si>
    <t>3:100031:10</t>
  </si>
  <si>
    <t>洗练石</t>
  </si>
  <si>
    <t>6:30002:1</t>
  </si>
  <si>
    <t>兽魂经验大</t>
  </si>
  <si>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:400034:1</t>
    </r>
  </si>
  <si>
    <t>增加通用仙器自选（低概率）</t>
  </si>
  <si>
    <t>3:400043:1</t>
  </si>
  <si>
    <t>增加专属仙器随机（敲低概率）</t>
  </si>
  <si>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400017</t>
    </r>
    <r>
      <rPr>
        <sz val="11"/>
        <color theme="1"/>
        <rFont val="Calibri"/>
        <family val="2"/>
        <scheme val="minor"/>
      </rPr>
      <t>:1</t>
    </r>
  </si>
  <si>
    <t>增加随机篆印礼包</t>
  </si>
  <si>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100210</t>
    </r>
    <r>
      <rPr>
        <sz val="11"/>
        <color theme="1"/>
        <rFont val="Calibri"/>
        <family val="2"/>
        <scheme val="minor"/>
      </rPr>
      <t>:5</t>
    </r>
  </si>
  <si>
    <t>增加回退沙漏</t>
  </si>
  <si>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>500015</t>
    </r>
    <r>
      <rPr>
        <sz val="11"/>
        <color theme="1"/>
        <rFont val="Calibri"/>
        <family val="2"/>
        <scheme val="minor"/>
      </rPr>
      <t>:10</t>
    </r>
  </si>
  <si>
    <t>增加灌魔之瓶自选（低概率）</t>
  </si>
  <si>
    <t>属性ID</t>
  </si>
  <si>
    <t>事件类型</t>
  </si>
  <si>
    <t>*说明</t>
  </si>
  <si>
    <t>图标</t>
  </si>
  <si>
    <t>动画</t>
  </si>
  <si>
    <t>影子大小</t>
  </si>
  <si>
    <t>描述</t>
  </si>
  <si>
    <t>展示</t>
  </si>
  <si>
    <t>奖励展示</t>
  </si>
  <si>
    <t>横幅标题</t>
  </si>
  <si>
    <t>横幅内容</t>
  </si>
  <si>
    <t>chunjie_hutou</t>
  </si>
  <si>
    <t>3:100025:1#3:100001:100#3:100006:1#0:4:1000000#4:606002:10#0:0:1000000#3:100212:10#3:100214:1#3:100217:10#3:100216:1000</t>
  </si>
  <si>
    <t>chunjie_baoxiang</t>
  </si>
  <si>
    <t>0:0:1000000#0:4:1000000#3:100022:1#3:100025:1#3:100006:1#3:400040:1#3:400034:1#3:400043:1#3:400017:1#3:100210:5#3:500015:10</t>
  </si>
  <si>
    <t>chunjie_men</t>
  </si>
  <si>
    <t>4:606008:50#4:606009:50#4:606010:50#4:606002:50#3:100025:1#3:400040:1#3:100098:100#3:100029:10#3:100214:1</t>
  </si>
  <si>
    <t>chunjie_hongbao</t>
  </si>
  <si>
    <t>0:1:100#0:1:200#0:1:300#0:1:400#0:1:500#0:1:600</t>
  </si>
  <si>
    <t>chunjie_bianpao</t>
  </si>
  <si>
    <t>chunjie_shaizi</t>
  </si>
  <si>
    <t>增加数量</t>
  </si>
  <si>
    <t>扣除数量</t>
  </si>
  <si>
    <t>圈数</t>
  </si>
  <si>
    <t>3:100025:5</t>
  </si>
  <si>
    <t>命签*5</t>
  </si>
  <si>
    <t>3:580001:1</t>
  </si>
  <si>
    <t>兽灵自选礼包*1</t>
  </si>
  <si>
    <t>3:500014:1</t>
  </si>
  <si>
    <t>天级兽魂自选*1</t>
  </si>
  <si>
    <t>3:100022:50</t>
  </si>
  <si>
    <t>高级点将券*50</t>
  </si>
  <si>
    <t>3:100216:10000</t>
  </si>
  <si>
    <t>麒麟仙玉*10000</t>
  </si>
  <si>
    <t>3:400103:1</t>
  </si>
  <si>
    <t>业火红色神装*1</t>
  </si>
  <si>
    <t>3:500026:1</t>
  </si>
  <si>
    <t>专属仙器自选*1</t>
  </si>
  <si>
    <t>3:500059:1</t>
  </si>
  <si>
    <t>至臻通用仙器*1</t>
  </si>
  <si>
    <t>5:20001:15</t>
  </si>
  <si>
    <t>龙魂*15</t>
  </si>
  <si>
    <t>3:500022:1</t>
  </si>
  <si>
    <t>英雄自选礼包*1</t>
  </si>
  <si>
    <t>3:100004:20000</t>
  </si>
  <si>
    <t>鎏金粉*20000</t>
  </si>
  <si>
    <t>3:100216:20000</t>
  </si>
  <si>
    <t>麒麟仙玉*20000</t>
  </si>
  <si>
    <t>3:500020:1</t>
  </si>
  <si>
    <t>极品兽魂礼包*1</t>
  </si>
  <si>
    <t>6:30002:15</t>
  </si>
  <si>
    <t>兽魂经验(大)*15</t>
  </si>
  <si>
    <t>3:560002:1</t>
  </si>
  <si>
    <t>龙雀之姿*1</t>
  </si>
  <si>
    <t>3:100025:20</t>
  </si>
  <si>
    <t>命签*20</t>
  </si>
  <si>
    <t>3:100098:2500</t>
  </si>
  <si>
    <t>龙珠*2500</t>
  </si>
  <si>
    <t>神龛*3000</t>
  </si>
  <si>
    <t>3:100216:25000</t>
  </si>
  <si>
    <t>麒麟仙玉*25000</t>
  </si>
  <si>
    <t>3:100004:30000</t>
  </si>
  <si>
    <t>鎏金粉*30000</t>
  </si>
  <si>
    <t>6:30002:20</t>
  </si>
  <si>
    <t>兽魂经验(大)*20</t>
  </si>
  <si>
    <t>3:500093:50</t>
  </si>
  <si>
    <t>混沌碎片自选*50</t>
  </si>
  <si>
    <t>3:100216:30000</t>
  </si>
  <si>
    <t>麒麟仙玉*30000</t>
  </si>
  <si>
    <t>3:590004:1</t>
  </si>
  <si>
    <t>龙王自选*1</t>
  </si>
  <si>
    <t>3:500015:25</t>
  </si>
  <si>
    <t>灌魔之瓶礼包*25</t>
  </si>
  <si>
    <t>神龛*3500</t>
  </si>
  <si>
    <t>3:100098:3000</t>
  </si>
  <si>
    <t>龙珠*3000</t>
  </si>
  <si>
    <t>3:500094:1</t>
  </si>
  <si>
    <t>职业仙器礼盒*1</t>
  </si>
  <si>
    <t>厄运</t>
  </si>
  <si>
    <t>扣除100-600元宝</t>
  </si>
  <si>
    <t>后退</t>
  </si>
  <si>
    <t>后退1-6格子</t>
  </si>
  <si>
    <t>DFW_houtui</t>
  </si>
  <si>
    <t>Tết</t>
  </si>
  <si>
    <t>Vô sự kiện</t>
  </si>
  <si>
    <t>Đánh BOSS</t>
  </si>
  <si>
    <t>Mở bảo rương</t>
  </si>
  <si>
    <t>Thần bí cửa hàng</t>
  </si>
  <si>
    <t>Chúc phúc</t>
  </si>
  <si>
    <t>Ngục giam</t>
  </si>
  <si>
    <t>Lại hành động</t>
  </si>
  <si>
    <t>Gấp đôi</t>
  </si>
  <si>
    <t>Gia tăng 100-600 Nguyên bảo</t>
  </si>
  <si>
    <t>Không ném một lần xúc xắc</t>
  </si>
  <si>
    <t>Lại ném một lần xúc xắc</t>
  </si>
  <si>
    <t>Lần tiếp theo ném gấp đôi bước số</t>
  </si>
  <si>
    <t>Tiến hành một trận chiến đấu, chiến đấu thắng lợi nhưng ngẫu nhiên thu hoạch được ban thưởng</t>
  </si>
  <si>
    <t>Mở ra bảo rương nhưng ngẫu nhiên thu hoạch được thần bí ban thưởng</t>
  </si>
  <si>
    <t>Trong cửa hàng sẽ ngẫu nhiên xoát ra thương phẩm, nhưng tiêu hao Nguyên bảo mua</t>
  </si>
  <si>
    <t>Nhưng ngẫu nhiên thu hoạch được 100-600 Nguyên bảo</t>
  </si>
  <si>
    <t>Bành! Lần sau ném xúc xắc sẽ không hành tẩu</t>
  </si>
  <si>
    <t>Nhưng trực tiếp ngẫu nhiên tiến lên 1-6 Ngăn chứa</t>
  </si>
  <si>
    <t>Lần tiếp theo đổ xúc xắc gấp đôi bước số</t>
  </si>
  <si>
    <t>Tao ngộ chiến đấu</t>
  </si>
  <si>
    <t>Mở bảo rương rồi</t>
  </si>
  <si>
    <t>Nguyên bảo nhiều hơn</t>
  </si>
  <si>
    <t>Bành!</t>
  </si>
  <si>
    <t>Đánh bại BOSS, có thể đạt được ngẫu nhiên ban thưởng</t>
  </si>
  <si>
    <t>Sẽ ngẫu nhiên thu hoạch được thần bí ban thưởng</t>
  </si>
  <si>
    <t>Nhưng tại trong cửa hàng mua đạo cụ</t>
  </si>
  <si>
    <t>Lần sau đổ xúc xắc không thể hành động</t>
  </si>
  <si>
    <t>Trực tiếp tiếp tục tiến lên 1-6 Cách</t>
  </si>
  <si>
    <t>50000</t>
  </si>
  <si>
    <t>3:100252:500</t>
  </si>
  <si>
    <t>3:100252:700</t>
  </si>
  <si>
    <t>3:100342:1000</t>
  </si>
  <si>
    <t>0:1:3000#3:400010:1#0:0:100000#0:0:100000#3:100242:1</t>
  </si>
  <si>
    <t>0:1:3000#3:400010:1#0:0:100000#0:0:100000#3:100510:1</t>
  </si>
  <si>
    <t>0:1:15000#3:100022:5#3:100006:3#0:0:500000#3:100242:6</t>
  </si>
  <si>
    <t>0:1:40000#3:100022:12#4:606002:50#3:100004:1000#3:100242:10</t>
  </si>
  <si>
    <t>0:1:40000#3:100022:12#4:606002:50#3:100004:1000#3:100510:5</t>
  </si>
  <si>
    <t>0:1:100000#3:100210:20#0:0:10000000#0:4:10000000#3:100242:30</t>
  </si>
  <si>
    <t>0:1:100000#3:500015:60#0:0:10000000#0:4:10000000#3:100242:30</t>
  </si>
  <si>
    <t>0:1:50000#3:500022:1#3:500015:20#0:4:50000</t>
  </si>
  <si>
    <t>0:1:50000#3:500022:1#3:500015:20#0:0:50000</t>
  </si>
  <si>
    <t>0:1:50000#3:500022:1#3:500015:15#0:0:50000</t>
  </si>
  <si>
    <t>0:1:50000#3:500022:1#3:500015:10#0:4:50000</t>
  </si>
  <si>
    <t>0:1:166888#3:100258:10#3:500022:2#3:1000001:4#3:1000002:4</t>
  </si>
  <si>
    <t>2024-02-26 00:00:00</t>
  </si>
  <si>
    <t>2024-03-03 23:59:59</t>
  </si>
  <si>
    <t>2024-03-04 00:00:00</t>
  </si>
  <si>
    <t>2024-04-29 23:59:59</t>
  </si>
  <si>
    <t>0:1:500000#3:100252:2000#3:100253:2000#3:100255:50#3:100242:170</t>
  </si>
  <si>
    <t>0:1:500000#3:500015:500#3:500193:100#3:100258:100#3:100510:60</t>
  </si>
  <si>
    <t>0:1:500000#3:500193:100#0:0:1000000000#3:500061:500#3:100242:170</t>
  </si>
  <si>
    <t>0:1:200000#3:500015:150#3:500026:1#0:4:200000000#3:100510:30</t>
  </si>
  <si>
    <t>0:1:200000#3:100258:50#3:500124:1#0:0:20000000#3:100242:85</t>
  </si>
  <si>
    <t>2024-05-05 00:00:00</t>
    <phoneticPr fontId="15" type="noConversion"/>
  </si>
  <si>
    <t>2024-06-30 23:59:59</t>
  </si>
  <si>
    <t>2024-07-01 00:00:00</t>
  </si>
  <si>
    <t>2024-07-30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</si>
</sst>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微软雅黑"/>
      <family val="2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微软雅黑"/>
      <family val="2"/>
    </font>
    <font>
      <sz val="11"/>
      <color theme="1"/>
      <name val="微软雅黑"/>
      <family val="2"/>
    </font>
    <font>
      <sz val="9"/>
      <name val="宋体"/>
      <charset val="134"/>
    </font>
    <font>
      <b/>
      <sz val="9"/>
      <name val="宋体"/>
      <charset val="134"/>
    </font>
    <font>
      <sz val="9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0" fillId="3" borderId="3" applyNumberFormat="0" applyAlignment="0" applyProtection="0">
      <alignment vertical="center"/>
    </xf>
  </cellStyleXfs>
  <cellXfs count="43">
    <xf numFmtId="0" fontId="0" fillId="0" borderId="0" xfId="0"/>
    <xf numFmtId="0" fontId="0" fillId="2" borderId="0" xfId="0" applyFill="1"/>
    <xf numFmtId="49" fontId="7" fillId="0" borderId="1" xfId="0" applyNumberFormat="1" applyFont="1" applyBorder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8" fillId="2" borderId="0" xfId="0" applyFont="1" applyFill="1"/>
    <xf numFmtId="49" fontId="0" fillId="0" borderId="0" xfId="0" applyNumberFormat="1"/>
    <xf numFmtId="0" fontId="10" fillId="3" borderId="2" xfId="1" applyBorder="1" applyAlignment="1">
      <alignment horizontal="center"/>
    </xf>
    <xf numFmtId="49" fontId="10" fillId="3" borderId="2" xfId="1" applyNumberFormat="1" applyBorder="1" applyAlignment="1">
      <alignment horizontal="center"/>
    </xf>
    <xf numFmtId="0" fontId="0" fillId="0" borderId="2" xfId="0" applyBorder="1" applyAlignment="1">
      <alignment horizontal="center"/>
    </xf>
    <xf numFmtId="49" fontId="7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49" fontId="0" fillId="2" borderId="0" xfId="0" applyNumberFormat="1" applyFill="1"/>
    <xf numFmtId="0" fontId="0" fillId="4" borderId="0" xfId="0" applyFill="1"/>
    <xf numFmtId="0" fontId="12" fillId="2" borderId="0" xfId="0" applyFont="1" applyFill="1" applyAlignment="1">
      <alignment horizontal="center"/>
    </xf>
    <xf numFmtId="0" fontId="8" fillId="4" borderId="0" xfId="0" applyFont="1" applyFill="1"/>
    <xf numFmtId="0" fontId="0" fillId="5" borderId="0" xfId="0" applyFill="1"/>
    <xf numFmtId="0" fontId="8" fillId="5" borderId="0" xfId="0" applyFont="1" applyFill="1"/>
    <xf numFmtId="0" fontId="0" fillId="6" borderId="0" xfId="0" applyFill="1"/>
    <xf numFmtId="0" fontId="8" fillId="6" borderId="0" xfId="0" applyFont="1" applyFill="1"/>
    <xf numFmtId="0" fontId="0" fillId="7" borderId="0" xfId="0" applyFill="1"/>
    <xf numFmtId="0" fontId="8" fillId="7" borderId="0" xfId="0" applyFont="1" applyFill="1"/>
    <xf numFmtId="0" fontId="0" fillId="8" borderId="0" xfId="0" applyFill="1"/>
    <xf numFmtId="0" fontId="8" fillId="8" borderId="0" xfId="0" applyFont="1" applyFill="1"/>
    <xf numFmtId="14" fontId="0" fillId="0" borderId="0" xfId="0" applyNumberFormat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12" fillId="0" borderId="0" xfId="0" applyFont="1" applyAlignment="1">
      <alignment horizontal="center"/>
    </xf>
    <xf numFmtId="49" fontId="12" fillId="0" borderId="0" xfId="0" applyNumberFormat="1" applyFont="1" applyAlignment="1">
      <alignment horizontal="center"/>
    </xf>
    <xf numFmtId="49" fontId="12" fillId="0" borderId="0" xfId="0" applyNumberFormat="1" applyFont="1" applyAlignment="1">
      <alignment horizontal="right"/>
    </xf>
    <xf numFmtId="0" fontId="6" fillId="0" borderId="0" xfId="0" applyFont="1"/>
    <xf numFmtId="0" fontId="0" fillId="0" borderId="0" xfId="0" applyAlignment="1">
      <alignment horizontal="right"/>
    </xf>
    <xf numFmtId="49" fontId="5" fillId="9" borderId="0" xfId="0" applyNumberFormat="1" applyFont="1" applyFill="1"/>
    <xf numFmtId="49" fontId="4" fillId="9" borderId="0" xfId="0" applyNumberFormat="1" applyFont="1" applyFill="1"/>
    <xf numFmtId="49" fontId="3" fillId="9" borderId="0" xfId="0" applyNumberFormat="1" applyFont="1" applyFill="1"/>
    <xf numFmtId="49" fontId="2" fillId="9" borderId="0" xfId="0" applyNumberFormat="1" applyFont="1" applyFill="1"/>
    <xf numFmtId="49" fontId="1" fillId="9" borderId="0" xfId="0" applyNumberFormat="1" applyFont="1" applyFill="1"/>
  </cellXfs>
  <cellStyles count="2">
    <cellStyle name="Calculation" xfId="1" builtinId="22"/>
    <cellStyle name="Normal" xfId="0" builtinId="0"/>
  </cellStyles>
  <dxfs count="20"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5"/>
  <sheetViews>
    <sheetView tabSelected="1" workbookViewId="0">
      <selection activeCell="H6" sqref="H6"/>
    </sheetView>
  </sheetViews>
  <sheetFormatPr defaultColWidth="9" defaultRowHeight="14.4"/>
  <cols>
    <col min="1" max="1" width="7.33203125" customWidth="1"/>
    <col min="2" max="2" width="5.21875" customWidth="1"/>
    <col min="5" max="6" width="19.77734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100001</v>
      </c>
      <c r="B2">
        <v>1</v>
      </c>
      <c r="C2">
        <v>0</v>
      </c>
      <c r="D2" s="36" t="s">
        <v>314</v>
      </c>
      <c r="E2" s="40" t="s">
        <v>361</v>
      </c>
      <c r="F2" s="40" t="s">
        <v>362</v>
      </c>
    </row>
    <row r="3" spans="1:6">
      <c r="A3">
        <v>100002</v>
      </c>
      <c r="B3">
        <v>1</v>
      </c>
      <c r="C3">
        <v>0</v>
      </c>
      <c r="D3" s="36" t="s">
        <v>314</v>
      </c>
      <c r="E3" s="41" t="s">
        <v>368</v>
      </c>
      <c r="F3" s="42" t="s">
        <v>369</v>
      </c>
    </row>
    <row r="4" spans="1:6">
      <c r="A4">
        <v>100003</v>
      </c>
      <c r="B4">
        <v>1</v>
      </c>
      <c r="C4">
        <v>0</v>
      </c>
      <c r="D4" s="36" t="s">
        <v>314</v>
      </c>
      <c r="E4" s="42" t="s">
        <v>370</v>
      </c>
      <c r="F4" s="42" t="s">
        <v>371</v>
      </c>
    </row>
    <row r="5" spans="1:6">
      <c r="A5">
        <v>100004</v>
      </c>
      <c r="B5">
        <v>1</v>
      </c>
      <c r="C5">
        <v>0</v>
      </c>
      <c r="D5" s="36" t="s">
        <v>314</v>
      </c>
      <c r="E5" s="38" t="s">
        <v>359</v>
      </c>
      <c r="F5" s="39" t="s">
        <v>360</v>
      </c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8"/>
  <sheetViews>
    <sheetView workbookViewId="0">
      <selection activeCell="D11" sqref="D11"/>
    </sheetView>
  </sheetViews>
  <sheetFormatPr defaultColWidth="9" defaultRowHeight="14.4"/>
  <cols>
    <col min="1" max="1" width="7.33203125" customWidth="1"/>
    <col min="2" max="2" width="9.21875" customWidth="1"/>
    <col min="3" max="4" width="53.109375" customWidth="1"/>
    <col min="5" max="5" width="13.21875" customWidth="1"/>
    <col min="6" max="6" width="9.21875" customWidth="1"/>
    <col min="7" max="7" width="5.33203125" customWidth="1"/>
    <col min="8" max="8" width="12.88671875" customWidth="1"/>
    <col min="9" max="9" width="37.6640625" customWidth="1"/>
  </cols>
  <sheetData>
    <row r="1" spans="1:9" ht="15.6">
      <c r="A1" s="33" t="s">
        <v>6</v>
      </c>
      <c r="B1" s="33" t="s">
        <v>7</v>
      </c>
      <c r="C1" s="33" t="s">
        <v>8</v>
      </c>
      <c r="D1" s="33" t="s">
        <v>9</v>
      </c>
      <c r="E1" s="33" t="s">
        <v>10</v>
      </c>
      <c r="F1" s="33" t="s">
        <v>11</v>
      </c>
      <c r="G1" s="33" t="s">
        <v>1</v>
      </c>
      <c r="H1" s="33" t="s">
        <v>12</v>
      </c>
      <c r="I1" s="33" t="s">
        <v>12</v>
      </c>
    </row>
    <row r="2" spans="1:9" ht="15.6">
      <c r="A2" s="33">
        <v>10001</v>
      </c>
      <c r="B2" s="33">
        <v>1</v>
      </c>
      <c r="C2" s="34" t="s">
        <v>357</v>
      </c>
      <c r="D2" s="35" t="s">
        <v>358</v>
      </c>
      <c r="E2" s="34" t="s">
        <v>343</v>
      </c>
      <c r="F2" s="34" t="s">
        <v>13</v>
      </c>
      <c r="G2">
        <v>1</v>
      </c>
      <c r="H2" t="s">
        <v>14</v>
      </c>
      <c r="I2" t="s">
        <v>15</v>
      </c>
    </row>
    <row r="3" spans="1:9" ht="15.6">
      <c r="A3" s="33">
        <v>10002</v>
      </c>
      <c r="B3" s="33">
        <v>2</v>
      </c>
      <c r="C3" s="34" t="s">
        <v>356</v>
      </c>
      <c r="D3" s="35" t="s">
        <v>358</v>
      </c>
      <c r="E3" s="34" t="s">
        <v>343</v>
      </c>
      <c r="F3" s="34" t="s">
        <v>16</v>
      </c>
      <c r="G3">
        <v>1</v>
      </c>
      <c r="H3" t="s">
        <v>17</v>
      </c>
      <c r="I3" t="s">
        <v>18</v>
      </c>
    </row>
    <row r="4" spans="1:9" ht="15.6">
      <c r="A4" s="33">
        <v>10003</v>
      </c>
      <c r="B4" s="33">
        <v>3</v>
      </c>
      <c r="C4" s="34" t="s">
        <v>354</v>
      </c>
      <c r="D4" s="35" t="s">
        <v>358</v>
      </c>
      <c r="E4" s="34" t="s">
        <v>343</v>
      </c>
      <c r="F4" s="34" t="s">
        <v>19</v>
      </c>
      <c r="G4">
        <v>1</v>
      </c>
      <c r="H4" t="s">
        <v>20</v>
      </c>
      <c r="I4" t="s">
        <v>18</v>
      </c>
    </row>
    <row r="5" spans="1:9" ht="15.6">
      <c r="A5" s="33">
        <v>10004</v>
      </c>
      <c r="B5" s="33">
        <v>4</v>
      </c>
      <c r="C5" s="34" t="s">
        <v>355</v>
      </c>
      <c r="D5" s="35" t="s">
        <v>358</v>
      </c>
      <c r="E5" s="34" t="s">
        <v>343</v>
      </c>
      <c r="F5" s="34" t="s">
        <v>21</v>
      </c>
      <c r="G5">
        <v>1</v>
      </c>
      <c r="H5" t="s">
        <v>22</v>
      </c>
      <c r="I5" t="s">
        <v>18</v>
      </c>
    </row>
    <row r="6" spans="1:9" ht="15.6">
      <c r="A6" s="33">
        <v>10005</v>
      </c>
      <c r="B6" s="33">
        <v>5</v>
      </c>
      <c r="C6" s="34" t="s">
        <v>354</v>
      </c>
      <c r="D6" s="35" t="s">
        <v>358</v>
      </c>
      <c r="E6" s="34" t="s">
        <v>343</v>
      </c>
      <c r="F6" s="34" t="s">
        <v>23</v>
      </c>
      <c r="G6">
        <v>1</v>
      </c>
      <c r="H6" t="s">
        <v>20</v>
      </c>
      <c r="I6" t="s">
        <v>18</v>
      </c>
    </row>
    <row r="7" spans="1:9" ht="15.6">
      <c r="A7" s="33">
        <v>10006</v>
      </c>
      <c r="B7" s="33">
        <v>6</v>
      </c>
      <c r="C7" s="34" t="s">
        <v>355</v>
      </c>
      <c r="D7" s="35" t="s">
        <v>358</v>
      </c>
      <c r="E7" s="34" t="s">
        <v>343</v>
      </c>
      <c r="F7" s="34" t="s">
        <v>24</v>
      </c>
      <c r="G7">
        <v>1</v>
      </c>
      <c r="H7" t="s">
        <v>25</v>
      </c>
      <c r="I7" t="s">
        <v>18</v>
      </c>
    </row>
    <row r="8" spans="1:9" ht="15.6">
      <c r="A8" s="33">
        <v>10007</v>
      </c>
      <c r="B8" s="33">
        <v>7</v>
      </c>
      <c r="C8" s="34" t="s">
        <v>354</v>
      </c>
      <c r="D8" s="35" t="s">
        <v>358</v>
      </c>
      <c r="E8" s="34" t="s">
        <v>343</v>
      </c>
      <c r="F8" s="34" t="s">
        <v>26</v>
      </c>
      <c r="G8">
        <v>1</v>
      </c>
      <c r="H8" t="s">
        <v>27</v>
      </c>
      <c r="I8" t="s">
        <v>18</v>
      </c>
    </row>
  </sheetData>
  <phoneticPr fontId="15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7"/>
  <sheetViews>
    <sheetView workbookViewId="0">
      <selection activeCell="F36" sqref="F36"/>
    </sheetView>
  </sheetViews>
  <sheetFormatPr defaultColWidth="9" defaultRowHeight="14.4"/>
  <cols>
    <col min="1" max="1" width="3.21875" customWidth="1"/>
    <col min="2" max="2" width="7.33203125" customWidth="1"/>
  </cols>
  <sheetData>
    <row r="1" spans="1:3">
      <c r="A1" t="s">
        <v>6</v>
      </c>
      <c r="B1" t="s">
        <v>28</v>
      </c>
      <c r="C1" t="s">
        <v>1</v>
      </c>
    </row>
    <row r="2" spans="1:3">
      <c r="A2">
        <v>1</v>
      </c>
      <c r="B2" s="31">
        <v>682001</v>
      </c>
      <c r="C2">
        <v>1</v>
      </c>
    </row>
    <row r="3" spans="1:3">
      <c r="A3">
        <v>2</v>
      </c>
      <c r="B3" s="31">
        <v>682002</v>
      </c>
      <c r="C3">
        <v>1</v>
      </c>
    </row>
    <row r="4" spans="1:3">
      <c r="A4">
        <v>3</v>
      </c>
      <c r="B4" s="31">
        <v>682003</v>
      </c>
      <c r="C4">
        <v>1</v>
      </c>
    </row>
    <row r="5" spans="1:3">
      <c r="A5">
        <v>4</v>
      </c>
      <c r="B5" s="32">
        <v>682006</v>
      </c>
      <c r="C5">
        <v>1</v>
      </c>
    </row>
    <row r="6" spans="1:3">
      <c r="A6">
        <v>5</v>
      </c>
      <c r="B6" s="31">
        <v>682008</v>
      </c>
      <c r="C6">
        <v>1</v>
      </c>
    </row>
    <row r="7" spans="1:3">
      <c r="A7">
        <v>6</v>
      </c>
      <c r="B7" s="31">
        <v>682011</v>
      </c>
      <c r="C7">
        <v>1</v>
      </c>
    </row>
  </sheetData>
  <phoneticPr fontId="15" type="noConversion"/>
  <conditionalFormatting sqref="B2:B4 B6:B7">
    <cfRule type="duplicateValues" dxfId="19" priority="19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J34"/>
  <sheetViews>
    <sheetView workbookViewId="0">
      <selection activeCell="D17" sqref="D17"/>
    </sheetView>
  </sheetViews>
  <sheetFormatPr defaultColWidth="9" defaultRowHeight="14.4"/>
  <cols>
    <col min="1" max="1" width="7.33203125" customWidth="1"/>
    <col min="2" max="2" width="70.33203125" bestFit="1" customWidth="1"/>
    <col min="3" max="3" width="9" bestFit="1" customWidth="1"/>
    <col min="5" max="5" width="5.21875" customWidth="1"/>
    <col min="6" max="6" width="8.88671875" customWidth="1"/>
    <col min="7" max="7" width="5.21875" customWidth="1"/>
    <col min="8" max="8" width="53.6640625" customWidth="1"/>
    <col min="9" max="10" width="12.6640625"/>
  </cols>
  <sheetData>
    <row r="1" spans="1:9">
      <c r="A1" t="s">
        <v>6</v>
      </c>
      <c r="B1" t="s">
        <v>29</v>
      </c>
      <c r="C1" t="s">
        <v>30</v>
      </c>
      <c r="D1" t="s">
        <v>31</v>
      </c>
      <c r="E1" t="s">
        <v>32</v>
      </c>
      <c r="F1" t="s">
        <v>11</v>
      </c>
      <c r="G1" t="s">
        <v>1</v>
      </c>
      <c r="H1" t="s">
        <v>12</v>
      </c>
    </row>
    <row r="2" spans="1:9" ht="16.2">
      <c r="A2" s="19">
        <v>100001</v>
      </c>
      <c r="B2" s="3" t="s">
        <v>347</v>
      </c>
      <c r="C2" s="19">
        <v>3000</v>
      </c>
      <c r="D2" s="19">
        <v>1</v>
      </c>
      <c r="E2" s="19">
        <v>1</v>
      </c>
      <c r="F2" s="20">
        <v>52521</v>
      </c>
      <c r="G2" s="19">
        <v>1</v>
      </c>
      <c r="H2" s="21" t="s">
        <v>33</v>
      </c>
    </row>
    <row r="3" spans="1:9" ht="16.2">
      <c r="A3" s="19">
        <v>100002</v>
      </c>
      <c r="B3" s="3" t="s">
        <v>348</v>
      </c>
      <c r="C3" s="19">
        <v>3000</v>
      </c>
      <c r="D3" s="19">
        <v>1</v>
      </c>
      <c r="E3" s="19">
        <v>2</v>
      </c>
      <c r="F3" s="20">
        <v>52522</v>
      </c>
      <c r="G3" s="19">
        <v>1</v>
      </c>
      <c r="H3" s="21" t="s">
        <v>34</v>
      </c>
    </row>
    <row r="4" spans="1:9" ht="16.2">
      <c r="A4" s="19">
        <v>100003</v>
      </c>
      <c r="B4" s="3" t="s">
        <v>349</v>
      </c>
      <c r="C4" s="22">
        <v>15000</v>
      </c>
      <c r="D4" s="19">
        <v>1</v>
      </c>
      <c r="E4" s="19">
        <v>3</v>
      </c>
      <c r="F4" s="20">
        <v>52523</v>
      </c>
      <c r="G4" s="22">
        <v>1</v>
      </c>
      <c r="H4" s="23" t="s">
        <v>35</v>
      </c>
    </row>
    <row r="5" spans="1:9" ht="16.2">
      <c r="A5" s="19">
        <v>100004</v>
      </c>
      <c r="B5" s="3" t="s">
        <v>350</v>
      </c>
      <c r="C5" s="24">
        <v>25000</v>
      </c>
      <c r="D5" s="19">
        <v>1</v>
      </c>
      <c r="E5" s="19">
        <v>4</v>
      </c>
      <c r="F5" s="20">
        <v>52524</v>
      </c>
      <c r="G5" s="24">
        <v>1</v>
      </c>
      <c r="H5" s="25" t="s">
        <v>36</v>
      </c>
    </row>
    <row r="6" spans="1:9" ht="16.2">
      <c r="A6" s="19">
        <v>100005</v>
      </c>
      <c r="B6" s="3" t="s">
        <v>351</v>
      </c>
      <c r="C6" s="24">
        <v>25000</v>
      </c>
      <c r="D6" s="19">
        <v>1</v>
      </c>
      <c r="E6" s="19">
        <v>5</v>
      </c>
      <c r="F6" s="20">
        <v>52525</v>
      </c>
      <c r="G6" s="24">
        <v>1</v>
      </c>
      <c r="H6" s="25" t="s">
        <v>37</v>
      </c>
    </row>
    <row r="7" spans="1:9" ht="16.2">
      <c r="A7" s="19">
        <v>100006</v>
      </c>
      <c r="B7" s="3" t="s">
        <v>352</v>
      </c>
      <c r="C7" s="26">
        <v>100000</v>
      </c>
      <c r="D7" s="19">
        <v>10</v>
      </c>
      <c r="E7" s="19">
        <v>6</v>
      </c>
      <c r="F7" s="20">
        <v>52526</v>
      </c>
      <c r="G7" s="26">
        <v>1</v>
      </c>
      <c r="H7" s="27" t="s">
        <v>38</v>
      </c>
    </row>
    <row r="8" spans="1:9" ht="16.2">
      <c r="A8" s="19">
        <v>100007</v>
      </c>
      <c r="B8" s="3" t="s">
        <v>353</v>
      </c>
      <c r="C8" s="26">
        <v>100000</v>
      </c>
      <c r="D8" s="19">
        <v>10</v>
      </c>
      <c r="E8" s="19">
        <v>7</v>
      </c>
      <c r="F8" s="20">
        <v>52527</v>
      </c>
      <c r="G8" s="26">
        <v>1</v>
      </c>
      <c r="H8" s="27" t="s">
        <v>39</v>
      </c>
    </row>
    <row r="9" spans="1:9" ht="16.2">
      <c r="A9" s="19">
        <v>100008</v>
      </c>
      <c r="B9" s="3" t="s">
        <v>367</v>
      </c>
      <c r="C9" s="28">
        <v>200000</v>
      </c>
      <c r="D9" s="19">
        <v>10</v>
      </c>
      <c r="E9" s="19">
        <v>8</v>
      </c>
      <c r="F9" s="20">
        <v>52528</v>
      </c>
      <c r="G9" s="28">
        <v>1</v>
      </c>
      <c r="H9" s="29" t="s">
        <v>40</v>
      </c>
    </row>
    <row r="10" spans="1:9" ht="16.2">
      <c r="A10" s="19">
        <v>100009</v>
      </c>
      <c r="B10" s="3" t="s">
        <v>366</v>
      </c>
      <c r="C10" s="28">
        <v>200000</v>
      </c>
      <c r="D10" s="19">
        <v>10</v>
      </c>
      <c r="E10" s="19">
        <v>9</v>
      </c>
      <c r="F10" s="20">
        <v>52529</v>
      </c>
      <c r="G10" s="28">
        <v>1</v>
      </c>
      <c r="H10" s="29" t="s">
        <v>41</v>
      </c>
      <c r="I10" t="s">
        <v>42</v>
      </c>
    </row>
    <row r="11" spans="1:9" ht="16.2">
      <c r="A11" s="19">
        <v>100010</v>
      </c>
      <c r="B11" s="3" t="s">
        <v>365</v>
      </c>
      <c r="C11">
        <v>500000</v>
      </c>
      <c r="D11" s="19">
        <v>10</v>
      </c>
      <c r="E11" s="19">
        <v>10</v>
      </c>
      <c r="F11" s="20">
        <v>52530</v>
      </c>
      <c r="G11">
        <v>1</v>
      </c>
      <c r="H11" s="3" t="s">
        <v>43</v>
      </c>
    </row>
    <row r="12" spans="1:9" ht="16.2">
      <c r="A12" s="19">
        <v>100011</v>
      </c>
      <c r="B12" s="3" t="s">
        <v>363</v>
      </c>
      <c r="C12">
        <v>500000</v>
      </c>
      <c r="D12" s="19">
        <v>10</v>
      </c>
      <c r="E12" s="19">
        <v>11</v>
      </c>
      <c r="F12" s="20">
        <v>52531</v>
      </c>
      <c r="G12">
        <v>1</v>
      </c>
      <c r="H12" s="3" t="s">
        <v>44</v>
      </c>
      <c r="I12" t="s">
        <v>42</v>
      </c>
    </row>
    <row r="13" spans="1:9" ht="16.2">
      <c r="A13" s="19">
        <v>100012</v>
      </c>
      <c r="B13" s="3" t="s">
        <v>364</v>
      </c>
      <c r="C13">
        <v>500000</v>
      </c>
      <c r="D13" s="19">
        <v>10</v>
      </c>
      <c r="E13" s="19">
        <v>12</v>
      </c>
      <c r="F13" s="20">
        <v>52532</v>
      </c>
      <c r="G13">
        <v>1</v>
      </c>
      <c r="H13" s="3" t="s">
        <v>45</v>
      </c>
    </row>
    <row r="19" spans="2:10">
      <c r="J19" s="30"/>
    </row>
    <row r="20" spans="2:10" ht="15.6">
      <c r="B20" s="35"/>
    </row>
    <row r="21" spans="2:10" ht="15.6">
      <c r="B21" s="35"/>
    </row>
    <row r="22" spans="2:10" ht="15.6">
      <c r="B22" s="35"/>
    </row>
    <row r="23" spans="2:10" ht="15.6">
      <c r="B23" s="35"/>
    </row>
    <row r="24" spans="2:10" ht="15.6">
      <c r="B24" s="35"/>
    </row>
    <row r="25" spans="2:10" ht="15.6">
      <c r="B25" s="35"/>
    </row>
    <row r="26" spans="2:10" ht="15.6">
      <c r="B26" s="35"/>
    </row>
    <row r="27" spans="2:10" ht="15.6">
      <c r="B27" s="35"/>
    </row>
    <row r="28" spans="2:10" ht="15.6">
      <c r="B28" s="35"/>
    </row>
    <row r="29" spans="2:10" ht="15.6">
      <c r="B29" s="35"/>
    </row>
    <row r="30" spans="2:10">
      <c r="B30" s="37"/>
    </row>
    <row r="31" spans="2:10" ht="15.6">
      <c r="B31" s="35"/>
    </row>
    <row r="32" spans="2:10" ht="15.6">
      <c r="B32" s="35"/>
    </row>
    <row r="33" spans="2:2" ht="15.6">
      <c r="B33" s="35"/>
    </row>
    <row r="34" spans="2:2">
      <c r="B34" s="37"/>
    </row>
  </sheetData>
  <phoneticPr fontId="15" type="noConversion"/>
  <conditionalFormatting sqref="F2:F11 F13">
    <cfRule type="duplicateValues" dxfId="18" priority="3"/>
  </conditionalFormatting>
  <conditionalFormatting sqref="F2:F13">
    <cfRule type="cellIs" dxfId="17" priority="2" operator="equal">
      <formula>110509</formula>
    </cfRule>
  </conditionalFormatting>
  <conditionalFormatting sqref="F12">
    <cfRule type="duplicateValues" dxfId="16" priority="1"/>
  </conditionalFormatting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Q27"/>
  <sheetViews>
    <sheetView workbookViewId="0">
      <selection activeCell="A7" sqref="A7"/>
    </sheetView>
  </sheetViews>
  <sheetFormatPr defaultColWidth="9" defaultRowHeight="14.4"/>
  <cols>
    <col min="2" max="2" width="47" customWidth="1"/>
    <col min="3" max="3" width="5.21875" customWidth="1"/>
    <col min="12" max="12" width="16.6640625" customWidth="1"/>
    <col min="13" max="13" width="15" customWidth="1"/>
    <col min="14" max="14" width="38" customWidth="1"/>
  </cols>
  <sheetData>
    <row r="1" spans="1:17">
      <c r="A1" t="s">
        <v>46</v>
      </c>
      <c r="B1" t="s">
        <v>47</v>
      </c>
      <c r="C1" t="s">
        <v>1</v>
      </c>
    </row>
    <row r="2" spans="1:17">
      <c r="A2" s="1">
        <v>1</v>
      </c>
      <c r="B2" s="1" t="s">
        <v>48</v>
      </c>
      <c r="C2" s="1">
        <v>1</v>
      </c>
    </row>
    <row r="3" spans="1:17">
      <c r="A3" s="1">
        <v>2</v>
      </c>
      <c r="B3" s="1" t="s">
        <v>49</v>
      </c>
      <c r="C3" s="1">
        <v>1</v>
      </c>
    </row>
    <row r="4" spans="1:17">
      <c r="A4" s="1">
        <v>3</v>
      </c>
      <c r="B4" s="1" t="s">
        <v>50</v>
      </c>
      <c r="C4" s="1">
        <v>1</v>
      </c>
    </row>
    <row r="5" spans="1:17">
      <c r="A5" s="1">
        <v>4</v>
      </c>
      <c r="B5" s="1" t="s">
        <v>51</v>
      </c>
      <c r="C5" s="1">
        <v>1</v>
      </c>
    </row>
    <row r="6" spans="1:17">
      <c r="A6" s="1">
        <v>5</v>
      </c>
      <c r="B6" s="1" t="s">
        <v>52</v>
      </c>
      <c r="C6" s="1">
        <v>1</v>
      </c>
    </row>
    <row r="7" spans="1:17">
      <c r="A7" s="1">
        <v>6</v>
      </c>
      <c r="B7" s="1" t="s">
        <v>53</v>
      </c>
      <c r="C7" s="1">
        <v>1</v>
      </c>
      <c r="J7">
        <v>1</v>
      </c>
      <c r="K7" t="s">
        <v>54</v>
      </c>
      <c r="P7" s="6"/>
    </row>
    <row r="8" spans="1:17">
      <c r="A8" s="1">
        <v>7</v>
      </c>
      <c r="B8" s="1" t="s">
        <v>55</v>
      </c>
      <c r="C8" s="1">
        <v>1</v>
      </c>
      <c r="J8">
        <v>2</v>
      </c>
      <c r="K8" t="s">
        <v>56</v>
      </c>
      <c r="M8" t="s">
        <v>57</v>
      </c>
      <c r="N8" t="s">
        <v>58</v>
      </c>
      <c r="O8">
        <v>1</v>
      </c>
      <c r="P8" s="6" t="s">
        <v>59</v>
      </c>
    </row>
    <row r="9" spans="1:17">
      <c r="A9" s="1">
        <v>8</v>
      </c>
      <c r="B9" s="1" t="s">
        <v>60</v>
      </c>
      <c r="C9" s="1">
        <v>1</v>
      </c>
      <c r="J9">
        <v>3</v>
      </c>
      <c r="K9" t="s">
        <v>61</v>
      </c>
      <c r="M9" t="s">
        <v>62</v>
      </c>
      <c r="N9" t="s">
        <v>63</v>
      </c>
      <c r="O9">
        <v>1</v>
      </c>
      <c r="P9" s="6" t="s">
        <v>59</v>
      </c>
    </row>
    <row r="10" spans="1:17">
      <c r="A10" s="1">
        <v>9</v>
      </c>
      <c r="B10" s="1" t="s">
        <v>64</v>
      </c>
      <c r="C10" s="1">
        <v>1</v>
      </c>
      <c r="J10">
        <v>4</v>
      </c>
      <c r="K10" t="s">
        <v>65</v>
      </c>
      <c r="M10" t="s">
        <v>66</v>
      </c>
      <c r="N10" t="s">
        <v>67</v>
      </c>
      <c r="O10">
        <v>1</v>
      </c>
      <c r="P10" s="6" t="s">
        <v>59</v>
      </c>
    </row>
    <row r="11" spans="1:17">
      <c r="A11" s="1">
        <v>10</v>
      </c>
      <c r="B11" s="1" t="s">
        <v>52</v>
      </c>
      <c r="C11" s="1">
        <v>1</v>
      </c>
      <c r="J11">
        <v>5</v>
      </c>
      <c r="K11" t="s">
        <v>68</v>
      </c>
      <c r="L11" t="s">
        <v>69</v>
      </c>
      <c r="M11" t="s">
        <v>70</v>
      </c>
      <c r="N11" t="s">
        <v>71</v>
      </c>
      <c r="O11">
        <v>1</v>
      </c>
      <c r="P11" s="6" t="s">
        <v>59</v>
      </c>
    </row>
    <row r="12" spans="1:17">
      <c r="A12" s="1">
        <v>11</v>
      </c>
      <c r="B12" s="1" t="s">
        <v>72</v>
      </c>
      <c r="C12" s="1">
        <v>1</v>
      </c>
      <c r="J12">
        <v>7</v>
      </c>
      <c r="K12" t="s">
        <v>73</v>
      </c>
      <c r="L12" t="s">
        <v>74</v>
      </c>
      <c r="M12" t="s">
        <v>75</v>
      </c>
      <c r="N12" t="s">
        <v>76</v>
      </c>
      <c r="O12">
        <v>1</v>
      </c>
      <c r="P12" s="6"/>
    </row>
    <row r="13" spans="1:17">
      <c r="A13" s="1">
        <v>12</v>
      </c>
      <c r="B13" s="1" t="s">
        <v>77</v>
      </c>
      <c r="C13" s="1">
        <v>1</v>
      </c>
      <c r="J13">
        <v>9</v>
      </c>
      <c r="K13" t="s">
        <v>78</v>
      </c>
      <c r="L13" t="s">
        <v>79</v>
      </c>
      <c r="M13" t="s">
        <v>80</v>
      </c>
      <c r="N13" t="s">
        <v>81</v>
      </c>
      <c r="O13">
        <v>1</v>
      </c>
      <c r="P13" s="6"/>
    </row>
    <row r="14" spans="1:17">
      <c r="A14" s="1">
        <v>13</v>
      </c>
      <c r="B14" s="1" t="s">
        <v>48</v>
      </c>
      <c r="C14" s="1">
        <v>1</v>
      </c>
      <c r="J14">
        <v>10</v>
      </c>
      <c r="K14" t="s">
        <v>82</v>
      </c>
      <c r="L14" t="s">
        <v>83</v>
      </c>
      <c r="M14" t="s">
        <v>84</v>
      </c>
      <c r="N14" t="s">
        <v>85</v>
      </c>
      <c r="O14">
        <v>1</v>
      </c>
      <c r="P14" s="6"/>
    </row>
    <row r="15" spans="1:17">
      <c r="A15" s="1">
        <v>14</v>
      </c>
      <c r="B15" s="1" t="s">
        <v>86</v>
      </c>
      <c r="C15" s="1">
        <v>1</v>
      </c>
      <c r="J15">
        <v>11</v>
      </c>
      <c r="K15" t="s">
        <v>87</v>
      </c>
      <c r="L15" t="s">
        <v>88</v>
      </c>
      <c r="M15" t="s">
        <v>89</v>
      </c>
      <c r="N15" t="s">
        <v>90</v>
      </c>
      <c r="O15">
        <v>1</v>
      </c>
      <c r="P15" t="s">
        <v>91</v>
      </c>
      <c r="Q15">
        <v>1</v>
      </c>
    </row>
    <row r="16" spans="1:17">
      <c r="A16">
        <v>15</v>
      </c>
      <c r="B16" t="s">
        <v>48</v>
      </c>
      <c r="C16">
        <v>1</v>
      </c>
    </row>
    <row r="17" spans="1:3">
      <c r="A17">
        <v>16</v>
      </c>
      <c r="B17" t="s">
        <v>52</v>
      </c>
      <c r="C17">
        <v>1</v>
      </c>
    </row>
    <row r="18" spans="1:3">
      <c r="A18">
        <v>17</v>
      </c>
      <c r="B18" t="s">
        <v>48</v>
      </c>
      <c r="C18">
        <v>1</v>
      </c>
    </row>
    <row r="19" spans="1:3">
      <c r="A19">
        <v>18</v>
      </c>
      <c r="B19" t="s">
        <v>92</v>
      </c>
      <c r="C19">
        <v>1</v>
      </c>
    </row>
    <row r="20" spans="1:3">
      <c r="A20">
        <v>19</v>
      </c>
      <c r="B20" t="s">
        <v>48</v>
      </c>
      <c r="C20">
        <v>1</v>
      </c>
    </row>
    <row r="21" spans="1:3">
      <c r="A21">
        <v>20</v>
      </c>
      <c r="B21" t="s">
        <v>93</v>
      </c>
      <c r="C21">
        <v>1</v>
      </c>
    </row>
    <row r="22" spans="1:3">
      <c r="A22">
        <v>21</v>
      </c>
      <c r="B22" t="s">
        <v>55</v>
      </c>
      <c r="C22">
        <v>1</v>
      </c>
    </row>
    <row r="23" spans="1:3">
      <c r="A23">
        <v>22</v>
      </c>
      <c r="B23" t="s">
        <v>48</v>
      </c>
      <c r="C23">
        <v>1</v>
      </c>
    </row>
    <row r="24" spans="1:3">
      <c r="A24">
        <v>23</v>
      </c>
      <c r="B24" t="s">
        <v>94</v>
      </c>
      <c r="C24">
        <v>1</v>
      </c>
    </row>
    <row r="25" spans="1:3">
      <c r="A25">
        <v>24</v>
      </c>
      <c r="B25" t="s">
        <v>64</v>
      </c>
      <c r="C25">
        <v>1</v>
      </c>
    </row>
    <row r="26" spans="1:3">
      <c r="A26">
        <v>25</v>
      </c>
      <c r="B26" t="s">
        <v>95</v>
      </c>
      <c r="C26">
        <v>1</v>
      </c>
    </row>
    <row r="27" spans="1:3">
      <c r="A27">
        <v>26</v>
      </c>
      <c r="B27" t="s">
        <v>50</v>
      </c>
      <c r="C27">
        <v>1</v>
      </c>
    </row>
  </sheetData>
  <phoneticPr fontId="15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E11"/>
  <sheetViews>
    <sheetView workbookViewId="0">
      <selection activeCell="B17" sqref="B17"/>
    </sheetView>
  </sheetViews>
  <sheetFormatPr defaultColWidth="9" defaultRowHeight="14.4"/>
  <cols>
    <col min="2" max="2" width="10.88671875" customWidth="1"/>
    <col min="3" max="3" width="34.77734375" style="6" customWidth="1"/>
    <col min="5" max="5" width="38" customWidth="1"/>
  </cols>
  <sheetData>
    <row r="1" spans="1:5">
      <c r="A1" t="s">
        <v>6</v>
      </c>
      <c r="B1" t="s">
        <v>96</v>
      </c>
      <c r="C1" s="6" t="s">
        <v>97</v>
      </c>
      <c r="D1" t="s">
        <v>98</v>
      </c>
    </row>
    <row r="2" spans="1:5">
      <c r="A2">
        <v>1</v>
      </c>
      <c r="B2" s="1">
        <v>2000301</v>
      </c>
      <c r="C2" s="6" t="s">
        <v>99</v>
      </c>
      <c r="D2">
        <v>100</v>
      </c>
      <c r="E2" t="s">
        <v>100</v>
      </c>
    </row>
    <row r="3" spans="1:5">
      <c r="A3">
        <v>2</v>
      </c>
      <c r="B3" s="1">
        <v>2000302</v>
      </c>
      <c r="C3" s="6" t="s">
        <v>101</v>
      </c>
      <c r="D3">
        <v>100</v>
      </c>
      <c r="E3" t="s">
        <v>102</v>
      </c>
    </row>
    <row r="4" spans="1:5">
      <c r="A4">
        <v>3</v>
      </c>
      <c r="B4" s="1">
        <v>2000303</v>
      </c>
      <c r="C4" s="18" t="s">
        <v>103</v>
      </c>
      <c r="D4" s="1">
        <v>100</v>
      </c>
      <c r="E4" s="1" t="s">
        <v>104</v>
      </c>
    </row>
    <row r="5" spans="1:5">
      <c r="A5">
        <v>4</v>
      </c>
      <c r="B5" s="1">
        <v>2000304</v>
      </c>
      <c r="C5" s="18" t="s">
        <v>105</v>
      </c>
      <c r="D5" s="1">
        <v>100</v>
      </c>
      <c r="E5" s="1" t="s">
        <v>106</v>
      </c>
    </row>
    <row r="6" spans="1:5">
      <c r="A6">
        <v>5</v>
      </c>
      <c r="B6" s="1">
        <v>2000305</v>
      </c>
      <c r="C6" s="6" t="s">
        <v>107</v>
      </c>
      <c r="D6">
        <v>100</v>
      </c>
      <c r="E6" t="s">
        <v>108</v>
      </c>
    </row>
    <row r="7" spans="1:5">
      <c r="A7">
        <v>6</v>
      </c>
      <c r="B7">
        <v>2000306</v>
      </c>
      <c r="C7" s="6" t="s">
        <v>109</v>
      </c>
      <c r="D7">
        <v>100</v>
      </c>
      <c r="E7" t="s">
        <v>110</v>
      </c>
    </row>
    <row r="8" spans="1:5">
      <c r="A8">
        <v>7</v>
      </c>
      <c r="B8">
        <v>2000307</v>
      </c>
      <c r="C8" s="6" t="s">
        <v>111</v>
      </c>
      <c r="D8">
        <v>100</v>
      </c>
      <c r="E8" t="s">
        <v>112</v>
      </c>
    </row>
    <row r="9" spans="1:5">
      <c r="A9">
        <v>8</v>
      </c>
      <c r="B9">
        <v>2000308</v>
      </c>
      <c r="C9" s="6" t="s">
        <v>113</v>
      </c>
      <c r="D9">
        <v>100</v>
      </c>
      <c r="E9" t="s">
        <v>114</v>
      </c>
    </row>
    <row r="10" spans="1:5">
      <c r="A10">
        <v>9</v>
      </c>
      <c r="B10">
        <v>2000309</v>
      </c>
      <c r="C10" s="6" t="s">
        <v>115</v>
      </c>
      <c r="D10">
        <v>100</v>
      </c>
      <c r="E10" t="s">
        <v>116</v>
      </c>
    </row>
    <row r="11" spans="1:5">
      <c r="A11">
        <v>10</v>
      </c>
      <c r="B11">
        <v>2000310</v>
      </c>
      <c r="C11" s="6" t="s">
        <v>117</v>
      </c>
      <c r="D11">
        <v>50</v>
      </c>
      <c r="E11" t="s">
        <v>118</v>
      </c>
    </row>
  </sheetData>
  <phoneticPr fontId="15" type="noConversion"/>
  <conditionalFormatting sqref="B2:B5">
    <cfRule type="duplicateValues" dxfId="15" priority="10"/>
    <cfRule type="duplicateValues" dxfId="14" priority="11"/>
    <cfRule type="duplicateValues" dxfId="13" priority="12"/>
    <cfRule type="duplicateValues" dxfId="12" priority="13"/>
    <cfRule type="duplicateValues" dxfId="11" priority="14"/>
    <cfRule type="duplicateValues" dxfId="10" priority="15"/>
    <cfRule type="duplicateValues" dxfId="9" priority="16"/>
    <cfRule type="duplicateValues" priority="17"/>
    <cfRule type="duplicateValues" dxfId="8" priority="18"/>
  </conditionalFormatting>
  <conditionalFormatting sqref="B6">
    <cfRule type="duplicateValues" dxfId="7" priority="1"/>
    <cfRule type="duplicateValues" dxfId="6" priority="2"/>
    <cfRule type="duplicateValues" dxfId="5" priority="3"/>
    <cfRule type="duplicateValues" dxfId="4" priority="4"/>
    <cfRule type="duplicateValues" dxfId="3" priority="5"/>
    <cfRule type="duplicateValues" dxfId="2" priority="6"/>
    <cfRule type="duplicateValues" dxfId="1" priority="7"/>
    <cfRule type="duplicateValues" priority="8"/>
    <cfRule type="duplicateValues" dxfId="0" priority="9"/>
  </conditionalFormatting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36"/>
  <sheetViews>
    <sheetView workbookViewId="0">
      <selection activeCell="H24" sqref="H24"/>
    </sheetView>
  </sheetViews>
  <sheetFormatPr defaultColWidth="9" defaultRowHeight="14.4"/>
  <cols>
    <col min="1" max="1" width="3.33203125" customWidth="1"/>
    <col min="2" max="2" width="13.6640625" customWidth="1"/>
    <col min="3" max="3" width="15.77734375" customWidth="1"/>
    <col min="4" max="4" width="8.109375" customWidth="1"/>
    <col min="5" max="5" width="5.21875" customWidth="1"/>
    <col min="6" max="6" width="11.33203125" customWidth="1"/>
  </cols>
  <sheetData>
    <row r="1" spans="1:6">
      <c r="A1" s="7" t="s">
        <v>6</v>
      </c>
      <c r="B1" s="7" t="s">
        <v>119</v>
      </c>
      <c r="C1" s="8" t="s">
        <v>30</v>
      </c>
      <c r="D1" s="7" t="s">
        <v>120</v>
      </c>
      <c r="E1" s="7" t="s">
        <v>98</v>
      </c>
      <c r="F1" s="7" t="s">
        <v>12</v>
      </c>
    </row>
    <row r="2" spans="1:6" ht="15.6">
      <c r="A2" s="9">
        <v>1</v>
      </c>
      <c r="B2" s="3" t="s">
        <v>121</v>
      </c>
      <c r="C2" s="10" t="s">
        <v>122</v>
      </c>
      <c r="D2" s="11">
        <v>5</v>
      </c>
      <c r="E2" s="11">
        <v>100</v>
      </c>
      <c r="F2" s="12" t="s">
        <v>123</v>
      </c>
    </row>
    <row r="3" spans="1:6" ht="15.6">
      <c r="A3" s="9">
        <v>2</v>
      </c>
      <c r="B3" s="3" t="s">
        <v>124</v>
      </c>
      <c r="C3" s="10" t="s">
        <v>125</v>
      </c>
      <c r="D3" s="11">
        <v>5</v>
      </c>
      <c r="E3" s="11">
        <v>100</v>
      </c>
      <c r="F3" s="12" t="s">
        <v>126</v>
      </c>
    </row>
    <row r="4" spans="1:6" ht="15.6">
      <c r="A4" s="9">
        <v>3</v>
      </c>
      <c r="B4" s="3" t="s">
        <v>127</v>
      </c>
      <c r="C4" s="10" t="s">
        <v>128</v>
      </c>
      <c r="D4" s="11">
        <v>6</v>
      </c>
      <c r="E4" s="11">
        <v>30</v>
      </c>
      <c r="F4" s="12" t="s">
        <v>129</v>
      </c>
    </row>
    <row r="5" spans="1:6" ht="15.6">
      <c r="A5" s="9">
        <v>4</v>
      </c>
      <c r="B5" s="3" t="s">
        <v>130</v>
      </c>
      <c r="C5" s="10" t="s">
        <v>128</v>
      </c>
      <c r="D5" s="11">
        <v>6</v>
      </c>
      <c r="E5" s="11">
        <v>30</v>
      </c>
      <c r="F5" s="12" t="s">
        <v>131</v>
      </c>
    </row>
    <row r="6" spans="1:6" ht="15.6">
      <c r="A6" s="9">
        <v>5</v>
      </c>
      <c r="B6" s="3" t="s">
        <v>132</v>
      </c>
      <c r="C6" s="10" t="s">
        <v>128</v>
      </c>
      <c r="D6" s="11">
        <v>6</v>
      </c>
      <c r="E6" s="11">
        <v>30</v>
      </c>
      <c r="F6" s="12" t="s">
        <v>133</v>
      </c>
    </row>
    <row r="7" spans="1:6" ht="15.6">
      <c r="A7" s="9">
        <v>6</v>
      </c>
      <c r="B7" s="3" t="s">
        <v>134</v>
      </c>
      <c r="C7" s="10" t="s">
        <v>128</v>
      </c>
      <c r="D7" s="11">
        <v>6</v>
      </c>
      <c r="E7" s="11">
        <v>100</v>
      </c>
      <c r="F7" s="12" t="s">
        <v>135</v>
      </c>
    </row>
    <row r="8" spans="1:6" ht="15.6">
      <c r="A8" s="9">
        <v>7</v>
      </c>
      <c r="B8" s="3" t="s">
        <v>136</v>
      </c>
      <c r="C8" s="10" t="s">
        <v>137</v>
      </c>
      <c r="D8" s="11">
        <v>3</v>
      </c>
      <c r="E8" s="11">
        <v>3</v>
      </c>
      <c r="F8" s="12" t="s">
        <v>138</v>
      </c>
    </row>
    <row r="9" spans="1:6" ht="15.6">
      <c r="A9" s="9">
        <v>8</v>
      </c>
      <c r="B9" s="3" t="s">
        <v>139</v>
      </c>
      <c r="C9" s="10" t="s">
        <v>137</v>
      </c>
      <c r="D9" s="11">
        <v>3</v>
      </c>
      <c r="E9" s="11">
        <v>3</v>
      </c>
      <c r="F9" s="12" t="s">
        <v>140</v>
      </c>
    </row>
    <row r="10" spans="1:6" ht="15.6">
      <c r="A10" s="9">
        <v>9</v>
      </c>
      <c r="B10" s="3" t="s">
        <v>141</v>
      </c>
      <c r="C10" s="10" t="s">
        <v>137</v>
      </c>
      <c r="D10" s="11">
        <v>3</v>
      </c>
      <c r="E10" s="11">
        <v>3</v>
      </c>
      <c r="F10" s="12" t="s">
        <v>142</v>
      </c>
    </row>
    <row r="11" spans="1:6" ht="15.6">
      <c r="A11" s="9">
        <v>10</v>
      </c>
      <c r="B11" s="3" t="s">
        <v>143</v>
      </c>
      <c r="C11" s="10" t="s">
        <v>137</v>
      </c>
      <c r="D11" s="11">
        <v>3</v>
      </c>
      <c r="E11" s="11">
        <v>3</v>
      </c>
      <c r="F11" s="12" t="s">
        <v>144</v>
      </c>
    </row>
    <row r="12" spans="1:6" ht="15.6">
      <c r="A12" s="9">
        <v>11</v>
      </c>
      <c r="B12" s="3" t="s">
        <v>145</v>
      </c>
      <c r="C12" s="10" t="s">
        <v>146</v>
      </c>
      <c r="D12" s="11">
        <v>5</v>
      </c>
      <c r="E12" s="11">
        <v>20</v>
      </c>
      <c r="F12" s="12" t="s">
        <v>147</v>
      </c>
    </row>
    <row r="13" spans="1:6" ht="15.6">
      <c r="A13" s="9">
        <v>12</v>
      </c>
      <c r="B13" s="3" t="s">
        <v>148</v>
      </c>
      <c r="C13" s="10" t="s">
        <v>149</v>
      </c>
      <c r="D13" s="11">
        <v>5</v>
      </c>
      <c r="E13" s="11">
        <v>20</v>
      </c>
      <c r="F13" s="12" t="s">
        <v>150</v>
      </c>
    </row>
    <row r="14" spans="1:6" ht="15.6">
      <c r="A14" s="9">
        <v>13</v>
      </c>
      <c r="B14" s="3" t="s">
        <v>151</v>
      </c>
      <c r="C14" s="10" t="s">
        <v>152</v>
      </c>
      <c r="D14" s="11">
        <v>4</v>
      </c>
      <c r="E14" s="11">
        <v>3</v>
      </c>
      <c r="F14" s="12" t="s">
        <v>153</v>
      </c>
    </row>
    <row r="15" spans="1:6" ht="15.6">
      <c r="A15" s="9">
        <v>14</v>
      </c>
      <c r="B15" s="3" t="s">
        <v>154</v>
      </c>
      <c r="C15" s="10" t="s">
        <v>155</v>
      </c>
      <c r="D15" s="11">
        <v>4</v>
      </c>
      <c r="E15" s="11">
        <v>10</v>
      </c>
      <c r="F15" s="12" t="s">
        <v>156</v>
      </c>
    </row>
    <row r="16" spans="1:6" ht="15.6">
      <c r="A16" s="9">
        <v>15</v>
      </c>
      <c r="B16" s="3" t="s">
        <v>157</v>
      </c>
      <c r="C16" s="10" t="s">
        <v>59</v>
      </c>
      <c r="D16" s="11">
        <v>6</v>
      </c>
      <c r="E16" s="11">
        <v>15</v>
      </c>
      <c r="F16" s="12" t="s">
        <v>158</v>
      </c>
    </row>
    <row r="17" spans="1:6" ht="15.6">
      <c r="A17" s="9">
        <v>16</v>
      </c>
      <c r="B17" s="3" t="s">
        <v>159</v>
      </c>
      <c r="C17" s="10" t="s">
        <v>59</v>
      </c>
      <c r="D17" s="11">
        <v>6</v>
      </c>
      <c r="E17" s="11">
        <v>15</v>
      </c>
      <c r="F17" s="12" t="s">
        <v>160</v>
      </c>
    </row>
    <row r="18" spans="1:6" ht="15.6">
      <c r="A18" s="9">
        <v>17</v>
      </c>
      <c r="B18" s="3" t="s">
        <v>161</v>
      </c>
      <c r="C18" s="10" t="s">
        <v>162</v>
      </c>
      <c r="D18" s="11">
        <v>7</v>
      </c>
      <c r="E18" s="11">
        <v>15</v>
      </c>
      <c r="F18" s="12" t="s">
        <v>163</v>
      </c>
    </row>
    <row r="19" spans="1:6" ht="15.6">
      <c r="A19" s="9">
        <v>18</v>
      </c>
      <c r="B19" s="3" t="s">
        <v>164</v>
      </c>
      <c r="C19" s="10" t="s">
        <v>162</v>
      </c>
      <c r="D19" s="11">
        <v>7</v>
      </c>
      <c r="E19" s="11">
        <v>15</v>
      </c>
      <c r="F19" s="12" t="s">
        <v>165</v>
      </c>
    </row>
    <row r="20" spans="1:6" ht="15.6">
      <c r="A20" s="9">
        <v>19</v>
      </c>
      <c r="B20" s="3" t="s">
        <v>166</v>
      </c>
      <c r="C20" s="10" t="s">
        <v>149</v>
      </c>
      <c r="D20" s="11">
        <v>5</v>
      </c>
      <c r="E20" s="11">
        <v>100</v>
      </c>
      <c r="F20" s="12" t="s">
        <v>167</v>
      </c>
    </row>
    <row r="21" spans="1:6" ht="15.6">
      <c r="A21" s="9">
        <v>20</v>
      </c>
      <c r="B21" s="3" t="s">
        <v>168</v>
      </c>
      <c r="C21" s="10" t="s">
        <v>125</v>
      </c>
      <c r="D21" s="11">
        <v>5</v>
      </c>
      <c r="E21" s="11">
        <v>40</v>
      </c>
      <c r="F21" s="12" t="s">
        <v>169</v>
      </c>
    </row>
    <row r="22" spans="1:6" ht="15.6">
      <c r="A22" s="9">
        <v>21</v>
      </c>
      <c r="B22" s="3" t="s">
        <v>170</v>
      </c>
      <c r="C22" s="10" t="s">
        <v>171</v>
      </c>
      <c r="D22" s="11">
        <v>6</v>
      </c>
      <c r="E22" s="11">
        <v>100</v>
      </c>
      <c r="F22" s="12" t="s">
        <v>172</v>
      </c>
    </row>
    <row r="23" spans="1:6" ht="15.6">
      <c r="A23" s="9">
        <v>22</v>
      </c>
      <c r="B23" s="3" t="s">
        <v>173</v>
      </c>
      <c r="C23" s="10" t="s">
        <v>59</v>
      </c>
      <c r="D23" s="11">
        <v>5</v>
      </c>
      <c r="E23" s="11">
        <v>100</v>
      </c>
      <c r="F23" s="12" t="s">
        <v>174</v>
      </c>
    </row>
    <row r="24" spans="1:6" ht="15.6">
      <c r="A24" s="9">
        <v>23</v>
      </c>
      <c r="B24" s="3" t="s">
        <v>175</v>
      </c>
      <c r="C24" s="10" t="s">
        <v>176</v>
      </c>
      <c r="D24" s="11">
        <v>6</v>
      </c>
      <c r="E24" s="11">
        <v>100</v>
      </c>
      <c r="F24" s="12" t="s">
        <v>177</v>
      </c>
    </row>
    <row r="25" spans="1:6" ht="15.6">
      <c r="A25" s="9">
        <v>24</v>
      </c>
      <c r="B25" s="5" t="s">
        <v>178</v>
      </c>
      <c r="C25" s="10" t="s">
        <v>179</v>
      </c>
      <c r="D25" s="11">
        <v>5</v>
      </c>
      <c r="E25" s="11">
        <v>100</v>
      </c>
      <c r="F25" s="12" t="s">
        <v>180</v>
      </c>
    </row>
    <row r="26" spans="1:6" ht="15.6">
      <c r="A26" s="9">
        <v>25</v>
      </c>
      <c r="B26" s="3" t="s">
        <v>181</v>
      </c>
      <c r="C26" s="10" t="s">
        <v>179</v>
      </c>
      <c r="D26" s="13">
        <v>5</v>
      </c>
      <c r="E26" s="11">
        <v>100</v>
      </c>
      <c r="F26" s="12" t="s">
        <v>182</v>
      </c>
    </row>
    <row r="27" spans="1:6" ht="15.6">
      <c r="A27" s="9">
        <v>26</v>
      </c>
      <c r="B27" s="3" t="s">
        <v>183</v>
      </c>
      <c r="C27" s="10" t="s">
        <v>184</v>
      </c>
      <c r="D27" s="11">
        <v>8</v>
      </c>
      <c r="E27" s="11">
        <v>20</v>
      </c>
      <c r="F27" s="12" t="s">
        <v>185</v>
      </c>
    </row>
    <row r="28" spans="1:6" ht="15.6">
      <c r="A28" s="9">
        <v>27</v>
      </c>
      <c r="B28" s="3" t="s">
        <v>186</v>
      </c>
      <c r="C28" s="10" t="s">
        <v>184</v>
      </c>
      <c r="D28" s="11">
        <v>8</v>
      </c>
      <c r="E28" s="11">
        <v>20</v>
      </c>
      <c r="F28" s="12" t="s">
        <v>187</v>
      </c>
    </row>
    <row r="29" spans="1:6" ht="15.6">
      <c r="A29" s="9">
        <v>28</v>
      </c>
      <c r="B29" s="3" t="s">
        <v>188</v>
      </c>
      <c r="C29" s="10" t="s">
        <v>184</v>
      </c>
      <c r="D29" s="11">
        <v>8</v>
      </c>
      <c r="E29" s="11">
        <v>20</v>
      </c>
      <c r="F29" s="12" t="s">
        <v>189</v>
      </c>
    </row>
    <row r="30" spans="1:6" ht="15.6">
      <c r="A30" s="9">
        <v>29</v>
      </c>
      <c r="B30" s="3" t="s">
        <v>190</v>
      </c>
      <c r="C30" s="10" t="s">
        <v>184</v>
      </c>
      <c r="D30" s="11">
        <v>8</v>
      </c>
      <c r="E30" s="11">
        <v>20</v>
      </c>
      <c r="F30" s="12" t="s">
        <v>191</v>
      </c>
    </row>
    <row r="31" spans="1:6" ht="15.6">
      <c r="A31" s="9">
        <v>30</v>
      </c>
      <c r="B31" s="3" t="s">
        <v>192</v>
      </c>
      <c r="C31" s="10" t="s">
        <v>125</v>
      </c>
      <c r="D31" s="11">
        <v>4</v>
      </c>
      <c r="E31" s="11">
        <v>10</v>
      </c>
      <c r="F31" s="12" t="s">
        <v>193</v>
      </c>
    </row>
    <row r="32" spans="1:6" ht="15.6">
      <c r="A32" s="9">
        <v>31</v>
      </c>
      <c r="B32" s="3" t="s">
        <v>194</v>
      </c>
      <c r="C32" s="10" t="s">
        <v>59</v>
      </c>
      <c r="D32" s="14">
        <v>4</v>
      </c>
      <c r="E32" s="14">
        <v>10</v>
      </c>
      <c r="F32" s="15" t="s">
        <v>195</v>
      </c>
    </row>
    <row r="33" spans="1:6" ht="15.6">
      <c r="A33" s="9">
        <v>32</v>
      </c>
      <c r="B33" s="3" t="s">
        <v>196</v>
      </c>
      <c r="C33" s="10" t="s">
        <v>152</v>
      </c>
      <c r="D33" s="14">
        <v>5</v>
      </c>
      <c r="E33" s="14">
        <v>5</v>
      </c>
      <c r="F33" s="15" t="s">
        <v>197</v>
      </c>
    </row>
    <row r="34" spans="1:6" ht="15.6">
      <c r="A34" s="9">
        <v>33</v>
      </c>
      <c r="B34" s="3" t="s">
        <v>198</v>
      </c>
      <c r="C34" s="16" t="s">
        <v>199</v>
      </c>
      <c r="D34" s="17">
        <v>5</v>
      </c>
      <c r="E34" s="17">
        <v>50</v>
      </c>
      <c r="F34" s="1" t="s">
        <v>200</v>
      </c>
    </row>
    <row r="35" spans="1:6" ht="15.6">
      <c r="A35" s="9">
        <v>34</v>
      </c>
      <c r="B35" s="3" t="s">
        <v>201</v>
      </c>
      <c r="C35" s="16" t="s">
        <v>202</v>
      </c>
      <c r="D35" s="17">
        <v>4</v>
      </c>
      <c r="E35" s="17">
        <v>50</v>
      </c>
      <c r="F35" s="1" t="s">
        <v>203</v>
      </c>
    </row>
    <row r="36" spans="1:6" ht="15.6">
      <c r="A36" s="9">
        <v>35</v>
      </c>
      <c r="B36" s="3" t="s">
        <v>204</v>
      </c>
      <c r="C36" s="16" t="s">
        <v>125</v>
      </c>
      <c r="D36" s="17">
        <v>5</v>
      </c>
      <c r="E36" s="17">
        <v>50</v>
      </c>
      <c r="F36" s="1" t="s">
        <v>205</v>
      </c>
    </row>
  </sheetData>
  <phoneticPr fontId="15" type="noConversion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19"/>
  <sheetViews>
    <sheetView workbookViewId="0">
      <selection activeCell="D22" sqref="D22"/>
    </sheetView>
  </sheetViews>
  <sheetFormatPr defaultColWidth="9" defaultRowHeight="14.4"/>
  <cols>
    <col min="2" max="2" width="13.6640625" customWidth="1"/>
    <col min="4" max="4" width="12.109375" customWidth="1"/>
  </cols>
  <sheetData>
    <row r="1" spans="1:4">
      <c r="A1" t="s">
        <v>6</v>
      </c>
      <c r="B1" t="s">
        <v>97</v>
      </c>
      <c r="C1" t="s">
        <v>98</v>
      </c>
    </row>
    <row r="2" spans="1:4">
      <c r="A2">
        <v>1</v>
      </c>
      <c r="B2" s="6" t="s">
        <v>173</v>
      </c>
      <c r="C2">
        <v>1000</v>
      </c>
    </row>
    <row r="3" spans="1:4">
      <c r="A3">
        <v>2</v>
      </c>
      <c r="B3" s="6" t="s">
        <v>206</v>
      </c>
      <c r="C3">
        <v>1000</v>
      </c>
    </row>
    <row r="4" spans="1:4">
      <c r="A4">
        <v>3</v>
      </c>
      <c r="B4" s="6" t="s">
        <v>207</v>
      </c>
      <c r="C4">
        <v>1000</v>
      </c>
    </row>
    <row r="5" spans="1:4">
      <c r="A5">
        <v>4</v>
      </c>
      <c r="B5" s="6" t="s">
        <v>175</v>
      </c>
      <c r="C5">
        <v>500</v>
      </c>
    </row>
    <row r="6" spans="1:4">
      <c r="A6">
        <v>5</v>
      </c>
      <c r="B6" s="6" t="s">
        <v>192</v>
      </c>
      <c r="C6">
        <v>100</v>
      </c>
    </row>
    <row r="7" spans="1:4">
      <c r="A7">
        <v>6</v>
      </c>
      <c r="B7" s="6" t="s">
        <v>208</v>
      </c>
      <c r="C7">
        <v>1000</v>
      </c>
      <c r="D7" t="s">
        <v>209</v>
      </c>
    </row>
    <row r="8" spans="1:4">
      <c r="A8">
        <v>7</v>
      </c>
      <c r="B8" t="s">
        <v>170</v>
      </c>
      <c r="C8">
        <v>500</v>
      </c>
      <c r="D8" t="s">
        <v>210</v>
      </c>
    </row>
    <row r="9" spans="1:4">
      <c r="A9">
        <v>8</v>
      </c>
      <c r="B9" t="s">
        <v>211</v>
      </c>
      <c r="C9">
        <v>200</v>
      </c>
      <c r="D9" t="s">
        <v>212</v>
      </c>
    </row>
    <row r="10" spans="1:4">
      <c r="A10">
        <v>9</v>
      </c>
      <c r="B10" s="6" t="s">
        <v>194</v>
      </c>
      <c r="C10">
        <v>1000</v>
      </c>
      <c r="D10" t="s">
        <v>213</v>
      </c>
    </row>
    <row r="11" spans="1:4">
      <c r="A11">
        <v>10</v>
      </c>
      <c r="B11" s="6" t="s">
        <v>168</v>
      </c>
      <c r="C11">
        <v>1000</v>
      </c>
      <c r="D11" t="s">
        <v>214</v>
      </c>
    </row>
    <row r="12" spans="1:4">
      <c r="A12">
        <v>11</v>
      </c>
      <c r="B12" t="s">
        <v>215</v>
      </c>
      <c r="C12">
        <v>800</v>
      </c>
      <c r="D12" t="s">
        <v>216</v>
      </c>
    </row>
    <row r="13" spans="1:4">
      <c r="A13">
        <v>12</v>
      </c>
      <c r="B13" t="s">
        <v>217</v>
      </c>
      <c r="C13">
        <v>1000</v>
      </c>
      <c r="D13" t="s">
        <v>218</v>
      </c>
    </row>
    <row r="14" spans="1:4">
      <c r="A14">
        <v>13</v>
      </c>
      <c r="B14" t="s">
        <v>219</v>
      </c>
      <c r="C14">
        <v>10</v>
      </c>
      <c r="D14" t="s">
        <v>220</v>
      </c>
    </row>
    <row r="15" spans="1:4">
      <c r="A15">
        <v>14</v>
      </c>
      <c r="B15" s="1" t="s">
        <v>221</v>
      </c>
      <c r="C15" s="1">
        <v>10</v>
      </c>
      <c r="D15" s="1" t="s">
        <v>222</v>
      </c>
    </row>
    <row r="16" spans="1:4">
      <c r="A16">
        <v>15</v>
      </c>
      <c r="B16" s="1" t="s">
        <v>223</v>
      </c>
      <c r="C16" s="1">
        <v>1</v>
      </c>
      <c r="D16" s="1" t="s">
        <v>224</v>
      </c>
    </row>
    <row r="17" spans="1:4">
      <c r="A17">
        <v>16</v>
      </c>
      <c r="B17" s="1" t="s">
        <v>225</v>
      </c>
      <c r="C17" s="1">
        <v>1000</v>
      </c>
      <c r="D17" s="1" t="s">
        <v>226</v>
      </c>
    </row>
    <row r="18" spans="1:4">
      <c r="A18">
        <v>17</v>
      </c>
      <c r="B18" s="1" t="s">
        <v>227</v>
      </c>
      <c r="C18" s="1">
        <v>500</v>
      </c>
      <c r="D18" s="1" t="s">
        <v>228</v>
      </c>
    </row>
    <row r="19" spans="1:4">
      <c r="A19">
        <v>18</v>
      </c>
      <c r="B19" s="1" t="s">
        <v>229</v>
      </c>
      <c r="C19" s="1">
        <v>10</v>
      </c>
      <c r="D19" s="1" t="s">
        <v>230</v>
      </c>
    </row>
  </sheetData>
  <phoneticPr fontId="1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P21"/>
  <sheetViews>
    <sheetView workbookViewId="0">
      <selection activeCell="I16" sqref="I16"/>
    </sheetView>
  </sheetViews>
  <sheetFormatPr defaultColWidth="9" defaultRowHeight="14.4"/>
  <cols>
    <col min="2" max="2" width="10.6640625" customWidth="1"/>
    <col min="3" max="3" width="21.33203125" customWidth="1"/>
    <col min="4" max="6" width="14.109375" customWidth="1"/>
    <col min="7" max="7" width="38" customWidth="1"/>
    <col min="9" max="9" width="27.33203125" style="6" customWidth="1"/>
    <col min="11" max="11" width="28.21875" customWidth="1"/>
  </cols>
  <sheetData>
    <row r="1" spans="1:16">
      <c r="A1" t="s">
        <v>231</v>
      </c>
      <c r="B1" t="s">
        <v>232</v>
      </c>
      <c r="C1" t="s">
        <v>233</v>
      </c>
      <c r="D1" t="s">
        <v>234</v>
      </c>
      <c r="E1" t="s">
        <v>235</v>
      </c>
      <c r="F1" t="s">
        <v>236</v>
      </c>
      <c r="G1" t="s">
        <v>237</v>
      </c>
      <c r="H1" t="s">
        <v>238</v>
      </c>
      <c r="I1" s="6" t="s">
        <v>239</v>
      </c>
      <c r="J1" t="s">
        <v>240</v>
      </c>
      <c r="K1" t="s">
        <v>241</v>
      </c>
    </row>
    <row r="2" spans="1:16">
      <c r="A2">
        <v>1</v>
      </c>
      <c r="B2" t="s">
        <v>315</v>
      </c>
    </row>
    <row r="3" spans="1:16">
      <c r="A3">
        <v>2</v>
      </c>
      <c r="B3" t="s">
        <v>316</v>
      </c>
      <c r="D3" t="s">
        <v>57</v>
      </c>
      <c r="E3" t="s">
        <v>242</v>
      </c>
      <c r="F3">
        <v>2</v>
      </c>
      <c r="G3" t="s">
        <v>327</v>
      </c>
      <c r="H3">
        <v>1</v>
      </c>
      <c r="I3" s="6" t="s">
        <v>243</v>
      </c>
      <c r="J3" t="s">
        <v>334</v>
      </c>
      <c r="K3" t="s">
        <v>338</v>
      </c>
    </row>
    <row r="4" spans="1:16">
      <c r="A4">
        <v>3</v>
      </c>
      <c r="B4" t="s">
        <v>317</v>
      </c>
      <c r="D4" t="s">
        <v>62</v>
      </c>
      <c r="E4" t="s">
        <v>244</v>
      </c>
      <c r="F4">
        <v>2</v>
      </c>
      <c r="G4" t="s">
        <v>328</v>
      </c>
      <c r="H4">
        <v>1</v>
      </c>
      <c r="I4" s="6" t="s">
        <v>245</v>
      </c>
      <c r="J4" t="s">
        <v>335</v>
      </c>
      <c r="K4" t="s">
        <v>339</v>
      </c>
    </row>
    <row r="5" spans="1:16">
      <c r="A5">
        <v>4</v>
      </c>
      <c r="B5" t="s">
        <v>318</v>
      </c>
      <c r="D5" t="s">
        <v>66</v>
      </c>
      <c r="E5" t="s">
        <v>246</v>
      </c>
      <c r="F5">
        <v>2</v>
      </c>
      <c r="G5" t="s">
        <v>329</v>
      </c>
      <c r="H5">
        <v>1</v>
      </c>
      <c r="I5" s="6" t="s">
        <v>247</v>
      </c>
      <c r="J5" t="s">
        <v>318</v>
      </c>
      <c r="K5" t="s">
        <v>340</v>
      </c>
    </row>
    <row r="6" spans="1:16">
      <c r="A6">
        <v>5</v>
      </c>
      <c r="B6" t="s">
        <v>319</v>
      </c>
      <c r="C6" t="s">
        <v>323</v>
      </c>
      <c r="D6" t="s">
        <v>70</v>
      </c>
      <c r="E6" t="s">
        <v>248</v>
      </c>
      <c r="F6">
        <v>1</v>
      </c>
      <c r="G6" t="s">
        <v>330</v>
      </c>
      <c r="H6">
        <v>1</v>
      </c>
      <c r="I6" s="6" t="s">
        <v>249</v>
      </c>
      <c r="J6" t="s">
        <v>336</v>
      </c>
      <c r="K6" t="s">
        <v>330</v>
      </c>
    </row>
    <row r="7" spans="1:16">
      <c r="A7">
        <v>9</v>
      </c>
      <c r="B7" t="s">
        <v>320</v>
      </c>
      <c r="C7" t="s">
        <v>324</v>
      </c>
      <c r="D7" t="s">
        <v>80</v>
      </c>
      <c r="E7" t="s">
        <v>250</v>
      </c>
      <c r="F7">
        <v>2</v>
      </c>
      <c r="G7" t="s">
        <v>331</v>
      </c>
      <c r="H7">
        <v>1</v>
      </c>
      <c r="J7" t="s">
        <v>337</v>
      </c>
      <c r="K7" t="s">
        <v>341</v>
      </c>
    </row>
    <row r="8" spans="1:16">
      <c r="A8">
        <v>10</v>
      </c>
      <c r="B8" t="s">
        <v>321</v>
      </c>
      <c r="C8" t="s">
        <v>325</v>
      </c>
      <c r="D8" t="s">
        <v>84</v>
      </c>
      <c r="E8" t="s">
        <v>251</v>
      </c>
      <c r="F8">
        <v>1</v>
      </c>
      <c r="G8" t="s">
        <v>332</v>
      </c>
      <c r="H8">
        <v>1</v>
      </c>
      <c r="J8" t="s">
        <v>321</v>
      </c>
      <c r="K8" t="s">
        <v>342</v>
      </c>
    </row>
    <row r="9" spans="1:16">
      <c r="A9">
        <v>11</v>
      </c>
      <c r="B9" t="s">
        <v>322</v>
      </c>
      <c r="C9" t="s">
        <v>326</v>
      </c>
      <c r="D9" t="s">
        <v>89</v>
      </c>
      <c r="E9" t="s">
        <v>90</v>
      </c>
      <c r="F9">
        <v>1</v>
      </c>
      <c r="G9" t="s">
        <v>333</v>
      </c>
      <c r="H9">
        <v>1</v>
      </c>
    </row>
    <row r="12" spans="1:16">
      <c r="P12" s="6"/>
    </row>
    <row r="13" spans="1:16">
      <c r="P13" s="6"/>
    </row>
    <row r="14" spans="1:16">
      <c r="P14" s="6"/>
    </row>
    <row r="15" spans="1:16">
      <c r="P15" s="6"/>
    </row>
    <row r="16" spans="1:16">
      <c r="P16" s="6"/>
    </row>
    <row r="17" spans="16:16">
      <c r="P17" s="6"/>
    </row>
    <row r="18" spans="16:16">
      <c r="P18" s="6"/>
    </row>
    <row r="19" spans="16:16">
      <c r="P19" s="6"/>
    </row>
    <row r="20" spans="16:16">
      <c r="P20" s="6"/>
    </row>
    <row r="21" spans="16:16">
      <c r="P21" s="6"/>
    </row>
  </sheetData>
  <phoneticPr fontId="15" type="noConversion"/>
  <pageMargins left="0.7" right="0.7" top="0.75" bottom="0.75" header="0.3" footer="0.3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C7"/>
  <sheetViews>
    <sheetView workbookViewId="0">
      <selection activeCell="C2" sqref="A2:C7"/>
    </sheetView>
  </sheetViews>
  <sheetFormatPr defaultColWidth="9" defaultRowHeight="14.4"/>
  <sheetData>
    <row r="1" spans="1:3">
      <c r="A1" t="s">
        <v>6</v>
      </c>
      <c r="B1" t="s">
        <v>252</v>
      </c>
      <c r="C1" t="s">
        <v>98</v>
      </c>
    </row>
    <row r="2" spans="1:3">
      <c r="A2">
        <v>1</v>
      </c>
      <c r="B2">
        <v>100</v>
      </c>
      <c r="C2">
        <v>100</v>
      </c>
    </row>
    <row r="3" spans="1:3">
      <c r="A3">
        <v>2</v>
      </c>
      <c r="B3">
        <v>200</v>
      </c>
      <c r="C3">
        <v>60</v>
      </c>
    </row>
    <row r="4" spans="1:3">
      <c r="A4">
        <v>3</v>
      </c>
      <c r="B4">
        <v>300</v>
      </c>
      <c r="C4">
        <v>40</v>
      </c>
    </row>
    <row r="5" spans="1:3">
      <c r="A5">
        <v>4</v>
      </c>
      <c r="B5">
        <v>400</v>
      </c>
      <c r="C5">
        <v>20</v>
      </c>
    </row>
    <row r="6" spans="1:3">
      <c r="A6">
        <v>5</v>
      </c>
      <c r="B6">
        <v>500</v>
      </c>
      <c r="C6">
        <v>10</v>
      </c>
    </row>
    <row r="7" spans="1:3">
      <c r="A7">
        <v>6</v>
      </c>
      <c r="B7">
        <v>600</v>
      </c>
      <c r="C7">
        <v>5</v>
      </c>
    </row>
  </sheetData>
  <phoneticPr fontId="1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C7"/>
  <sheetViews>
    <sheetView workbookViewId="0">
      <selection activeCell="C3" sqref="C3"/>
    </sheetView>
  </sheetViews>
  <sheetFormatPr defaultColWidth="9" defaultRowHeight="14.4"/>
  <sheetData>
    <row r="1" spans="1:3">
      <c r="A1" t="s">
        <v>6</v>
      </c>
      <c r="B1" t="s">
        <v>253</v>
      </c>
      <c r="C1" t="s">
        <v>98</v>
      </c>
    </row>
    <row r="2" spans="1:3">
      <c r="A2">
        <v>1</v>
      </c>
      <c r="B2">
        <v>100</v>
      </c>
      <c r="C2">
        <v>100</v>
      </c>
    </row>
    <row r="3" spans="1:3">
      <c r="A3">
        <v>2</v>
      </c>
      <c r="B3">
        <v>200</v>
      </c>
      <c r="C3">
        <v>60</v>
      </c>
    </row>
    <row r="4" spans="1:3">
      <c r="A4">
        <v>3</v>
      </c>
      <c r="B4">
        <v>300</v>
      </c>
      <c r="C4">
        <v>40</v>
      </c>
    </row>
    <row r="5" spans="1:3">
      <c r="A5">
        <v>4</v>
      </c>
      <c r="B5">
        <v>400</v>
      </c>
      <c r="C5">
        <v>20</v>
      </c>
    </row>
    <row r="6" spans="1:3">
      <c r="A6">
        <v>5</v>
      </c>
      <c r="B6">
        <v>500</v>
      </c>
      <c r="C6">
        <v>10</v>
      </c>
    </row>
    <row r="7" spans="1:3">
      <c r="A7">
        <v>6</v>
      </c>
      <c r="B7">
        <v>600</v>
      </c>
      <c r="C7">
        <v>5</v>
      </c>
    </row>
  </sheetData>
  <phoneticPr fontId="1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F76"/>
  <sheetViews>
    <sheetView topLeftCell="A13" workbookViewId="0">
      <selection activeCell="H64" sqref="H64"/>
    </sheetView>
  </sheetViews>
  <sheetFormatPr defaultColWidth="9" defaultRowHeight="15"/>
  <cols>
    <col min="1" max="1" width="11" customWidth="1"/>
    <col min="3" max="3" width="13.6640625" style="2" customWidth="1"/>
    <col min="4" max="4" width="17.77734375" customWidth="1"/>
    <col min="8" max="8" width="12.6640625"/>
    <col min="10" max="11" width="12.6640625"/>
  </cols>
  <sheetData>
    <row r="1" spans="1:6">
      <c r="A1" t="s">
        <v>6</v>
      </c>
      <c r="B1" t="s">
        <v>254</v>
      </c>
      <c r="C1" s="2" t="s">
        <v>97</v>
      </c>
    </row>
    <row r="2" spans="1:6" ht="14.4">
      <c r="A2">
        <v>1</v>
      </c>
      <c r="B2">
        <v>10</v>
      </c>
      <c r="C2" t="s">
        <v>255</v>
      </c>
      <c r="D2" t="s">
        <v>256</v>
      </c>
    </row>
    <row r="3" spans="1:6" ht="15.6">
      <c r="A3">
        <v>2</v>
      </c>
      <c r="B3">
        <v>20</v>
      </c>
      <c r="C3" s="3" t="s">
        <v>257</v>
      </c>
      <c r="D3" t="s">
        <v>258</v>
      </c>
      <c r="F3">
        <f>648</f>
        <v>648</v>
      </c>
    </row>
    <row r="4" spans="1:6" ht="15.6">
      <c r="A4">
        <v>3</v>
      </c>
      <c r="B4">
        <v>30</v>
      </c>
      <c r="C4" s="3" t="s">
        <v>259</v>
      </c>
      <c r="D4" s="1" t="s">
        <v>260</v>
      </c>
    </row>
    <row r="5" spans="1:6" ht="15.6">
      <c r="A5">
        <v>4</v>
      </c>
      <c r="B5">
        <v>40</v>
      </c>
      <c r="C5" s="3" t="s">
        <v>261</v>
      </c>
      <c r="D5" t="s">
        <v>262</v>
      </c>
      <c r="F5">
        <f t="shared" ref="F5:F9" si="0">F3+648</f>
        <v>1296</v>
      </c>
    </row>
    <row r="6" spans="1:6" ht="15.6">
      <c r="A6">
        <v>5</v>
      </c>
      <c r="B6">
        <v>50</v>
      </c>
      <c r="C6" s="3" t="s">
        <v>263</v>
      </c>
      <c r="D6" t="s">
        <v>264</v>
      </c>
    </row>
    <row r="7" spans="1:6" ht="15.6">
      <c r="A7">
        <v>6</v>
      </c>
      <c r="B7">
        <f>B6+15</f>
        <v>65</v>
      </c>
      <c r="C7" s="3" t="s">
        <v>265</v>
      </c>
      <c r="D7" s="4" t="s">
        <v>266</v>
      </c>
      <c r="F7">
        <f t="shared" si="0"/>
        <v>1944</v>
      </c>
    </row>
    <row r="8" spans="1:6" ht="15.6">
      <c r="A8">
        <v>7</v>
      </c>
      <c r="B8">
        <f>B7+10</f>
        <v>75</v>
      </c>
      <c r="C8" s="3" t="s">
        <v>267</v>
      </c>
      <c r="D8" s="1" t="s">
        <v>268</v>
      </c>
      <c r="E8" s="2"/>
    </row>
    <row r="9" spans="1:6" ht="15.6">
      <c r="A9">
        <v>8</v>
      </c>
      <c r="B9">
        <f>B8+10</f>
        <v>85</v>
      </c>
      <c r="C9" s="3" t="s">
        <v>269</v>
      </c>
      <c r="D9" s="1" t="s">
        <v>270</v>
      </c>
      <c r="F9">
        <f t="shared" si="0"/>
        <v>2592</v>
      </c>
    </row>
    <row r="10" spans="1:6" ht="15.6">
      <c r="A10">
        <v>9</v>
      </c>
      <c r="B10">
        <f>B9+10</f>
        <v>95</v>
      </c>
      <c r="C10" s="3" t="s">
        <v>271</v>
      </c>
      <c r="D10" t="s">
        <v>272</v>
      </c>
    </row>
    <row r="11" spans="1:6" ht="15.6">
      <c r="A11">
        <v>10</v>
      </c>
      <c r="B11">
        <f>B10+10</f>
        <v>105</v>
      </c>
      <c r="C11" s="3" t="s">
        <v>273</v>
      </c>
      <c r="D11" t="s">
        <v>274</v>
      </c>
      <c r="F11">
        <f>F9+648</f>
        <v>3240</v>
      </c>
    </row>
    <row r="12" spans="1:6" ht="15.6">
      <c r="A12">
        <v>11</v>
      </c>
      <c r="B12">
        <f>B11+10</f>
        <v>115</v>
      </c>
      <c r="C12" s="3" t="s">
        <v>275</v>
      </c>
      <c r="D12" t="s">
        <v>276</v>
      </c>
    </row>
    <row r="13" spans="1:6" ht="15.6">
      <c r="A13">
        <v>12</v>
      </c>
      <c r="B13">
        <f>B12+15</f>
        <v>130</v>
      </c>
      <c r="C13" s="3" t="s">
        <v>265</v>
      </c>
      <c r="D13" s="4" t="s">
        <v>266</v>
      </c>
      <c r="F13">
        <f>F11+648</f>
        <v>3888</v>
      </c>
    </row>
    <row r="14" spans="1:6" ht="15.6">
      <c r="A14">
        <v>13</v>
      </c>
      <c r="B14">
        <f>B13+10</f>
        <v>140</v>
      </c>
      <c r="C14" s="3" t="s">
        <v>277</v>
      </c>
      <c r="D14" t="s">
        <v>278</v>
      </c>
    </row>
    <row r="15" spans="1:6" ht="15.6">
      <c r="A15">
        <v>14</v>
      </c>
      <c r="B15">
        <f>B14+10</f>
        <v>150</v>
      </c>
      <c r="C15" s="3" t="s">
        <v>279</v>
      </c>
      <c r="D15" s="1" t="s">
        <v>280</v>
      </c>
      <c r="F15">
        <f>F13+648</f>
        <v>4536</v>
      </c>
    </row>
    <row r="16" spans="1:6" ht="15.6">
      <c r="A16">
        <v>15</v>
      </c>
      <c r="B16">
        <f>B15+10</f>
        <v>160</v>
      </c>
      <c r="C16" s="3" t="s">
        <v>281</v>
      </c>
      <c r="D16" t="s">
        <v>282</v>
      </c>
    </row>
    <row r="17" spans="1:6" ht="15.6">
      <c r="A17">
        <v>16</v>
      </c>
      <c r="B17">
        <f>B16+10</f>
        <v>170</v>
      </c>
      <c r="C17" s="3" t="s">
        <v>283</v>
      </c>
      <c r="D17" s="1" t="s">
        <v>284</v>
      </c>
      <c r="F17">
        <f t="shared" ref="F17:F21" si="1">F15+648</f>
        <v>5184</v>
      </c>
    </row>
    <row r="18" spans="1:6" ht="15.6">
      <c r="A18">
        <v>17</v>
      </c>
      <c r="B18">
        <f>B17+10</f>
        <v>180</v>
      </c>
      <c r="C18" s="3" t="s">
        <v>285</v>
      </c>
      <c r="D18" t="s">
        <v>286</v>
      </c>
    </row>
    <row r="19" spans="1:6" ht="15.6">
      <c r="A19">
        <v>18</v>
      </c>
      <c r="B19">
        <f>B18+15</f>
        <v>195</v>
      </c>
      <c r="C19" s="3" t="s">
        <v>265</v>
      </c>
      <c r="D19" s="4" t="s">
        <v>266</v>
      </c>
      <c r="F19">
        <f t="shared" si="1"/>
        <v>5832</v>
      </c>
    </row>
    <row r="20" spans="1:6" ht="15.6">
      <c r="A20">
        <v>19</v>
      </c>
      <c r="B20">
        <f>B19+10</f>
        <v>205</v>
      </c>
      <c r="C20" s="3" t="s">
        <v>287</v>
      </c>
      <c r="D20" t="s">
        <v>288</v>
      </c>
    </row>
    <row r="21" spans="1:6" ht="15.6">
      <c r="A21">
        <v>20</v>
      </c>
      <c r="B21">
        <f>B20+10</f>
        <v>215</v>
      </c>
      <c r="C21" s="3" t="s">
        <v>344</v>
      </c>
      <c r="D21" s="1" t="s">
        <v>289</v>
      </c>
      <c r="F21">
        <f t="shared" si="1"/>
        <v>6480</v>
      </c>
    </row>
    <row r="22" spans="1:6" ht="15.6">
      <c r="A22">
        <v>21</v>
      </c>
      <c r="B22">
        <f>B21+10</f>
        <v>225</v>
      </c>
      <c r="C22" s="3" t="s">
        <v>290</v>
      </c>
      <c r="D22" t="s">
        <v>291</v>
      </c>
    </row>
    <row r="23" spans="1:6" ht="15.6">
      <c r="A23">
        <v>22</v>
      </c>
      <c r="B23">
        <f>B22+10</f>
        <v>235</v>
      </c>
      <c r="C23" s="3" t="s">
        <v>267</v>
      </c>
      <c r="D23" s="1" t="s">
        <v>268</v>
      </c>
      <c r="F23">
        <f t="shared" ref="F23:F27" si="2">F21+648</f>
        <v>7128</v>
      </c>
    </row>
    <row r="24" spans="1:6" ht="15.6">
      <c r="A24">
        <v>23</v>
      </c>
      <c r="B24">
        <f>B23+10</f>
        <v>245</v>
      </c>
      <c r="C24" s="3" t="s">
        <v>292</v>
      </c>
      <c r="D24" t="s">
        <v>293</v>
      </c>
    </row>
    <row r="25" spans="1:6" ht="15.6">
      <c r="A25">
        <v>24</v>
      </c>
      <c r="B25">
        <f>B24+15</f>
        <v>260</v>
      </c>
      <c r="C25" s="5" t="s">
        <v>265</v>
      </c>
      <c r="D25" s="4" t="s">
        <v>266</v>
      </c>
      <c r="F25">
        <f t="shared" si="2"/>
        <v>7776</v>
      </c>
    </row>
    <row r="26" spans="1:6" ht="15.6">
      <c r="A26">
        <v>25</v>
      </c>
      <c r="B26">
        <f>B25+10</f>
        <v>270</v>
      </c>
      <c r="C26" s="3" t="s">
        <v>294</v>
      </c>
      <c r="D26" t="s">
        <v>295</v>
      </c>
    </row>
    <row r="27" spans="1:6" ht="15.6">
      <c r="A27">
        <v>26</v>
      </c>
      <c r="B27">
        <f t="shared" ref="B27:B33" si="3">B26+10</f>
        <v>280</v>
      </c>
      <c r="C27" s="3" t="s">
        <v>296</v>
      </c>
      <c r="D27" s="1" t="s">
        <v>297</v>
      </c>
      <c r="F27">
        <f t="shared" si="2"/>
        <v>8424</v>
      </c>
    </row>
    <row r="28" spans="1:6" ht="15.6">
      <c r="A28">
        <v>27</v>
      </c>
      <c r="B28">
        <f t="shared" si="3"/>
        <v>290</v>
      </c>
      <c r="C28" s="3" t="s">
        <v>298</v>
      </c>
      <c r="D28" t="s">
        <v>299</v>
      </c>
    </row>
    <row r="29" spans="1:6" ht="15.6">
      <c r="A29">
        <v>28</v>
      </c>
      <c r="B29">
        <f t="shared" si="3"/>
        <v>300</v>
      </c>
      <c r="C29" s="3" t="s">
        <v>300</v>
      </c>
      <c r="D29" s="1" t="s">
        <v>301</v>
      </c>
      <c r="F29">
        <f t="shared" ref="F29:F33" si="4">F27+648</f>
        <v>9072</v>
      </c>
    </row>
    <row r="30" spans="1:6" ht="15.6">
      <c r="A30">
        <v>29</v>
      </c>
      <c r="B30">
        <f t="shared" si="3"/>
        <v>310</v>
      </c>
      <c r="C30" s="3" t="s">
        <v>302</v>
      </c>
      <c r="D30" t="s">
        <v>303</v>
      </c>
    </row>
    <row r="31" spans="1:6" ht="15.6">
      <c r="A31">
        <v>30</v>
      </c>
      <c r="B31">
        <f t="shared" si="3"/>
        <v>320</v>
      </c>
      <c r="C31" s="3" t="s">
        <v>345</v>
      </c>
      <c r="D31" s="1" t="s">
        <v>304</v>
      </c>
      <c r="F31">
        <f t="shared" si="4"/>
        <v>9720</v>
      </c>
    </row>
    <row r="32" spans="1:6" ht="15.6">
      <c r="A32">
        <v>31</v>
      </c>
      <c r="B32">
        <f t="shared" si="3"/>
        <v>330</v>
      </c>
      <c r="C32" s="3" t="s">
        <v>305</v>
      </c>
      <c r="D32" t="s">
        <v>306</v>
      </c>
    </row>
    <row r="33" spans="1:6" ht="15.6">
      <c r="A33">
        <v>32</v>
      </c>
      <c r="B33">
        <f t="shared" si="3"/>
        <v>340</v>
      </c>
      <c r="C33" s="3" t="s">
        <v>307</v>
      </c>
      <c r="D33" s="1" t="s">
        <v>308</v>
      </c>
      <c r="F33">
        <f t="shared" si="4"/>
        <v>10368</v>
      </c>
    </row>
    <row r="34" spans="1:6" ht="15.6">
      <c r="A34">
        <v>33</v>
      </c>
      <c r="B34">
        <v>400</v>
      </c>
      <c r="C34" s="5" t="s">
        <v>265</v>
      </c>
    </row>
    <row r="35" spans="1:6" ht="15.6">
      <c r="A35">
        <v>34</v>
      </c>
      <c r="B35">
        <v>450</v>
      </c>
      <c r="C35" s="3" t="s">
        <v>346</v>
      </c>
    </row>
    <row r="36" spans="1:6" ht="15.6">
      <c r="A36">
        <v>35</v>
      </c>
      <c r="B36">
        <v>500</v>
      </c>
      <c r="C36" s="3" t="s">
        <v>296</v>
      </c>
    </row>
    <row r="37" spans="1:6" ht="15.6">
      <c r="A37">
        <v>36</v>
      </c>
      <c r="B37">
        <v>550</v>
      </c>
      <c r="C37" s="3" t="s">
        <v>298</v>
      </c>
    </row>
    <row r="38" spans="1:6" ht="15.6">
      <c r="A38">
        <v>37</v>
      </c>
      <c r="B38">
        <v>600</v>
      </c>
      <c r="C38" s="3" t="s">
        <v>300</v>
      </c>
    </row>
    <row r="39" spans="1:6" ht="15.6">
      <c r="A39">
        <v>38</v>
      </c>
      <c r="B39">
        <v>650</v>
      </c>
      <c r="C39" s="3" t="s">
        <v>302</v>
      </c>
    </row>
    <row r="40" spans="1:6" ht="15.6">
      <c r="A40">
        <v>39</v>
      </c>
      <c r="B40">
        <v>700</v>
      </c>
      <c r="C40" s="3" t="s">
        <v>345</v>
      </c>
    </row>
    <row r="41" spans="1:6" ht="15.6">
      <c r="A41">
        <v>40</v>
      </c>
      <c r="B41">
        <v>750</v>
      </c>
      <c r="C41" s="3" t="s">
        <v>346</v>
      </c>
    </row>
    <row r="42" spans="1:6" ht="15.6">
      <c r="A42">
        <v>41</v>
      </c>
      <c r="B42">
        <v>800</v>
      </c>
      <c r="C42" s="3" t="s">
        <v>307</v>
      </c>
    </row>
    <row r="43" spans="1:6" ht="15.6">
      <c r="A43">
        <v>42</v>
      </c>
      <c r="B43">
        <v>850</v>
      </c>
      <c r="C43" s="5" t="s">
        <v>265</v>
      </c>
    </row>
    <row r="44" spans="1:6" ht="15.6">
      <c r="A44">
        <v>43</v>
      </c>
      <c r="B44">
        <v>900</v>
      </c>
      <c r="C44" s="3" t="s">
        <v>294</v>
      </c>
    </row>
    <row r="45" spans="1:6" ht="15.6">
      <c r="A45">
        <v>44</v>
      </c>
      <c r="B45">
        <v>950</v>
      </c>
      <c r="C45" s="3" t="s">
        <v>346</v>
      </c>
    </row>
    <row r="46" spans="1:6" ht="15.6">
      <c r="A46">
        <v>45</v>
      </c>
      <c r="B46">
        <v>1000</v>
      </c>
      <c r="C46" s="3" t="s">
        <v>298</v>
      </c>
    </row>
    <row r="47" spans="1:6" ht="15.6">
      <c r="A47">
        <v>46</v>
      </c>
      <c r="B47">
        <v>1050</v>
      </c>
      <c r="C47" s="3" t="s">
        <v>300</v>
      </c>
    </row>
    <row r="48" spans="1:6" ht="15.6">
      <c r="A48">
        <v>47</v>
      </c>
      <c r="B48">
        <v>1100</v>
      </c>
      <c r="C48" s="3" t="s">
        <v>302</v>
      </c>
    </row>
    <row r="49" spans="1:3" ht="15.6">
      <c r="A49">
        <v>48</v>
      </c>
      <c r="B49">
        <v>1150</v>
      </c>
      <c r="C49" s="3" t="s">
        <v>346</v>
      </c>
    </row>
    <row r="50" spans="1:3" ht="15.6">
      <c r="A50">
        <v>49</v>
      </c>
      <c r="B50">
        <v>1200</v>
      </c>
      <c r="C50" s="3" t="s">
        <v>305</v>
      </c>
    </row>
    <row r="51" spans="1:3" ht="15.6">
      <c r="A51">
        <v>50</v>
      </c>
      <c r="B51">
        <v>1250</v>
      </c>
      <c r="C51" s="3" t="s">
        <v>307</v>
      </c>
    </row>
    <row r="52" spans="1:3" ht="15.6">
      <c r="A52">
        <v>51</v>
      </c>
      <c r="B52">
        <v>1300</v>
      </c>
      <c r="C52" s="5" t="s">
        <v>265</v>
      </c>
    </row>
    <row r="53" spans="1:3" ht="15.6">
      <c r="A53">
        <v>52</v>
      </c>
      <c r="B53">
        <v>1350</v>
      </c>
      <c r="C53" s="3" t="s">
        <v>294</v>
      </c>
    </row>
    <row r="54" spans="1:3" ht="15.6">
      <c r="A54">
        <v>53</v>
      </c>
      <c r="B54">
        <v>1400</v>
      </c>
      <c r="C54" s="3" t="s">
        <v>346</v>
      </c>
    </row>
    <row r="55" spans="1:3" ht="15.6">
      <c r="A55">
        <v>54</v>
      </c>
      <c r="B55">
        <v>1450</v>
      </c>
      <c r="C55" s="3" t="s">
        <v>298</v>
      </c>
    </row>
    <row r="56" spans="1:3" ht="15.6">
      <c r="A56">
        <v>55</v>
      </c>
      <c r="B56">
        <v>1500</v>
      </c>
      <c r="C56" s="3" t="s">
        <v>300</v>
      </c>
    </row>
    <row r="57" spans="1:3" ht="15.6">
      <c r="A57">
        <v>56</v>
      </c>
      <c r="B57">
        <v>1550</v>
      </c>
      <c r="C57" s="3" t="s">
        <v>302</v>
      </c>
    </row>
    <row r="58" spans="1:3" ht="15.6">
      <c r="A58">
        <v>57</v>
      </c>
      <c r="B58">
        <v>1600</v>
      </c>
      <c r="C58" s="3" t="s">
        <v>346</v>
      </c>
    </row>
    <row r="59" spans="1:3" ht="15.6">
      <c r="A59">
        <v>58</v>
      </c>
      <c r="B59">
        <v>1650</v>
      </c>
      <c r="C59" s="3" t="s">
        <v>305</v>
      </c>
    </row>
    <row r="60" spans="1:3" ht="15.6">
      <c r="A60">
        <v>59</v>
      </c>
      <c r="B60">
        <v>1700</v>
      </c>
      <c r="C60" s="3" t="s">
        <v>307</v>
      </c>
    </row>
    <row r="61" spans="1:3" ht="15.6">
      <c r="A61">
        <v>60</v>
      </c>
      <c r="B61">
        <v>1750</v>
      </c>
      <c r="C61" s="5" t="s">
        <v>265</v>
      </c>
    </row>
    <row r="62" spans="1:3" ht="15.6">
      <c r="A62">
        <v>61</v>
      </c>
      <c r="B62">
        <v>1800</v>
      </c>
      <c r="C62" s="3" t="s">
        <v>294</v>
      </c>
    </row>
    <row r="63" spans="1:3" ht="15.6">
      <c r="A63">
        <v>62</v>
      </c>
      <c r="B63">
        <v>1850</v>
      </c>
      <c r="C63" s="3" t="s">
        <v>346</v>
      </c>
    </row>
    <row r="64" spans="1:3" ht="15.6">
      <c r="A64">
        <v>63</v>
      </c>
      <c r="B64">
        <v>1900</v>
      </c>
      <c r="C64" s="3" t="s">
        <v>298</v>
      </c>
    </row>
    <row r="65" spans="1:3" ht="15.6">
      <c r="A65">
        <v>64</v>
      </c>
      <c r="B65">
        <v>1950</v>
      </c>
      <c r="C65" s="3" t="s">
        <v>300</v>
      </c>
    </row>
    <row r="66" spans="1:3" ht="15.6">
      <c r="A66">
        <v>65</v>
      </c>
      <c r="B66">
        <v>2000</v>
      </c>
      <c r="C66" s="3" t="s">
        <v>302</v>
      </c>
    </row>
    <row r="67" spans="1:3" ht="15.6">
      <c r="A67">
        <v>66</v>
      </c>
      <c r="B67">
        <v>2050</v>
      </c>
      <c r="C67" s="3" t="s">
        <v>346</v>
      </c>
    </row>
    <row r="68" spans="1:3" ht="15.6">
      <c r="A68">
        <v>67</v>
      </c>
      <c r="B68">
        <v>2100</v>
      </c>
      <c r="C68" s="3" t="s">
        <v>305</v>
      </c>
    </row>
    <row r="69" spans="1:3" ht="15.6">
      <c r="A69">
        <v>68</v>
      </c>
      <c r="B69">
        <v>2150</v>
      </c>
      <c r="C69" s="3" t="s">
        <v>307</v>
      </c>
    </row>
    <row r="70" spans="1:3" ht="15.6">
      <c r="A70">
        <v>69</v>
      </c>
      <c r="B70">
        <v>2200</v>
      </c>
      <c r="C70" s="5" t="s">
        <v>265</v>
      </c>
    </row>
    <row r="71" spans="1:3" ht="15.6">
      <c r="A71">
        <v>70</v>
      </c>
      <c r="B71">
        <v>2250</v>
      </c>
      <c r="C71" s="3" t="s">
        <v>294</v>
      </c>
    </row>
    <row r="72" spans="1:3" ht="15.6">
      <c r="A72">
        <v>71</v>
      </c>
      <c r="B72">
        <v>2300</v>
      </c>
      <c r="C72" s="3" t="s">
        <v>346</v>
      </c>
    </row>
    <row r="73" spans="1:3" ht="15.6">
      <c r="A73">
        <v>72</v>
      </c>
      <c r="B73">
        <v>2350</v>
      </c>
      <c r="C73" s="3" t="s">
        <v>298</v>
      </c>
    </row>
    <row r="74" spans="1:3" ht="15.6">
      <c r="A74">
        <v>73</v>
      </c>
      <c r="B74">
        <v>2400</v>
      </c>
      <c r="C74" s="3" t="s">
        <v>294</v>
      </c>
    </row>
    <row r="75" spans="1:3" ht="15.6">
      <c r="A75">
        <v>74</v>
      </c>
      <c r="B75">
        <v>2450</v>
      </c>
      <c r="C75" s="3" t="s">
        <v>346</v>
      </c>
    </row>
    <row r="76" spans="1:3" ht="15.6">
      <c r="A76">
        <v>75</v>
      </c>
      <c r="B76">
        <v>2500</v>
      </c>
      <c r="C76" s="3" t="s">
        <v>298</v>
      </c>
    </row>
  </sheetData>
  <phoneticPr fontId="15" type="noConversion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F10"/>
  <sheetViews>
    <sheetView workbookViewId="0">
      <selection activeCell="E11" sqref="E11:E12"/>
    </sheetView>
  </sheetViews>
  <sheetFormatPr defaultColWidth="9" defaultRowHeight="14.4"/>
  <cols>
    <col min="3" max="3" width="16.6640625" customWidth="1"/>
    <col min="4" max="4" width="14.109375" customWidth="1"/>
    <col min="5" max="5" width="38" customWidth="1"/>
  </cols>
  <sheetData>
    <row r="1" spans="1:6">
      <c r="A1">
        <v>1</v>
      </c>
      <c r="B1" t="s">
        <v>54</v>
      </c>
    </row>
    <row r="2" spans="1:6">
      <c r="A2">
        <v>2</v>
      </c>
      <c r="B2" t="s">
        <v>56</v>
      </c>
      <c r="D2" t="s">
        <v>57</v>
      </c>
      <c r="E2" t="s">
        <v>58</v>
      </c>
      <c r="F2">
        <v>1</v>
      </c>
    </row>
    <row r="3" spans="1:6">
      <c r="A3">
        <v>3</v>
      </c>
      <c r="B3" t="s">
        <v>61</v>
      </c>
      <c r="D3" t="s">
        <v>62</v>
      </c>
      <c r="E3" t="s">
        <v>63</v>
      </c>
      <c r="F3">
        <v>1</v>
      </c>
    </row>
    <row r="4" spans="1:6">
      <c r="A4">
        <v>4</v>
      </c>
      <c r="B4" t="s">
        <v>65</v>
      </c>
      <c r="E4" t="s">
        <v>67</v>
      </c>
      <c r="F4">
        <v>1</v>
      </c>
    </row>
    <row r="5" spans="1:6">
      <c r="A5">
        <v>5</v>
      </c>
      <c r="B5" t="s">
        <v>68</v>
      </c>
      <c r="C5" t="s">
        <v>69</v>
      </c>
    </row>
    <row r="6" spans="1:6">
      <c r="A6" s="1">
        <v>6</v>
      </c>
      <c r="B6" s="1" t="s">
        <v>309</v>
      </c>
      <c r="C6" s="1" t="s">
        <v>310</v>
      </c>
      <c r="D6" s="1"/>
      <c r="E6" s="1"/>
      <c r="F6" s="1"/>
    </row>
    <row r="7" spans="1:6">
      <c r="A7">
        <v>7</v>
      </c>
      <c r="B7" t="s">
        <v>73</v>
      </c>
      <c r="C7" t="s">
        <v>74</v>
      </c>
      <c r="D7" t="s">
        <v>75</v>
      </c>
      <c r="E7" t="s">
        <v>76</v>
      </c>
      <c r="F7">
        <v>1</v>
      </c>
    </row>
    <row r="8" spans="1:6">
      <c r="A8" s="1">
        <v>8</v>
      </c>
      <c r="B8" s="1" t="s">
        <v>311</v>
      </c>
      <c r="C8" s="1" t="s">
        <v>312</v>
      </c>
      <c r="D8" s="1" t="s">
        <v>313</v>
      </c>
      <c r="E8" s="1"/>
      <c r="F8" s="1"/>
    </row>
    <row r="9" spans="1:6">
      <c r="A9">
        <v>9</v>
      </c>
      <c r="B9" t="s">
        <v>78</v>
      </c>
      <c r="C9" t="s">
        <v>79</v>
      </c>
      <c r="D9" t="s">
        <v>80</v>
      </c>
      <c r="F9">
        <v>1</v>
      </c>
    </row>
    <row r="10" spans="1:6">
      <c r="A10">
        <v>10</v>
      </c>
      <c r="B10" t="s">
        <v>82</v>
      </c>
      <c r="C10" t="s">
        <v>83</v>
      </c>
      <c r="D10" t="s">
        <v>84</v>
      </c>
      <c r="F10">
        <v>1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春节基础</vt:lpstr>
      <vt:lpstr>春节登陆好礼</vt:lpstr>
      <vt:lpstr>春节任务</vt:lpstr>
      <vt:lpstr>春节礼包</vt:lpstr>
      <vt:lpstr>春节大富翁</vt:lpstr>
      <vt:lpstr>大富翁BOSS</vt:lpstr>
      <vt:lpstr>大富翁商店</vt:lpstr>
      <vt:lpstr>大富翁宝箱</vt:lpstr>
      <vt:lpstr>大富翁事件类型</vt:lpstr>
      <vt:lpstr>大富翁祝福</vt:lpstr>
      <vt:lpstr>大富翁厄运</vt:lpstr>
      <vt:lpstr>大富翁圈数奖励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Oiks Ukoi</cp:lastModifiedBy>
  <dcterms:created xsi:type="dcterms:W3CDTF">2015-06-05T18:19:00Z</dcterms:created>
  <dcterms:modified xsi:type="dcterms:W3CDTF">2024-06-30T14:27:58Z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BBBAD304DD6741EEB94CFC8F6C0251AC</vt:lpwstr>
  </property>
  <property fmtid="{D5CDD505-2E9C-101B-9397-08002B2CF9AE}" pid="3" name="KSOProductBuildVer">
    <vt:lpwstr>2052-11.1.0.11875</vt:lpwstr>
  </property>
</Properties>
</file>