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1850" activeTab="1"/>
  </bookViews>
  <sheets>
    <sheet name="商店信息" sheetId="2" r:id="rId1"/>
    <sheet name="商城商品" sheetId="1" r:id="rId2"/>
    <sheet name="藏宝阁动态商品" sheetId="7" r:id="rId3"/>
    <sheet name="Sheet1（填写说明）" sheetId="3" r:id="rId4"/>
    <sheet name="Sheet（先知商店）" sheetId="5" r:id="rId5"/>
    <sheet name="Sheet1" sheetId="6" r:id="rId6"/>
    <sheet name="Sheet2" sheetId="8" r:id="rId7"/>
    <sheet name="Sheet3" sheetId="9" r:id="rId8"/>
  </sheets>
  <externalReferences>
    <externalReference r:id="rId9"/>
    <externalReference r:id="rId10"/>
    <externalReference r:id="rId11"/>
  </externalReferences>
  <definedNames>
    <definedName name="_xlnm._FilterDatabase" localSheetId="4" hidden="1">'Sheet（先知商店）'!$A$1:$H$67</definedName>
    <definedName name="_xlnm._FilterDatabase" localSheetId="1" hidden="1">商城商品!$A$1:$R$651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Windows 用户</author>
  </authors>
  <commentList>
    <comment ref="F1" authorId="0">
      <text>
        <r>
          <rPr>
            <b/>
            <sz val="9"/>
            <rFont val="SimSun"/>
            <charset val="134"/>
          </rPr>
          <t>Windows 用户:</t>
        </r>
        <r>
          <rPr>
            <sz val="9"/>
            <rFont val="SimSun"/>
            <charset val="134"/>
          </rPr>
          <t xml:space="preserve">
商店右侧页签排序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1" authorId="0">
      <text>
        <r>
          <rPr>
            <b/>
            <sz val="9"/>
            <rFont val="SimSun"/>
            <charset val="134"/>
          </rPr>
          <t>admin:0是商店，1是演武商店，2是藏宝阁</t>
        </r>
        <r>
          <rPr>
            <sz val="9"/>
            <rFont val="SimSun"/>
            <charset val="134"/>
          </rPr>
          <t xml:space="preserve">
0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1" authorId="0">
      <text>
        <r>
          <rPr>
            <b/>
            <sz val="9"/>
            <rFont val="SimSun"/>
            <charset val="134"/>
          </rPr>
          <t>admin:
历史获得：鉴定过的6星装备+以下限定</t>
        </r>
        <r>
          <rPr>
            <sz val="9"/>
            <rFont val="SimSun"/>
            <charset val="134"/>
          </rPr>
          <t xml:space="preserve">
A#B
A：代表哪个部位装备,0是所有部位
B：代表多少阶</t>
        </r>
      </text>
    </comment>
  </commentList>
</comments>
</file>

<file path=xl/sharedStrings.xml><?xml version="1.0" encoding="utf-8"?>
<sst xmlns="http://schemas.openxmlformats.org/spreadsheetml/2006/main" count="2827" uniqueCount="1199">
  <si>
    <t>商店ID</t>
  </si>
  <si>
    <t>商店名称</t>
  </si>
  <si>
    <t>入口</t>
  </si>
  <si>
    <t>一级商店类型</t>
  </si>
  <si>
    <t>二级商店类型</t>
  </si>
  <si>
    <t>商店基础页签</t>
  </si>
  <si>
    <t>商品数量分组配置</t>
  </si>
  <si>
    <t>限购重置周期</t>
  </si>
  <si>
    <t>免费刷新周期</t>
  </si>
  <si>
    <t>免费刷新次数上限</t>
  </si>
  <si>
    <t>有偿刷新重置周期</t>
  </si>
  <si>
    <t>有偿刷新次数上限</t>
  </si>
  <si>
    <t>刷新资源消耗</t>
  </si>
  <si>
    <t>刷新替代道具</t>
  </si>
  <si>
    <t>展示货币资源</t>
  </si>
  <si>
    <t>售罄刷新</t>
  </si>
  <si>
    <t>是否开启</t>
  </si>
  <si>
    <t>Đạo cụ</t>
  </si>
  <si>
    <t>0:1</t>
  </si>
  <si>
    <t>Anh hùng</t>
  </si>
  <si>
    <t>0:6:4000</t>
  </si>
  <si>
    <t>0:6</t>
  </si>
  <si>
    <t>Bí cảnh</t>
  </si>
  <si>
    <t>0:10:0</t>
  </si>
  <si>
    <t>0:10</t>
  </si>
  <si>
    <t>Diễn võ</t>
  </si>
  <si>
    <t>0:11:0</t>
  </si>
  <si>
    <t>0:11</t>
  </si>
  <si>
    <t>Tiên minh</t>
  </si>
  <si>
    <t>3:1:1</t>
  </si>
  <si>
    <t>0:12:0</t>
  </si>
  <si>
    <t>0:12</t>
  </si>
  <si>
    <t>Tầm bảo</t>
  </si>
  <si>
    <t>1:8</t>
  </si>
  <si>
    <t>0:13:50</t>
  </si>
  <si>
    <t>0:13</t>
  </si>
  <si>
    <t>Đẳng cấp</t>
  </si>
  <si>
    <t>4:1:1</t>
  </si>
  <si>
    <t>0:14:0</t>
  </si>
  <si>
    <t>0:14</t>
  </si>
  <si>
    <t>Kỹ năng</t>
  </si>
  <si>
    <t>2:1:0</t>
  </si>
  <si>
    <t>3:100004:200</t>
  </si>
  <si>
    <t>3:100004</t>
  </si>
  <si>
    <t>Tiên Khí</t>
  </si>
  <si>
    <t>3:100217</t>
  </si>
  <si>
    <t>Tàng Bảo Các</t>
  </si>
  <si>
    <t>1:2</t>
  </si>
  <si>
    <t>0:1:100</t>
  </si>
  <si>
    <t>3:100284:1</t>
  </si>
  <si>
    <t>Diễn võ trường khiêu chiến khoán</t>
  </si>
  <si>
    <t>Hiểu số mệnh con người</t>
  </si>
  <si>
    <t>0:7</t>
  </si>
  <si>
    <t>Linh bàn thờ</t>
  </si>
  <si>
    <t>3:10024</t>
  </si>
  <si>
    <t>Thang trời</t>
  </si>
  <si>
    <t>0:18</t>
  </si>
  <si>
    <t>Hồn đan</t>
  </si>
  <si>
    <t>Công huân - Đạo cụ</t>
  </si>
  <si>
    <t>0:19</t>
  </si>
  <si>
    <t>Công huân - Anh hùng mảnh vỡ</t>
  </si>
  <si>
    <t>2:1</t>
  </si>
  <si>
    <t>0:19:100</t>
  </si>
  <si>
    <t>Phong thần</t>
  </si>
  <si>
    <t>3:100076</t>
  </si>
  <si>
    <t>Vượt phục đẳng cấp</t>
  </si>
  <si>
    <t>0:20</t>
  </si>
  <si>
    <t>Làn da</t>
  </si>
  <si>
    <t>3:100029</t>
  </si>
  <si>
    <t>Chia sẻ</t>
  </si>
  <si>
    <t>3:200033</t>
  </si>
  <si>
    <t>Quân công</t>
  </si>
  <si>
    <t>3:100084</t>
  </si>
  <si>
    <t>Võ Thần</t>
  </si>
  <si>
    <t>3:100291</t>
  </si>
  <si>
    <t>Cổ chiến hàng thương</t>
  </si>
  <si>
    <t>3:100336</t>
  </si>
  <si>
    <t>Chủng tộc thi đấu</t>
  </si>
  <si>
    <t>3:100339</t>
  </si>
  <si>
    <t>商品ID</t>
  </si>
  <si>
    <t>商品名称</t>
  </si>
  <si>
    <t>商品类型</t>
  </si>
  <si>
    <t>商品内容</t>
  </si>
  <si>
    <t>资源消耗</t>
  </si>
  <si>
    <t>折扣</t>
  </si>
  <si>
    <t>限购次数</t>
  </si>
  <si>
    <t>排序</t>
  </si>
  <si>
    <t>VIP等级</t>
  </si>
  <si>
    <t>主角等级下限</t>
  </si>
  <si>
    <t>主角等级上限</t>
  </si>
  <si>
    <t>开服天数下限</t>
  </si>
  <si>
    <t>开服天数上限</t>
  </si>
  <si>
    <t>*分组</t>
  </si>
  <si>
    <t>*权重</t>
  </si>
  <si>
    <t>是否超值</t>
  </si>
  <si>
    <t>3:100023:1</t>
  </si>
  <si>
    <t>0:1:12</t>
  </si>
  <si>
    <t>Mảnh ngọc</t>
  </si>
  <si>
    <t>3:100036:10</t>
  </si>
  <si>
    <t>0:1:1000</t>
  </si>
  <si>
    <t>9 sao thông dụng anh linh</t>
  </si>
  <si>
    <t>3:1000016:1</t>
  </si>
  <si>
    <t>0:1:32000</t>
  </si>
  <si>
    <t>10 sao thông dụng anh linh</t>
  </si>
  <si>
    <t>3:1000022:1</t>
  </si>
  <si>
    <t>0:1:42000</t>
  </si>
  <si>
    <t>ngọc exp lớn</t>
  </si>
  <si>
    <t>3:30002:1</t>
  </si>
  <si>
    <t>0:0:50000</t>
  </si>
  <si>
    <t>Mạ vàng phấn</t>
  </si>
  <si>
    <t>3:100004:1000</t>
  </si>
  <si>
    <t>0:1:500</t>
  </si>
  <si>
    <t>0:1:1500</t>
  </si>
  <si>
    <t>Kim tệ</t>
  </si>
  <si>
    <t>0:0:1000000</t>
  </si>
  <si>
    <t>Cao cấp điểm tướng khoán</t>
  </si>
  <si>
    <t>3:100022:1</t>
  </si>
  <si>
    <t>0:1:150</t>
  </si>
  <si>
    <t>Tiến giai thạch</t>
  </si>
  <si>
    <t>3:100001:100</t>
  </si>
  <si>
    <t>0:1:50</t>
  </si>
  <si>
    <t>3:100059:1</t>
  </si>
  <si>
    <r>
      <rPr>
        <sz val="11"/>
        <color theme="1"/>
        <rFont val="Calibri"/>
        <charset val="134"/>
        <scheme val="minor"/>
      </rPr>
      <t>0:1:</t>
    </r>
    <r>
      <rPr>
        <sz val="11"/>
        <color theme="1"/>
        <rFont val="Calibri"/>
        <charset val="134"/>
        <scheme val="minor"/>
      </rPr>
      <t>50</t>
    </r>
  </si>
  <si>
    <t>Huyền thiết</t>
  </si>
  <si>
    <t>3:100212:10</t>
  </si>
  <si>
    <t>Thần thiết</t>
  </si>
  <si>
    <t>3:100213:10</t>
  </si>
  <si>
    <t>Nữ Oa thạch</t>
  </si>
  <si>
    <t>3:100045:1</t>
  </si>
  <si>
    <t>0:1:300</t>
  </si>
  <si>
    <t>3:1:0</t>
  </si>
  <si>
    <t>Thạch Mặc</t>
  </si>
  <si>
    <t>3:100214:1</t>
  </si>
  <si>
    <t>Cấp thấp phụ ma: Lôi đình</t>
  </si>
  <si>
    <t>3:40101:1</t>
  </si>
  <si>
    <t>0:1:800</t>
  </si>
  <si>
    <t>Cấp thấp phụ ma: Tẩm bổ</t>
  </si>
  <si>
    <t>3:40201:1</t>
  </si>
  <si>
    <t>Cấp thấp phụ ma: Đạp gió</t>
  </si>
  <si>
    <t>3:40301:1</t>
  </si>
  <si>
    <t>Cấp thấp phụ ma: Tự lành</t>
  </si>
  <si>
    <t>3:40401:1</t>
  </si>
  <si>
    <t>Cấp thấp phụ ma: Cứng cỏi</t>
  </si>
  <si>
    <t>3:40501:1</t>
  </si>
  <si>
    <t>6 sao thông dụng anh linh</t>
  </si>
  <si>
    <t>3:1000041:1</t>
  </si>
  <si>
    <t>0:1:2000</t>
  </si>
  <si>
    <t>Cộng Công</t>
  </si>
  <si>
    <t>4:604012:50</t>
  </si>
  <si>
    <t>0:6:5000</t>
  </si>
  <si>
    <t>Hình Thiên</t>
  </si>
  <si>
    <t>4:605008:50</t>
  </si>
  <si>
    <t>Thông Thiên giáo chủ</t>
  </si>
  <si>
    <t>4:602020:50</t>
  </si>
  <si>
    <t>0:6:3500</t>
  </si>
  <si>
    <t>Đấu Chiến Thắng Phật</t>
  </si>
  <si>
    <t>4:602018:50</t>
  </si>
  <si>
    <t>Ngao Bính</t>
  </si>
  <si>
    <t>4:603020:50</t>
  </si>
  <si>
    <t>Bạch Cốt phu nhân</t>
  </si>
  <si>
    <t>4:603021:50</t>
  </si>
  <si>
    <t>Na Tra</t>
  </si>
  <si>
    <t>4:601020:50</t>
  </si>
  <si>
    <t>0:6:4500</t>
  </si>
  <si>
    <t>Lý Tĩnh</t>
  </si>
  <si>
    <t>4:601014:50</t>
  </si>
  <si>
    <t>Đặng Thiền Ngọc</t>
  </si>
  <si>
    <t>4:601015:50</t>
  </si>
  <si>
    <t>0:6:2500</t>
  </si>
  <si>
    <t>Thiên Bồng nguyên soái</t>
  </si>
  <si>
    <t>4:602014:50</t>
  </si>
  <si>
    <t>Giơ cao thương</t>
  </si>
  <si>
    <t>4:603018:50</t>
  </si>
  <si>
    <t>10 Sao Thông dụng</t>
  </si>
  <si>
    <t>0:6:25000</t>
  </si>
  <si>
    <t>9 Sao Thông dụng</t>
  </si>
  <si>
    <t>0:6:20000</t>
  </si>
  <si>
    <t>6 Sao Thông dụng</t>
  </si>
  <si>
    <t>0:6:1000</t>
  </si>
  <si>
    <t>5 Sao Thông dụng</t>
  </si>
  <si>
    <t>3:1000010:1</t>
  </si>
  <si>
    <t>0:6:250</t>
  </si>
  <si>
    <t>Bích ngọc tủy</t>
  </si>
  <si>
    <t>3:100008:5</t>
  </si>
  <si>
    <t>0:10:1250</t>
  </si>
  <si>
    <t>Thái Ất tinh kim</t>
  </si>
  <si>
    <t>3:100002:50</t>
  </si>
  <si>
    <t>0:10:1875</t>
  </si>
  <si>
    <t>5 Tinh ngẫu nhiên mảnh vỡ</t>
  </si>
  <si>
    <t>3:500015:5</t>
  </si>
  <si>
    <t>0:10:4000</t>
  </si>
  <si>
    <t>4 Tinh nhân tộc mảnh vỡ</t>
  </si>
  <si>
    <t>4:606003:30</t>
  </si>
  <si>
    <t>0:10:1000</t>
  </si>
  <si>
    <t>4 Tinh Tiên Tộc mảnh vỡ</t>
  </si>
  <si>
    <t>4:606004:30</t>
  </si>
  <si>
    <t>4 Tinh yêu tộc mảnh vỡ</t>
  </si>
  <si>
    <t>4:606005:30</t>
  </si>
  <si>
    <t>Máu anh thạch</t>
  </si>
  <si>
    <t>3:100030:20000</t>
  </si>
  <si>
    <t>0:10:2000</t>
  </si>
  <si>
    <t>0:10:50000</t>
  </si>
  <si>
    <t>0:10:45000</t>
  </si>
  <si>
    <t>Nguyên Thủy Thiên Tôn</t>
  </si>
  <si>
    <t>4:602021:50</t>
  </si>
  <si>
    <t>0:10:42000</t>
  </si>
  <si>
    <t>Bàn Cổ</t>
  </si>
  <si>
    <t>4:604006:50</t>
  </si>
  <si>
    <t>Đông Hoàng Thái Nhất</t>
  </si>
  <si>
    <t>4:605012:50</t>
  </si>
  <si>
    <t>3:100212:5</t>
  </si>
  <si>
    <t>0:10:65000</t>
  </si>
  <si>
    <t>4 Tinh Thần tộc mảnh vỡ</t>
  </si>
  <si>
    <t>4:606006:10</t>
  </si>
  <si>
    <t>0:11:1000</t>
  </si>
  <si>
    <t>4 Tinh ma tộc mảnh vỡ</t>
  </si>
  <si>
    <t>4:606007:10</t>
  </si>
  <si>
    <t>5 Tinh nhân tộc mảnh vỡ</t>
  </si>
  <si>
    <t>4:606008:10</t>
  </si>
  <si>
    <t>0:11:3500</t>
  </si>
  <si>
    <t>5 Tinh Tiên Tộc mảnh vỡ</t>
  </si>
  <si>
    <t>4:606009:10</t>
  </si>
  <si>
    <t>5 Tinh yêu tộc mảnh vỡ</t>
  </si>
  <si>
    <t>4:606010:10</t>
  </si>
  <si>
    <t>Mệnh ký</t>
  </si>
  <si>
    <t>3:100025:1</t>
  </si>
  <si>
    <t>0:11:2000</t>
  </si>
  <si>
    <t>3:100024:10</t>
  </si>
  <si>
    <t>0:11:250</t>
  </si>
  <si>
    <t>Mạnh bà mảnh vỡ</t>
  </si>
  <si>
    <t>4:605007:10</t>
  </si>
  <si>
    <t>0:11:5000</t>
  </si>
  <si>
    <t>Chúc Dung mảnh vỡ</t>
  </si>
  <si>
    <t>4:604013:10</t>
  </si>
  <si>
    <t>Quán ma chi bình tự do gói quà</t>
  </si>
  <si>
    <t>3:500015:1</t>
  </si>
  <si>
    <t>0:11:1500</t>
  </si>
  <si>
    <t>Thời gian đồng hồ cát</t>
  </si>
  <si>
    <t>3:100210:1</t>
  </si>
  <si>
    <t>Làn da mảnh vỡ</t>
  </si>
  <si>
    <t>3:100029:1</t>
  </si>
  <si>
    <t>0:11:200</t>
  </si>
  <si>
    <t>Vũ Sư</t>
  </si>
  <si>
    <t>0:12:5000</t>
  </si>
  <si>
    <t>Bàn Tơ</t>
  </si>
  <si>
    <t>4:603012:30</t>
  </si>
  <si>
    <t>0:12:1500</t>
  </si>
  <si>
    <t>Trụ Vương</t>
  </si>
  <si>
    <t>4:601012:30</t>
  </si>
  <si>
    <t>Nữ Bạt</t>
  </si>
  <si>
    <t>4:604003:30</t>
  </si>
  <si>
    <t>0:12:2000</t>
  </si>
  <si>
    <t>Phá Quân</t>
  </si>
  <si>
    <t>4:605003:30</t>
  </si>
  <si>
    <t>Lôi Chấn Tử</t>
  </si>
  <si>
    <t>4:601022:50</t>
  </si>
  <si>
    <t>0:12:15000</t>
  </si>
  <si>
    <t>Ðát Kỷ</t>
  </si>
  <si>
    <t>4:603022:50</t>
  </si>
  <si>
    <t>4:606002:10</t>
  </si>
  <si>
    <t>0:12:2500</t>
  </si>
  <si>
    <t>Phổ thông điểm tướng khoán</t>
  </si>
  <si>
    <t>3:100021:1</t>
  </si>
  <si>
    <t>0:12:50</t>
  </si>
  <si>
    <t>Mặt trăng ấn</t>
  </si>
  <si>
    <t>5:1:1</t>
  </si>
  <si>
    <t>0:12:500</t>
  </si>
  <si>
    <t>Hổ phương ấn</t>
  </si>
  <si>
    <t>5:2:1</t>
  </si>
  <si>
    <t>Mây lục pháp trượng</t>
  </si>
  <si>
    <t>2:19000109:1</t>
  </si>
  <si>
    <t>0:12:20000</t>
  </si>
  <si>
    <t>Mây lục pháp bào</t>
  </si>
  <si>
    <t>2:19000209:1</t>
  </si>
  <si>
    <t>Mây lục mào đầu</t>
  </si>
  <si>
    <t>2:19000309:1</t>
  </si>
  <si>
    <t>Mây lục ủng ngắn</t>
  </si>
  <si>
    <t>2:19000409:1</t>
  </si>
  <si>
    <t>Bí kíp</t>
  </si>
  <si>
    <t>3:100225:1</t>
  </si>
  <si>
    <t>Tinh Vệ</t>
  </si>
  <si>
    <t>4:604001:20</t>
  </si>
  <si>
    <t>0:13:200</t>
  </si>
  <si>
    <t>Giao cơ</t>
  </si>
  <si>
    <t>4:605001:20</t>
  </si>
  <si>
    <t>Hằng Nga</t>
  </si>
  <si>
    <t>4:601016:50</t>
  </si>
  <si>
    <t>0:13:12000</t>
  </si>
  <si>
    <t>Hồng hài nhi</t>
  </si>
  <si>
    <t>4:603014:50</t>
  </si>
  <si>
    <t>Ngưu Ma Vương</t>
  </si>
  <si>
    <t>4:603017:50</t>
  </si>
  <si>
    <t>0:13:8000</t>
  </si>
  <si>
    <t>Lộc duyên thượng tiên</t>
  </si>
  <si>
    <t>4:602017:50</t>
  </si>
  <si>
    <t>Tử Tiêu trường kiếm</t>
  </si>
  <si>
    <t>2:19000104:1</t>
  </si>
  <si>
    <t>0:13:625</t>
  </si>
  <si>
    <t>Tử Tiêu chiến giáp</t>
  </si>
  <si>
    <t>2:19000204:1</t>
  </si>
  <si>
    <t>Tử Tiêu chiến nón trụ</t>
  </si>
  <si>
    <t>2:19000304:1</t>
  </si>
  <si>
    <t>Tử Tiêu giày chiến</t>
  </si>
  <si>
    <t>2:19000404:1</t>
  </si>
  <si>
    <t>Hướng nghi pháp trượng</t>
  </si>
  <si>
    <t>2:19000105:1</t>
  </si>
  <si>
    <t>0:13:1075</t>
  </si>
  <si>
    <t>Hướng nghi pháp bào</t>
  </si>
  <si>
    <t>2:19000205:1</t>
  </si>
  <si>
    <t>Hướng nghi mào đầu</t>
  </si>
  <si>
    <t>2:19000305:1</t>
  </si>
  <si>
    <t>Hướng nghi ủng ngắn</t>
  </si>
  <si>
    <t>2:19000405:1</t>
  </si>
  <si>
    <t>Bạch giả pháp trượng</t>
  </si>
  <si>
    <t>2:19000108:1</t>
  </si>
  <si>
    <t>0:13:1825</t>
  </si>
  <si>
    <t>Bạch giả áo choàng</t>
  </si>
  <si>
    <t>2:19000208:1</t>
  </si>
  <si>
    <t>Bạch giả mào đầu</t>
  </si>
  <si>
    <t>2:19000308:1</t>
  </si>
  <si>
    <t>Bạch giả ủng ngắn</t>
  </si>
  <si>
    <t>2:19000408:1</t>
  </si>
  <si>
    <t>0:13:3125</t>
  </si>
  <si>
    <t>Cơ Phát</t>
  </si>
  <si>
    <t>4:601018:50</t>
  </si>
  <si>
    <t>Vân Trung Tử</t>
  </si>
  <si>
    <t>4:602022:50</t>
  </si>
  <si>
    <t>Luyện Thần thạch</t>
  </si>
  <si>
    <t>3:100002:20</t>
  </si>
  <si>
    <t>0:14:5000</t>
  </si>
  <si>
    <t>3:100024:100</t>
  </si>
  <si>
    <t>3:100001:5</t>
  </si>
  <si>
    <t>Quang huy hộ giáp</t>
  </si>
  <si>
    <t>0:14:10000</t>
  </si>
  <si>
    <t>Ma linh hộ giáp</t>
  </si>
  <si>
    <t>Quang huy mũ giáp</t>
  </si>
  <si>
    <t>Ma linh mũ giáp</t>
  </si>
  <si>
    <t>Thánh quang trường ngoa</t>
  </si>
  <si>
    <t>2:19000412:1</t>
  </si>
  <si>
    <t>0:14:30000</t>
  </si>
  <si>
    <t>Linh tê trường ngoa</t>
  </si>
  <si>
    <t>2:19000413:1</t>
  </si>
  <si>
    <t>Thánh quang hộ giáp</t>
  </si>
  <si>
    <t>2:19000212:1</t>
  </si>
  <si>
    <t>Linh tê hộ giáp</t>
  </si>
  <si>
    <t>2:19000213:1</t>
  </si>
  <si>
    <t>0:14:40000</t>
  </si>
  <si>
    <t>Thạch Cơ</t>
  </si>
  <si>
    <t>4:603015:50</t>
  </si>
  <si>
    <t>Triện ấn: Thần ân</t>
  </si>
  <si>
    <t>3:100100:1</t>
  </si>
  <si>
    <t>3:100004:2000</t>
  </si>
  <si>
    <t>Triện ấn: Pháp liền</t>
  </si>
  <si>
    <t>3:100101:1</t>
  </si>
  <si>
    <t>3:100004:3000</t>
  </si>
  <si>
    <t>Triện ấn: Giáp dày</t>
  </si>
  <si>
    <t>3:100102:1</t>
  </si>
  <si>
    <t>3:100004:2500</t>
  </si>
  <si>
    <t>Triện ấn: Sạch sẽ</t>
  </si>
  <si>
    <t>3:100103:1</t>
  </si>
  <si>
    <t>Triện ấn: Tự hạn chế</t>
  </si>
  <si>
    <t>3:100104:1</t>
  </si>
  <si>
    <t>Triện ấn: Kháng khống</t>
  </si>
  <si>
    <t>3:100105:1</t>
  </si>
  <si>
    <t>Triện ấn: Né tránh</t>
  </si>
  <si>
    <t>3:100106:1</t>
  </si>
  <si>
    <t>Triện ấn: Khép lại</t>
  </si>
  <si>
    <t>3:100107:1</t>
  </si>
  <si>
    <t>Triện ấn: Miễn tổn thương</t>
  </si>
  <si>
    <t>3:100108:1</t>
  </si>
  <si>
    <t>Triện ấn: Thần tốc</t>
  </si>
  <si>
    <t>3:100109:1</t>
  </si>
  <si>
    <t>Triện ấn: Trí tuệ</t>
  </si>
  <si>
    <t>3:100110:1</t>
  </si>
  <si>
    <t>Triện ấn: Thần võ</t>
  </si>
  <si>
    <t>3:100111:1</t>
  </si>
  <si>
    <t>Triện ấn: Truy kích</t>
  </si>
  <si>
    <t>3:100112:1</t>
  </si>
  <si>
    <t>Triện ấn: Bạo tập</t>
  </si>
  <si>
    <t>3:100113:1</t>
  </si>
  <si>
    <t>Triện ấn: Nổi giận</t>
  </si>
  <si>
    <t>3:100114:1</t>
  </si>
  <si>
    <t>Triện ấn: Cuồng bạo</t>
  </si>
  <si>
    <t>3:100115:1</t>
  </si>
  <si>
    <t>Triện ấn: Máu giận</t>
  </si>
  <si>
    <t>3:100116:1</t>
  </si>
  <si>
    <t>0:1:2400</t>
  </si>
  <si>
    <t>Triện ấn: Xuyên thấu</t>
  </si>
  <si>
    <t>3:100134:1</t>
  </si>
  <si>
    <t>Triện ấn: Vật liền</t>
  </si>
  <si>
    <t>3:100136:1</t>
  </si>
  <si>
    <t>Triện ấn: Hút máu</t>
  </si>
  <si>
    <t>3:100137:1</t>
  </si>
  <si>
    <t>Triện ấn: Dũng mãnh</t>
  </si>
  <si>
    <t>3:100140:1</t>
  </si>
  <si>
    <t>Triện ấn: Tái sinh</t>
  </si>
  <si>
    <t>3:100128:1</t>
  </si>
  <si>
    <t>Triện ấn: Trùng sinh</t>
  </si>
  <si>
    <t>3:100129:1</t>
  </si>
  <si>
    <t>Triện ấn: Dừng bạo</t>
  </si>
  <si>
    <t>3:100130:1</t>
  </si>
  <si>
    <t>Triện ấn: Ma giáp</t>
  </si>
  <si>
    <t>3:100131:1</t>
  </si>
  <si>
    <t>Triện ấn: Chiến giáp</t>
  </si>
  <si>
    <t>3:100132:1</t>
  </si>
  <si>
    <t>Triện ấn: Nghị nặng</t>
  </si>
  <si>
    <t>3:100133:1</t>
  </si>
  <si>
    <t>Triện ấn: Khống tràng</t>
  </si>
  <si>
    <t>3:100135:1</t>
  </si>
  <si>
    <t>Triện ấn: Viện hộ</t>
  </si>
  <si>
    <t>3:100138:1</t>
  </si>
  <si>
    <t>Triện ấn: Phản tổn thương</t>
  </si>
  <si>
    <t>3:100139:1</t>
  </si>
  <si>
    <t>Triện ấn: Hiểu ý</t>
  </si>
  <si>
    <t>3:100141:1</t>
  </si>
  <si>
    <t>Triện ấn: Che chở</t>
  </si>
  <si>
    <t>3:100117:1</t>
  </si>
  <si>
    <t>Triện ấn: Trào phúng</t>
  </si>
  <si>
    <t>3:100123:1</t>
  </si>
  <si>
    <t>Triện ấn: Lưu động</t>
  </si>
  <si>
    <t>3:100142:1</t>
  </si>
  <si>
    <t>Triện ấn: Giảm tốc</t>
  </si>
  <si>
    <t>3:100124:1</t>
  </si>
  <si>
    <t>Triện ấn: Câu hồn</t>
  </si>
  <si>
    <t>3:100120:1</t>
  </si>
  <si>
    <t>Triện ấn: Mãnh kích</t>
  </si>
  <si>
    <t>3:100122:1</t>
  </si>
  <si>
    <t>Triện ấn: Nhắm chuẩn</t>
  </si>
  <si>
    <t>3:100127:1</t>
  </si>
  <si>
    <t>Triện ấn: Diệt hồn</t>
  </si>
  <si>
    <t>3:100145:1</t>
  </si>
  <si>
    <t>Triện ấn: Xua tan</t>
  </si>
  <si>
    <t>3:100121:1</t>
  </si>
  <si>
    <t>Triện ấn: Tránh hiểm</t>
  </si>
  <si>
    <t>3:100143:1</t>
  </si>
  <si>
    <t>Triện ấn: Hồi hồn</t>
  </si>
  <si>
    <t>3:100144:1</t>
  </si>
  <si>
    <t>Triện ấn: Hi sinh</t>
  </si>
  <si>
    <t>3:100125:1</t>
  </si>
  <si>
    <t>Triện ấn: Dịch bệnh</t>
  </si>
  <si>
    <t>3:100119:1</t>
  </si>
  <si>
    <t>Triện ấn: Chiến rống</t>
  </si>
  <si>
    <t>3:100118:1</t>
  </si>
  <si>
    <t>Triện ấn: Áp chế</t>
  </si>
  <si>
    <t>3:100126:1</t>
  </si>
  <si>
    <t>0:0:500000</t>
  </si>
  <si>
    <t>0:4:500000</t>
  </si>
  <si>
    <t>0:0:100000</t>
  </si>
  <si>
    <t>0:4:100000</t>
  </si>
  <si>
    <t>0:1:14</t>
  </si>
  <si>
    <t>3:100001:1000</t>
  </si>
  <si>
    <t>3:100001:300</t>
  </si>
  <si>
    <t>0:1:210</t>
  </si>
  <si>
    <t>0:0:1800000</t>
  </si>
  <si>
    <t>4 Tinh ngẫu nhiên mảnh vỡ</t>
  </si>
  <si>
    <t>4:606001:30</t>
  </si>
  <si>
    <t>0:1:600</t>
  </si>
  <si>
    <t>3 Tinh ngẫu nhiên mảnh vỡ</t>
  </si>
  <si>
    <t>4:606013:20</t>
  </si>
  <si>
    <t>0:0:350000</t>
  </si>
  <si>
    <t>0:0:700000</t>
  </si>
  <si>
    <t>0:1:200</t>
  </si>
  <si>
    <t>0:0:20000</t>
  </si>
  <si>
    <t>Phổ thông tầm bảo khoán</t>
  </si>
  <si>
    <t>3:100005:1</t>
  </si>
  <si>
    <t>3:100005:10</t>
  </si>
  <si>
    <t>0:0:10000</t>
  </si>
  <si>
    <t>Trường cung tay</t>
  </si>
  <si>
    <t>4:601003:10</t>
  </si>
  <si>
    <t>Phương thuật sĩ</t>
  </si>
  <si>
    <t>4:601001:5</t>
  </si>
  <si>
    <t>0:0:5000</t>
  </si>
  <si>
    <t>Bạch Trạch ấn</t>
  </si>
  <si>
    <t>5:3:1</t>
  </si>
  <si>
    <t>0:1:3000</t>
  </si>
  <si>
    <t>0:0:30000000</t>
  </si>
  <si>
    <t>0:0:3000000</t>
  </si>
  <si>
    <t>0:0:5000000</t>
  </si>
  <si>
    <t>Anh hùng kinh nghiệm</t>
  </si>
  <si>
    <t>0:4:20000</t>
  </si>
  <si>
    <t>0:1:20</t>
  </si>
  <si>
    <t>0:4:50000</t>
  </si>
  <si>
    <t>0:0:250000</t>
  </si>
  <si>
    <t>3:100004:100</t>
  </si>
  <si>
    <t>Thông mây đoản kiếm</t>
  </si>
  <si>
    <t>2:19000102:1</t>
  </si>
  <si>
    <t>0:0:150000</t>
  </si>
  <si>
    <t>Thông Vân Chiến áo</t>
  </si>
  <si>
    <t>2:19000202:1</t>
  </si>
  <si>
    <t>Thông đám mây quan</t>
  </si>
  <si>
    <t>2:19000302:1</t>
  </si>
  <si>
    <t>Thông mây ủng ngắn</t>
  </si>
  <si>
    <t>2:19000402:1</t>
  </si>
  <si>
    <t>0:1:30</t>
  </si>
  <si>
    <t>Đỡ chỉ riêng phiến</t>
  </si>
  <si>
    <t>2:19000103:1</t>
  </si>
  <si>
    <t>Đỡ chỉ riêng vạt áo bào</t>
  </si>
  <si>
    <t>2:19000203:1</t>
  </si>
  <si>
    <t>Đỡ chỉ riêng pháp quan</t>
  </si>
  <si>
    <t>2:19000303:1</t>
  </si>
  <si>
    <t>Đỡ chỉ riêng ủng ngắn</t>
  </si>
  <si>
    <t>2:19000403:1</t>
  </si>
  <si>
    <t>Đốt hoa đoản kiếm</t>
  </si>
  <si>
    <t>0:0:450000</t>
  </si>
  <si>
    <t>Đốt hoa vạt áo bào</t>
  </si>
  <si>
    <t>Đốt hoa chiến nón trụ</t>
  </si>
  <si>
    <t>Đốt hoa giày chiến</t>
  </si>
  <si>
    <t>0:1:90</t>
  </si>
  <si>
    <t>Nghê thường pháp trượng</t>
  </si>
  <si>
    <t>0:0:750000</t>
  </si>
  <si>
    <t>Nghê thường vũ y</t>
  </si>
  <si>
    <t>Nghê thường mào đầu</t>
  </si>
  <si>
    <t>Nghê thường ủng ngắn</t>
  </si>
  <si>
    <t>2:19000106:1</t>
  </si>
  <si>
    <t>0:0:1250000</t>
  </si>
  <si>
    <t>2:19000206:1</t>
  </si>
  <si>
    <t>2:19000306:1</t>
  </si>
  <si>
    <t>2:19000406:1</t>
  </si>
  <si>
    <t>0:1:250</t>
  </si>
  <si>
    <t>2:19000107:1</t>
  </si>
  <si>
    <t>0:0:2050000</t>
  </si>
  <si>
    <t>2:19000207:1</t>
  </si>
  <si>
    <t>2:19000307:1</t>
  </si>
  <si>
    <t>2:19000407:1</t>
  </si>
  <si>
    <t>0:1:410</t>
  </si>
  <si>
    <t>0:0:3650000</t>
  </si>
  <si>
    <t>0:1:730</t>
  </si>
  <si>
    <t>0:1:1250</t>
  </si>
  <si>
    <t>0:0:6250000</t>
  </si>
  <si>
    <t>Quỷ Vương trường kiếm</t>
  </si>
  <si>
    <t>2:19000110:1</t>
  </si>
  <si>
    <t>0:1:2500</t>
  </si>
  <si>
    <t>Quỷ Vương Chiến Giáp</t>
  </si>
  <si>
    <t>2:19000210:1</t>
  </si>
  <si>
    <t>Quỷ Vương chiến nón trụ</t>
  </si>
  <si>
    <t>2:19000310:1</t>
  </si>
  <si>
    <t>Quỷ Vương giày chiến</t>
  </si>
  <si>
    <t>2:19000410:1</t>
  </si>
  <si>
    <t>0:0:12500000</t>
  </si>
  <si>
    <t>Động Huyền đạo kiếm</t>
  </si>
  <si>
    <t>2:19000111:1</t>
  </si>
  <si>
    <t>0:1:5000</t>
  </si>
  <si>
    <t>Động Huyền đạo bào</t>
  </si>
  <si>
    <t>2:19000211:1</t>
  </si>
  <si>
    <t>Động Huyền đạo quan</t>
  </si>
  <si>
    <t>2:19000311:1</t>
  </si>
  <si>
    <t>Động Huyền đạo giày</t>
  </si>
  <si>
    <t>2:19000411:1</t>
  </si>
  <si>
    <t>0:0:25000000</t>
  </si>
  <si>
    <t>Hạ phẩm tiến giai thạch</t>
  </si>
  <si>
    <t>3:100256:1</t>
  </si>
  <si>
    <t>Trung phẩm tiến giai thạch</t>
  </si>
  <si>
    <t>3:100257:1</t>
  </si>
  <si>
    <t>0:1:4000</t>
  </si>
  <si>
    <t>Thượng phẩm tiến giai thạch</t>
  </si>
  <si>
    <t>3:100258:1</t>
  </si>
  <si>
    <t>0:1:10000</t>
  </si>
  <si>
    <t>0:4:1000000</t>
  </si>
  <si>
    <t>0:0:2000000</t>
  </si>
  <si>
    <t>0:4:2000000</t>
  </si>
  <si>
    <t>3:100001:2000</t>
  </si>
  <si>
    <t>3:100001:200</t>
  </si>
  <si>
    <t>3:100001:600</t>
  </si>
  <si>
    <t>0:1:420</t>
  </si>
  <si>
    <t>0:0:200000</t>
  </si>
  <si>
    <t>3:100021:2</t>
  </si>
  <si>
    <t>0:0:40000</t>
  </si>
  <si>
    <t>3:100005:2</t>
  </si>
  <si>
    <t>3:100005:20</t>
  </si>
  <si>
    <t>3:100022:2</t>
  </si>
  <si>
    <t>3:100024:200</t>
  </si>
  <si>
    <t>3:100024:400</t>
  </si>
  <si>
    <t>0:0:20000000</t>
  </si>
  <si>
    <t>0:4:40000</t>
  </si>
  <si>
    <t>0:1:40</t>
  </si>
  <si>
    <t>0:4:200000</t>
  </si>
  <si>
    <t>0:0:4000000</t>
  </si>
  <si>
    <t>0:4:4000000</t>
  </si>
  <si>
    <t>3:100001:3000</t>
  </si>
  <si>
    <t>3:100001:900</t>
  </si>
  <si>
    <t>0:1:630</t>
  </si>
  <si>
    <t>3:100001:400</t>
  </si>
  <si>
    <t>0:0:400000</t>
  </si>
  <si>
    <t>3:100024:300</t>
  </si>
  <si>
    <t>3:100024:600</t>
  </si>
  <si>
    <t>0:4:60000</t>
  </si>
  <si>
    <t>0:1:60</t>
  </si>
  <si>
    <t>0:4:150000</t>
  </si>
  <si>
    <t>0:4:300000</t>
  </si>
  <si>
    <t>0:0:1500000</t>
  </si>
  <si>
    <t>3:100004:300</t>
  </si>
  <si>
    <t>4:606008:50</t>
  </si>
  <si>
    <t>0:8:20</t>
  </si>
  <si>
    <t>4:606009:50</t>
  </si>
  <si>
    <t>4:606010:50</t>
  </si>
  <si>
    <t>5 Tinh Thần tộc mảnh vỡ</t>
  </si>
  <si>
    <t>4:606011:50</t>
  </si>
  <si>
    <t>0:8:45</t>
  </si>
  <si>
    <t>5 Tinh ma tộc mảnh vỡ</t>
  </si>
  <si>
    <t>4:606012:50</t>
  </si>
  <si>
    <t>0:7:35</t>
  </si>
  <si>
    <t>0:7:50</t>
  </si>
  <si>
    <t>0:7:60</t>
  </si>
  <si>
    <t>0:7:20</t>
  </si>
  <si>
    <t>0:7:40</t>
  </si>
  <si>
    <t>Nam Cực tiên tử</t>
  </si>
  <si>
    <t>4:602016:50</t>
  </si>
  <si>
    <t>Quyển Liêm Đại Tướng</t>
  </si>
  <si>
    <t>4:602015:50</t>
  </si>
  <si>
    <t>Hồn thiên đại thánh</t>
  </si>
  <si>
    <t>4:603016:50</t>
  </si>
  <si>
    <t>Kim Ô</t>
  </si>
  <si>
    <t>4:603019:50</t>
  </si>
  <si>
    <t>Chúc Dung</t>
  </si>
  <si>
    <t>4:604013:50</t>
  </si>
  <si>
    <t>Thần Nông</t>
  </si>
  <si>
    <t>4:604007:50</t>
  </si>
  <si>
    <t>Nữ Oa</t>
  </si>
  <si>
    <t>4:604008:50</t>
  </si>
  <si>
    <t>Côn</t>
  </si>
  <si>
    <t>4:604009:50</t>
  </si>
  <si>
    <t>Xi Vưu</t>
  </si>
  <si>
    <t>4:605006:50</t>
  </si>
  <si>
    <t>Mạnh bà</t>
  </si>
  <si>
    <t>4:605007:50</t>
  </si>
  <si>
    <t>Hoàng Tuyền</t>
  </si>
  <si>
    <t>4:605010:50</t>
  </si>
  <si>
    <t>Diêm Quân</t>
  </si>
  <si>
    <t>4:605011:50</t>
  </si>
  <si>
    <t>0:7:25</t>
  </si>
  <si>
    <t>Thân Công Báo</t>
  </si>
  <si>
    <t>4:601013:30</t>
  </si>
  <si>
    <t>0:7:3</t>
  </si>
  <si>
    <t>Hoàng Phi Hổ</t>
  </si>
  <si>
    <t>4:601009:30</t>
  </si>
  <si>
    <t>Thải Thần</t>
  </si>
  <si>
    <t>4:601011:30</t>
  </si>
  <si>
    <t>Thái Bạch Kim Tinh</t>
  </si>
  <si>
    <t>4:602009:30</t>
  </si>
  <si>
    <t>Chức Nữ</t>
  </si>
  <si>
    <t>4:602011:30</t>
  </si>
  <si>
    <t>4:602013:30</t>
  </si>
  <si>
    <t>Quỷ Tướng</t>
  </si>
  <si>
    <t>4:603010:30</t>
  </si>
  <si>
    <t>0:7:5</t>
  </si>
  <si>
    <t>Giám binh</t>
  </si>
  <si>
    <t>4:604004:30</t>
  </si>
  <si>
    <t>Lạc Thần</t>
  </si>
  <si>
    <t>4:604005:30</t>
  </si>
  <si>
    <t>Hắc vô thường</t>
  </si>
  <si>
    <t>4:605004:30</t>
  </si>
  <si>
    <t>Bạch vô thường</t>
  </si>
  <si>
    <t>4:605005:30</t>
  </si>
  <si>
    <t>Khương Tử Nha</t>
  </si>
  <si>
    <t>4:601021:50</t>
  </si>
  <si>
    <t>Hậu Nghệ</t>
  </si>
  <si>
    <t>4:601017:50</t>
  </si>
  <si>
    <t>Ma · Ngộ Không</t>
  </si>
  <si>
    <t>4:605009:50</t>
  </si>
  <si>
    <t>Cửu Thiên Huyền Nữ</t>
  </si>
  <si>
    <t>4:602023:50</t>
  </si>
  <si>
    <t>Ngọc Đế</t>
  </si>
  <si>
    <t>4:604010:50</t>
  </si>
  <si>
    <t>Huyền Trang</t>
  </si>
  <si>
    <t>4:602024:50</t>
  </si>
  <si>
    <t>Bạch long</t>
  </si>
  <si>
    <t>4:602025:50</t>
  </si>
  <si>
    <t>Chúc Long</t>
  </si>
  <si>
    <t>4:605013:50</t>
  </si>
  <si>
    <t>Hoa Mộc Lan</t>
  </si>
  <si>
    <t>4:601023:50</t>
  </si>
  <si>
    <t>Dạ Mị</t>
  </si>
  <si>
    <t>4:605014:50</t>
  </si>
  <si>
    <t>Khổng Tuyên</t>
  </si>
  <si>
    <t>4:603023:50</t>
  </si>
  <si>
    <t>Linh môi ma nữ</t>
  </si>
  <si>
    <t>4:605015:50</t>
  </si>
  <si>
    <t>Minh Hà</t>
  </si>
  <si>
    <t>4:605016:50</t>
  </si>
  <si>
    <t>Dương Tiễn</t>
  </si>
  <si>
    <t>4:604015:50</t>
  </si>
  <si>
    <t>Mẹ tổ</t>
  </si>
  <si>
    <t>4:604016:50</t>
  </si>
  <si>
    <t>Tam thánh mẫu</t>
  </si>
  <si>
    <t>4:604017:50</t>
  </si>
  <si>
    <t>Vô thiên</t>
  </si>
  <si>
    <t>4:605017:50</t>
  </si>
  <si>
    <t>Tây Vương Mẫu</t>
  </si>
  <si>
    <t>4:604019:50</t>
  </si>
  <si>
    <t>Man châu</t>
  </si>
  <si>
    <r>
      <rPr>
        <sz val="10"/>
        <color rgb="FFFF0000"/>
        <rFont val="微软雅黑"/>
        <charset val="134"/>
      </rPr>
      <t>4:</t>
    </r>
    <r>
      <rPr>
        <sz val="10"/>
        <color rgb="FFFF0000"/>
        <rFont val="微软雅黑"/>
        <charset val="134"/>
      </rPr>
      <t>603024</t>
    </r>
    <r>
      <rPr>
        <sz val="10"/>
        <color rgb="FFFF0000"/>
        <rFont val="微软雅黑"/>
        <charset val="134"/>
      </rPr>
      <t>:50</t>
    </r>
  </si>
  <si>
    <t>Phách rồng</t>
  </si>
  <si>
    <t>4:604018:50</t>
  </si>
  <si>
    <t>Tu La</t>
  </si>
  <si>
    <t>4:605018:50</t>
  </si>
  <si>
    <t>Kinh nghiệm</t>
  </si>
  <si>
    <t>3:100024:20</t>
  </si>
  <si>
    <t>Cao cấp tầm bảo khoán</t>
  </si>
  <si>
    <t>3:100006:1</t>
  </si>
  <si>
    <t>3:100002:100</t>
  </si>
  <si>
    <t>3:100030:1000</t>
  </si>
  <si>
    <t>0:18:50000</t>
  </si>
  <si>
    <t>0:18:37500</t>
  </si>
  <si>
    <t>Hỗn Thiên Đại Thánh</t>
  </si>
  <si>
    <t>Tử Lân trường kiếm</t>
  </si>
  <si>
    <t>2:19000113:1</t>
  </si>
  <si>
    <t>0:18:45000</t>
  </si>
  <si>
    <t>Tử Lân chiến giáp</t>
  </si>
  <si>
    <t>Tử Lân chiến nón trụ</t>
  </si>
  <si>
    <t>2:19000313:1</t>
  </si>
  <si>
    <t>Tử Lân giày chiến</t>
  </si>
  <si>
    <t>3:100004:500</t>
  </si>
  <si>
    <t>0:18:1250</t>
  </si>
  <si>
    <t>0:18:1000</t>
  </si>
  <si>
    <t>Quán ma chi bình gói quà</t>
  </si>
  <si>
    <t>0:18:3000</t>
  </si>
  <si>
    <t>Trung cấp phụ ma: Lôi đình</t>
  </si>
  <si>
    <t>3:40102:1</t>
  </si>
  <si>
    <t>0:18:4000</t>
  </si>
  <si>
    <t>Trung cấp phụ ma: Tẩm bổ</t>
  </si>
  <si>
    <t>3:40202:1</t>
  </si>
  <si>
    <t>Trung cấp phụ ma: Đạp gió</t>
  </si>
  <si>
    <t>3:40302:1</t>
  </si>
  <si>
    <t>Trung cấp phụ ma: Sáng tạo càng</t>
  </si>
  <si>
    <t>3:40402:1</t>
  </si>
  <si>
    <t>Trung cấp phụ ma: Cứng cỏi</t>
  </si>
  <si>
    <t>3:40502:1</t>
  </si>
  <si>
    <t>Dương Chi Ngọc Tịnh bình</t>
  </si>
  <si>
    <t>7:700101:1</t>
  </si>
  <si>
    <t>0:18:60000</t>
  </si>
  <si>
    <t>Huyền Quy giáp</t>
  </si>
  <si>
    <t>7:800101:1</t>
  </si>
  <si>
    <t>Tử thụ tiên y</t>
  </si>
  <si>
    <t>7:900101:1</t>
  </si>
  <si>
    <t>Trời · Long Vương cái sọt</t>
  </si>
  <si>
    <t>8:1000001:1</t>
  </si>
  <si>
    <t>3:100217:1000</t>
  </si>
  <si>
    <t>Trời · Tinh kim đồng tiền</t>
  </si>
  <si>
    <t>8:2000001:1</t>
  </si>
  <si>
    <t>Trời · Lửa anh thương</t>
  </si>
  <si>
    <t>8:3000001:1</t>
  </si>
  <si>
    <t>Trời · Thái hư thần giáp</t>
  </si>
  <si>
    <t>8:4000001:1</t>
  </si>
  <si>
    <t>Trời · Đông Hoàng Chung</t>
  </si>
  <si>
    <t>8:5000001:1</t>
  </si>
  <si>
    <t>Trời · Lạc Nhật Cung</t>
  </si>
  <si>
    <t>8:6000001:1</t>
  </si>
  <si>
    <t>Trời · Bên trên bảo thấm kim bá</t>
  </si>
  <si>
    <t>8:7000001:1</t>
  </si>
  <si>
    <t>Trời · Áng mây phiêu</t>
  </si>
  <si>
    <t>8:8000001:1</t>
  </si>
  <si>
    <t>Trời · Thần Nông đỉnh</t>
  </si>
  <si>
    <t>8:9000001:1</t>
  </si>
  <si>
    <t>Trời · Vong ưu</t>
  </si>
  <si>
    <t>8:10000001:1</t>
  </si>
  <si>
    <t>Trời · Ánh trăng</t>
  </si>
  <si>
    <t>8:11000001:1</t>
  </si>
  <si>
    <t>Trời · Lão Long bố mưa</t>
  </si>
  <si>
    <t>8:12000001:1</t>
  </si>
  <si>
    <t>Trời · Hỗn Thiên Lăng</t>
  </si>
  <si>
    <t>8:13000001:1</t>
  </si>
  <si>
    <t>Trời · Hổ phách đao</t>
  </si>
  <si>
    <t>8:14000001:1</t>
  </si>
  <si>
    <t>Trời · Mộng cảnh di châu</t>
  </si>
  <si>
    <t>8:15000001:1</t>
  </si>
  <si>
    <t>Trời · Muối biển trân châu con trai</t>
  </si>
  <si>
    <t>8:16000001:1</t>
  </si>
  <si>
    <t>Trời · Tùy tâm đáng tin binh</t>
  </si>
  <si>
    <t>8:17000001:1</t>
  </si>
  <si>
    <t>Trời · Phù thế thanh hoan</t>
  </si>
  <si>
    <t>8:18000001:1</t>
  </si>
  <si>
    <t>Trời · Như Ý Kim Cô Bổng</t>
  </si>
  <si>
    <t>8:19000001:1</t>
  </si>
  <si>
    <t>Trời · Vĩnh Dạ</t>
  </si>
  <si>
    <t>8:20000001:1</t>
  </si>
  <si>
    <t>Trời · Bông tuyết linh</t>
  </si>
  <si>
    <t>8:21000001:1</t>
  </si>
  <si>
    <t>Trời · Hộp kiếm</t>
  </si>
  <si>
    <t>8:22000001:1</t>
  </si>
  <si>
    <t>Trời · Trảm hồn</t>
  </si>
  <si>
    <t>8:23000001:1</t>
  </si>
  <si>
    <t>Trời · Ly Long ấn</t>
  </si>
  <si>
    <t>8:24000001:1</t>
  </si>
  <si>
    <t>Trời · Ngũ thải Thần thạch</t>
  </si>
  <si>
    <t>8:25000001:1</t>
  </si>
  <si>
    <t>Trời · Huyền Hỏa Giám</t>
  </si>
  <si>
    <t>8:26000001:1</t>
  </si>
  <si>
    <t>Trời · Làm thích</t>
  </si>
  <si>
    <t>8:27000001:1</t>
  </si>
  <si>
    <t>Trời · Mộ chỉ riêng</t>
  </si>
  <si>
    <t>8:28000001:1</t>
  </si>
  <si>
    <t>Trời · Tinh hồng chi mắt</t>
  </si>
  <si>
    <t>8:29000001:1</t>
  </si>
  <si>
    <t>Trời · Toa la bảo trượng</t>
  </si>
  <si>
    <t>8:30000001:1</t>
  </si>
  <si>
    <t>Trời · Ly châu</t>
  </si>
  <si>
    <t>8:31000001:1</t>
  </si>
  <si>
    <t>Trời · Bèo tấm</t>
  </si>
  <si>
    <t>8:32000001:1</t>
  </si>
  <si>
    <t>Trời · Linh Lung Bảo Tháp</t>
  </si>
  <si>
    <t>8:33000001:1</t>
  </si>
  <si>
    <t>Trời · Gấm lan cà sa</t>
  </si>
  <si>
    <t>8:34000001:1</t>
  </si>
  <si>
    <t>Trời · Chú oán</t>
  </si>
  <si>
    <t>8:35000001:1</t>
  </si>
  <si>
    <t>Trời · Ngũ sắc thần quang</t>
  </si>
  <si>
    <t>8:36000001:1</t>
  </si>
  <si>
    <t>Trời · Tam Bảo Ngọc Như Ý</t>
  </si>
  <si>
    <t>8:37000001:1</t>
  </si>
  <si>
    <t>Trời · Hoàng việt</t>
  </si>
  <si>
    <t>8:38000001:1</t>
  </si>
  <si>
    <t>Trời · Hỗn Thiết Côn</t>
  </si>
  <si>
    <t>8:39000001:1</t>
  </si>
  <si>
    <t>Trời · Vu độc con rối</t>
  </si>
  <si>
    <t>8:40000001:1</t>
  </si>
  <si>
    <t>Trời · Huyết liên đài</t>
  </si>
  <si>
    <t>8:41000001:1</t>
  </si>
  <si>
    <t>Trời · Tam Tiên Lưỡng Nhận Đao</t>
  </si>
  <si>
    <t>8:42000001:1</t>
  </si>
  <si>
    <t>Trời · Biển xanh tinh xoắn ốc</t>
  </si>
  <si>
    <t>8:43000001:1</t>
  </si>
  <si>
    <t>Trời · Bảo Liên đăng</t>
  </si>
  <si>
    <t>8:45000001:1</t>
  </si>
  <si>
    <t>Trời · Tử Vong Liêm Đao</t>
  </si>
  <si>
    <t>8:48000001:1</t>
  </si>
  <si>
    <t>Trời · Lôi âm toa</t>
  </si>
  <si>
    <t>8:50000001:1</t>
  </si>
  <si>
    <t>Trời. Ảnh nhận</t>
  </si>
  <si>
    <t>8:52000001:1</t>
  </si>
  <si>
    <t>Trời · Hỏa diễm vương miện</t>
  </si>
  <si>
    <t>8:54000001:1</t>
  </si>
  <si>
    <t>Trời · Mạn Đà La</t>
  </si>
  <si>
    <t>8:53000001:1</t>
  </si>
  <si>
    <t>Trời · Thần Long Kiếm</t>
  </si>
  <si>
    <t>8:46000001:1</t>
  </si>
  <si>
    <t>Trời · Nhập ma</t>
  </si>
  <si>
    <t>8:49000001:1</t>
  </si>
  <si>
    <t>Trời · Tín ngưỡng</t>
  </si>
  <si>
    <t>8:55000001:1</t>
  </si>
  <si>
    <t>Lý Tĩnh mảnh vỡ</t>
  </si>
  <si>
    <t>4:601014:5</t>
  </si>
  <si>
    <t>0:19:3500</t>
  </si>
  <si>
    <t>Hằng Nga mảnh vỡ</t>
  </si>
  <si>
    <t>4:601016:5</t>
  </si>
  <si>
    <t>Khương Tử Nha mảnh vỡ</t>
  </si>
  <si>
    <t>4:601021:5</t>
  </si>
  <si>
    <t>Hậu Nghệ mảnh vỡ</t>
  </si>
  <si>
    <t>4:601017:5</t>
  </si>
  <si>
    <t>Đấu Chiến Thắng Phật mảnh vỡ</t>
  </si>
  <si>
    <t>4:602018:5</t>
  </si>
  <si>
    <t>Thông Thiên giáo chủ mảnh vỡ</t>
  </si>
  <si>
    <t>4:602020:5</t>
  </si>
  <si>
    <t>Lộc duyên thượng tiên mảnh vỡ</t>
  </si>
  <si>
    <t>4:602017:5</t>
  </si>
  <si>
    <t>Quyển Liêm Đại Tướng mảnh vỡ</t>
  </si>
  <si>
    <t>4:602015:5</t>
  </si>
  <si>
    <t>Hồng hài nhi mảnh vỡ</t>
  </si>
  <si>
    <t>4:603014:5</t>
  </si>
  <si>
    <t>Thạch Cơ mảnh vỡ</t>
  </si>
  <si>
    <t>4:603015:5</t>
  </si>
  <si>
    <t>Ngao Bính mảnh vỡ</t>
  </si>
  <si>
    <t>4:603020:5</t>
  </si>
  <si>
    <t>Hồn thiên đại thánh mảnh vỡ</t>
  </si>
  <si>
    <t>4:603016:5</t>
  </si>
  <si>
    <t>Cộng Công mảnh vỡ</t>
  </si>
  <si>
    <t>4:604012:5</t>
  </si>
  <si>
    <t>0:19:5000</t>
  </si>
  <si>
    <t>4:604013:5</t>
  </si>
  <si>
    <t>Nữ Oa mảnh vỡ</t>
  </si>
  <si>
    <t>4:604008:5</t>
  </si>
  <si>
    <t>Côn mảnh vỡ</t>
  </si>
  <si>
    <t>4:604009:5</t>
  </si>
  <si>
    <t>Đông Hoàng Thái Nhất mảnh vỡ</t>
  </si>
  <si>
    <t>4:605012:5</t>
  </si>
  <si>
    <t>Xi Vưu mảnh vỡ</t>
  </si>
  <si>
    <t>4:605006:5</t>
  </si>
  <si>
    <t>4:605007:5</t>
  </si>
  <si>
    <t>Hình Thiên mảnh vỡ</t>
  </si>
  <si>
    <t>4:605008:5</t>
  </si>
  <si>
    <t>Tiên Khí mảnh vỡ ngẫu nhiên</t>
  </si>
  <si>
    <t>3:500028:1</t>
  </si>
  <si>
    <r>
      <rPr>
        <sz val="11"/>
        <color theme="1"/>
        <rFont val="Calibri"/>
        <charset val="134"/>
        <scheme val="minor"/>
      </rPr>
      <t>0:19:</t>
    </r>
    <r>
      <rPr>
        <sz val="11"/>
        <color theme="1"/>
        <rFont val="Calibri"/>
        <charset val="134"/>
        <scheme val="minor"/>
      </rPr>
      <t>6</t>
    </r>
    <r>
      <rPr>
        <sz val="11"/>
        <color theme="1"/>
        <rFont val="Calibri"/>
        <charset val="134"/>
        <scheme val="minor"/>
      </rPr>
      <t>000</t>
    </r>
  </si>
  <si>
    <r>
      <rPr>
        <sz val="11"/>
        <color theme="1"/>
        <rFont val="Calibri"/>
        <charset val="134"/>
        <scheme val="minor"/>
      </rPr>
      <t>3</t>
    </r>
    <r>
      <rPr>
        <sz val="11"/>
        <color theme="1"/>
        <rFont val="Calibri"/>
        <charset val="134"/>
        <scheme val="minor"/>
      </rPr>
      <t>:100030:10000</t>
    </r>
  </si>
  <si>
    <r>
      <rPr>
        <sz val="11"/>
        <color theme="1"/>
        <rFont val="Calibri"/>
        <charset val="134"/>
        <scheme val="minor"/>
      </rPr>
      <t>0:19:</t>
    </r>
    <r>
      <rPr>
        <sz val="11"/>
        <color theme="1"/>
        <rFont val="Calibri"/>
        <charset val="134"/>
        <scheme val="minor"/>
      </rPr>
      <t>1</t>
    </r>
    <r>
      <rPr>
        <sz val="11"/>
        <color theme="1"/>
        <rFont val="Calibri"/>
        <charset val="134"/>
        <scheme val="minor"/>
      </rPr>
      <t>000</t>
    </r>
  </si>
  <si>
    <r>
      <rPr>
        <sz val="11"/>
        <color theme="1"/>
        <rFont val="Calibri"/>
        <charset val="134"/>
        <scheme val="minor"/>
      </rPr>
      <t>0:19:4</t>
    </r>
    <r>
      <rPr>
        <sz val="11"/>
        <color theme="1"/>
        <rFont val="Calibri"/>
        <charset val="134"/>
        <scheme val="minor"/>
      </rPr>
      <t>000</t>
    </r>
  </si>
  <si>
    <r>
      <rPr>
        <sz val="11"/>
        <color theme="1"/>
        <rFont val="Calibri"/>
        <charset val="134"/>
        <scheme val="minor"/>
      </rPr>
      <t>0:19:</t>
    </r>
    <r>
      <rPr>
        <sz val="11"/>
        <color theme="1"/>
        <rFont val="Calibri"/>
        <charset val="134"/>
        <scheme val="minor"/>
      </rPr>
      <t>3000</t>
    </r>
  </si>
  <si>
    <t>0:19:60</t>
  </si>
  <si>
    <r>
      <rPr>
        <sz val="11"/>
        <color theme="1"/>
        <rFont val="Calibri"/>
        <charset val="134"/>
        <scheme val="minor"/>
      </rPr>
      <t>0:4:</t>
    </r>
    <r>
      <rPr>
        <sz val="11"/>
        <color theme="1"/>
        <rFont val="Calibri"/>
        <charset val="134"/>
        <scheme val="minor"/>
      </rPr>
      <t>50000</t>
    </r>
  </si>
  <si>
    <t>0:19:600</t>
  </si>
  <si>
    <t>Kỳ Lân tiên ngọc</t>
  </si>
  <si>
    <t>3:100216:1000</t>
  </si>
  <si>
    <t>0:19:3000</t>
  </si>
  <si>
    <t>Tiên Khí tinh hoa</t>
  </si>
  <si>
    <t>3:100217:25</t>
  </si>
  <si>
    <t>0:19:1500</t>
  </si>
  <si>
    <t>0:19:50000</t>
  </si>
  <si>
    <t>3:100076:30</t>
  </si>
  <si>
    <t>0:20:40000</t>
  </si>
  <si>
    <t>0:20:50000</t>
  </si>
  <si>
    <t>Ma Ngộ Không</t>
  </si>
  <si>
    <t>0:20:60000</t>
  </si>
  <si>
    <t>0:20:3750</t>
  </si>
  <si>
    <t>0:20:2500</t>
  </si>
  <si>
    <t>Phúc địa trân tàng</t>
  </si>
  <si>
    <t>3:400040:1</t>
  </si>
  <si>
    <t>0:20:250</t>
  </si>
  <si>
    <t>Huy hiệu nâng cấp</t>
  </si>
  <si>
    <t>3:100029:100</t>
  </si>
  <si>
    <t>Đá cường hóa lục</t>
  </si>
  <si>
    <t>3:100029:200</t>
  </si>
  <si>
    <t>Đá cường hóa lam</t>
  </si>
  <si>
    <t>3:100029:500</t>
  </si>
  <si>
    <t>Bình nâng tướng Hiếm</t>
  </si>
  <si>
    <t>3:100146:20</t>
  </si>
  <si>
    <t>3:500198:1500</t>
  </si>
  <si>
    <t>Đá Hero</t>
  </si>
  <si>
    <t>3:100342:400</t>
  </si>
  <si>
    <t>3:500198:1000</t>
  </si>
  <si>
    <t>Đan Pokemon</t>
  </si>
  <si>
    <t>3:100252:200</t>
  </si>
  <si>
    <t>Sách Pokemon</t>
  </si>
  <si>
    <t>3:100253:200</t>
  </si>
  <si>
    <t>Hỏa Ngân</t>
  </si>
  <si>
    <t>3:100258:20</t>
  </si>
  <si>
    <t>4:606002:5</t>
  </si>
  <si>
    <t>3:200033:100</t>
  </si>
  <si>
    <t>3:200033:200</t>
  </si>
  <si>
    <t>3:100217:2</t>
  </si>
  <si>
    <t>3:200033:300</t>
  </si>
  <si>
    <t>3:100002:4</t>
  </si>
  <si>
    <t>3:200033:1500</t>
  </si>
  <si>
    <t>3:100084:5000</t>
  </si>
  <si>
    <t>3:100084:10000</t>
  </si>
  <si>
    <t>3:100217:10</t>
  </si>
  <si>
    <t>3:100084:15000</t>
  </si>
  <si>
    <t>3:100084:400</t>
  </si>
  <si>
    <t>3:100084:10</t>
  </si>
  <si>
    <t>0:4:10000</t>
  </si>
  <si>
    <t>3:100084:1500</t>
  </si>
  <si>
    <t>3:100210:5</t>
  </si>
  <si>
    <t>3:100084:20000</t>
  </si>
  <si>
    <t>Long châu</t>
  </si>
  <si>
    <t>3:100098:1000</t>
  </si>
  <si>
    <t>3:100084:100000</t>
  </si>
  <si>
    <t>Hổ Vương huy hiệu</t>
  </si>
  <si>
    <t>3:110101:1000</t>
  </si>
  <si>
    <t>3:100291:100</t>
  </si>
  <si>
    <t>Tiên hạc huy hiệu</t>
  </si>
  <si>
    <t>3:110103:1000</t>
  </si>
  <si>
    <t>Chó dại huy hiệu</t>
  </si>
  <si>
    <t>3:110105:1000</t>
  </si>
  <si>
    <t>Thiên Ưng huy hiệu</t>
  </si>
  <si>
    <t>3:110107:1000</t>
  </si>
  <si>
    <t>3:100217:200</t>
  </si>
  <si>
    <t>3:100291:300</t>
  </si>
  <si>
    <t>3:100291:3</t>
  </si>
  <si>
    <t>3:100291:10</t>
  </si>
  <si>
    <t>Cao quất</t>
  </si>
  <si>
    <t>Ứng Long ấu long trứng</t>
  </si>
  <si>
    <t>3:200105:1</t>
  </si>
  <si>
    <t>Cầu Long ấu long trứng</t>
  </si>
  <si>
    <t>3:200107:1</t>
  </si>
  <si>
    <t>Ứng Long thanh niên trứng rồng</t>
  </si>
  <si>
    <t>3:200109:1</t>
  </si>
  <si>
    <t>Cầu Long thanh niên trứng rồng</t>
  </si>
  <si>
    <t>3:200111:1</t>
  </si>
  <si>
    <t>Nhiều màu vảy rồng</t>
  </si>
  <si>
    <t>3:200101:100</t>
  </si>
  <si>
    <t>Sơ cấp cường hóa thạch</t>
  </si>
  <si>
    <t>3:200102:10</t>
  </si>
  <si>
    <t>Trung cấp cường hóa thạch</t>
  </si>
  <si>
    <t>3:200103:10</t>
  </si>
  <si>
    <t>Cao cấp cường hóa thạch</t>
  </si>
  <si>
    <t>3:200104:10</t>
  </si>
  <si>
    <t>Trứng rồng xác</t>
  </si>
  <si>
    <t>3:200192:1</t>
  </si>
  <si>
    <t>3:100336:60</t>
  </si>
  <si>
    <t>Sinh mệnh tinh hoa</t>
  </si>
  <si>
    <t>3:200191:1</t>
  </si>
  <si>
    <t>3:100336:20</t>
  </si>
  <si>
    <t>3:200101:1</t>
  </si>
  <si>
    <t>3:100336:100</t>
  </si>
  <si>
    <t>3:200102:1</t>
  </si>
  <si>
    <t>3:100336:10</t>
  </si>
  <si>
    <t>3:200103:1</t>
  </si>
  <si>
    <t>3:100336:50</t>
  </si>
  <si>
    <t>Cao cấp cường hóa thạch ( Hạn mua )</t>
  </si>
  <si>
    <t>3:200104:1</t>
  </si>
  <si>
    <t>Thần trang tinh thiết</t>
  </si>
  <si>
    <t>3:100305:10</t>
  </si>
  <si>
    <t>3:100336:30</t>
  </si>
  <si>
    <t>Thần trang tinh túy</t>
  </si>
  <si>
    <t>3:100019:1</t>
  </si>
  <si>
    <t>Nghiệp Hỏa · Kiếm</t>
  </si>
  <si>
    <t>16:101101:1</t>
  </si>
  <si>
    <t>3:100336:5000</t>
  </si>
  <si>
    <t>Nghiệp Hỏa · Dây chuyền</t>
  </si>
  <si>
    <t>16:102101:1</t>
  </si>
  <si>
    <t>Nghiệp Hỏa · Chiếc nhẫn</t>
  </si>
  <si>
    <t>16:103101:1</t>
  </si>
  <si>
    <t>Nghiệp Hỏa · Găng tay</t>
  </si>
  <si>
    <t>16:104101:1</t>
  </si>
  <si>
    <t>Nghiệp Hỏa · Thuẫn</t>
  </si>
  <si>
    <t>16:105101:1</t>
  </si>
  <si>
    <t>Nghiệp Hỏa · Giáp vai</t>
  </si>
  <si>
    <t>16:106101:1</t>
  </si>
  <si>
    <t>Nghiệp Hỏa · Đai lưng</t>
  </si>
  <si>
    <t>16:107101:1</t>
  </si>
  <si>
    <t>Nghiệp Hỏa · Hộ thối</t>
  </si>
  <si>
    <t>16:108101:1</t>
  </si>
  <si>
    <t>Thanh thủy · Quyền trượng</t>
  </si>
  <si>
    <t>16:201101:1</t>
  </si>
  <si>
    <t>Thanh thủy · Dây chuyền</t>
  </si>
  <si>
    <t>16:202101:1</t>
  </si>
  <si>
    <t>Thanh thủy · Chiếc nhẫn</t>
  </si>
  <si>
    <t>16:203101:1</t>
  </si>
  <si>
    <t>Thanh thủy · Găng tay</t>
  </si>
  <si>
    <t>16:204101:1</t>
  </si>
  <si>
    <t>Thanh thủy · Thuẫn</t>
  </si>
  <si>
    <t>16:205101:1</t>
  </si>
  <si>
    <t>Thanh thủy · Giáp vai</t>
  </si>
  <si>
    <t>16:206101:1</t>
  </si>
  <si>
    <t>Thanh thủy · Đai lưng</t>
  </si>
  <si>
    <t>16:207101:1</t>
  </si>
  <si>
    <t>Thanh thủy · Hộ thối</t>
  </si>
  <si>
    <t>16:208101:1</t>
  </si>
  <si>
    <t>4:606003:10</t>
  </si>
  <si>
    <t>3:100339:150</t>
  </si>
  <si>
    <t>4:606004:10</t>
  </si>
  <si>
    <t>4:606005:10</t>
  </si>
  <si>
    <t>3:100339:600</t>
  </si>
  <si>
    <t>4:606008:5</t>
  </si>
  <si>
    <t>3:100339:900</t>
  </si>
  <si>
    <t>4:606009:5</t>
  </si>
  <si>
    <t>4:606010:5</t>
  </si>
  <si>
    <t>4:606011:5</t>
  </si>
  <si>
    <t>3:100339:4500</t>
  </si>
  <si>
    <t>4:606012:5</t>
  </si>
  <si>
    <t>5 Tinh ma hầu làn da</t>
  </si>
  <si>
    <t>3:710026:5</t>
  </si>
  <si>
    <t>3:100339:5000</t>
  </si>
  <si>
    <t>Đỏ 1 Trang bị ngẫu nhiên</t>
  </si>
  <si>
    <t>3:400032:1</t>
  </si>
  <si>
    <t>3:100339:15000</t>
  </si>
  <si>
    <t>Hạ phẩm thăng giai thạch</t>
  </si>
  <si>
    <t>3:100339:36000</t>
  </si>
  <si>
    <t>Thú hồn kinh nghiệm ( Lớn )</t>
  </si>
  <si>
    <t>6:30002:1</t>
  </si>
  <si>
    <t>3:100339:24000</t>
  </si>
  <si>
    <t>3:100339:21000</t>
  </si>
  <si>
    <t>ID</t>
  </si>
  <si>
    <t>进阶材料条件</t>
  </si>
  <si>
    <t>*策划备注</t>
  </si>
  <si>
    <t>0#0</t>
  </si>
  <si>
    <t>下品磨刀石</t>
  </si>
  <si>
    <t>0#1</t>
  </si>
  <si>
    <t>中品磨刀石</t>
  </si>
  <si>
    <t>0#2</t>
  </si>
  <si>
    <t>上品磨刀石</t>
  </si>
  <si>
    <t>限购重置周期填写规则：</t>
  </si>
  <si>
    <t>第一位是时间周期枚举，第二位是数量，第三位是具体刷新点</t>
  </si>
  <si>
    <t>最后一位没有默认绝对时间</t>
  </si>
  <si>
    <t>时间周期枚举</t>
  </si>
  <si>
    <t>对应的开始时间</t>
  </si>
  <si>
    <t>小时</t>
  </si>
  <si>
    <t>0-59 代表0分到59分</t>
  </si>
  <si>
    <t>日</t>
  </si>
  <si>
    <t>0-23 代表0点到23点</t>
  </si>
  <si>
    <t>周</t>
  </si>
  <si>
    <t>1-7 代表周一到周日</t>
  </si>
  <si>
    <t>月</t>
  </si>
  <si>
    <t>1-31 代表1号到31号</t>
  </si>
  <si>
    <t>以下为举例</t>
  </si>
  <si>
    <t>含义</t>
  </si>
  <si>
    <t>1:1</t>
  </si>
  <si>
    <t>每小时刷新一次</t>
  </si>
  <si>
    <t>每8小时刷新一次</t>
  </si>
  <si>
    <t>每天0点刷新一次</t>
  </si>
  <si>
    <t>2:1:0,9,19</t>
  </si>
  <si>
    <t>每天0点，9点，19点刷新一次</t>
  </si>
  <si>
    <t>2:3</t>
  </si>
  <si>
    <t>每3天刷新一次</t>
  </si>
  <si>
    <t>3:1:3</t>
  </si>
  <si>
    <t>每周刷新一次，从每周三开始计算</t>
  </si>
  <si>
    <t>4:1:15</t>
  </si>
  <si>
    <t>每月刷新一次，从每月15号开始计算</t>
  </si>
  <si>
    <t>第一位是分组</t>
  </si>
  <si>
    <t>第二位是商品数量</t>
  </si>
  <si>
    <t>例如 0:6  代表从0号分组选取6个商品</t>
  </si>
  <si>
    <t>例如 0:5#1:1  代表从0号分组选取5个商品 从1号分组选取一个商品</t>
  </si>
  <si>
    <t>碎片数量</t>
  </si>
  <si>
    <t>需要结晶数量</t>
  </si>
  <si>
    <t>星际</t>
  </si>
  <si>
    <t>黄飞虎</t>
  </si>
  <si>
    <t>申公豹</t>
  </si>
  <si>
    <t>太白金星</t>
  </si>
  <si>
    <t>织女</t>
  </si>
  <si>
    <t>雨师</t>
  </si>
  <si>
    <t>鬼将</t>
  </si>
  <si>
    <t>盘丝</t>
  </si>
  <si>
    <t>女魃</t>
  </si>
  <si>
    <t>监兵</t>
  </si>
  <si>
    <t>洛神</t>
  </si>
  <si>
    <t>破军</t>
  </si>
  <si>
    <t>黑无常</t>
  </si>
  <si>
    <t>白无常</t>
  </si>
  <si>
    <t>李靖</t>
  </si>
  <si>
    <t>雷震子</t>
  </si>
  <si>
    <t>嫦娥</t>
  </si>
  <si>
    <t>天蓬元帅</t>
  </si>
  <si>
    <t>通天教主</t>
  </si>
  <si>
    <t>卷帘大将</t>
  </si>
  <si>
    <t>红孩儿</t>
  </si>
  <si>
    <t>金乌</t>
  </si>
  <si>
    <t>白骨夫人</t>
  </si>
  <si>
    <t>妲己</t>
  </si>
  <si>
    <t>石矶</t>
  </si>
  <si>
    <t>女娲</t>
  </si>
  <si>
    <t>黄泉</t>
  </si>
  <si>
    <t>阎君</t>
  </si>
  <si>
    <t>邓婵玉</t>
  </si>
  <si>
    <t>姬发</t>
  </si>
  <si>
    <t>姜子牙</t>
  </si>
  <si>
    <t>后羿</t>
  </si>
  <si>
    <t>杨戬</t>
  </si>
  <si>
    <t>4:601019:50</t>
  </si>
  <si>
    <t>哪吒</t>
  </si>
  <si>
    <t>南极仙翁</t>
  </si>
  <si>
    <t>财神</t>
  </si>
  <si>
    <t>元始天尊</t>
  </si>
  <si>
    <t>云中子</t>
  </si>
  <si>
    <t>斗战胜佛</t>
  </si>
  <si>
    <t>太乙真人</t>
  </si>
  <si>
    <t>4:602019:50</t>
  </si>
  <si>
    <t>九天玄女</t>
  </si>
  <si>
    <t>牛魔王</t>
  </si>
  <si>
    <t>擎苍</t>
  </si>
  <si>
    <t>混天大圣</t>
  </si>
  <si>
    <t>敖丙</t>
  </si>
  <si>
    <t>盘古</t>
  </si>
  <si>
    <t>玉帝</t>
  </si>
  <si>
    <t>雷泽</t>
  </si>
  <si>
    <t>4:604011:50</t>
  </si>
  <si>
    <t>共工</t>
  </si>
  <si>
    <t>神农</t>
  </si>
  <si>
    <t>0:7:45</t>
  </si>
  <si>
    <t>鲲</t>
  </si>
  <si>
    <t>祝融</t>
  </si>
  <si>
    <t>蚩尤</t>
  </si>
  <si>
    <t>东皇太一</t>
  </si>
  <si>
    <t>孟婆</t>
  </si>
  <si>
    <t>刑天</t>
  </si>
  <si>
    <t>魔·悟空</t>
  </si>
  <si>
    <t>金吒</t>
  </si>
  <si>
    <t>4:601010:30</t>
  </si>
  <si>
    <t>闻仲</t>
  </si>
  <si>
    <t>纣王</t>
  </si>
  <si>
    <t>月老</t>
  </si>
  <si>
    <t>4:602010:30</t>
  </si>
  <si>
    <t>河伯</t>
  </si>
  <si>
    <t>4:602012:30</t>
  </si>
  <si>
    <t>金角大王</t>
  </si>
  <si>
    <t>4:603009:30</t>
  </si>
  <si>
    <t>银角大王</t>
  </si>
  <si>
    <t>4:603011:30</t>
  </si>
  <si>
    <t>夜叉</t>
  </si>
  <si>
    <t>4:603013:30</t>
  </si>
  <si>
    <t>瑶姬</t>
  </si>
  <si>
    <t>4:604002:30</t>
  </si>
  <si>
    <t>贪狼</t>
  </si>
  <si>
    <t>4:605002:30</t>
  </si>
  <si>
    <t>皮肤备注</t>
  </si>
  <si>
    <t>如梦令（7天）</t>
  </si>
  <si>
    <t>3:700001:1</t>
  </si>
  <si>
    <t>3:100029:40</t>
  </si>
  <si>
    <t>赤羽火舞（7天）</t>
  </si>
  <si>
    <t>3:700002:1</t>
  </si>
  <si>
    <t>3:100029:20</t>
  </si>
  <si>
    <t>幸存者（7天）</t>
  </si>
  <si>
    <t>3:700003:1</t>
  </si>
  <si>
    <t>天魔乱舞（7天）</t>
  </si>
  <si>
    <t>3:700004:1</t>
  </si>
  <si>
    <t>甜心女仆（7天）</t>
  </si>
  <si>
    <t>3:700005:1</t>
  </si>
  <si>
    <t>3:700006:1</t>
  </si>
  <si>
    <t>0:13:9000</t>
  </si>
  <si>
    <t>4:604011:10</t>
  </si>
  <si>
    <t>权重</t>
  </si>
  <si>
    <t>概率</t>
  </si>
  <si>
    <r>
      <rPr>
        <sz val="11"/>
        <color theme="1"/>
        <rFont val="Calibri"/>
        <charset val="134"/>
        <scheme val="minor"/>
      </rPr>
      <t>刷新1</t>
    </r>
    <r>
      <rPr>
        <sz val="11"/>
        <color theme="1"/>
        <rFont val="Calibri"/>
        <charset val="134"/>
        <scheme val="minor"/>
      </rPr>
      <t>05次获取数量</t>
    </r>
  </si>
  <si>
    <t>刷新105次并且购买全部消耗</t>
  </si>
  <si>
    <t>极限获取总计元宝</t>
  </si>
  <si>
    <t>天数（4部位）</t>
  </si>
  <si>
    <t>3:100256:100</t>
  </si>
  <si>
    <t>3:100257:100</t>
  </si>
  <si>
    <t>3:100258:100</t>
  </si>
  <si>
    <r>
      <rPr>
        <sz val="11"/>
        <color theme="1"/>
        <rFont val="Calibri"/>
        <charset val="134"/>
        <scheme val="minor"/>
      </rPr>
      <t>1</t>
    </r>
    <r>
      <rPr>
        <sz val="11"/>
        <color theme="1"/>
        <rFont val="Calibri"/>
        <charset val="134"/>
        <scheme val="minor"/>
      </rPr>
      <t>28/200</t>
    </r>
  </si>
  <si>
    <r>
      <rPr>
        <sz val="11"/>
        <color theme="1"/>
        <rFont val="Calibri"/>
        <charset val="134"/>
        <scheme val="minor"/>
      </rPr>
      <t>6</t>
    </r>
    <r>
      <rPr>
        <sz val="11"/>
        <color theme="1"/>
        <rFont val="Calibri"/>
        <charset val="134"/>
        <scheme val="minor"/>
      </rPr>
      <t>48/1000</t>
    </r>
  </si>
  <si>
    <t>神龙商铺（取消）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</si>
</sst>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_);[Red]\(0\)"/>
  </numFmts>
  <fonts count="35">
    <font>
      <sz val="11"/>
      <color theme="1"/>
      <name val="Calibri"/>
      <charset val="134"/>
      <scheme val="minor"/>
    </font>
    <font>
      <sz val="10"/>
      <color theme="1"/>
      <name val="微软雅黑"/>
      <charset val="134"/>
    </font>
    <font>
      <sz val="10"/>
      <color rgb="FFFF0000"/>
      <name val="微软雅黑"/>
      <charset val="134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rgb="FFFF0000"/>
      <name val="微软雅黑"/>
      <charset val="134"/>
    </font>
    <font>
      <sz val="11"/>
      <color theme="1"/>
      <name val="等线"/>
      <charset val="134"/>
    </font>
    <font>
      <sz val="11"/>
      <color rgb="FFFF0000"/>
      <name val="等线"/>
      <charset val="134"/>
    </font>
    <font>
      <sz val="10"/>
      <color rgb="FFFF0000"/>
      <name val="Calibri"/>
      <charset val="134"/>
      <scheme val="minor"/>
    </font>
    <font>
      <b/>
      <sz val="11"/>
      <color rgb="FF00B0F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宋体"/>
      <charset val="134"/>
    </font>
    <font>
      <b/>
      <sz val="9"/>
      <name val="SimSun"/>
      <charset val="134"/>
    </font>
    <font>
      <sz val="9"/>
      <name val="SimSun"/>
      <charset val="134"/>
    </font>
  </fonts>
  <fills count="5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487289040803"/>
        <bgColor indexed="64"/>
      </patternFill>
    </fill>
    <fill>
      <patternFill patternType="solid">
        <fgColor rgb="FFFE7272"/>
        <bgColor indexed="64"/>
      </patternFill>
    </fill>
    <fill>
      <patternFill patternType="solid">
        <fgColor theme="4" tint="0.39948728904080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487289040803"/>
        <bgColor indexed="64"/>
      </patternFill>
    </fill>
    <fill>
      <patternFill patternType="solid">
        <fgColor rgb="FFE265FF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615466780602"/>
        <bgColor indexed="64"/>
      </patternFill>
    </fill>
    <fill>
      <patternFill patternType="solid">
        <fgColor theme="5" tint="0.79961546678060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584948271126"/>
        <bgColor indexed="64"/>
      </patternFill>
    </fill>
    <fill>
      <patternFill patternType="solid">
        <fgColor theme="9" tint="0.799615466780602"/>
        <bgColor indexed="64"/>
      </patternFill>
    </fill>
    <fill>
      <patternFill patternType="solid">
        <fgColor theme="0" tint="-0.14981536301767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2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24" borderId="3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25" borderId="2" applyNumberFormat="0" applyAlignment="0" applyProtection="0">
      <alignment vertical="center"/>
    </xf>
    <xf numFmtId="0" fontId="23" fillId="15" borderId="6" applyNumberFormat="0" applyAlignment="0" applyProtection="0">
      <alignment vertical="center"/>
    </xf>
    <xf numFmtId="0" fontId="7" fillId="15" borderId="2" applyNumberFormat="0" applyAlignment="0" applyProtection="0">
      <alignment vertical="center"/>
    </xf>
    <xf numFmtId="0" fontId="24" fillId="26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1" fillId="45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0" fillId="47" borderId="0" applyNumberFormat="0" applyBorder="0" applyAlignment="0" applyProtection="0">
      <alignment vertical="center"/>
    </xf>
    <xf numFmtId="0" fontId="30" fillId="48" borderId="0" applyNumberFormat="0" applyBorder="0" applyAlignment="0" applyProtection="0">
      <alignment vertical="center"/>
    </xf>
    <xf numFmtId="0" fontId="31" fillId="49" borderId="0" applyNumberFormat="0" applyBorder="0" applyAlignment="0" applyProtection="0">
      <alignment vertical="center"/>
    </xf>
    <xf numFmtId="0" fontId="31" fillId="6" borderId="0" applyNumberFormat="0" applyBorder="0" applyAlignment="0" applyProtection="0">
      <alignment vertical="center"/>
    </xf>
    <xf numFmtId="0" fontId="30" fillId="50" borderId="0" applyNumberFormat="0" applyBorder="0" applyAlignment="0" applyProtection="0">
      <alignment vertical="center"/>
    </xf>
    <xf numFmtId="0" fontId="7" fillId="15" borderId="2" applyNumberFormat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3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/>
    <xf numFmtId="0" fontId="0" fillId="0" borderId="0"/>
    <xf numFmtId="0" fontId="7" fillId="15" borderId="2" applyNumberFormat="0" applyAlignment="0" applyProtection="0">
      <alignment vertical="center"/>
    </xf>
  </cellStyleXfs>
  <cellXfs count="231">
    <xf numFmtId="0" fontId="0" fillId="0" borderId="0" xfId="0">
      <alignment vertical="center"/>
    </xf>
    <xf numFmtId="0" fontId="1" fillId="0" borderId="1" xfId="67" applyFont="1" applyFill="1" applyBorder="1" applyAlignment="1">
      <alignment horizontal="center" vertical="center"/>
    </xf>
    <xf numFmtId="0" fontId="2" fillId="2" borderId="1" xfId="67" applyFont="1" applyFill="1" applyBorder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0" fillId="0" borderId="0" xfId="0" applyFont="1">
      <alignment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49" fontId="3" fillId="0" borderId="0" xfId="0" applyNumberFormat="1" applyFont="1" applyAlignment="1">
      <alignment horizontal="center" vertical="center"/>
    </xf>
    <xf numFmtId="49" fontId="0" fillId="0" borderId="0" xfId="0" applyNumberFormat="1" applyFo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0" fontId="1" fillId="0" borderId="0" xfId="53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0" xfId="53" applyFont="1" applyFill="1" applyBorder="1" applyAlignment="1">
      <alignment horizontal="center" vertical="center"/>
    </xf>
    <xf numFmtId="0" fontId="0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/>
    <xf numFmtId="0" fontId="2" fillId="0" borderId="0" xfId="0" applyFont="1" applyAlignment="1"/>
    <xf numFmtId="0" fontId="1" fillId="0" borderId="0" xfId="0" applyFont="1" applyAlignment="1"/>
    <xf numFmtId="0" fontId="1" fillId="0" borderId="0" xfId="0" applyFo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 vertical="center"/>
    </xf>
    <xf numFmtId="0" fontId="0" fillId="2" borderId="0" xfId="0" applyFill="1">
      <alignment vertical="center"/>
    </xf>
    <xf numFmtId="0" fontId="0" fillId="2" borderId="0" xfId="0" applyFont="1" applyFill="1" applyAlignment="1">
      <alignment horizontal="center" vertical="center"/>
    </xf>
    <xf numFmtId="0" fontId="4" fillId="2" borderId="0" xfId="53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11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0" fillId="10" borderId="0" xfId="0" applyFill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12" borderId="0" xfId="0" applyFont="1" applyFill="1" applyAlignment="1">
      <alignment horizontal="left" vertical="center"/>
    </xf>
    <xf numFmtId="0" fontId="0" fillId="13" borderId="0" xfId="0" applyFill="1" applyAlignment="1">
      <alignment horizontal="left" vertical="center"/>
    </xf>
    <xf numFmtId="0" fontId="0" fillId="14" borderId="0" xfId="0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49" fontId="6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7" fillId="15" borderId="2" xfId="18" applyAlignment="1">
      <alignment horizontal="left" vertical="center"/>
    </xf>
    <xf numFmtId="49" fontId="7" fillId="15" borderId="2" xfId="18" applyNumberFormat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49" fontId="0" fillId="0" borderId="1" xfId="0" applyNumberFormat="1" applyFont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0" fillId="8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0" fillId="16" borderId="1" xfId="0" applyFill="1" applyBorder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4" fillId="16" borderId="1" xfId="0" applyFont="1" applyFill="1" applyBorder="1" applyAlignment="1">
      <alignment horizontal="left" vertical="center"/>
    </xf>
    <xf numFmtId="49" fontId="1" fillId="16" borderId="1" xfId="0" applyNumberFormat="1" applyFont="1" applyFill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horizontal="left" vertical="center"/>
    </xf>
    <xf numFmtId="49" fontId="2" fillId="16" borderId="1" xfId="0" applyNumberFormat="1" applyFont="1" applyFill="1" applyBorder="1" applyAlignment="1">
      <alignment horizontal="left" vertical="center"/>
    </xf>
    <xf numFmtId="0" fontId="8" fillId="16" borderId="1" xfId="0" applyFont="1" applyFill="1" applyBorder="1" applyAlignment="1">
      <alignment horizontal="left" vertical="center"/>
    </xf>
    <xf numFmtId="0" fontId="0" fillId="16" borderId="1" xfId="0" applyNumberFormat="1" applyFill="1" applyBorder="1" applyAlignment="1">
      <alignment horizontal="left" vertical="center"/>
    </xf>
    <xf numFmtId="0" fontId="0" fillId="16" borderId="1" xfId="0" applyFont="1" applyFill="1" applyBorder="1" applyAlignment="1">
      <alignment horizontal="left" vertical="center"/>
    </xf>
    <xf numFmtId="0" fontId="1" fillId="0" borderId="1" xfId="61" applyFont="1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1" fillId="2" borderId="1" xfId="0" applyNumberFormat="1" applyFont="1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49" fontId="2" fillId="2" borderId="1" xfId="0" applyNumberFormat="1" applyFont="1" applyFill="1" applyBorder="1" applyAlignment="1">
      <alignment horizontal="left" vertical="center"/>
    </xf>
    <xf numFmtId="0" fontId="1" fillId="0" borderId="1" xfId="53" applyFont="1" applyFill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1" fillId="17" borderId="1" xfId="0" applyFont="1" applyFill="1" applyBorder="1" applyAlignment="1">
      <alignment horizontal="left" vertical="center"/>
    </xf>
    <xf numFmtId="49" fontId="1" fillId="17" borderId="1" xfId="0" applyNumberFormat="1" applyFont="1" applyFill="1" applyBorder="1" applyAlignment="1">
      <alignment horizontal="left" vertical="center"/>
    </xf>
    <xf numFmtId="0" fontId="0" fillId="17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left" vertical="center"/>
    </xf>
    <xf numFmtId="0" fontId="9" fillId="17" borderId="1" xfId="0" applyFont="1" applyFill="1" applyBorder="1" applyAlignment="1">
      <alignment horizontal="left" vertical="center"/>
    </xf>
    <xf numFmtId="0" fontId="1" fillId="17" borderId="1" xfId="53" applyFont="1" applyFill="1" applyBorder="1" applyAlignment="1">
      <alignment horizontal="left" vertical="center"/>
    </xf>
    <xf numFmtId="49" fontId="0" fillId="17" borderId="1" xfId="0" applyNumberFormat="1" applyFill="1" applyBorder="1" applyAlignment="1">
      <alignment horizontal="left" vertical="center"/>
    </xf>
    <xf numFmtId="0" fontId="0" fillId="0" borderId="1" xfId="0" applyFont="1" applyFill="1" applyBorder="1" applyAlignment="1">
      <alignment horizontal="left" vertical="center"/>
    </xf>
    <xf numFmtId="0" fontId="9" fillId="0" borderId="1" xfId="0" applyFont="1" applyFill="1" applyBorder="1" applyAlignment="1">
      <alignment horizontal="left" vertical="center"/>
    </xf>
    <xf numFmtId="0" fontId="1" fillId="0" borderId="1" xfId="53" applyFon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2" fillId="17" borderId="1" xfId="53" applyFont="1" applyFill="1" applyBorder="1" applyAlignment="1">
      <alignment horizontal="left" vertical="center"/>
    </xf>
    <xf numFmtId="0" fontId="2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left" vertical="center"/>
    </xf>
    <xf numFmtId="49" fontId="2" fillId="17" borderId="1" xfId="0" applyNumberFormat="1" applyFont="1" applyFill="1" applyBorder="1" applyAlignment="1">
      <alignment horizontal="left" vertical="center"/>
    </xf>
    <xf numFmtId="0" fontId="5" fillId="17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11" borderId="1" xfId="61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49" fontId="1" fillId="11" borderId="1" xfId="0" applyNumberFormat="1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1" fillId="11" borderId="1" xfId="53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49" fontId="3" fillId="2" borderId="1" xfId="0" applyNumberFormat="1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0" fillId="11" borderId="1" xfId="0" applyFill="1" applyBorder="1" applyAlignment="1">
      <alignment horizontal="left" vertical="center"/>
    </xf>
    <xf numFmtId="0" fontId="1" fillId="2" borderId="1" xfId="53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49" fontId="1" fillId="9" borderId="1" xfId="0" applyNumberFormat="1" applyFont="1" applyFill="1" applyBorder="1" applyAlignment="1">
      <alignment horizontal="left" vertical="center"/>
    </xf>
    <xf numFmtId="178" fontId="1" fillId="9" borderId="1" xfId="0" applyNumberFormat="1" applyFont="1" applyFill="1" applyBorder="1" applyAlignment="1">
      <alignment horizontal="left" vertical="center"/>
    </xf>
    <xf numFmtId="49" fontId="0" fillId="9" borderId="1" xfId="0" applyNumberForma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0" fontId="1" fillId="9" borderId="1" xfId="53" applyFont="1" applyFill="1" applyBorder="1" applyAlignment="1">
      <alignment horizontal="left" vertical="center"/>
    </xf>
    <xf numFmtId="49" fontId="3" fillId="9" borderId="1" xfId="0" applyNumberFormat="1" applyFont="1" applyFill="1" applyBorder="1" applyAlignment="1">
      <alignment horizontal="left" vertical="center"/>
    </xf>
    <xf numFmtId="0" fontId="0" fillId="9" borderId="1" xfId="0" applyFont="1" applyFill="1" applyBorder="1" applyAlignment="1">
      <alignment horizontal="left" vertical="center"/>
    </xf>
    <xf numFmtId="0" fontId="4" fillId="2" borderId="0" xfId="53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4" fillId="6" borderId="0" xfId="53" applyFont="1" applyFill="1" applyBorder="1" applyAlignment="1">
      <alignment horizontal="left" vertical="center"/>
    </xf>
    <xf numFmtId="49" fontId="1" fillId="6" borderId="1" xfId="0" applyNumberFormat="1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4" fillId="10" borderId="0" xfId="53" applyFont="1" applyFill="1" applyBorder="1" applyAlignment="1">
      <alignment horizontal="left" vertical="center"/>
    </xf>
    <xf numFmtId="49" fontId="1" fillId="10" borderId="1" xfId="0" applyNumberFormat="1" applyFont="1" applyFill="1" applyBorder="1" applyAlignment="1">
      <alignment horizontal="left" vertical="center"/>
    </xf>
    <xf numFmtId="49" fontId="3" fillId="6" borderId="1" xfId="0" applyNumberFormat="1" applyFont="1" applyFill="1" applyBorder="1" applyAlignment="1">
      <alignment horizontal="left" vertical="center"/>
    </xf>
    <xf numFmtId="49" fontId="3" fillId="10" borderId="1" xfId="0" applyNumberFormat="1" applyFont="1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0" fontId="0" fillId="10" borderId="1" xfId="0" applyFill="1" applyBorder="1" applyAlignment="1">
      <alignment horizontal="left" vertical="center"/>
    </xf>
    <xf numFmtId="49" fontId="1" fillId="0" borderId="1" xfId="0" applyNumberFormat="1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1" fillId="0" borderId="1" xfId="67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0" fillId="18" borderId="0" xfId="0" applyNumberFormat="1" applyFont="1" applyFill="1" applyAlignment="1">
      <alignment horizontal="left" vertical="center"/>
    </xf>
    <xf numFmtId="0" fontId="2" fillId="2" borderId="1" xfId="67" applyFont="1" applyFill="1" applyBorder="1" applyAlignment="1">
      <alignment horizontal="left" vertical="center"/>
    </xf>
    <xf numFmtId="0" fontId="5" fillId="2" borderId="0" xfId="0" applyNumberFormat="1" applyFont="1" applyFill="1" applyAlignment="1">
      <alignment horizontal="left" vertical="center"/>
    </xf>
    <xf numFmtId="0" fontId="5" fillId="12" borderId="0" xfId="0" applyNumberFormat="1" applyFont="1" applyFill="1" applyAlignment="1">
      <alignment horizontal="left" vertical="center"/>
    </xf>
    <xf numFmtId="0" fontId="2" fillId="12" borderId="1" xfId="67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left" vertical="center"/>
    </xf>
    <xf numFmtId="49" fontId="2" fillId="12" borderId="1" xfId="0" applyNumberFormat="1" applyFont="1" applyFill="1" applyBorder="1" applyAlignment="1">
      <alignment horizontal="left" vertical="center"/>
    </xf>
    <xf numFmtId="0" fontId="2" fillId="0" borderId="1" xfId="53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center"/>
    </xf>
    <xf numFmtId="49" fontId="2" fillId="0" borderId="1" xfId="0" applyNumberFormat="1" applyFont="1" applyFill="1" applyBorder="1" applyAlignment="1">
      <alignment horizontal="left" vertical="center"/>
    </xf>
    <xf numFmtId="49" fontId="0" fillId="2" borderId="1" xfId="0" applyNumberForma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49" fontId="5" fillId="2" borderId="1" xfId="0" applyNumberFormat="1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49" fontId="5" fillId="12" borderId="1" xfId="0" applyNumberFormat="1" applyFont="1" applyFill="1" applyBorder="1" applyAlignment="1">
      <alignment horizontal="left" vertical="center"/>
    </xf>
    <xf numFmtId="0" fontId="0" fillId="0" borderId="1" xfId="53" applyFont="1" applyBorder="1" applyAlignment="1">
      <alignment horizontal="left" vertical="center"/>
    </xf>
    <xf numFmtId="49" fontId="1" fillId="0" borderId="1" xfId="53" applyNumberFormat="1" applyFont="1" applyBorder="1" applyAlignment="1">
      <alignment horizontal="left" vertical="center"/>
    </xf>
    <xf numFmtId="0" fontId="0" fillId="2" borderId="1" xfId="0" applyFont="1" applyFill="1" applyBorder="1" applyAlignment="1">
      <alignment horizontal="left" vertical="center"/>
    </xf>
    <xf numFmtId="20" fontId="4" fillId="2" borderId="1" xfId="0" applyNumberFormat="1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0" fontId="0" fillId="19" borderId="0" xfId="0" applyFont="1" applyFill="1" applyAlignment="1">
      <alignment horizontal="left" vertical="center"/>
    </xf>
    <xf numFmtId="20" fontId="4" fillId="11" borderId="1" xfId="0" applyNumberFormat="1" applyFont="1" applyFill="1" applyBorder="1" applyAlignment="1">
      <alignment horizontal="left" vertical="center"/>
    </xf>
    <xf numFmtId="49" fontId="4" fillId="11" borderId="1" xfId="0" applyNumberFormat="1" applyFont="1" applyFill="1" applyBorder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0" fillId="13" borderId="0" xfId="0" applyFont="1" applyFill="1" applyAlignment="1">
      <alignment horizontal="left" vertical="center"/>
    </xf>
    <xf numFmtId="0" fontId="0" fillId="13" borderId="1" xfId="0" applyFill="1" applyBorder="1" applyAlignment="1">
      <alignment horizontal="left" vertical="center"/>
    </xf>
    <xf numFmtId="20" fontId="4" fillId="13" borderId="1" xfId="0" applyNumberFormat="1" applyFont="1" applyFill="1" applyBorder="1" applyAlignment="1">
      <alignment horizontal="left" vertical="center"/>
    </xf>
    <xf numFmtId="49" fontId="4" fillId="13" borderId="1" xfId="0" applyNumberFormat="1" applyFont="1" applyFill="1" applyBorder="1" applyAlignment="1">
      <alignment horizontal="left" vertical="center"/>
    </xf>
    <xf numFmtId="0" fontId="0" fillId="20" borderId="0" xfId="0" applyFont="1" applyFill="1" applyAlignment="1">
      <alignment horizontal="left" vertical="center"/>
    </xf>
    <xf numFmtId="20" fontId="2" fillId="2" borderId="1" xfId="0" applyNumberFormat="1" applyFont="1" applyFill="1" applyBorder="1" applyAlignment="1">
      <alignment horizontal="left" vertical="center"/>
    </xf>
    <xf numFmtId="0" fontId="0" fillId="21" borderId="0" xfId="0" applyFont="1" applyFill="1" applyAlignment="1">
      <alignment horizontal="left" vertical="center"/>
    </xf>
    <xf numFmtId="49" fontId="0" fillId="11" borderId="1" xfId="0" applyNumberFormat="1" applyFill="1" applyBorder="1" applyAlignment="1">
      <alignment horizontal="left" vertical="center"/>
    </xf>
    <xf numFmtId="49" fontId="0" fillId="13" borderId="1" xfId="0" applyNumberFormat="1" applyFill="1" applyBorder="1" applyAlignment="1">
      <alignment horizontal="left" vertical="center"/>
    </xf>
    <xf numFmtId="0" fontId="1" fillId="22" borderId="1" xfId="0" applyFont="1" applyFill="1" applyBorder="1" applyAlignment="1">
      <alignment horizontal="left" vertical="center"/>
    </xf>
    <xf numFmtId="49" fontId="0" fillId="22" borderId="1" xfId="0" applyNumberFormat="1" applyFill="1" applyBorder="1" applyAlignment="1">
      <alignment horizontal="left" vertical="center"/>
    </xf>
    <xf numFmtId="0" fontId="0" fillId="22" borderId="1" xfId="0" applyFill="1" applyBorder="1" applyAlignment="1">
      <alignment horizontal="left" vertical="center"/>
    </xf>
    <xf numFmtId="49" fontId="0" fillId="22" borderId="1" xfId="0" applyNumberFormat="1" applyFont="1" applyFill="1" applyBorder="1" applyAlignment="1">
      <alignment horizontal="left" vertical="center"/>
    </xf>
    <xf numFmtId="0" fontId="0" fillId="0" borderId="1" xfId="0" applyFont="1" applyBorder="1" applyAlignment="1">
      <alignment horizontal="left" vertical="center"/>
    </xf>
    <xf numFmtId="0" fontId="0" fillId="14" borderId="1" xfId="0" applyFill="1" applyBorder="1" applyAlignment="1">
      <alignment horizontal="left" vertical="center"/>
    </xf>
    <xf numFmtId="0" fontId="0" fillId="14" borderId="1" xfId="0" applyFont="1" applyFill="1" applyBorder="1" applyAlignment="1">
      <alignment horizontal="left" vertical="center"/>
    </xf>
    <xf numFmtId="49" fontId="0" fillId="14" borderId="1" xfId="0" applyNumberFormat="1" applyFont="1" applyFill="1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/>
    </xf>
    <xf numFmtId="49" fontId="11" fillId="0" borderId="0" xfId="0" applyNumberFormat="1" applyFont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11" borderId="0" xfId="0" applyFont="1" applyFill="1" applyAlignment="1">
      <alignment horizontal="left" vertical="center"/>
    </xf>
    <xf numFmtId="0" fontId="0" fillId="11" borderId="1" xfId="0" applyFont="1" applyFill="1" applyBorder="1" applyAlignment="1">
      <alignment horizontal="left" vertical="center"/>
    </xf>
    <xf numFmtId="49" fontId="6" fillId="11" borderId="0" xfId="0" applyNumberFormat="1" applyFont="1" applyFill="1" applyAlignment="1">
      <alignment horizontal="left" vertical="center"/>
    </xf>
    <xf numFmtId="20" fontId="0" fillId="11" borderId="1" xfId="0" applyNumberFormat="1" applyFont="1" applyFill="1" applyBorder="1" applyAlignment="1">
      <alignment horizontal="left" vertical="center"/>
    </xf>
    <xf numFmtId="49" fontId="0" fillId="11" borderId="0" xfId="0" applyNumberFormat="1" applyFont="1" applyFill="1" applyAlignment="1">
      <alignment horizontal="left" vertical="center"/>
    </xf>
    <xf numFmtId="0" fontId="0" fillId="2" borderId="0" xfId="0" applyFont="1" applyFill="1" applyAlignment="1">
      <alignment horizontal="left" vertical="center"/>
    </xf>
    <xf numFmtId="49" fontId="6" fillId="2" borderId="0" xfId="0" applyNumberFormat="1" applyFont="1" applyFill="1" applyAlignment="1">
      <alignment horizontal="left" vertical="center"/>
    </xf>
    <xf numFmtId="0" fontId="0" fillId="0" borderId="0" xfId="0" applyAlignment="1">
      <alignment horizontal="left"/>
    </xf>
    <xf numFmtId="49" fontId="0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0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49" fontId="6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horizontal="left"/>
    </xf>
    <xf numFmtId="49" fontId="0" fillId="0" borderId="0" xfId="0" applyNumberFormat="1" applyFont="1" applyFill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2" fillId="0" borderId="0" xfId="53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left" vertical="center"/>
    </xf>
    <xf numFmtId="0" fontId="0" fillId="23" borderId="1" xfId="0" applyFont="1" applyFill="1" applyBorder="1" applyAlignment="1">
      <alignment horizontal="left"/>
    </xf>
    <xf numFmtId="0" fontId="0" fillId="23" borderId="1" xfId="0" applyFont="1" applyFill="1" applyBorder="1" applyAlignment="1">
      <alignment horizontal="left" vertical="center"/>
    </xf>
    <xf numFmtId="0" fontId="4" fillId="23" borderId="1" xfId="0" applyFont="1" applyFill="1" applyBorder="1" applyAlignment="1">
      <alignment horizontal="left" vertical="center"/>
    </xf>
    <xf numFmtId="49" fontId="6" fillId="23" borderId="1" xfId="0" applyNumberFormat="1" applyFont="1" applyFill="1" applyBorder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49" fontId="1" fillId="23" borderId="1" xfId="0" applyNumberFormat="1" applyFont="1" applyFill="1" applyBorder="1" applyAlignment="1">
      <alignment horizontal="left" vertical="center"/>
    </xf>
    <xf numFmtId="0" fontId="4" fillId="0" borderId="0" xfId="53" applyFont="1" applyFill="1" applyBorder="1" applyAlignment="1">
      <alignment horizontal="left" vertical="center"/>
    </xf>
    <xf numFmtId="0" fontId="7" fillId="15" borderId="2" xfId="18">
      <alignment vertical="center"/>
    </xf>
    <xf numFmtId="0" fontId="7" fillId="15" borderId="2" xfId="18" applyNumberFormat="1" applyAlignment="1">
      <alignment horizontal="center" vertical="center"/>
    </xf>
    <xf numFmtId="0" fontId="12" fillId="15" borderId="2" xfId="18" applyNumberFormat="1" applyFont="1" applyAlignment="1">
      <alignment horizontal="center" vertical="center"/>
    </xf>
    <xf numFmtId="49" fontId="7" fillId="15" borderId="2" xfId="18" applyNumberFormat="1" applyAlignment="1">
      <alignment horizontal="center" vertical="center"/>
    </xf>
    <xf numFmtId="0" fontId="3" fillId="2" borderId="0" xfId="0" applyNumberFormat="1" applyFont="1" applyFill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35" fontId="3" fillId="0" borderId="0" xfId="0" applyNumberFormat="1" applyFont="1" applyAlignment="1">
      <alignment horizontal="center" vertical="center"/>
    </xf>
  </cellXfs>
  <cellStyles count="7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alculation 2" xfId="49"/>
    <cellStyle name="Normal 2" xfId="50"/>
    <cellStyle name="Normal 3" xfId="51"/>
    <cellStyle name="常规 10" xfId="52"/>
    <cellStyle name="常规 2" xfId="53"/>
    <cellStyle name="常规 2 2" xfId="54"/>
    <cellStyle name="常规 3" xfId="55"/>
    <cellStyle name="常规 3 2" xfId="56"/>
    <cellStyle name="常规 4" xfId="57"/>
    <cellStyle name="常规 4 2" xfId="58"/>
    <cellStyle name="常规 4 2 2" xfId="59"/>
    <cellStyle name="常规 4 3" xfId="60"/>
    <cellStyle name="常规 5" xfId="61"/>
    <cellStyle name="常规 5 2" xfId="62"/>
    <cellStyle name="常规 5 2 2" xfId="63"/>
    <cellStyle name="常规 5 3" xfId="64"/>
    <cellStyle name="常规 6" xfId="65"/>
    <cellStyle name="常规 6 2" xfId="66"/>
    <cellStyle name="常规 7" xfId="67"/>
    <cellStyle name="常规 7 2" xfId="68"/>
    <cellStyle name="常规 8" xfId="69"/>
    <cellStyle name="常规 8 2" xfId="70"/>
    <cellStyle name="计算 2" xfId="71"/>
  </cellStyles>
  <dxfs count="4"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/>
  <colors>
    <mruColors>
      <color rgb="00FFFF00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haredStrings" Target="sharedStrings.xml"/><Relationship Id="rId13" Type="http://schemas.openxmlformats.org/officeDocument/2006/relationships/styles" Target="styles.xml"/><Relationship Id="rId12" Type="http://schemas.openxmlformats.org/officeDocument/2006/relationships/theme" Target="theme/theme1.xml"/><Relationship Id="rId11" Type="http://schemas.openxmlformats.org/officeDocument/2006/relationships/externalLink" Target="externalLinks/externalLink3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&#26032;&#24314;&#25991;&#20214;&#22841;\&#31574;&#21010;\&#25968;&#25454;&#34920;\&#29289;&#21697;&#34920;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&#26032;&#24314;&#25991;&#20214;&#22841;\&#31574;&#21010;\&#25968;&#25454;&#34920;\&#33521;&#38596;&#21484;&#21796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&#23553;&#31070;\&#31574;&#21010;\&#25968;&#25454;&#34920;\&#29289;&#21697;&#34920;.xlsm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基础物品"/>
      <sheetName val="资源数值"/>
      <sheetName val="掉落配置"/>
      <sheetName val="礼包"/>
      <sheetName val="碎片"/>
      <sheetName val="碎片合成"/>
      <sheetName val="获取途径"/>
      <sheetName val="使用途径"/>
      <sheetName val="头像框激活道具"/>
      <sheetName val="称号激活道具"/>
      <sheetName val="Sheet（行为ID）"/>
      <sheetName val="Sheet（备注说明）"/>
      <sheetName val="Sheet（资源改名）"/>
      <sheetName val="Sheet1"/>
    </sheetNames>
    <sheetDataSet>
      <sheetData sheetId="0"/>
      <sheetData sheetId="1"/>
      <sheetData sheetId="2"/>
      <sheetData sheetId="3"/>
      <sheetData sheetId="4">
        <row r="1">
          <cell r="A1" t="str">
            <v>碎片ID</v>
          </cell>
          <cell r="B1" t="str">
            <v>名称</v>
          </cell>
        </row>
        <row r="2">
          <cell r="A2">
            <v>601001</v>
          </cell>
          <cell r="B2" t="str">
            <v>方术士</v>
          </cell>
        </row>
        <row r="3">
          <cell r="A3">
            <v>601002</v>
          </cell>
          <cell r="B3" t="str">
            <v>医师</v>
          </cell>
        </row>
        <row r="4">
          <cell r="A4">
            <v>601003</v>
          </cell>
          <cell r="B4" t="str">
            <v>长弓手</v>
          </cell>
        </row>
        <row r="5">
          <cell r="A5">
            <v>601004</v>
          </cell>
          <cell r="B5" t="str">
            <v>金吾卫</v>
          </cell>
        </row>
        <row r="6">
          <cell r="A6">
            <v>601005</v>
          </cell>
          <cell r="B6" t="str">
            <v>虎豹骑</v>
          </cell>
        </row>
        <row r="7">
          <cell r="A7">
            <v>601006</v>
          </cell>
          <cell r="B7" t="str">
            <v>殿前禁卫</v>
          </cell>
        </row>
        <row r="8">
          <cell r="A8">
            <v>601007</v>
          </cell>
          <cell r="B8" t="str">
            <v>燕赤侠</v>
          </cell>
        </row>
        <row r="9">
          <cell r="A9">
            <v>601008</v>
          </cell>
          <cell r="B9" t="str">
            <v>木吒</v>
          </cell>
        </row>
        <row r="10">
          <cell r="A10">
            <v>601009</v>
          </cell>
          <cell r="B10" t="str">
            <v>黄飞虎</v>
          </cell>
        </row>
        <row r="11">
          <cell r="A11">
            <v>601010</v>
          </cell>
          <cell r="B11" t="str">
            <v>金吒</v>
          </cell>
        </row>
        <row r="12">
          <cell r="A12">
            <v>601011</v>
          </cell>
          <cell r="B12" t="str">
            <v>采臣</v>
          </cell>
        </row>
        <row r="13">
          <cell r="A13">
            <v>601012</v>
          </cell>
          <cell r="B13" t="str">
            <v>纣王</v>
          </cell>
        </row>
        <row r="14">
          <cell r="A14">
            <v>601013</v>
          </cell>
          <cell r="B14" t="str">
            <v>申公豹</v>
          </cell>
        </row>
        <row r="15">
          <cell r="A15">
            <v>601014</v>
          </cell>
          <cell r="B15" t="str">
            <v>李靖</v>
          </cell>
        </row>
        <row r="16">
          <cell r="A16">
            <v>601015</v>
          </cell>
          <cell r="B16" t="str">
            <v>邓婵玉</v>
          </cell>
        </row>
        <row r="17">
          <cell r="A17">
            <v>601016</v>
          </cell>
          <cell r="B17" t="str">
            <v>嫦娥</v>
          </cell>
        </row>
        <row r="18">
          <cell r="A18">
            <v>601017</v>
          </cell>
          <cell r="B18" t="str">
            <v>后羿</v>
          </cell>
        </row>
        <row r="19">
          <cell r="A19">
            <v>601018</v>
          </cell>
          <cell r="B19" t="str">
            <v>姬发</v>
          </cell>
        </row>
        <row r="20">
          <cell r="A20">
            <v>601019</v>
          </cell>
          <cell r="B20" t="str">
            <v>杨戬</v>
          </cell>
        </row>
        <row r="21">
          <cell r="A21">
            <v>601020</v>
          </cell>
          <cell r="B21" t="str">
            <v>哪吒</v>
          </cell>
        </row>
        <row r="22">
          <cell r="A22">
            <v>601021</v>
          </cell>
          <cell r="B22" t="str">
            <v>姜子牙</v>
          </cell>
        </row>
        <row r="23">
          <cell r="A23">
            <v>601022</v>
          </cell>
          <cell r="B23" t="str">
            <v>雷震子</v>
          </cell>
        </row>
        <row r="24">
          <cell r="A24">
            <v>602001</v>
          </cell>
          <cell r="B24" t="str">
            <v>仙童</v>
          </cell>
        </row>
        <row r="25">
          <cell r="A25">
            <v>602002</v>
          </cell>
          <cell r="B25" t="str">
            <v>日游神</v>
          </cell>
        </row>
        <row r="26">
          <cell r="A26">
            <v>602003</v>
          </cell>
          <cell r="B26" t="str">
            <v>夜游神</v>
          </cell>
        </row>
        <row r="27">
          <cell r="A27">
            <v>602004</v>
          </cell>
          <cell r="B27" t="str">
            <v>金童</v>
          </cell>
        </row>
        <row r="28">
          <cell r="A28">
            <v>602005</v>
          </cell>
          <cell r="B28" t="str">
            <v>玉女</v>
          </cell>
        </row>
        <row r="29">
          <cell r="A29">
            <v>602006</v>
          </cell>
          <cell r="B29" t="str">
            <v>青宵</v>
          </cell>
        </row>
        <row r="30">
          <cell r="A30">
            <v>602007</v>
          </cell>
          <cell r="B30" t="str">
            <v>龙吉公主</v>
          </cell>
        </row>
        <row r="31">
          <cell r="A31">
            <v>602008</v>
          </cell>
          <cell r="B31" t="str">
            <v>白龙</v>
          </cell>
        </row>
        <row r="32">
          <cell r="A32">
            <v>602009</v>
          </cell>
          <cell r="B32" t="str">
            <v>太白金星</v>
          </cell>
        </row>
        <row r="33">
          <cell r="A33">
            <v>602010</v>
          </cell>
          <cell r="B33" t="str">
            <v>月老</v>
          </cell>
        </row>
        <row r="34">
          <cell r="A34">
            <v>602011</v>
          </cell>
          <cell r="B34" t="str">
            <v>织女</v>
          </cell>
        </row>
        <row r="35">
          <cell r="A35">
            <v>602012</v>
          </cell>
          <cell r="B35" t="str">
            <v>河伯</v>
          </cell>
        </row>
        <row r="36">
          <cell r="A36">
            <v>602013</v>
          </cell>
          <cell r="B36" t="str">
            <v>雨师</v>
          </cell>
        </row>
        <row r="37">
          <cell r="A37">
            <v>602014</v>
          </cell>
          <cell r="B37" t="str">
            <v>天蓬元帅</v>
          </cell>
        </row>
        <row r="38">
          <cell r="A38">
            <v>602015</v>
          </cell>
          <cell r="B38" t="str">
            <v>卷帘大将</v>
          </cell>
        </row>
        <row r="39">
          <cell r="A39">
            <v>602016</v>
          </cell>
          <cell r="B39" t="str">
            <v>南极仙子</v>
          </cell>
        </row>
        <row r="40">
          <cell r="A40">
            <v>602017</v>
          </cell>
          <cell r="B40" t="str">
            <v>财神</v>
          </cell>
        </row>
        <row r="41">
          <cell r="A41">
            <v>602018</v>
          </cell>
          <cell r="B41" t="str">
            <v>斗战胜佛</v>
          </cell>
        </row>
        <row r="42">
          <cell r="A42">
            <v>602019</v>
          </cell>
          <cell r="B42" t="str">
            <v>太乙真人</v>
          </cell>
        </row>
        <row r="43">
          <cell r="A43">
            <v>602020</v>
          </cell>
          <cell r="B43" t="str">
            <v>通天教主</v>
          </cell>
        </row>
        <row r="44">
          <cell r="A44">
            <v>602021</v>
          </cell>
          <cell r="B44" t="str">
            <v>元始天尊</v>
          </cell>
        </row>
        <row r="45">
          <cell r="A45">
            <v>602022</v>
          </cell>
          <cell r="B45" t="str">
            <v>云中子</v>
          </cell>
        </row>
        <row r="46">
          <cell r="A46">
            <v>602023</v>
          </cell>
          <cell r="B46" t="str">
            <v>九天玄女</v>
          </cell>
        </row>
        <row r="47">
          <cell r="A47">
            <v>603001</v>
          </cell>
          <cell r="B47" t="str">
            <v>将臣</v>
          </cell>
        </row>
        <row r="48">
          <cell r="A48">
            <v>603002</v>
          </cell>
          <cell r="B48" t="str">
            <v>幽灵</v>
          </cell>
        </row>
        <row r="49">
          <cell r="A49">
            <v>603003</v>
          </cell>
          <cell r="B49" t="str">
            <v>花妖</v>
          </cell>
        </row>
        <row r="50">
          <cell r="A50">
            <v>603004</v>
          </cell>
          <cell r="B50" t="str">
            <v>黑风</v>
          </cell>
        </row>
        <row r="51">
          <cell r="A51">
            <v>603005</v>
          </cell>
          <cell r="B51" t="str">
            <v>山鬼</v>
          </cell>
        </row>
        <row r="52">
          <cell r="A52">
            <v>603006</v>
          </cell>
          <cell r="B52" t="str">
            <v>霸波尔奔</v>
          </cell>
        </row>
        <row r="53">
          <cell r="A53">
            <v>603007</v>
          </cell>
          <cell r="B53" t="str">
            <v>玉兔</v>
          </cell>
        </row>
        <row r="54">
          <cell r="A54">
            <v>603008</v>
          </cell>
          <cell r="B54" t="str">
            <v>奔波儿灞</v>
          </cell>
        </row>
        <row r="55">
          <cell r="A55">
            <v>603009</v>
          </cell>
          <cell r="B55" t="str">
            <v>金角大王</v>
          </cell>
        </row>
        <row r="56">
          <cell r="A56">
            <v>603010</v>
          </cell>
          <cell r="B56" t="str">
            <v>鬼将</v>
          </cell>
        </row>
        <row r="57">
          <cell r="A57">
            <v>603011</v>
          </cell>
          <cell r="B57" t="str">
            <v>银角大王</v>
          </cell>
        </row>
        <row r="58">
          <cell r="A58">
            <v>603012</v>
          </cell>
          <cell r="B58" t="str">
            <v>盘丝</v>
          </cell>
        </row>
        <row r="59">
          <cell r="A59">
            <v>603013</v>
          </cell>
          <cell r="B59" t="str">
            <v>夜叉</v>
          </cell>
        </row>
        <row r="60">
          <cell r="A60">
            <v>603014</v>
          </cell>
          <cell r="B60" t="str">
            <v>红孩儿</v>
          </cell>
        </row>
        <row r="61">
          <cell r="A61">
            <v>603015</v>
          </cell>
          <cell r="B61" t="str">
            <v>石矶</v>
          </cell>
        </row>
        <row r="62">
          <cell r="A62">
            <v>603016</v>
          </cell>
          <cell r="B62" t="str">
            <v>浑天大圣</v>
          </cell>
        </row>
        <row r="63">
          <cell r="A63">
            <v>603017</v>
          </cell>
          <cell r="B63" t="str">
            <v>牛魔王</v>
          </cell>
        </row>
        <row r="64">
          <cell r="A64">
            <v>603018</v>
          </cell>
          <cell r="B64" t="str">
            <v>擎苍</v>
          </cell>
        </row>
        <row r="65">
          <cell r="A65">
            <v>603019</v>
          </cell>
          <cell r="B65" t="str">
            <v>金乌</v>
          </cell>
        </row>
        <row r="66">
          <cell r="A66">
            <v>603020</v>
          </cell>
          <cell r="B66" t="str">
            <v>敖丙</v>
          </cell>
        </row>
        <row r="67">
          <cell r="A67">
            <v>603021</v>
          </cell>
          <cell r="B67" t="str">
            <v>白骨夫人</v>
          </cell>
        </row>
        <row r="68">
          <cell r="A68">
            <v>603022</v>
          </cell>
          <cell r="B68" t="str">
            <v>妲己</v>
          </cell>
        </row>
        <row r="69">
          <cell r="A69">
            <v>604001</v>
          </cell>
          <cell r="B69" t="str">
            <v>精卫</v>
          </cell>
        </row>
        <row r="70">
          <cell r="A70">
            <v>604002</v>
          </cell>
          <cell r="B70" t="str">
            <v>瑶姬</v>
          </cell>
        </row>
        <row r="71">
          <cell r="A71">
            <v>604003</v>
          </cell>
          <cell r="B71" t="str">
            <v>女魃</v>
          </cell>
        </row>
        <row r="72">
          <cell r="A72">
            <v>604004</v>
          </cell>
          <cell r="B72" t="str">
            <v>监兵</v>
          </cell>
        </row>
        <row r="73">
          <cell r="A73">
            <v>604005</v>
          </cell>
          <cell r="B73" t="str">
            <v>洛神</v>
          </cell>
        </row>
        <row r="74">
          <cell r="A74">
            <v>604006</v>
          </cell>
          <cell r="B74" t="str">
            <v>盘古</v>
          </cell>
        </row>
        <row r="75">
          <cell r="A75">
            <v>604007</v>
          </cell>
          <cell r="B75" t="str">
            <v>神农</v>
          </cell>
        </row>
        <row r="76">
          <cell r="A76">
            <v>604008</v>
          </cell>
          <cell r="B76" t="str">
            <v>女娲</v>
          </cell>
        </row>
        <row r="77">
          <cell r="A77">
            <v>604009</v>
          </cell>
          <cell r="B77" t="str">
            <v>鲲</v>
          </cell>
        </row>
        <row r="78">
          <cell r="A78">
            <v>604010</v>
          </cell>
          <cell r="B78" t="str">
            <v>玉帝</v>
          </cell>
        </row>
        <row r="79">
          <cell r="A79">
            <v>604011</v>
          </cell>
          <cell r="B79" t="str">
            <v>雷泽</v>
          </cell>
        </row>
        <row r="80">
          <cell r="A80">
            <v>604012</v>
          </cell>
          <cell r="B80" t="str">
            <v>共工</v>
          </cell>
        </row>
        <row r="81">
          <cell r="A81">
            <v>604013</v>
          </cell>
          <cell r="B81" t="str">
            <v>祝融</v>
          </cell>
        </row>
        <row r="82">
          <cell r="A82">
            <v>605001</v>
          </cell>
          <cell r="B82" t="str">
            <v>鲛姬</v>
          </cell>
        </row>
        <row r="83">
          <cell r="A83">
            <v>605002</v>
          </cell>
          <cell r="B83" t="str">
            <v>贪狼</v>
          </cell>
        </row>
        <row r="84">
          <cell r="A84">
            <v>605003</v>
          </cell>
          <cell r="B84" t="str">
            <v>破军</v>
          </cell>
        </row>
        <row r="85">
          <cell r="A85">
            <v>605004</v>
          </cell>
          <cell r="B85" t="str">
            <v>黑无常</v>
          </cell>
        </row>
        <row r="86">
          <cell r="A86">
            <v>605005</v>
          </cell>
          <cell r="B86" t="str">
            <v>白无常</v>
          </cell>
        </row>
        <row r="87">
          <cell r="A87">
            <v>605006</v>
          </cell>
          <cell r="B87" t="str">
            <v>蚩尤</v>
          </cell>
        </row>
        <row r="88">
          <cell r="A88">
            <v>605007</v>
          </cell>
          <cell r="B88" t="str">
            <v>孟婆</v>
          </cell>
        </row>
        <row r="89">
          <cell r="A89">
            <v>605008</v>
          </cell>
          <cell r="B89" t="str">
            <v>刑天</v>
          </cell>
        </row>
        <row r="90">
          <cell r="A90">
            <v>605009</v>
          </cell>
          <cell r="B90" t="str">
            <v>魔·悟空</v>
          </cell>
        </row>
        <row r="91">
          <cell r="A91">
            <v>605010</v>
          </cell>
          <cell r="B91" t="str">
            <v>黄泉</v>
          </cell>
        </row>
        <row r="92">
          <cell r="A92">
            <v>605011</v>
          </cell>
          <cell r="B92" t="str">
            <v>阎君</v>
          </cell>
        </row>
        <row r="93">
          <cell r="A93">
            <v>605012</v>
          </cell>
          <cell r="B93" t="str">
            <v>东皇太一</v>
          </cell>
        </row>
        <row r="94">
          <cell r="A94">
            <v>606001</v>
          </cell>
          <cell r="B94" t="str">
            <v>4星随机碎片</v>
          </cell>
        </row>
        <row r="95">
          <cell r="A95">
            <v>606002</v>
          </cell>
          <cell r="B95" t="str">
            <v>5星随机碎片</v>
          </cell>
        </row>
        <row r="96">
          <cell r="A96">
            <v>606003</v>
          </cell>
          <cell r="B96" t="str">
            <v>4星人族碎片</v>
          </cell>
        </row>
        <row r="97">
          <cell r="A97">
            <v>606004</v>
          </cell>
          <cell r="B97" t="str">
            <v>4星仙族碎片</v>
          </cell>
        </row>
        <row r="98">
          <cell r="A98">
            <v>606005</v>
          </cell>
          <cell r="B98" t="str">
            <v>4星妖族碎片</v>
          </cell>
        </row>
        <row r="99">
          <cell r="A99">
            <v>606006</v>
          </cell>
          <cell r="B99" t="str">
            <v>4星神族碎片</v>
          </cell>
        </row>
        <row r="100">
          <cell r="A100">
            <v>606007</v>
          </cell>
          <cell r="B100" t="str">
            <v>4星魔族碎片</v>
          </cell>
        </row>
        <row r="101">
          <cell r="A101">
            <v>606008</v>
          </cell>
          <cell r="B101" t="str">
            <v>5星人族碎片</v>
          </cell>
        </row>
        <row r="102">
          <cell r="A102">
            <v>606009</v>
          </cell>
          <cell r="B102" t="str">
            <v>5星仙族碎片</v>
          </cell>
        </row>
        <row r="103">
          <cell r="A103">
            <v>606010</v>
          </cell>
          <cell r="B103" t="str">
            <v>5星妖族碎片</v>
          </cell>
        </row>
        <row r="104">
          <cell r="A104">
            <v>606011</v>
          </cell>
          <cell r="B104" t="str">
            <v>5星神族碎片</v>
          </cell>
        </row>
        <row r="105">
          <cell r="A105">
            <v>606012</v>
          </cell>
          <cell r="B105" t="str">
            <v>5星魔族碎片</v>
          </cell>
        </row>
        <row r="106">
          <cell r="A106">
            <v>606013</v>
          </cell>
          <cell r="B106" t="str">
            <v>3星随机碎片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英雄召唤"/>
      <sheetName val="英雄召唤星组"/>
      <sheetName val="Sheet(基础召唤概率)"/>
      <sheetName val="Sheet(友情召唤概率)"/>
      <sheetName val="Sheet(高级召唤概率)"/>
      <sheetName val="Sheet(积分召唤概率)"/>
    </sheetNames>
    <sheetDataSet>
      <sheetData sheetId="0"/>
      <sheetData sheetId="1">
        <row r="1">
          <cell r="F1" t="str">
            <v>名字</v>
          </cell>
          <cell r="G1" t="str">
            <v>星级</v>
          </cell>
          <cell r="H1" t="str">
            <v>闪烁之光角色</v>
          </cell>
        </row>
        <row r="2">
          <cell r="F2" t="str">
            <v>仙童</v>
          </cell>
          <cell r="G2">
            <v>1</v>
          </cell>
          <cell r="H2" t="str">
            <v>莉莉丝</v>
          </cell>
        </row>
        <row r="3">
          <cell r="F3" t="str">
            <v>方术士</v>
          </cell>
          <cell r="G3">
            <v>1</v>
          </cell>
          <cell r="H3" t="str">
            <v>树精灵</v>
          </cell>
        </row>
        <row r="4">
          <cell r="F4" t="str">
            <v>将臣</v>
          </cell>
          <cell r="G4">
            <v>1</v>
          </cell>
          <cell r="H4" t="str">
            <v>地狱犬</v>
          </cell>
        </row>
        <row r="5">
          <cell r="F5" t="str">
            <v>日游神</v>
          </cell>
          <cell r="G5">
            <v>2</v>
          </cell>
          <cell r="H5" t="str">
            <v>兽族步兵</v>
          </cell>
        </row>
        <row r="6">
          <cell r="F6" t="str">
            <v>花妖</v>
          </cell>
          <cell r="G6">
            <v>2</v>
          </cell>
          <cell r="H6" t="str">
            <v>死灵巫师</v>
          </cell>
        </row>
        <row r="7">
          <cell r="F7" t="str">
            <v>长弓手</v>
          </cell>
          <cell r="G7">
            <v>2</v>
          </cell>
          <cell r="H7" t="str">
            <v>精灵射手</v>
          </cell>
        </row>
        <row r="8">
          <cell r="F8" t="str">
            <v>玉兔</v>
          </cell>
          <cell r="G8">
            <v>3</v>
          </cell>
          <cell r="H8" t="str">
            <v>地狱火</v>
          </cell>
        </row>
        <row r="9">
          <cell r="F9" t="str">
            <v>白龙</v>
          </cell>
          <cell r="G9">
            <v>3</v>
          </cell>
          <cell r="H9" t="str">
            <v>美狄亚</v>
          </cell>
        </row>
        <row r="10">
          <cell r="F10" t="str">
            <v>殿前禁卫</v>
          </cell>
          <cell r="G10">
            <v>3</v>
          </cell>
          <cell r="H10" t="str">
            <v>树界守卫</v>
          </cell>
        </row>
        <row r="11">
          <cell r="F11" t="str">
            <v>黑风</v>
          </cell>
          <cell r="G11">
            <v>3</v>
          </cell>
          <cell r="H11" t="str">
            <v>末日守卫</v>
          </cell>
        </row>
        <row r="12">
          <cell r="F12" t="str">
            <v>木吒</v>
          </cell>
          <cell r="G12">
            <v>3</v>
          </cell>
          <cell r="H12" t="str">
            <v>风暴猎手</v>
          </cell>
        </row>
        <row r="13">
          <cell r="F13" t="str">
            <v>鲛姬</v>
          </cell>
          <cell r="G13">
            <v>3</v>
          </cell>
          <cell r="H13" t="str">
            <v>巨魔巫医</v>
          </cell>
        </row>
        <row r="14">
          <cell r="F14" t="str">
            <v>精卫</v>
          </cell>
          <cell r="G14">
            <v>3</v>
          </cell>
          <cell r="H14" t="str">
            <v>光之苏尔</v>
          </cell>
        </row>
        <row r="15">
          <cell r="F15" t="str">
            <v>黄飞虎</v>
          </cell>
          <cell r="G15">
            <v>4</v>
          </cell>
          <cell r="H15" t="str">
            <v>圣锤提尔</v>
          </cell>
        </row>
        <row r="16">
          <cell r="F16" t="str">
            <v>申公豹</v>
          </cell>
          <cell r="G16">
            <v>4</v>
          </cell>
          <cell r="H16" t="str">
            <v>甘道夫</v>
          </cell>
        </row>
        <row r="17">
          <cell r="F17" t="str">
            <v>黑无常</v>
          </cell>
          <cell r="G17">
            <v>4</v>
          </cell>
          <cell r="H17" t="str">
            <v>毒咒女巫</v>
          </cell>
        </row>
        <row r="18">
          <cell r="F18" t="str">
            <v>白无常</v>
          </cell>
          <cell r="G18">
            <v>4</v>
          </cell>
          <cell r="H18" t="str">
            <v>黑精灵秘言</v>
          </cell>
        </row>
        <row r="19">
          <cell r="F19" t="str">
            <v>织女</v>
          </cell>
          <cell r="G19">
            <v>4</v>
          </cell>
          <cell r="H19" t="str">
            <v>娜迦侍女</v>
          </cell>
        </row>
        <row r="20">
          <cell r="F20" t="str">
            <v>鬼将</v>
          </cell>
          <cell r="G20">
            <v>4</v>
          </cell>
          <cell r="H20" t="str">
            <v>阿伽门农</v>
          </cell>
        </row>
        <row r="21">
          <cell r="F21" t="str">
            <v>洛神</v>
          </cell>
          <cell r="G21">
            <v>4</v>
          </cell>
          <cell r="H21" t="str">
            <v>丘比特</v>
          </cell>
        </row>
        <row r="22">
          <cell r="F22" t="str">
            <v>太白金星</v>
          </cell>
          <cell r="G22">
            <v>4</v>
          </cell>
          <cell r="H22" t="str">
            <v>亚瑟</v>
          </cell>
        </row>
        <row r="23">
          <cell r="F23" t="str">
            <v>雨师</v>
          </cell>
          <cell r="G23">
            <v>4</v>
          </cell>
          <cell r="H23" t="str">
            <v>水元素</v>
          </cell>
        </row>
        <row r="24">
          <cell r="F24" t="str">
            <v>破军</v>
          </cell>
          <cell r="G24">
            <v>4</v>
          </cell>
          <cell r="H24" t="str">
            <v>阿克琉斯</v>
          </cell>
        </row>
        <row r="25">
          <cell r="F25" t="str">
            <v>女魃</v>
          </cell>
          <cell r="G25">
            <v>4</v>
          </cell>
          <cell r="H25" t="str">
            <v>月之祭祀</v>
          </cell>
        </row>
        <row r="26">
          <cell r="F26" t="str">
            <v>盘丝</v>
          </cell>
          <cell r="G26">
            <v>4</v>
          </cell>
          <cell r="H26" t="str">
            <v>凯瑟琳</v>
          </cell>
        </row>
        <row r="27">
          <cell r="F27" t="str">
            <v>监兵</v>
          </cell>
          <cell r="G27">
            <v>4</v>
          </cell>
          <cell r="H27" t="str">
            <v>精灵王子</v>
          </cell>
        </row>
        <row r="28">
          <cell r="F28" t="str">
            <v>采臣</v>
          </cell>
          <cell r="G28">
            <v>4</v>
          </cell>
          <cell r="H28" t="str">
            <v>吟游诗人</v>
          </cell>
        </row>
        <row r="29">
          <cell r="F29" t="str">
            <v>纣王</v>
          </cell>
          <cell r="G29">
            <v>4</v>
          </cell>
          <cell r="H29" t="str">
            <v>亡灵收割者</v>
          </cell>
        </row>
        <row r="30">
          <cell r="F30" t="str">
            <v>李靖</v>
          </cell>
          <cell r="G30">
            <v>5</v>
          </cell>
          <cell r="H30" t="str">
            <v>奥丁</v>
          </cell>
        </row>
        <row r="31">
          <cell r="F31" t="str">
            <v>嫦娥</v>
          </cell>
          <cell r="G31">
            <v>5</v>
          </cell>
          <cell r="H31" t="str">
            <v>潘</v>
          </cell>
        </row>
        <row r="32">
          <cell r="F32" t="str">
            <v>红孩儿</v>
          </cell>
          <cell r="G32">
            <v>5</v>
          </cell>
          <cell r="H32" t="str">
            <v>菲尼克斯</v>
          </cell>
        </row>
        <row r="33">
          <cell r="F33" t="str">
            <v>浑天大圣</v>
          </cell>
          <cell r="G33">
            <v>5</v>
          </cell>
          <cell r="H33" t="str">
            <v>洛基</v>
          </cell>
        </row>
        <row r="34">
          <cell r="F34" t="str">
            <v>白骨夫人</v>
          </cell>
          <cell r="G34">
            <v>5</v>
          </cell>
          <cell r="H34" t="str">
            <v>炎魔之王</v>
          </cell>
        </row>
        <row r="35">
          <cell r="F35" t="str">
            <v>黄泉</v>
          </cell>
          <cell r="G35">
            <v>5</v>
          </cell>
          <cell r="H35" t="str">
            <v>路西法</v>
          </cell>
        </row>
        <row r="36">
          <cell r="F36" t="str">
            <v>金乌</v>
          </cell>
          <cell r="G36">
            <v>5</v>
          </cell>
          <cell r="H36" t="str">
            <v>吸血伯爵</v>
          </cell>
        </row>
        <row r="37">
          <cell r="F37" t="str">
            <v>阎君</v>
          </cell>
          <cell r="G37">
            <v>5</v>
          </cell>
          <cell r="H37" t="str">
            <v>蛇女墨莎</v>
          </cell>
        </row>
        <row r="38">
          <cell r="F38" t="str">
            <v>雷震子</v>
          </cell>
          <cell r="G38">
            <v>5</v>
          </cell>
          <cell r="H38" t="str">
            <v>美杜莎</v>
          </cell>
        </row>
        <row r="39">
          <cell r="F39" t="str">
            <v>天蓬元帅</v>
          </cell>
          <cell r="G39">
            <v>5</v>
          </cell>
          <cell r="H39" t="str">
            <v>阿瑞斯</v>
          </cell>
        </row>
        <row r="40">
          <cell r="F40" t="str">
            <v>妲己</v>
          </cell>
          <cell r="G40">
            <v>5</v>
          </cell>
          <cell r="H40" t="str">
            <v>阿波罗</v>
          </cell>
        </row>
        <row r="41">
          <cell r="F41" t="str">
            <v>女娲</v>
          </cell>
          <cell r="G41">
            <v>5</v>
          </cell>
          <cell r="H41" t="str">
            <v>艾蕾莉亚</v>
          </cell>
        </row>
        <row r="42">
          <cell r="F42" t="str">
            <v>通天教主</v>
          </cell>
          <cell r="G42">
            <v>5</v>
          </cell>
          <cell r="H42" t="str">
            <v>冰霜巨龙</v>
          </cell>
        </row>
        <row r="43">
          <cell r="F43" t="str">
            <v>石矶</v>
          </cell>
          <cell r="G43">
            <v>5</v>
          </cell>
          <cell r="H43" t="str">
            <v>普罗米修斯</v>
          </cell>
        </row>
        <row r="44">
          <cell r="F44" t="str">
            <v>邓婵玉</v>
          </cell>
          <cell r="G44">
            <v>5</v>
          </cell>
          <cell r="H44" t="str">
            <v>凯兰崔尔</v>
          </cell>
        </row>
        <row r="45">
          <cell r="F45" t="str">
            <v>南极仙子</v>
          </cell>
          <cell r="G45">
            <v>5</v>
          </cell>
          <cell r="H45" t="str">
            <v>派西斯</v>
          </cell>
        </row>
        <row r="46">
          <cell r="F46" t="str">
            <v>擎苍</v>
          </cell>
          <cell r="G46">
            <v>5</v>
          </cell>
          <cell r="H46" t="str">
            <v>剑豪卡赞</v>
          </cell>
        </row>
        <row r="47">
          <cell r="F47" t="str">
            <v>敖丙</v>
          </cell>
          <cell r="G47">
            <v>5</v>
          </cell>
          <cell r="H47" t="str">
            <v>瓦尔基里</v>
          </cell>
        </row>
        <row r="48">
          <cell r="F48" t="str">
            <v>东皇太一</v>
          </cell>
          <cell r="G48">
            <v>5</v>
          </cell>
          <cell r="H48" t="str">
            <v>阿努比斯</v>
          </cell>
        </row>
        <row r="49">
          <cell r="F49" t="str">
            <v>日游神</v>
          </cell>
          <cell r="G49">
            <v>2</v>
          </cell>
          <cell r="H49" t="str">
            <v>兽族步兵</v>
          </cell>
        </row>
        <row r="50">
          <cell r="F50" t="str">
            <v>花妖</v>
          </cell>
          <cell r="G50">
            <v>2</v>
          </cell>
          <cell r="H50" t="str">
            <v>死灵巫师</v>
          </cell>
        </row>
        <row r="51">
          <cell r="F51" t="str">
            <v>长弓手</v>
          </cell>
          <cell r="G51">
            <v>2</v>
          </cell>
          <cell r="H51" t="str">
            <v>精灵射手</v>
          </cell>
        </row>
        <row r="52">
          <cell r="F52" t="str">
            <v>玉兔</v>
          </cell>
          <cell r="G52">
            <v>3</v>
          </cell>
          <cell r="H52" t="str">
            <v>地狱火</v>
          </cell>
        </row>
        <row r="53">
          <cell r="F53" t="str">
            <v>白龙</v>
          </cell>
          <cell r="G53">
            <v>3</v>
          </cell>
          <cell r="H53" t="str">
            <v>美狄亚</v>
          </cell>
        </row>
        <row r="54">
          <cell r="F54" t="str">
            <v>殿前禁卫</v>
          </cell>
          <cell r="G54">
            <v>3</v>
          </cell>
          <cell r="H54" t="str">
            <v>树界守卫</v>
          </cell>
        </row>
        <row r="55">
          <cell r="F55" t="str">
            <v>黑风</v>
          </cell>
          <cell r="G55">
            <v>3</v>
          </cell>
          <cell r="H55" t="str">
            <v>末日守卫</v>
          </cell>
        </row>
        <row r="56">
          <cell r="F56" t="str">
            <v>木吒</v>
          </cell>
          <cell r="G56">
            <v>3</v>
          </cell>
          <cell r="H56" t="str">
            <v>风暴猎手</v>
          </cell>
        </row>
        <row r="57">
          <cell r="F57" t="str">
            <v>鲛姬</v>
          </cell>
          <cell r="G57">
            <v>3</v>
          </cell>
          <cell r="H57" t="str">
            <v>巨魔巫医</v>
          </cell>
        </row>
        <row r="58">
          <cell r="F58" t="str">
            <v>精卫</v>
          </cell>
          <cell r="G58">
            <v>3</v>
          </cell>
          <cell r="H58" t="str">
            <v>光之苏尔</v>
          </cell>
        </row>
        <row r="59">
          <cell r="F59" t="str">
            <v>黄飞虎</v>
          </cell>
          <cell r="G59">
            <v>4</v>
          </cell>
          <cell r="H59" t="str">
            <v>圣锤提尔</v>
          </cell>
        </row>
        <row r="60">
          <cell r="F60" t="str">
            <v>申公豹</v>
          </cell>
          <cell r="G60">
            <v>4</v>
          </cell>
          <cell r="H60" t="str">
            <v>甘道夫</v>
          </cell>
        </row>
        <row r="61">
          <cell r="F61" t="str">
            <v>黑无常</v>
          </cell>
          <cell r="G61">
            <v>4</v>
          </cell>
          <cell r="H61" t="str">
            <v>毒咒女巫</v>
          </cell>
        </row>
        <row r="62">
          <cell r="F62" t="str">
            <v>白无常</v>
          </cell>
          <cell r="G62">
            <v>4</v>
          </cell>
          <cell r="H62" t="str">
            <v>黑精灵秘言</v>
          </cell>
        </row>
        <row r="63">
          <cell r="F63" t="str">
            <v>织女</v>
          </cell>
          <cell r="G63">
            <v>4</v>
          </cell>
          <cell r="H63" t="str">
            <v>娜迦侍女</v>
          </cell>
        </row>
        <row r="64">
          <cell r="F64" t="str">
            <v>鬼将</v>
          </cell>
          <cell r="G64">
            <v>4</v>
          </cell>
          <cell r="H64" t="str">
            <v>阿伽门农</v>
          </cell>
        </row>
        <row r="65">
          <cell r="F65" t="str">
            <v>洛神</v>
          </cell>
          <cell r="G65">
            <v>4</v>
          </cell>
          <cell r="H65" t="str">
            <v>丘比特</v>
          </cell>
        </row>
        <row r="66">
          <cell r="F66" t="str">
            <v>太白金星</v>
          </cell>
          <cell r="G66">
            <v>4</v>
          </cell>
          <cell r="H66" t="str">
            <v>亚瑟</v>
          </cell>
        </row>
        <row r="67">
          <cell r="F67" t="str">
            <v>雨师</v>
          </cell>
          <cell r="G67">
            <v>4</v>
          </cell>
          <cell r="H67" t="str">
            <v>水元素</v>
          </cell>
        </row>
        <row r="68">
          <cell r="F68" t="str">
            <v>破军</v>
          </cell>
          <cell r="G68">
            <v>4</v>
          </cell>
          <cell r="H68" t="str">
            <v>阿克琉斯</v>
          </cell>
        </row>
        <row r="69">
          <cell r="F69" t="str">
            <v>女魃</v>
          </cell>
          <cell r="G69">
            <v>4</v>
          </cell>
          <cell r="H69" t="str">
            <v>月之祭祀</v>
          </cell>
        </row>
        <row r="70">
          <cell r="F70" t="str">
            <v>盘丝</v>
          </cell>
          <cell r="G70">
            <v>4</v>
          </cell>
          <cell r="H70" t="str">
            <v>凯瑟琳</v>
          </cell>
        </row>
        <row r="71">
          <cell r="F71" t="str">
            <v>监兵</v>
          </cell>
          <cell r="G71">
            <v>4</v>
          </cell>
          <cell r="H71" t="str">
            <v>精灵王子</v>
          </cell>
        </row>
        <row r="72">
          <cell r="F72" t="str">
            <v>采臣</v>
          </cell>
          <cell r="G72">
            <v>4</v>
          </cell>
          <cell r="H72" t="str">
            <v>吟游诗人</v>
          </cell>
        </row>
        <row r="73">
          <cell r="F73" t="str">
            <v>纣王</v>
          </cell>
          <cell r="G73">
            <v>4</v>
          </cell>
          <cell r="H73" t="str">
            <v>亡灵收割者</v>
          </cell>
        </row>
        <row r="74">
          <cell r="F74" t="str">
            <v>李靖</v>
          </cell>
          <cell r="G74">
            <v>5</v>
          </cell>
          <cell r="H74" t="str">
            <v>奥丁</v>
          </cell>
        </row>
        <row r="75">
          <cell r="F75" t="str">
            <v>嫦娥</v>
          </cell>
          <cell r="G75">
            <v>5</v>
          </cell>
          <cell r="H75" t="str">
            <v>潘</v>
          </cell>
        </row>
        <row r="76">
          <cell r="F76" t="str">
            <v>红孩儿</v>
          </cell>
          <cell r="G76">
            <v>5</v>
          </cell>
          <cell r="H76" t="str">
            <v>菲尼克斯</v>
          </cell>
        </row>
        <row r="77">
          <cell r="F77" t="str">
            <v>浑天大圣</v>
          </cell>
          <cell r="G77">
            <v>5</v>
          </cell>
          <cell r="H77" t="str">
            <v>洛基</v>
          </cell>
        </row>
        <row r="78">
          <cell r="F78" t="str">
            <v>白骨夫人</v>
          </cell>
          <cell r="G78">
            <v>5</v>
          </cell>
          <cell r="H78" t="str">
            <v>炎魔之王</v>
          </cell>
        </row>
        <row r="79">
          <cell r="F79" t="str">
            <v>黄泉</v>
          </cell>
          <cell r="G79">
            <v>5</v>
          </cell>
          <cell r="H79" t="str">
            <v>路西法</v>
          </cell>
        </row>
        <row r="80">
          <cell r="F80" t="str">
            <v>金乌</v>
          </cell>
          <cell r="G80">
            <v>5</v>
          </cell>
          <cell r="H80" t="str">
            <v>吸血伯爵</v>
          </cell>
        </row>
        <row r="81">
          <cell r="F81" t="str">
            <v>阎君</v>
          </cell>
          <cell r="G81">
            <v>5</v>
          </cell>
          <cell r="H81" t="str">
            <v>蛇女墨莎</v>
          </cell>
        </row>
        <row r="82">
          <cell r="F82" t="str">
            <v>雷震子</v>
          </cell>
          <cell r="G82">
            <v>5</v>
          </cell>
          <cell r="H82" t="str">
            <v>美杜莎</v>
          </cell>
        </row>
        <row r="83">
          <cell r="F83" t="str">
            <v>天蓬元帅</v>
          </cell>
          <cell r="G83">
            <v>5</v>
          </cell>
          <cell r="H83" t="str">
            <v>阿瑞斯</v>
          </cell>
        </row>
        <row r="84">
          <cell r="F84" t="str">
            <v>妲己</v>
          </cell>
          <cell r="G84">
            <v>5</v>
          </cell>
          <cell r="H84" t="str">
            <v>阿波罗</v>
          </cell>
        </row>
        <row r="85">
          <cell r="F85" t="str">
            <v>女娲</v>
          </cell>
          <cell r="G85">
            <v>5</v>
          </cell>
          <cell r="H85" t="str">
            <v>艾蕾莉亚</v>
          </cell>
        </row>
        <row r="86">
          <cell r="F86" t="str">
            <v>通天教主</v>
          </cell>
          <cell r="G86">
            <v>5</v>
          </cell>
          <cell r="H86" t="str">
            <v>冰霜巨龙</v>
          </cell>
        </row>
        <row r="87">
          <cell r="F87" t="str">
            <v>石矶</v>
          </cell>
          <cell r="G87">
            <v>5</v>
          </cell>
          <cell r="H87" t="str">
            <v>普罗米修斯</v>
          </cell>
        </row>
        <row r="88">
          <cell r="F88" t="str">
            <v>邓婵玉</v>
          </cell>
          <cell r="G88">
            <v>5</v>
          </cell>
          <cell r="H88" t="str">
            <v>凯兰崔尔</v>
          </cell>
        </row>
        <row r="89">
          <cell r="F89" t="str">
            <v>南极仙子</v>
          </cell>
          <cell r="G89">
            <v>5</v>
          </cell>
          <cell r="H89" t="str">
            <v>派西斯</v>
          </cell>
        </row>
        <row r="90">
          <cell r="F90" t="str">
            <v>擎苍</v>
          </cell>
          <cell r="G90">
            <v>5</v>
          </cell>
          <cell r="H90" t="str">
            <v>剑豪卡赞</v>
          </cell>
        </row>
        <row r="91">
          <cell r="F91" t="str">
            <v>敖丙</v>
          </cell>
          <cell r="G91">
            <v>5</v>
          </cell>
          <cell r="H91" t="str">
            <v>瓦尔基里</v>
          </cell>
        </row>
        <row r="92">
          <cell r="F92" t="str">
            <v>东皇太一</v>
          </cell>
          <cell r="G92">
            <v>5</v>
          </cell>
          <cell r="H92" t="str">
            <v>阿努比斯</v>
          </cell>
        </row>
        <row r="93">
          <cell r="F93" t="str">
            <v>玉兔</v>
          </cell>
          <cell r="G93">
            <v>3</v>
          </cell>
          <cell r="H93" t="str">
            <v>地狱火</v>
          </cell>
        </row>
        <row r="94">
          <cell r="F94" t="str">
            <v>白龙</v>
          </cell>
          <cell r="G94">
            <v>3</v>
          </cell>
          <cell r="H94" t="str">
            <v>美狄亚</v>
          </cell>
        </row>
        <row r="95">
          <cell r="F95" t="str">
            <v>殿前禁卫</v>
          </cell>
          <cell r="G95">
            <v>3</v>
          </cell>
          <cell r="H95" t="str">
            <v>树界守卫</v>
          </cell>
        </row>
        <row r="96">
          <cell r="F96" t="str">
            <v>黑风</v>
          </cell>
          <cell r="G96">
            <v>3</v>
          </cell>
          <cell r="H96" t="str">
            <v>末日守卫</v>
          </cell>
        </row>
        <row r="97">
          <cell r="F97" t="str">
            <v>木吒</v>
          </cell>
          <cell r="G97">
            <v>3</v>
          </cell>
          <cell r="H97" t="str">
            <v>风暴猎手</v>
          </cell>
        </row>
        <row r="98">
          <cell r="F98" t="str">
            <v>鲛姬</v>
          </cell>
          <cell r="G98">
            <v>3</v>
          </cell>
          <cell r="H98" t="str">
            <v>巨魔巫医</v>
          </cell>
        </row>
        <row r="99">
          <cell r="F99" t="str">
            <v>精卫</v>
          </cell>
          <cell r="G99">
            <v>3</v>
          </cell>
          <cell r="H99" t="str">
            <v>光之苏尔</v>
          </cell>
        </row>
        <row r="100">
          <cell r="F100" t="str">
            <v>黄飞虎</v>
          </cell>
          <cell r="G100">
            <v>4</v>
          </cell>
          <cell r="H100" t="str">
            <v>圣锤提尔</v>
          </cell>
        </row>
        <row r="101">
          <cell r="F101" t="str">
            <v>申公豹</v>
          </cell>
          <cell r="G101">
            <v>4</v>
          </cell>
          <cell r="H101" t="str">
            <v>甘道夫</v>
          </cell>
        </row>
        <row r="102">
          <cell r="F102" t="str">
            <v>黑无常</v>
          </cell>
          <cell r="G102">
            <v>4</v>
          </cell>
          <cell r="H102" t="str">
            <v>毒咒女巫</v>
          </cell>
        </row>
        <row r="103">
          <cell r="F103" t="str">
            <v>白无常</v>
          </cell>
          <cell r="G103">
            <v>4</v>
          </cell>
          <cell r="H103" t="str">
            <v>黑精灵秘言</v>
          </cell>
        </row>
        <row r="104">
          <cell r="F104" t="str">
            <v>织女</v>
          </cell>
          <cell r="G104">
            <v>4</v>
          </cell>
          <cell r="H104" t="str">
            <v>娜迦侍女</v>
          </cell>
        </row>
        <row r="105">
          <cell r="F105" t="str">
            <v>鬼将</v>
          </cell>
          <cell r="G105">
            <v>4</v>
          </cell>
          <cell r="H105" t="str">
            <v>阿伽门农</v>
          </cell>
        </row>
        <row r="106">
          <cell r="F106" t="str">
            <v>洛神</v>
          </cell>
          <cell r="G106">
            <v>4</v>
          </cell>
          <cell r="H106" t="str">
            <v>丘比特</v>
          </cell>
        </row>
        <row r="107">
          <cell r="F107" t="str">
            <v>太白金星</v>
          </cell>
          <cell r="G107">
            <v>4</v>
          </cell>
          <cell r="H107" t="str">
            <v>亚瑟</v>
          </cell>
        </row>
        <row r="108">
          <cell r="F108" t="str">
            <v>雨师</v>
          </cell>
          <cell r="G108">
            <v>4</v>
          </cell>
          <cell r="H108" t="str">
            <v>水元素</v>
          </cell>
        </row>
        <row r="109">
          <cell r="F109" t="str">
            <v>破军</v>
          </cell>
          <cell r="G109">
            <v>4</v>
          </cell>
          <cell r="H109" t="str">
            <v>阿克琉斯</v>
          </cell>
        </row>
        <row r="110">
          <cell r="F110" t="str">
            <v>女魃</v>
          </cell>
          <cell r="G110">
            <v>4</v>
          </cell>
          <cell r="H110" t="str">
            <v>月之祭祀</v>
          </cell>
        </row>
        <row r="111">
          <cell r="F111" t="str">
            <v>盘丝</v>
          </cell>
          <cell r="G111">
            <v>4</v>
          </cell>
          <cell r="H111" t="str">
            <v>凯瑟琳</v>
          </cell>
        </row>
        <row r="112">
          <cell r="F112" t="str">
            <v>监兵</v>
          </cell>
          <cell r="G112">
            <v>4</v>
          </cell>
          <cell r="H112" t="str">
            <v>精灵王子</v>
          </cell>
        </row>
        <row r="113">
          <cell r="F113" t="str">
            <v>采臣</v>
          </cell>
          <cell r="G113">
            <v>4</v>
          </cell>
          <cell r="H113" t="str">
            <v>吟游诗人</v>
          </cell>
        </row>
        <row r="114">
          <cell r="F114" t="str">
            <v>纣王</v>
          </cell>
          <cell r="G114">
            <v>4</v>
          </cell>
          <cell r="H114" t="str">
            <v>亡灵收割者</v>
          </cell>
        </row>
        <row r="115">
          <cell r="F115" t="str">
            <v>李靖</v>
          </cell>
          <cell r="G115">
            <v>5</v>
          </cell>
          <cell r="H115" t="str">
            <v>奥丁</v>
          </cell>
        </row>
        <row r="116">
          <cell r="F116" t="str">
            <v>嫦娥</v>
          </cell>
          <cell r="G116">
            <v>5</v>
          </cell>
          <cell r="H116" t="str">
            <v>潘</v>
          </cell>
        </row>
        <row r="117">
          <cell r="F117" t="str">
            <v>红孩儿</v>
          </cell>
          <cell r="G117">
            <v>5</v>
          </cell>
          <cell r="H117" t="str">
            <v>菲尼克斯</v>
          </cell>
        </row>
        <row r="118">
          <cell r="F118" t="str">
            <v>浑天大圣</v>
          </cell>
          <cell r="G118">
            <v>5</v>
          </cell>
          <cell r="H118" t="str">
            <v>洛基</v>
          </cell>
        </row>
        <row r="119">
          <cell r="F119" t="str">
            <v>白骨夫人</v>
          </cell>
          <cell r="G119">
            <v>5</v>
          </cell>
          <cell r="H119" t="str">
            <v>炎魔之王</v>
          </cell>
        </row>
        <row r="120">
          <cell r="F120" t="str">
            <v>黄泉</v>
          </cell>
          <cell r="G120">
            <v>5</v>
          </cell>
          <cell r="H120" t="str">
            <v>路西法</v>
          </cell>
        </row>
        <row r="121">
          <cell r="F121" t="str">
            <v>金乌</v>
          </cell>
          <cell r="G121">
            <v>5</v>
          </cell>
          <cell r="H121" t="str">
            <v>吸血伯爵</v>
          </cell>
        </row>
        <row r="122">
          <cell r="F122" t="str">
            <v>阎君</v>
          </cell>
          <cell r="G122">
            <v>5</v>
          </cell>
          <cell r="H122" t="str">
            <v>蛇女墨莎</v>
          </cell>
        </row>
        <row r="123">
          <cell r="F123" t="str">
            <v>雷震子</v>
          </cell>
          <cell r="G123">
            <v>5</v>
          </cell>
          <cell r="H123" t="str">
            <v>美杜莎</v>
          </cell>
        </row>
        <row r="124">
          <cell r="F124" t="str">
            <v>天蓬元帅</v>
          </cell>
          <cell r="G124">
            <v>5</v>
          </cell>
          <cell r="H124" t="str">
            <v>阿瑞斯</v>
          </cell>
        </row>
        <row r="125">
          <cell r="F125" t="str">
            <v>妲己</v>
          </cell>
          <cell r="G125">
            <v>5</v>
          </cell>
          <cell r="H125" t="str">
            <v>阿波罗</v>
          </cell>
        </row>
        <row r="126">
          <cell r="F126" t="str">
            <v>女娲</v>
          </cell>
          <cell r="G126">
            <v>5</v>
          </cell>
          <cell r="H126" t="str">
            <v>艾蕾莉亚</v>
          </cell>
        </row>
        <row r="127">
          <cell r="F127" t="str">
            <v>通天教主</v>
          </cell>
          <cell r="G127">
            <v>5</v>
          </cell>
          <cell r="H127" t="str">
            <v>冰霜巨龙</v>
          </cell>
        </row>
        <row r="128">
          <cell r="F128" t="str">
            <v>石矶</v>
          </cell>
          <cell r="G128">
            <v>5</v>
          </cell>
          <cell r="H128" t="str">
            <v>普罗米修斯</v>
          </cell>
        </row>
        <row r="129">
          <cell r="F129" t="str">
            <v>邓婵玉</v>
          </cell>
          <cell r="G129">
            <v>5</v>
          </cell>
          <cell r="H129" t="str">
            <v>凯兰崔尔</v>
          </cell>
        </row>
        <row r="130">
          <cell r="F130" t="str">
            <v>南极仙子</v>
          </cell>
          <cell r="G130">
            <v>5</v>
          </cell>
          <cell r="H130" t="str">
            <v>派西斯</v>
          </cell>
        </row>
        <row r="131">
          <cell r="F131" t="str">
            <v>擎苍</v>
          </cell>
          <cell r="G131">
            <v>5</v>
          </cell>
          <cell r="H131" t="str">
            <v>剑豪卡赞</v>
          </cell>
        </row>
        <row r="132">
          <cell r="F132" t="str">
            <v>敖丙</v>
          </cell>
          <cell r="G132">
            <v>5</v>
          </cell>
          <cell r="H132" t="str">
            <v>瓦尔基里</v>
          </cell>
        </row>
        <row r="133">
          <cell r="F133" t="str">
            <v>东皇太一</v>
          </cell>
          <cell r="G133">
            <v>5</v>
          </cell>
          <cell r="H133" t="str">
            <v>阿努比斯</v>
          </cell>
        </row>
        <row r="134">
          <cell r="F134" t="str">
            <v>李靖</v>
          </cell>
          <cell r="G134">
            <v>5</v>
          </cell>
          <cell r="H134" t="str">
            <v>奥丁</v>
          </cell>
        </row>
        <row r="135">
          <cell r="F135" t="str">
            <v>嫦娥</v>
          </cell>
          <cell r="G135">
            <v>5</v>
          </cell>
          <cell r="H135" t="str">
            <v>潘</v>
          </cell>
        </row>
        <row r="136">
          <cell r="F136" t="str">
            <v>红孩儿</v>
          </cell>
          <cell r="G136">
            <v>5</v>
          </cell>
          <cell r="H136" t="str">
            <v>菲尼克斯</v>
          </cell>
        </row>
        <row r="137">
          <cell r="F137" t="str">
            <v>浑天大圣</v>
          </cell>
          <cell r="G137">
            <v>5</v>
          </cell>
          <cell r="H137" t="str">
            <v>洛基</v>
          </cell>
        </row>
        <row r="138">
          <cell r="F138" t="str">
            <v>白骨夫人</v>
          </cell>
          <cell r="G138">
            <v>5</v>
          </cell>
          <cell r="H138" t="str">
            <v>炎魔之王</v>
          </cell>
        </row>
        <row r="139">
          <cell r="F139" t="str">
            <v>黄泉</v>
          </cell>
          <cell r="G139">
            <v>5</v>
          </cell>
          <cell r="H139" t="str">
            <v>路西法</v>
          </cell>
        </row>
        <row r="140">
          <cell r="F140" t="str">
            <v>金乌</v>
          </cell>
          <cell r="G140">
            <v>5</v>
          </cell>
          <cell r="H140" t="str">
            <v>吸血伯爵</v>
          </cell>
        </row>
        <row r="141">
          <cell r="F141" t="str">
            <v>阎君</v>
          </cell>
          <cell r="G141">
            <v>5</v>
          </cell>
          <cell r="H141" t="str">
            <v>蛇女墨莎</v>
          </cell>
        </row>
        <row r="142">
          <cell r="F142" t="str">
            <v>雷震子</v>
          </cell>
          <cell r="G142">
            <v>5</v>
          </cell>
          <cell r="H142" t="str">
            <v>美杜莎</v>
          </cell>
        </row>
        <row r="143">
          <cell r="F143" t="str">
            <v>天蓬元帅</v>
          </cell>
          <cell r="G143">
            <v>5</v>
          </cell>
          <cell r="H143" t="str">
            <v>阿瑞斯</v>
          </cell>
        </row>
        <row r="144">
          <cell r="F144" t="str">
            <v>妲己</v>
          </cell>
          <cell r="G144">
            <v>5</v>
          </cell>
          <cell r="H144" t="str">
            <v>阿波罗</v>
          </cell>
        </row>
        <row r="145">
          <cell r="F145" t="str">
            <v>女娲</v>
          </cell>
          <cell r="G145">
            <v>5</v>
          </cell>
          <cell r="H145" t="str">
            <v>艾蕾莉亚</v>
          </cell>
        </row>
        <row r="146">
          <cell r="F146" t="str">
            <v>通天教主</v>
          </cell>
          <cell r="G146">
            <v>5</v>
          </cell>
          <cell r="H146" t="str">
            <v>冰霜巨龙</v>
          </cell>
        </row>
        <row r="147">
          <cell r="F147" t="str">
            <v>石矶</v>
          </cell>
          <cell r="G147">
            <v>5</v>
          </cell>
          <cell r="H147" t="str">
            <v>普罗米修斯</v>
          </cell>
        </row>
        <row r="148">
          <cell r="F148" t="str">
            <v>敖丙</v>
          </cell>
          <cell r="G148">
            <v>5</v>
          </cell>
          <cell r="H148" t="str">
            <v>瓦尔基里</v>
          </cell>
        </row>
        <row r="149">
          <cell r="F149" t="str">
            <v>邓婵玉</v>
          </cell>
          <cell r="G149">
            <v>5</v>
          </cell>
          <cell r="H149" t="str">
            <v>凯兰崔尔</v>
          </cell>
        </row>
        <row r="150">
          <cell r="F150" t="str">
            <v>东皇太一</v>
          </cell>
          <cell r="G150">
            <v>5</v>
          </cell>
          <cell r="H150" t="str">
            <v>阿努比斯</v>
          </cell>
        </row>
        <row r="151">
          <cell r="F151" t="str">
            <v>南极仙子</v>
          </cell>
          <cell r="G151">
            <v>5</v>
          </cell>
          <cell r="H151" t="str">
            <v>派西斯</v>
          </cell>
        </row>
        <row r="152">
          <cell r="F152" t="str">
            <v>擎苍</v>
          </cell>
          <cell r="G152">
            <v>5</v>
          </cell>
          <cell r="H152" t="str">
            <v>剑豪卡赞</v>
          </cell>
        </row>
        <row r="153">
          <cell r="F153" t="str">
            <v>邓婵玉</v>
          </cell>
          <cell r="G153">
            <v>5</v>
          </cell>
          <cell r="H153" t="str">
            <v>凯兰崔尔</v>
          </cell>
        </row>
        <row r="154">
          <cell r="F154" t="str">
            <v>南极仙子</v>
          </cell>
          <cell r="G154">
            <v>5</v>
          </cell>
          <cell r="H154" t="str">
            <v>派西斯</v>
          </cell>
        </row>
        <row r="155">
          <cell r="F155" t="str">
            <v>擎苍</v>
          </cell>
          <cell r="G155">
            <v>5</v>
          </cell>
          <cell r="H155" t="str">
            <v>剑豪卡赞</v>
          </cell>
        </row>
        <row r="156">
          <cell r="F156" t="str">
            <v>敖丙</v>
          </cell>
          <cell r="G156">
            <v>5</v>
          </cell>
          <cell r="H156" t="str">
            <v>瓦尔基里</v>
          </cell>
        </row>
        <row r="157">
          <cell r="F157" t="str">
            <v>东皇太一</v>
          </cell>
          <cell r="G157">
            <v>5</v>
          </cell>
          <cell r="H157" t="str">
            <v>阿努比斯</v>
          </cell>
        </row>
        <row r="158">
          <cell r="F158" t="str">
            <v>监兵</v>
          </cell>
          <cell r="G158">
            <v>4</v>
          </cell>
          <cell r="H158" t="str">
            <v>精灵王子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基础物品"/>
      <sheetName val="资源数值"/>
      <sheetName val="掉落配置"/>
      <sheetName val="礼包"/>
      <sheetName val="碎片"/>
      <sheetName val="碎片合成"/>
      <sheetName val="获取途径"/>
      <sheetName val="使用途径"/>
      <sheetName val="Sheet（行为ID）"/>
      <sheetName val="Sheet（备注说明）"/>
      <sheetName val="Sheet（资源改名）"/>
      <sheetName val="Sheet1"/>
    </sheetNames>
    <sheetDataSet>
      <sheetData sheetId="0">
        <row r="1">
          <cell r="A1" t="str">
            <v>物品ID</v>
          </cell>
          <cell r="B1" t="str">
            <v>名称</v>
          </cell>
        </row>
        <row r="2">
          <cell r="A2">
            <v>100001</v>
          </cell>
          <cell r="B2" t="str">
            <v>进阶石</v>
          </cell>
        </row>
        <row r="3">
          <cell r="A3">
            <v>100002</v>
          </cell>
          <cell r="B3" t="str">
            <v>炼神石</v>
          </cell>
        </row>
        <row r="4">
          <cell r="A4">
            <v>100003</v>
          </cell>
          <cell r="B4" t="str">
            <v>刻印石</v>
          </cell>
        </row>
        <row r="5">
          <cell r="A5">
            <v>100004</v>
          </cell>
          <cell r="B5" t="str">
            <v>鎏金粉</v>
          </cell>
        </row>
        <row r="6">
          <cell r="A6">
            <v>100005</v>
          </cell>
          <cell r="B6" t="str">
            <v>普通寻宝券</v>
          </cell>
        </row>
        <row r="7">
          <cell r="A7">
            <v>100006</v>
          </cell>
          <cell r="B7" t="str">
            <v>高级寻宝券</v>
          </cell>
        </row>
        <row r="8">
          <cell r="A8">
            <v>100007</v>
          </cell>
          <cell r="B8" t="str">
            <v>天启星纹石头</v>
          </cell>
        </row>
        <row r="9">
          <cell r="A9">
            <v>100008</v>
          </cell>
          <cell r="B9" t="str">
            <v>神器符石</v>
          </cell>
        </row>
        <row r="10">
          <cell r="A10">
            <v>100009</v>
          </cell>
          <cell r="B10" t="str">
            <v>天界神石</v>
          </cell>
        </row>
        <row r="11">
          <cell r="A11">
            <v>100010</v>
          </cell>
          <cell r="B11" t="str">
            <v>烈阳信物</v>
          </cell>
        </row>
        <row r="12">
          <cell r="A12">
            <v>100011</v>
          </cell>
          <cell r="B12" t="str">
            <v>神装碎片</v>
          </cell>
        </row>
        <row r="13">
          <cell r="A13">
            <v>100013</v>
          </cell>
          <cell r="B13" t="str">
            <v>贤者遗物</v>
          </cell>
        </row>
        <row r="14">
          <cell r="A14">
            <v>100014</v>
          </cell>
          <cell r="B14" t="str">
            <v>仙灵遗物</v>
          </cell>
        </row>
        <row r="15">
          <cell r="A15">
            <v>100015</v>
          </cell>
          <cell r="B15" t="str">
            <v>妖祖遗物</v>
          </cell>
        </row>
        <row r="16">
          <cell r="A16">
            <v>100016</v>
          </cell>
          <cell r="B16" t="str">
            <v>魔皇遗物</v>
          </cell>
        </row>
        <row r="17">
          <cell r="A17">
            <v>100017</v>
          </cell>
          <cell r="B17" t="str">
            <v>古神遗物</v>
          </cell>
        </row>
        <row r="18">
          <cell r="A18">
            <v>100018</v>
          </cell>
          <cell r="B18" t="str">
            <v>信仰之力</v>
          </cell>
        </row>
        <row r="19">
          <cell r="A19">
            <v>100021</v>
          </cell>
          <cell r="B19" t="str">
            <v>普通点将券</v>
          </cell>
        </row>
        <row r="20">
          <cell r="A20">
            <v>100022</v>
          </cell>
          <cell r="B20" t="str">
            <v>高级点将券</v>
          </cell>
        </row>
        <row r="21">
          <cell r="A21">
            <v>100023</v>
          </cell>
          <cell r="B21" t="str">
            <v>演武场挑战券</v>
          </cell>
        </row>
        <row r="22">
          <cell r="A22">
            <v>100024</v>
          </cell>
          <cell r="B22" t="str">
            <v>先祖精华</v>
          </cell>
        </row>
        <row r="23">
          <cell r="A23">
            <v>100025</v>
          </cell>
          <cell r="B23" t="str">
            <v>先祖水晶</v>
          </cell>
        </row>
        <row r="24">
          <cell r="A24">
            <v>100026</v>
          </cell>
          <cell r="B24" t="str">
            <v>先祖结晶</v>
          </cell>
        </row>
        <row r="25">
          <cell r="A25">
            <v>100027</v>
          </cell>
          <cell r="B25" t="str">
            <v>悬赏任务刷新券</v>
          </cell>
        </row>
        <row r="26">
          <cell r="A26">
            <v>100028</v>
          </cell>
          <cell r="B26" t="str">
            <v>置换精华</v>
          </cell>
        </row>
        <row r="27">
          <cell r="A27">
            <v>100029</v>
          </cell>
          <cell r="B27" t="str">
            <v>皮肤碎片</v>
          </cell>
        </row>
        <row r="28">
          <cell r="A28">
            <v>100030</v>
          </cell>
          <cell r="B28" t="str">
            <v>烈阳晶石</v>
          </cell>
        </row>
        <row r="29">
          <cell r="A29">
            <v>100100</v>
          </cell>
          <cell r="B29" t="str">
            <v>篆印：神恩</v>
          </cell>
        </row>
        <row r="30">
          <cell r="A30">
            <v>100101</v>
          </cell>
          <cell r="B30" t="str">
            <v>篆印：法连</v>
          </cell>
        </row>
        <row r="31">
          <cell r="A31">
            <v>100102</v>
          </cell>
          <cell r="B31" t="str">
            <v>篆印：厚甲</v>
          </cell>
        </row>
        <row r="32">
          <cell r="A32">
            <v>100103</v>
          </cell>
          <cell r="B32" t="str">
            <v>篆印：清洁</v>
          </cell>
        </row>
        <row r="33">
          <cell r="A33">
            <v>100104</v>
          </cell>
          <cell r="B33" t="str">
            <v>篆印：自律</v>
          </cell>
        </row>
        <row r="34">
          <cell r="A34">
            <v>100105</v>
          </cell>
          <cell r="B34" t="str">
            <v>篆印：抗控</v>
          </cell>
        </row>
        <row r="35">
          <cell r="A35">
            <v>100106</v>
          </cell>
          <cell r="B35" t="str">
            <v>篆印：闪避</v>
          </cell>
        </row>
        <row r="36">
          <cell r="A36">
            <v>100107</v>
          </cell>
          <cell r="B36" t="str">
            <v>篆印：愈合</v>
          </cell>
        </row>
        <row r="37">
          <cell r="A37">
            <v>100108</v>
          </cell>
          <cell r="B37" t="str">
            <v>篆印：免伤</v>
          </cell>
        </row>
        <row r="38">
          <cell r="A38">
            <v>100109</v>
          </cell>
          <cell r="B38" t="str">
            <v>篆印：神速</v>
          </cell>
        </row>
        <row r="39">
          <cell r="A39">
            <v>100110</v>
          </cell>
          <cell r="B39" t="str">
            <v>篆印：智慧</v>
          </cell>
        </row>
        <row r="40">
          <cell r="A40">
            <v>100111</v>
          </cell>
          <cell r="B40" t="str">
            <v>篆印：神武</v>
          </cell>
        </row>
        <row r="41">
          <cell r="A41">
            <v>100112</v>
          </cell>
          <cell r="B41" t="str">
            <v>篆印：追击</v>
          </cell>
        </row>
        <row r="42">
          <cell r="A42">
            <v>100113</v>
          </cell>
          <cell r="B42" t="str">
            <v>篆印：暴袭</v>
          </cell>
        </row>
        <row r="43">
          <cell r="A43">
            <v>100114</v>
          </cell>
          <cell r="B43" t="str">
            <v>篆印：暴怒</v>
          </cell>
        </row>
        <row r="44">
          <cell r="A44">
            <v>100115</v>
          </cell>
          <cell r="B44" t="str">
            <v>篆印：狂暴</v>
          </cell>
        </row>
        <row r="45">
          <cell r="A45">
            <v>100116</v>
          </cell>
          <cell r="B45" t="str">
            <v>篆印：血怒</v>
          </cell>
        </row>
        <row r="46">
          <cell r="A46">
            <v>100117</v>
          </cell>
          <cell r="B46" t="str">
            <v>篆印：庇护</v>
          </cell>
        </row>
        <row r="47">
          <cell r="A47">
            <v>100118</v>
          </cell>
          <cell r="B47" t="str">
            <v>篆印：战吼</v>
          </cell>
        </row>
        <row r="48">
          <cell r="A48">
            <v>100119</v>
          </cell>
          <cell r="B48" t="str">
            <v>篆印：疫病</v>
          </cell>
        </row>
        <row r="49">
          <cell r="A49">
            <v>100120</v>
          </cell>
          <cell r="B49" t="str">
            <v>篆印：拘魂</v>
          </cell>
        </row>
        <row r="50">
          <cell r="A50">
            <v>100121</v>
          </cell>
          <cell r="B50" t="str">
            <v>篆印：驱散</v>
          </cell>
        </row>
        <row r="51">
          <cell r="A51">
            <v>100122</v>
          </cell>
          <cell r="B51" t="str">
            <v>篆印：猛击</v>
          </cell>
        </row>
        <row r="52">
          <cell r="A52">
            <v>100123</v>
          </cell>
          <cell r="B52" t="str">
            <v>篆印：嘲讽</v>
          </cell>
        </row>
        <row r="53">
          <cell r="A53">
            <v>100124</v>
          </cell>
          <cell r="B53" t="str">
            <v>篆印：减速</v>
          </cell>
        </row>
        <row r="54">
          <cell r="A54">
            <v>100125</v>
          </cell>
          <cell r="B54" t="str">
            <v>篆印：牺牲</v>
          </cell>
        </row>
        <row r="55">
          <cell r="A55">
            <v>100126</v>
          </cell>
          <cell r="B55" t="str">
            <v>篆印：压制</v>
          </cell>
        </row>
        <row r="56">
          <cell r="A56">
            <v>100127</v>
          </cell>
          <cell r="B56" t="str">
            <v>篆印：瞄准</v>
          </cell>
        </row>
        <row r="57">
          <cell r="A57">
            <v>100128</v>
          </cell>
          <cell r="B57" t="str">
            <v>篆印：再生</v>
          </cell>
        </row>
        <row r="58">
          <cell r="A58">
            <v>100129</v>
          </cell>
          <cell r="B58" t="str">
            <v>篆印：重生</v>
          </cell>
        </row>
        <row r="59">
          <cell r="A59">
            <v>100130</v>
          </cell>
          <cell r="B59" t="str">
            <v>篆印：止暴</v>
          </cell>
        </row>
        <row r="60">
          <cell r="A60">
            <v>100131</v>
          </cell>
          <cell r="B60" t="str">
            <v>篆印：魔甲</v>
          </cell>
        </row>
        <row r="61">
          <cell r="A61">
            <v>100132</v>
          </cell>
          <cell r="B61" t="str">
            <v>篆印：战甲</v>
          </cell>
        </row>
        <row r="62">
          <cell r="A62">
            <v>100133</v>
          </cell>
          <cell r="B62" t="str">
            <v>篆印：毅重</v>
          </cell>
        </row>
        <row r="63">
          <cell r="A63">
            <v>100134</v>
          </cell>
          <cell r="B63" t="str">
            <v>篆印：穿透</v>
          </cell>
        </row>
        <row r="64">
          <cell r="A64">
            <v>100135</v>
          </cell>
          <cell r="B64" t="str">
            <v>篆印：控场</v>
          </cell>
        </row>
        <row r="65">
          <cell r="A65">
            <v>100136</v>
          </cell>
          <cell r="B65" t="str">
            <v>篆印：物连</v>
          </cell>
        </row>
        <row r="66">
          <cell r="A66">
            <v>100137</v>
          </cell>
          <cell r="B66" t="str">
            <v>篆印：吸血</v>
          </cell>
        </row>
        <row r="67">
          <cell r="A67">
            <v>100138</v>
          </cell>
          <cell r="B67" t="str">
            <v>篆印：援护</v>
          </cell>
        </row>
        <row r="68">
          <cell r="A68">
            <v>100139</v>
          </cell>
          <cell r="B68" t="str">
            <v>篆印：反伤</v>
          </cell>
        </row>
        <row r="69">
          <cell r="A69">
            <v>100140</v>
          </cell>
          <cell r="B69" t="str">
            <v>篆印：悍勇</v>
          </cell>
        </row>
        <row r="70">
          <cell r="A70">
            <v>100141</v>
          </cell>
          <cell r="B70" t="str">
            <v>篆印：会心</v>
          </cell>
        </row>
        <row r="71">
          <cell r="A71">
            <v>100142</v>
          </cell>
          <cell r="B71" t="str">
            <v>篆印：浮动</v>
          </cell>
        </row>
        <row r="72">
          <cell r="A72">
            <v>100143</v>
          </cell>
          <cell r="B72" t="str">
            <v>篆印：避险</v>
          </cell>
        </row>
        <row r="73">
          <cell r="A73">
            <v>100144</v>
          </cell>
          <cell r="B73" t="str">
            <v>篆印：战复</v>
          </cell>
        </row>
        <row r="74">
          <cell r="A74">
            <v>100145</v>
          </cell>
          <cell r="B74" t="str">
            <v>篆印：灭魂</v>
          </cell>
        </row>
        <row r="75">
          <cell r="A75">
            <v>200001</v>
          </cell>
          <cell r="B75" t="str">
            <v>队伍经验</v>
          </cell>
        </row>
        <row r="76">
          <cell r="A76">
            <v>200002</v>
          </cell>
          <cell r="B76" t="str">
            <v>英雄经验</v>
          </cell>
        </row>
        <row r="77">
          <cell r="A77">
            <v>200003</v>
          </cell>
          <cell r="B77" t="str">
            <v>金币</v>
          </cell>
        </row>
        <row r="78">
          <cell r="A78">
            <v>200004</v>
          </cell>
          <cell r="B78" t="str">
            <v>元宝</v>
          </cell>
        </row>
        <row r="79">
          <cell r="A79">
            <v>200005</v>
          </cell>
          <cell r="B79" t="str">
            <v>日常活跃度</v>
          </cell>
        </row>
        <row r="80">
          <cell r="A80">
            <v>200006</v>
          </cell>
          <cell r="B80" t="str">
            <v>仙盟贡献</v>
          </cell>
        </row>
        <row r="81">
          <cell r="A81">
            <v>200007</v>
          </cell>
          <cell r="B81" t="str">
            <v>友情点</v>
          </cell>
        </row>
        <row r="82">
          <cell r="A82">
            <v>200008</v>
          </cell>
          <cell r="B82" t="str">
            <v>声望</v>
          </cell>
        </row>
        <row r="83">
          <cell r="A83">
            <v>200009</v>
          </cell>
          <cell r="B83" t="str">
            <v>荣誉</v>
          </cell>
        </row>
        <row r="84">
          <cell r="A84">
            <v>200010</v>
          </cell>
          <cell r="B84" t="str">
            <v>威望</v>
          </cell>
        </row>
        <row r="85">
          <cell r="A85">
            <v>200011</v>
          </cell>
          <cell r="B85" t="str">
            <v>银币</v>
          </cell>
        </row>
        <row r="86">
          <cell r="A86">
            <v>200012</v>
          </cell>
          <cell r="B86" t="str">
            <v>乾坤币</v>
          </cell>
        </row>
        <row r="87">
          <cell r="A87">
            <v>200013</v>
          </cell>
          <cell r="B87" t="str">
            <v>寻宝积分</v>
          </cell>
        </row>
        <row r="88">
          <cell r="A88">
            <v>200014</v>
          </cell>
          <cell r="B88" t="str">
            <v>魂晶</v>
          </cell>
        </row>
        <row r="89">
          <cell r="A89">
            <v>200015</v>
          </cell>
          <cell r="B89" t="str">
            <v>仙盟经验</v>
          </cell>
        </row>
        <row r="90">
          <cell r="A90">
            <v>300001</v>
          </cell>
          <cell r="B90" t="str">
            <v>固定礼包-1</v>
          </cell>
        </row>
        <row r="91">
          <cell r="A91">
            <v>300002</v>
          </cell>
          <cell r="B91" t="str">
            <v>固定礼包-2</v>
          </cell>
        </row>
        <row r="92">
          <cell r="A92">
            <v>300003</v>
          </cell>
          <cell r="B92" t="str">
            <v>固定礼包-3</v>
          </cell>
        </row>
        <row r="93">
          <cell r="A93">
            <v>300004</v>
          </cell>
          <cell r="B93" t="str">
            <v>固定礼包-4</v>
          </cell>
        </row>
        <row r="94">
          <cell r="A94">
            <v>400001</v>
          </cell>
          <cell r="B94" t="str">
            <v>随机礼包-1</v>
          </cell>
        </row>
        <row r="95">
          <cell r="A95">
            <v>400002</v>
          </cell>
          <cell r="B95" t="str">
            <v>随机礼包-2</v>
          </cell>
        </row>
        <row r="96">
          <cell r="A96">
            <v>400003</v>
          </cell>
          <cell r="B96" t="str">
            <v>随机礼包-3</v>
          </cell>
        </row>
        <row r="97">
          <cell r="A97">
            <v>400004</v>
          </cell>
          <cell r="B97" t="str">
            <v>随机礼包-4</v>
          </cell>
        </row>
        <row r="98">
          <cell r="A98">
            <v>400005</v>
          </cell>
          <cell r="B98" t="str">
            <v>幸运寻宝礼包</v>
          </cell>
        </row>
        <row r="99">
          <cell r="A99">
            <v>400006</v>
          </cell>
          <cell r="B99" t="str">
            <v>高级寻宝礼包</v>
          </cell>
        </row>
        <row r="100">
          <cell r="A100">
            <v>500001</v>
          </cell>
          <cell r="B100" t="str">
            <v>自选礼包-1</v>
          </cell>
        </row>
        <row r="101">
          <cell r="A101">
            <v>500002</v>
          </cell>
          <cell r="B101" t="str">
            <v>自选礼包-2</v>
          </cell>
        </row>
        <row r="102">
          <cell r="A102">
            <v>500003</v>
          </cell>
          <cell r="B102" t="str">
            <v>自选礼包-3</v>
          </cell>
        </row>
        <row r="103">
          <cell r="A103">
            <v>500004</v>
          </cell>
          <cell r="B103" t="str">
            <v>自选礼包-4</v>
          </cell>
        </row>
        <row r="104">
          <cell r="A104">
            <v>601001</v>
          </cell>
          <cell r="B104" t="str">
            <v>方术士</v>
          </cell>
        </row>
        <row r="105">
          <cell r="A105">
            <v>601002</v>
          </cell>
          <cell r="B105" t="str">
            <v>医师</v>
          </cell>
        </row>
        <row r="106">
          <cell r="A106">
            <v>601003</v>
          </cell>
          <cell r="B106" t="str">
            <v>长弓手</v>
          </cell>
        </row>
        <row r="107">
          <cell r="A107">
            <v>601004</v>
          </cell>
          <cell r="B107" t="str">
            <v>金吾卫</v>
          </cell>
        </row>
        <row r="108">
          <cell r="A108">
            <v>601005</v>
          </cell>
          <cell r="B108" t="str">
            <v>虎豹骑</v>
          </cell>
        </row>
        <row r="109">
          <cell r="A109">
            <v>601006</v>
          </cell>
          <cell r="B109" t="str">
            <v>殿前禁卫</v>
          </cell>
        </row>
        <row r="110">
          <cell r="A110">
            <v>601007</v>
          </cell>
          <cell r="B110" t="str">
            <v>燕赤侠</v>
          </cell>
        </row>
        <row r="111">
          <cell r="A111">
            <v>601008</v>
          </cell>
          <cell r="B111" t="str">
            <v>木吒</v>
          </cell>
        </row>
        <row r="112">
          <cell r="A112">
            <v>601009</v>
          </cell>
          <cell r="B112" t="str">
            <v>黄飞虎</v>
          </cell>
        </row>
        <row r="113">
          <cell r="A113">
            <v>601010</v>
          </cell>
          <cell r="B113" t="str">
            <v>金吒</v>
          </cell>
        </row>
        <row r="114">
          <cell r="A114">
            <v>601011</v>
          </cell>
          <cell r="B114" t="str">
            <v>闻仲</v>
          </cell>
        </row>
        <row r="115">
          <cell r="A115">
            <v>601012</v>
          </cell>
          <cell r="B115" t="str">
            <v>纣王</v>
          </cell>
        </row>
        <row r="116">
          <cell r="A116">
            <v>601013</v>
          </cell>
          <cell r="B116" t="str">
            <v>申公豹</v>
          </cell>
        </row>
        <row r="117">
          <cell r="A117">
            <v>601014</v>
          </cell>
          <cell r="B117" t="str">
            <v>李靖</v>
          </cell>
        </row>
        <row r="118">
          <cell r="A118">
            <v>601015</v>
          </cell>
          <cell r="B118" t="str">
            <v>邓婵玉</v>
          </cell>
        </row>
        <row r="119">
          <cell r="A119">
            <v>601016</v>
          </cell>
          <cell r="B119" t="str">
            <v>嫦娥</v>
          </cell>
        </row>
        <row r="120">
          <cell r="A120">
            <v>601017</v>
          </cell>
          <cell r="B120" t="str">
            <v>后羿</v>
          </cell>
        </row>
        <row r="121">
          <cell r="A121">
            <v>601018</v>
          </cell>
          <cell r="B121" t="str">
            <v>姬发</v>
          </cell>
        </row>
        <row r="122">
          <cell r="A122">
            <v>601019</v>
          </cell>
          <cell r="B122" t="str">
            <v>杨戬</v>
          </cell>
        </row>
        <row r="123">
          <cell r="A123">
            <v>601020</v>
          </cell>
          <cell r="B123" t="str">
            <v>哪吒</v>
          </cell>
        </row>
        <row r="124">
          <cell r="A124">
            <v>601021</v>
          </cell>
          <cell r="B124" t="str">
            <v>姜子牙</v>
          </cell>
        </row>
        <row r="125">
          <cell r="A125">
            <v>601022</v>
          </cell>
          <cell r="B125" t="str">
            <v>雷震子</v>
          </cell>
        </row>
        <row r="126">
          <cell r="A126">
            <v>602001</v>
          </cell>
          <cell r="B126" t="str">
            <v>仙童</v>
          </cell>
        </row>
        <row r="127">
          <cell r="A127">
            <v>602002</v>
          </cell>
          <cell r="B127" t="str">
            <v>日游神</v>
          </cell>
        </row>
        <row r="128">
          <cell r="A128">
            <v>602003</v>
          </cell>
          <cell r="B128" t="str">
            <v>夜游神</v>
          </cell>
        </row>
        <row r="129">
          <cell r="A129">
            <v>602004</v>
          </cell>
          <cell r="B129" t="str">
            <v>金童</v>
          </cell>
        </row>
        <row r="130">
          <cell r="A130">
            <v>602005</v>
          </cell>
          <cell r="B130" t="str">
            <v>玉女</v>
          </cell>
        </row>
        <row r="131">
          <cell r="A131">
            <v>602006</v>
          </cell>
          <cell r="B131" t="str">
            <v>青宵</v>
          </cell>
        </row>
        <row r="132">
          <cell r="A132">
            <v>602007</v>
          </cell>
          <cell r="B132" t="str">
            <v>龙吉公主</v>
          </cell>
        </row>
        <row r="133">
          <cell r="A133">
            <v>602008</v>
          </cell>
          <cell r="B133" t="str">
            <v>白龙</v>
          </cell>
        </row>
        <row r="134">
          <cell r="A134">
            <v>602009</v>
          </cell>
          <cell r="B134" t="str">
            <v>太白金星</v>
          </cell>
        </row>
        <row r="135">
          <cell r="A135">
            <v>602010</v>
          </cell>
          <cell r="B135" t="str">
            <v>月老</v>
          </cell>
        </row>
        <row r="136">
          <cell r="A136">
            <v>602011</v>
          </cell>
          <cell r="B136" t="str">
            <v>织女</v>
          </cell>
        </row>
        <row r="137">
          <cell r="A137">
            <v>602012</v>
          </cell>
          <cell r="B137" t="str">
            <v>河伯</v>
          </cell>
        </row>
        <row r="138">
          <cell r="A138">
            <v>602013</v>
          </cell>
          <cell r="B138" t="str">
            <v>雨师</v>
          </cell>
        </row>
        <row r="139">
          <cell r="A139">
            <v>602014</v>
          </cell>
          <cell r="B139" t="str">
            <v>天蓬元帅</v>
          </cell>
        </row>
        <row r="140">
          <cell r="A140">
            <v>602015</v>
          </cell>
          <cell r="B140" t="str">
            <v>卷帘大将</v>
          </cell>
        </row>
        <row r="141">
          <cell r="A141">
            <v>602016</v>
          </cell>
          <cell r="B141" t="str">
            <v>南极仙翁</v>
          </cell>
        </row>
        <row r="142">
          <cell r="A142">
            <v>602017</v>
          </cell>
          <cell r="B142" t="str">
            <v>财神</v>
          </cell>
        </row>
        <row r="143">
          <cell r="A143">
            <v>602018</v>
          </cell>
          <cell r="B143" t="str">
            <v>斗战胜佛</v>
          </cell>
        </row>
        <row r="144">
          <cell r="A144">
            <v>602019</v>
          </cell>
          <cell r="B144" t="str">
            <v>太乙真人</v>
          </cell>
        </row>
        <row r="145">
          <cell r="A145">
            <v>602020</v>
          </cell>
          <cell r="B145" t="str">
            <v>通天教主</v>
          </cell>
        </row>
        <row r="146">
          <cell r="A146">
            <v>602021</v>
          </cell>
          <cell r="B146" t="str">
            <v>元始天尊</v>
          </cell>
        </row>
        <row r="147">
          <cell r="A147">
            <v>602022</v>
          </cell>
          <cell r="B147" t="str">
            <v>云中子</v>
          </cell>
        </row>
        <row r="148">
          <cell r="A148">
            <v>602023</v>
          </cell>
          <cell r="B148" t="str">
            <v>九天玄女</v>
          </cell>
        </row>
        <row r="149">
          <cell r="A149">
            <v>603001</v>
          </cell>
          <cell r="B149" t="str">
            <v>将臣</v>
          </cell>
        </row>
        <row r="150">
          <cell r="A150">
            <v>603002</v>
          </cell>
          <cell r="B150" t="str">
            <v>幽灵</v>
          </cell>
        </row>
        <row r="151">
          <cell r="A151">
            <v>603003</v>
          </cell>
          <cell r="B151" t="str">
            <v>花妖</v>
          </cell>
        </row>
        <row r="152">
          <cell r="A152">
            <v>603004</v>
          </cell>
          <cell r="B152" t="str">
            <v>黑风</v>
          </cell>
        </row>
        <row r="153">
          <cell r="A153">
            <v>603005</v>
          </cell>
          <cell r="B153" t="str">
            <v>山鬼</v>
          </cell>
        </row>
        <row r="154">
          <cell r="A154">
            <v>603006</v>
          </cell>
          <cell r="B154" t="str">
            <v>霸波尔奔</v>
          </cell>
        </row>
        <row r="155">
          <cell r="A155">
            <v>603007</v>
          </cell>
          <cell r="B155" t="str">
            <v>玉兔</v>
          </cell>
        </row>
        <row r="156">
          <cell r="A156">
            <v>603008</v>
          </cell>
          <cell r="B156" t="str">
            <v>奔波儿灞</v>
          </cell>
        </row>
        <row r="157">
          <cell r="A157">
            <v>603009</v>
          </cell>
          <cell r="B157" t="str">
            <v>金角大王</v>
          </cell>
        </row>
        <row r="158">
          <cell r="A158">
            <v>603010</v>
          </cell>
          <cell r="B158" t="str">
            <v>鬼将</v>
          </cell>
        </row>
        <row r="159">
          <cell r="A159">
            <v>603011</v>
          </cell>
          <cell r="B159" t="str">
            <v>银角大王</v>
          </cell>
        </row>
        <row r="160">
          <cell r="A160">
            <v>603012</v>
          </cell>
          <cell r="B160" t="str">
            <v>盘丝</v>
          </cell>
        </row>
        <row r="161">
          <cell r="A161">
            <v>603013</v>
          </cell>
          <cell r="B161" t="str">
            <v>夜叉</v>
          </cell>
        </row>
        <row r="162">
          <cell r="A162">
            <v>603014</v>
          </cell>
          <cell r="B162" t="str">
            <v>红孩儿</v>
          </cell>
        </row>
        <row r="163">
          <cell r="A163">
            <v>603015</v>
          </cell>
          <cell r="B163" t="str">
            <v>石矶</v>
          </cell>
        </row>
        <row r="164">
          <cell r="A164">
            <v>603016</v>
          </cell>
          <cell r="B164" t="str">
            <v>混天大圣</v>
          </cell>
        </row>
        <row r="165">
          <cell r="A165">
            <v>603017</v>
          </cell>
          <cell r="B165" t="str">
            <v>牛魔王</v>
          </cell>
        </row>
        <row r="166">
          <cell r="A166">
            <v>603018</v>
          </cell>
          <cell r="B166" t="str">
            <v>擎苍</v>
          </cell>
        </row>
        <row r="167">
          <cell r="A167">
            <v>603019</v>
          </cell>
          <cell r="B167" t="str">
            <v>金乌</v>
          </cell>
        </row>
        <row r="168">
          <cell r="A168">
            <v>603020</v>
          </cell>
          <cell r="B168" t="str">
            <v>敖丙</v>
          </cell>
        </row>
        <row r="169">
          <cell r="A169">
            <v>603021</v>
          </cell>
          <cell r="B169" t="str">
            <v>白骨夫人</v>
          </cell>
        </row>
        <row r="170">
          <cell r="A170">
            <v>603022</v>
          </cell>
          <cell r="B170" t="str">
            <v>妲己</v>
          </cell>
        </row>
        <row r="171">
          <cell r="A171">
            <v>604001</v>
          </cell>
          <cell r="B171" t="str">
            <v>精卫</v>
          </cell>
        </row>
        <row r="172">
          <cell r="A172">
            <v>604002</v>
          </cell>
          <cell r="B172" t="str">
            <v>瑶姬</v>
          </cell>
        </row>
        <row r="173">
          <cell r="A173">
            <v>604003</v>
          </cell>
          <cell r="B173" t="str">
            <v>女魃</v>
          </cell>
        </row>
        <row r="174">
          <cell r="A174">
            <v>604004</v>
          </cell>
          <cell r="B174" t="str">
            <v>监兵</v>
          </cell>
        </row>
        <row r="175">
          <cell r="A175">
            <v>604005</v>
          </cell>
          <cell r="B175" t="str">
            <v>洛神</v>
          </cell>
        </row>
        <row r="176">
          <cell r="A176">
            <v>604006</v>
          </cell>
          <cell r="B176" t="str">
            <v>盘古</v>
          </cell>
        </row>
        <row r="177">
          <cell r="A177">
            <v>604007</v>
          </cell>
          <cell r="B177" t="str">
            <v>神农</v>
          </cell>
        </row>
        <row r="178">
          <cell r="A178">
            <v>604008</v>
          </cell>
          <cell r="B178" t="str">
            <v>女娲</v>
          </cell>
        </row>
        <row r="179">
          <cell r="A179">
            <v>604009</v>
          </cell>
          <cell r="B179" t="str">
            <v>鲲</v>
          </cell>
        </row>
        <row r="180">
          <cell r="A180">
            <v>604010</v>
          </cell>
          <cell r="B180" t="str">
            <v>玉帝</v>
          </cell>
        </row>
        <row r="181">
          <cell r="A181">
            <v>604011</v>
          </cell>
          <cell r="B181" t="str">
            <v>雷泽</v>
          </cell>
        </row>
        <row r="182">
          <cell r="A182">
            <v>604012</v>
          </cell>
          <cell r="B182" t="str">
            <v>共工</v>
          </cell>
        </row>
        <row r="183">
          <cell r="A183">
            <v>604013</v>
          </cell>
          <cell r="B183" t="str">
            <v>祝融</v>
          </cell>
        </row>
        <row r="184">
          <cell r="A184">
            <v>605001</v>
          </cell>
          <cell r="B184" t="str">
            <v>鲛姬</v>
          </cell>
        </row>
        <row r="185">
          <cell r="A185">
            <v>605002</v>
          </cell>
          <cell r="B185" t="str">
            <v>贪狼</v>
          </cell>
        </row>
        <row r="186">
          <cell r="A186">
            <v>605003</v>
          </cell>
          <cell r="B186" t="str">
            <v>破军</v>
          </cell>
        </row>
        <row r="187">
          <cell r="A187">
            <v>605004</v>
          </cell>
          <cell r="B187" t="str">
            <v>黑无常</v>
          </cell>
        </row>
        <row r="188">
          <cell r="A188">
            <v>605005</v>
          </cell>
          <cell r="B188" t="str">
            <v>白无常</v>
          </cell>
        </row>
        <row r="189">
          <cell r="A189">
            <v>605006</v>
          </cell>
          <cell r="B189" t="str">
            <v>蚩尤</v>
          </cell>
        </row>
        <row r="190">
          <cell r="A190">
            <v>605007</v>
          </cell>
          <cell r="B190" t="str">
            <v>孟婆</v>
          </cell>
        </row>
        <row r="191">
          <cell r="A191">
            <v>605008</v>
          </cell>
          <cell r="B191" t="str">
            <v>刑天</v>
          </cell>
        </row>
        <row r="192">
          <cell r="A192">
            <v>605009</v>
          </cell>
          <cell r="B192" t="str">
            <v>魔·悟空</v>
          </cell>
        </row>
        <row r="193">
          <cell r="A193">
            <v>605010</v>
          </cell>
          <cell r="B193" t="str">
            <v>黄泉</v>
          </cell>
        </row>
        <row r="194">
          <cell r="A194">
            <v>605011</v>
          </cell>
          <cell r="B194" t="str">
            <v>阎君</v>
          </cell>
        </row>
        <row r="195">
          <cell r="A195">
            <v>605012</v>
          </cell>
          <cell r="B195" t="str">
            <v>东皇太一</v>
          </cell>
        </row>
        <row r="196">
          <cell r="A196">
            <v>606001</v>
          </cell>
          <cell r="B196" t="str">
            <v>4星随机碎片</v>
          </cell>
        </row>
        <row r="197">
          <cell r="A197">
            <v>606002</v>
          </cell>
          <cell r="B197" t="str">
            <v>5星随机碎片</v>
          </cell>
        </row>
        <row r="198">
          <cell r="A198">
            <v>606003</v>
          </cell>
          <cell r="B198" t="str">
            <v>4星人族碎片</v>
          </cell>
        </row>
        <row r="199">
          <cell r="A199">
            <v>606004</v>
          </cell>
          <cell r="B199" t="str">
            <v>4星仙族碎片</v>
          </cell>
        </row>
        <row r="200">
          <cell r="A200">
            <v>606005</v>
          </cell>
          <cell r="B200" t="str">
            <v>4星妖族碎片</v>
          </cell>
        </row>
        <row r="201">
          <cell r="A201">
            <v>606006</v>
          </cell>
          <cell r="B201" t="str">
            <v>4星神族碎片</v>
          </cell>
        </row>
        <row r="202">
          <cell r="A202">
            <v>606007</v>
          </cell>
          <cell r="B202" t="str">
            <v>4星魔族碎片</v>
          </cell>
        </row>
        <row r="203">
          <cell r="A203">
            <v>606008</v>
          </cell>
          <cell r="B203" t="str">
            <v>5星人族碎片</v>
          </cell>
        </row>
        <row r="204">
          <cell r="A204">
            <v>606009</v>
          </cell>
          <cell r="B204" t="str">
            <v>5星仙族碎片</v>
          </cell>
        </row>
        <row r="205">
          <cell r="A205">
            <v>606010</v>
          </cell>
          <cell r="B205" t="str">
            <v>5星妖族碎片</v>
          </cell>
        </row>
        <row r="206">
          <cell r="A206">
            <v>606011</v>
          </cell>
          <cell r="B206" t="str">
            <v>5星神族碎片</v>
          </cell>
        </row>
        <row r="207">
          <cell r="A207">
            <v>606012</v>
          </cell>
          <cell r="B207" t="str">
            <v>5星魔族碎片</v>
          </cell>
        </row>
        <row r="208">
          <cell r="A208">
            <v>606013</v>
          </cell>
          <cell r="B208" t="str">
            <v>3星随机碎片</v>
          </cell>
        </row>
        <row r="209">
          <cell r="A209">
            <v>700001</v>
          </cell>
          <cell r="B209" t="str">
            <v>水色悠梦（7天）</v>
          </cell>
        </row>
        <row r="210">
          <cell r="A210">
            <v>700002</v>
          </cell>
          <cell r="B210" t="str">
            <v>如梦令（7天）</v>
          </cell>
        </row>
        <row r="211">
          <cell r="A211">
            <v>700003</v>
          </cell>
          <cell r="B211" t="str">
            <v>赤羽火舞（7天）</v>
          </cell>
        </row>
        <row r="212">
          <cell r="A212">
            <v>700004</v>
          </cell>
          <cell r="B212" t="str">
            <v>幸存者（7天）</v>
          </cell>
        </row>
        <row r="213">
          <cell r="A213">
            <v>700005</v>
          </cell>
          <cell r="B213" t="str">
            <v>天魔乱舞（7天）</v>
          </cell>
        </row>
        <row r="214">
          <cell r="A214">
            <v>700006</v>
          </cell>
          <cell r="B214" t="str">
            <v>甜心女仆（7天）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Q26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B2" sqref="B2"/>
    </sheetView>
  </sheetViews>
  <sheetFormatPr defaultColWidth="9" defaultRowHeight="15"/>
  <cols>
    <col min="2" max="2" width="19.5714285714286" customWidth="1"/>
    <col min="4" max="4" width="13.2857142857143" customWidth="1"/>
    <col min="5" max="5" width="12.8571428571429" customWidth="1"/>
    <col min="6" max="6" width="14.1428571428571" customWidth="1"/>
    <col min="7" max="7" width="16" style="8" customWidth="1"/>
    <col min="8" max="8" width="18.5714285714286" customWidth="1"/>
    <col min="9" max="9" width="15.5714285714286" customWidth="1"/>
    <col min="10" max="10" width="20.1428571428571" customWidth="1"/>
    <col min="11" max="11" width="16.2857142857143" style="8" customWidth="1"/>
    <col min="12" max="12" width="16.5714285714286" customWidth="1"/>
    <col min="13" max="14" width="26.4285714285714" customWidth="1"/>
    <col min="15" max="15" width="18" customWidth="1"/>
    <col min="16" max="16" width="11.4285714285714" customWidth="1"/>
  </cols>
  <sheetData>
    <row r="1" s="223" customFormat="1" spans="1:17">
      <c r="A1" s="224" t="s">
        <v>0</v>
      </c>
      <c r="B1" s="224" t="s">
        <v>1</v>
      </c>
      <c r="C1" s="224" t="s">
        <v>2</v>
      </c>
      <c r="D1" s="224" t="s">
        <v>3</v>
      </c>
      <c r="E1" s="224" t="s">
        <v>4</v>
      </c>
      <c r="F1" s="225" t="s">
        <v>5</v>
      </c>
      <c r="G1" s="226" t="s">
        <v>6</v>
      </c>
      <c r="H1" s="224" t="s">
        <v>7</v>
      </c>
      <c r="I1" s="224" t="s">
        <v>8</v>
      </c>
      <c r="J1" s="224" t="s">
        <v>9</v>
      </c>
      <c r="K1" s="226" t="s">
        <v>10</v>
      </c>
      <c r="L1" s="224" t="s">
        <v>11</v>
      </c>
      <c r="M1" s="224" t="s">
        <v>12</v>
      </c>
      <c r="N1" s="224" t="s">
        <v>13</v>
      </c>
      <c r="O1" s="224" t="s">
        <v>14</v>
      </c>
      <c r="P1" s="224" t="s">
        <v>15</v>
      </c>
      <c r="Q1" s="224" t="s">
        <v>16</v>
      </c>
    </row>
    <row r="2" ht="16.5" spans="1:17">
      <c r="A2" s="3">
        <v>10</v>
      </c>
      <c r="B2" s="3" t="s">
        <v>17</v>
      </c>
      <c r="C2" s="3">
        <v>1</v>
      </c>
      <c r="D2" s="3">
        <v>1</v>
      </c>
      <c r="E2" s="3"/>
      <c r="F2" s="3">
        <v>1</v>
      </c>
      <c r="G2" s="9"/>
      <c r="H2" s="3"/>
      <c r="I2" s="3"/>
      <c r="J2" s="3"/>
      <c r="K2" s="9"/>
      <c r="L2" s="3"/>
      <c r="M2" s="230"/>
      <c r="N2" s="230"/>
      <c r="O2" s="9" t="s">
        <v>18</v>
      </c>
      <c r="P2" s="3"/>
      <c r="Q2" s="3">
        <v>1</v>
      </c>
    </row>
    <row r="3" ht="16.5" spans="1:17">
      <c r="A3" s="3">
        <v>20</v>
      </c>
      <c r="B3" s="3" t="s">
        <v>19</v>
      </c>
      <c r="C3" s="3">
        <v>1</v>
      </c>
      <c r="D3" s="3">
        <v>2</v>
      </c>
      <c r="E3" s="3"/>
      <c r="F3" s="3">
        <v>2</v>
      </c>
      <c r="G3" s="9"/>
      <c r="H3" s="3"/>
      <c r="I3" s="3"/>
      <c r="J3" s="3"/>
      <c r="K3" s="9"/>
      <c r="L3" s="3">
        <v>-1</v>
      </c>
      <c r="M3" s="9" t="s">
        <v>20</v>
      </c>
      <c r="N3" s="9"/>
      <c r="O3" s="9" t="s">
        <v>21</v>
      </c>
      <c r="P3" s="3">
        <v>1</v>
      </c>
      <c r="Q3" s="3">
        <v>1</v>
      </c>
    </row>
    <row r="4" ht="16.5" spans="1:17">
      <c r="A4" s="3">
        <v>31</v>
      </c>
      <c r="B4" s="3" t="s">
        <v>22</v>
      </c>
      <c r="C4" s="3">
        <v>1</v>
      </c>
      <c r="D4" s="3">
        <v>3</v>
      </c>
      <c r="E4" s="3">
        <v>1</v>
      </c>
      <c r="F4" s="3">
        <v>3</v>
      </c>
      <c r="G4" s="9"/>
      <c r="H4" s="3"/>
      <c r="I4" s="3"/>
      <c r="J4" s="3"/>
      <c r="K4" s="9"/>
      <c r="L4" s="3"/>
      <c r="M4" s="3" t="s">
        <v>23</v>
      </c>
      <c r="N4" s="3"/>
      <c r="O4" s="9" t="s">
        <v>24</v>
      </c>
      <c r="P4" s="3"/>
      <c r="Q4" s="3">
        <v>1</v>
      </c>
    </row>
    <row r="5" ht="16.5" spans="1:17">
      <c r="A5" s="3">
        <v>32</v>
      </c>
      <c r="B5" s="3" t="s">
        <v>25</v>
      </c>
      <c r="C5" s="3">
        <v>1</v>
      </c>
      <c r="D5" s="3">
        <v>3</v>
      </c>
      <c r="E5" s="3">
        <v>2</v>
      </c>
      <c r="F5" s="3">
        <v>3</v>
      </c>
      <c r="G5" s="9"/>
      <c r="H5" s="3"/>
      <c r="I5" s="3"/>
      <c r="J5" s="3"/>
      <c r="K5" s="9"/>
      <c r="L5" s="3"/>
      <c r="M5" s="9" t="s">
        <v>26</v>
      </c>
      <c r="N5" s="9"/>
      <c r="O5" s="9" t="s">
        <v>27</v>
      </c>
      <c r="P5" s="3"/>
      <c r="Q5" s="3">
        <v>1</v>
      </c>
    </row>
    <row r="6" ht="16.5" spans="1:17">
      <c r="A6" s="3">
        <v>33</v>
      </c>
      <c r="B6" s="3" t="s">
        <v>28</v>
      </c>
      <c r="C6" s="3">
        <v>1</v>
      </c>
      <c r="D6" s="3">
        <v>3</v>
      </c>
      <c r="E6" s="3">
        <v>3</v>
      </c>
      <c r="F6" s="3">
        <v>3</v>
      </c>
      <c r="G6" s="9"/>
      <c r="H6" s="3" t="s">
        <v>29</v>
      </c>
      <c r="I6" s="3"/>
      <c r="J6" s="3"/>
      <c r="K6" s="9"/>
      <c r="L6" s="3"/>
      <c r="M6" s="3" t="s">
        <v>30</v>
      </c>
      <c r="N6" s="3"/>
      <c r="O6" s="9" t="s">
        <v>31</v>
      </c>
      <c r="P6" s="3"/>
      <c r="Q6" s="3">
        <v>1</v>
      </c>
    </row>
    <row r="7" ht="16.5" spans="1:17">
      <c r="A7" s="3">
        <v>34</v>
      </c>
      <c r="B7" s="3" t="s">
        <v>32</v>
      </c>
      <c r="C7" s="3">
        <v>1</v>
      </c>
      <c r="D7" s="3">
        <v>3</v>
      </c>
      <c r="E7" s="3">
        <v>4</v>
      </c>
      <c r="F7" s="3">
        <v>3</v>
      </c>
      <c r="G7" s="9" t="s">
        <v>21</v>
      </c>
      <c r="H7" s="3"/>
      <c r="I7" s="3" t="s">
        <v>33</v>
      </c>
      <c r="J7" s="3">
        <v>3</v>
      </c>
      <c r="K7" s="9"/>
      <c r="L7" s="3">
        <v>-1</v>
      </c>
      <c r="M7" s="3" t="s">
        <v>34</v>
      </c>
      <c r="N7" s="3"/>
      <c r="O7" s="9" t="s">
        <v>35</v>
      </c>
      <c r="P7" s="3"/>
      <c r="Q7" s="3">
        <v>1</v>
      </c>
    </row>
    <row r="8" ht="16.5" spans="1:17">
      <c r="A8" s="3">
        <v>35</v>
      </c>
      <c r="B8" s="3" t="s">
        <v>36</v>
      </c>
      <c r="C8" s="3">
        <v>1</v>
      </c>
      <c r="D8" s="3">
        <v>3</v>
      </c>
      <c r="E8" s="3">
        <v>5</v>
      </c>
      <c r="F8" s="3">
        <v>3</v>
      </c>
      <c r="G8" s="9"/>
      <c r="H8" s="3" t="s">
        <v>37</v>
      </c>
      <c r="I8" s="3"/>
      <c r="J8" s="3"/>
      <c r="K8" s="9"/>
      <c r="L8" s="3"/>
      <c r="M8" s="9" t="s">
        <v>38</v>
      </c>
      <c r="N8" s="9"/>
      <c r="O8" s="9" t="s">
        <v>39</v>
      </c>
      <c r="P8" s="3"/>
      <c r="Q8" s="3">
        <v>0</v>
      </c>
    </row>
    <row r="9" ht="16.5" spans="1:17">
      <c r="A9" s="3">
        <v>40</v>
      </c>
      <c r="B9" s="3" t="s">
        <v>40</v>
      </c>
      <c r="C9" s="3">
        <v>1</v>
      </c>
      <c r="D9" s="3">
        <v>4</v>
      </c>
      <c r="E9" s="3"/>
      <c r="F9" s="3">
        <v>4</v>
      </c>
      <c r="G9" s="9" t="s">
        <v>21</v>
      </c>
      <c r="H9" s="3"/>
      <c r="I9" s="3" t="s">
        <v>33</v>
      </c>
      <c r="J9" s="3">
        <v>3</v>
      </c>
      <c r="K9" s="9" t="s">
        <v>41</v>
      </c>
      <c r="L9" s="3">
        <v>20</v>
      </c>
      <c r="M9" s="3" t="s">
        <v>42</v>
      </c>
      <c r="N9" s="3"/>
      <c r="O9" s="9" t="s">
        <v>43</v>
      </c>
      <c r="P9" s="3"/>
      <c r="Q9" s="3">
        <v>1</v>
      </c>
    </row>
    <row r="10" s="40" customFormat="1" ht="16.5" spans="1:17">
      <c r="A10" s="227">
        <v>50</v>
      </c>
      <c r="B10" s="227" t="s">
        <v>44</v>
      </c>
      <c r="C10" s="227">
        <v>1</v>
      </c>
      <c r="D10" s="227">
        <v>5</v>
      </c>
      <c r="E10" s="227"/>
      <c r="F10" s="227">
        <v>5</v>
      </c>
      <c r="G10" s="228"/>
      <c r="H10" s="227"/>
      <c r="I10" s="227"/>
      <c r="J10" s="227"/>
      <c r="K10" s="228"/>
      <c r="L10" s="227"/>
      <c r="M10" s="227"/>
      <c r="N10" s="227"/>
      <c r="O10" s="228" t="s">
        <v>45</v>
      </c>
      <c r="P10" s="227"/>
      <c r="Q10" s="227">
        <v>1</v>
      </c>
    </row>
    <row r="11" ht="16.5" spans="1:17">
      <c r="A11" s="3">
        <v>60</v>
      </c>
      <c r="B11" s="3" t="s">
        <v>46</v>
      </c>
      <c r="C11" s="3">
        <v>2</v>
      </c>
      <c r="D11" s="3">
        <v>6</v>
      </c>
      <c r="E11" s="3"/>
      <c r="F11" s="3"/>
      <c r="G11" s="9" t="s">
        <v>21</v>
      </c>
      <c r="H11" s="9"/>
      <c r="I11" s="9" t="s">
        <v>47</v>
      </c>
      <c r="J11" s="3">
        <v>5</v>
      </c>
      <c r="K11" s="9" t="s">
        <v>41</v>
      </c>
      <c r="L11" s="3">
        <v>100</v>
      </c>
      <c r="M11" s="9" t="s">
        <v>48</v>
      </c>
      <c r="N11" s="9" t="s">
        <v>49</v>
      </c>
      <c r="O11" s="9" t="s">
        <v>18</v>
      </c>
      <c r="P11" s="14"/>
      <c r="Q11" s="3">
        <v>1</v>
      </c>
    </row>
    <row r="12" ht="16.5" spans="1:17">
      <c r="A12" s="3">
        <v>70</v>
      </c>
      <c r="B12" s="3" t="s">
        <v>50</v>
      </c>
      <c r="C12" s="3">
        <v>3</v>
      </c>
      <c r="D12" s="3">
        <v>7</v>
      </c>
      <c r="E12" s="3"/>
      <c r="F12" s="3"/>
      <c r="G12" s="9"/>
      <c r="H12" s="9"/>
      <c r="I12" s="9"/>
      <c r="J12" s="3"/>
      <c r="K12" s="9"/>
      <c r="L12" s="3"/>
      <c r="M12" s="9"/>
      <c r="N12" s="9"/>
      <c r="O12" s="9" t="s">
        <v>18</v>
      </c>
      <c r="P12" s="14"/>
      <c r="Q12" s="3">
        <v>1</v>
      </c>
    </row>
    <row r="13" ht="16.5" spans="1:17">
      <c r="A13" s="3">
        <v>80</v>
      </c>
      <c r="B13" s="3" t="s">
        <v>51</v>
      </c>
      <c r="C13" s="3">
        <v>4</v>
      </c>
      <c r="D13" s="3">
        <v>8</v>
      </c>
      <c r="E13" s="14"/>
      <c r="F13" s="14"/>
      <c r="G13" s="9"/>
      <c r="H13" s="14"/>
      <c r="I13" s="14"/>
      <c r="J13" s="14"/>
      <c r="K13" s="9"/>
      <c r="L13" s="14"/>
      <c r="M13" s="14"/>
      <c r="N13" s="14"/>
      <c r="O13" s="9" t="s">
        <v>52</v>
      </c>
      <c r="P13" s="14"/>
      <c r="Q13" s="3">
        <v>1</v>
      </c>
    </row>
    <row r="14" ht="16.5" spans="1:17">
      <c r="A14" s="3">
        <v>90</v>
      </c>
      <c r="B14" s="3" t="s">
        <v>53</v>
      </c>
      <c r="C14" s="3">
        <v>5</v>
      </c>
      <c r="D14" s="3">
        <v>9</v>
      </c>
      <c r="O14" s="9" t="s">
        <v>54</v>
      </c>
      <c r="Q14" s="3">
        <v>1</v>
      </c>
    </row>
    <row r="15" ht="16.5" spans="1:17">
      <c r="A15" s="3">
        <v>100</v>
      </c>
      <c r="B15" s="3" t="s">
        <v>55</v>
      </c>
      <c r="C15" s="3">
        <v>6</v>
      </c>
      <c r="D15" s="3">
        <v>10</v>
      </c>
      <c r="H15" s="3" t="s">
        <v>29</v>
      </c>
      <c r="O15" s="9" t="s">
        <v>56</v>
      </c>
      <c r="Q15" s="3">
        <v>1</v>
      </c>
    </row>
    <row r="16" ht="16.5" spans="1:17">
      <c r="A16" s="3">
        <v>110</v>
      </c>
      <c r="B16" s="3" t="s">
        <v>57</v>
      </c>
      <c r="C16" s="3">
        <v>7</v>
      </c>
      <c r="D16" s="3">
        <v>11</v>
      </c>
      <c r="E16" s="3"/>
      <c r="F16" s="3"/>
      <c r="G16" s="9"/>
      <c r="H16" s="9"/>
      <c r="I16" s="9"/>
      <c r="J16" s="3"/>
      <c r="K16" s="9"/>
      <c r="L16" s="3"/>
      <c r="M16" s="9"/>
      <c r="N16" s="9"/>
      <c r="O16" s="9" t="s">
        <v>18</v>
      </c>
      <c r="P16" s="14"/>
      <c r="Q16" s="3">
        <v>1</v>
      </c>
    </row>
    <row r="17" ht="16.5" spans="1:17">
      <c r="A17" s="3">
        <v>121</v>
      </c>
      <c r="B17" s="3" t="s">
        <v>58</v>
      </c>
      <c r="C17" s="3">
        <v>8</v>
      </c>
      <c r="D17" s="3">
        <v>12</v>
      </c>
      <c r="E17" s="3">
        <v>1</v>
      </c>
      <c r="F17" s="3"/>
      <c r="H17" s="3" t="s">
        <v>29</v>
      </c>
      <c r="O17" s="9" t="s">
        <v>59</v>
      </c>
      <c r="Q17" s="3">
        <v>1</v>
      </c>
    </row>
    <row r="18" ht="16.5" spans="1:17">
      <c r="A18" s="3">
        <v>122</v>
      </c>
      <c r="B18" s="3" t="s">
        <v>60</v>
      </c>
      <c r="C18" s="3">
        <v>8</v>
      </c>
      <c r="D18" s="3">
        <v>12</v>
      </c>
      <c r="E18" s="229">
        <v>2</v>
      </c>
      <c r="F18" s="229"/>
      <c r="G18" s="9" t="s">
        <v>21</v>
      </c>
      <c r="I18" s="9" t="s">
        <v>61</v>
      </c>
      <c r="J18" s="3">
        <v>1</v>
      </c>
      <c r="K18" s="9" t="s">
        <v>41</v>
      </c>
      <c r="L18" s="3">
        <v>20</v>
      </c>
      <c r="M18" s="9" t="s">
        <v>62</v>
      </c>
      <c r="N18" s="9"/>
      <c r="O18" s="9" t="s">
        <v>59</v>
      </c>
      <c r="Q18" s="3">
        <v>1</v>
      </c>
    </row>
    <row r="19" ht="16.5" spans="1:17">
      <c r="A19" s="3">
        <v>130</v>
      </c>
      <c r="B19" s="3" t="s">
        <v>63</v>
      </c>
      <c r="C19" s="3">
        <v>9</v>
      </c>
      <c r="D19" s="3">
        <v>13</v>
      </c>
      <c r="E19" s="229"/>
      <c r="F19" s="229"/>
      <c r="G19" s="9"/>
      <c r="I19" s="9"/>
      <c r="J19" s="3"/>
      <c r="K19" s="9"/>
      <c r="L19" s="3"/>
      <c r="M19" s="9"/>
      <c r="N19" s="9"/>
      <c r="O19" s="9" t="s">
        <v>64</v>
      </c>
      <c r="Q19" s="3">
        <v>1</v>
      </c>
    </row>
    <row r="20" ht="16.5" spans="1:17">
      <c r="A20" s="3">
        <v>140</v>
      </c>
      <c r="B20" s="3" t="s">
        <v>65</v>
      </c>
      <c r="C20" s="3">
        <v>10</v>
      </c>
      <c r="D20" s="3">
        <v>14</v>
      </c>
      <c r="O20" s="9" t="s">
        <v>66</v>
      </c>
      <c r="Q20" s="3">
        <v>1</v>
      </c>
    </row>
    <row r="21" ht="16.5" spans="1:17">
      <c r="A21" s="3">
        <v>150</v>
      </c>
      <c r="B21" s="3" t="s">
        <v>67</v>
      </c>
      <c r="C21" s="3">
        <v>11</v>
      </c>
      <c r="D21" s="3">
        <v>15</v>
      </c>
      <c r="F21" s="3">
        <v>6</v>
      </c>
      <c r="O21" s="9" t="s">
        <v>68</v>
      </c>
      <c r="P21" s="3"/>
      <c r="Q21" s="3">
        <v>1</v>
      </c>
    </row>
    <row r="22" ht="16.5" spans="1:17">
      <c r="A22" s="3">
        <v>151</v>
      </c>
      <c r="B22" s="3" t="s">
        <v>69</v>
      </c>
      <c r="C22" s="3">
        <v>12</v>
      </c>
      <c r="D22" s="3">
        <v>16</v>
      </c>
      <c r="F22" s="3"/>
      <c r="H22" s="4" t="s">
        <v>41</v>
      </c>
      <c r="O22" s="9" t="s">
        <v>70</v>
      </c>
      <c r="P22" s="3"/>
      <c r="Q22" s="3">
        <v>1</v>
      </c>
    </row>
    <row r="23" ht="16.5" spans="1:17">
      <c r="A23" s="3">
        <v>152</v>
      </c>
      <c r="B23" s="3" t="s">
        <v>71</v>
      </c>
      <c r="C23" s="3">
        <v>13</v>
      </c>
      <c r="D23" s="3">
        <v>17</v>
      </c>
      <c r="F23" s="3"/>
      <c r="H23" s="3"/>
      <c r="O23" s="9" t="s">
        <v>72</v>
      </c>
      <c r="P23" s="3"/>
      <c r="Q23" s="3">
        <v>1</v>
      </c>
    </row>
    <row r="24" ht="16.5" spans="1:17">
      <c r="A24" s="3">
        <v>160</v>
      </c>
      <c r="B24" s="3" t="s">
        <v>73</v>
      </c>
      <c r="C24" s="3">
        <v>14</v>
      </c>
      <c r="D24" s="3">
        <v>18</v>
      </c>
      <c r="F24" s="3"/>
      <c r="H24" s="3"/>
      <c r="O24" s="9" t="s">
        <v>74</v>
      </c>
      <c r="P24" s="3"/>
      <c r="Q24" s="3">
        <v>1</v>
      </c>
    </row>
    <row r="25" ht="16.5" spans="1:17">
      <c r="A25" s="3">
        <v>170</v>
      </c>
      <c r="B25" s="3" t="s">
        <v>75</v>
      </c>
      <c r="C25" s="3">
        <v>15</v>
      </c>
      <c r="D25" s="3">
        <v>19</v>
      </c>
      <c r="F25" s="3"/>
      <c r="H25" s="3"/>
      <c r="O25" s="9" t="s">
        <v>76</v>
      </c>
      <c r="P25" s="3"/>
      <c r="Q25" s="3">
        <v>1</v>
      </c>
    </row>
    <row r="26" ht="16.5" spans="1:17">
      <c r="A26" s="3">
        <v>180</v>
      </c>
      <c r="B26" s="3" t="s">
        <v>77</v>
      </c>
      <c r="C26" s="3">
        <v>16</v>
      </c>
      <c r="D26" s="3">
        <v>20</v>
      </c>
      <c r="F26" s="3"/>
      <c r="H26" s="3"/>
      <c r="O26" s="9" t="s">
        <v>78</v>
      </c>
      <c r="P26" s="3"/>
      <c r="Q26" s="3">
        <v>1</v>
      </c>
    </row>
  </sheetData>
  <pageMargins left="0.7" right="0.7" top="0.75" bottom="0.75" header="0.3" footer="0.3"/>
  <pageSetup paperSize="9" orientation="portrait" horizontalDpi="200" verticalDpi="30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R710"/>
  <sheetViews>
    <sheetView tabSelected="1" workbookViewId="0">
      <pane xSplit="2" ySplit="1" topLeftCell="C619" activePane="bottomRight" state="frozen"/>
      <selection/>
      <selection pane="topRight"/>
      <selection pane="bottomLeft"/>
      <selection pane="bottomRight" activeCell="G625" sqref="G625"/>
    </sheetView>
  </sheetViews>
  <sheetFormatPr defaultColWidth="9" defaultRowHeight="16.5"/>
  <cols>
    <col min="1" max="1" width="12" style="58" customWidth="1"/>
    <col min="2" max="2" width="34" style="58" customWidth="1"/>
    <col min="3" max="3" width="13.7142857142857" style="58" customWidth="1"/>
    <col min="4" max="4" width="12" style="58" customWidth="1"/>
    <col min="5" max="5" width="15" style="59" customWidth="1"/>
    <col min="6" max="6" width="13.8571428571429" style="60" customWidth="1"/>
    <col min="7" max="7" width="9.71428571428571" style="58" customWidth="1"/>
    <col min="8" max="8" width="13.7142857142857" style="58" customWidth="1"/>
    <col min="9" max="9" width="11.4285714285714" style="58" customWidth="1"/>
    <col min="10" max="10" width="37.2857142857143" style="58" customWidth="1"/>
    <col min="11" max="14" width="18.1428571428571" style="58" customWidth="1"/>
    <col min="15" max="15" width="18.1428571428571" style="61" customWidth="1"/>
    <col min="16" max="16" width="9.71428571428571" style="39" customWidth="1"/>
    <col min="17" max="17" width="9.71428571428571" style="58" customWidth="1"/>
    <col min="18" max="18" width="13.7142857142857" style="58" customWidth="1"/>
    <col min="19" max="16384" width="9.14285714285714" style="58"/>
  </cols>
  <sheetData>
    <row r="1" ht="15" spans="1:18">
      <c r="A1" s="62" t="s">
        <v>79</v>
      </c>
      <c r="B1" s="62" t="s">
        <v>80</v>
      </c>
      <c r="C1" s="62" t="s">
        <v>81</v>
      </c>
      <c r="D1" s="62" t="s">
        <v>0</v>
      </c>
      <c r="E1" s="62" t="s">
        <v>82</v>
      </c>
      <c r="F1" s="63" t="s">
        <v>83</v>
      </c>
      <c r="G1" s="62" t="s">
        <v>84</v>
      </c>
      <c r="H1" s="62" t="s">
        <v>85</v>
      </c>
      <c r="I1" s="62" t="s">
        <v>86</v>
      </c>
      <c r="J1" s="62" t="s">
        <v>87</v>
      </c>
      <c r="K1" s="62" t="s">
        <v>88</v>
      </c>
      <c r="L1" s="62" t="s">
        <v>89</v>
      </c>
      <c r="M1" s="62" t="s">
        <v>90</v>
      </c>
      <c r="N1" s="62" t="s">
        <v>91</v>
      </c>
      <c r="O1" s="63" t="s">
        <v>7</v>
      </c>
      <c r="P1" s="62" t="s">
        <v>92</v>
      </c>
      <c r="Q1" s="62" t="s">
        <v>93</v>
      </c>
      <c r="R1" s="62" t="s">
        <v>94</v>
      </c>
    </row>
    <row r="2" spans="1:18">
      <c r="A2" s="64">
        <v>100001</v>
      </c>
      <c r="B2" s="64" t="s">
        <v>50</v>
      </c>
      <c r="C2" s="64">
        <v>0</v>
      </c>
      <c r="D2" s="64">
        <v>10</v>
      </c>
      <c r="E2" s="64" t="s">
        <v>95</v>
      </c>
      <c r="F2" s="65" t="s">
        <v>96</v>
      </c>
      <c r="G2" s="64">
        <v>4</v>
      </c>
      <c r="H2" s="64">
        <v>5</v>
      </c>
      <c r="I2" s="64">
        <v>1</v>
      </c>
      <c r="J2" s="64">
        <v>0</v>
      </c>
      <c r="K2" s="64"/>
      <c r="L2" s="64"/>
      <c r="M2" s="64"/>
      <c r="N2" s="64"/>
      <c r="O2" s="64" t="s">
        <v>41</v>
      </c>
      <c r="P2" s="64"/>
      <c r="Q2" s="64"/>
      <c r="R2" s="64"/>
    </row>
    <row r="3" spans="1:18">
      <c r="A3" s="64">
        <v>100002</v>
      </c>
      <c r="B3" s="66" t="s">
        <v>97</v>
      </c>
      <c r="C3" s="64">
        <v>0</v>
      </c>
      <c r="D3" s="64">
        <v>10</v>
      </c>
      <c r="E3" s="64" t="s">
        <v>98</v>
      </c>
      <c r="F3" s="67" t="s">
        <v>99</v>
      </c>
      <c r="G3" s="64">
        <v>7</v>
      </c>
      <c r="H3" s="64">
        <v>9999</v>
      </c>
      <c r="I3" s="64">
        <v>3</v>
      </c>
      <c r="J3" s="64">
        <v>0</v>
      </c>
      <c r="K3" s="64"/>
      <c r="L3" s="64"/>
      <c r="M3" s="64"/>
      <c r="N3" s="64"/>
      <c r="O3" s="64" t="s">
        <v>41</v>
      </c>
      <c r="P3" s="64"/>
      <c r="Q3" s="64"/>
      <c r="R3" s="64"/>
    </row>
    <row r="4" spans="1:18">
      <c r="A4" s="64">
        <v>100003</v>
      </c>
      <c r="B4" s="59" t="s">
        <v>100</v>
      </c>
      <c r="C4" s="64">
        <v>0</v>
      </c>
      <c r="D4" s="64">
        <v>10</v>
      </c>
      <c r="E4" s="64" t="s">
        <v>101</v>
      </c>
      <c r="F4" s="67" t="s">
        <v>102</v>
      </c>
      <c r="G4" s="64">
        <v>6</v>
      </c>
      <c r="H4" s="64">
        <v>50</v>
      </c>
      <c r="I4" s="64">
        <v>4</v>
      </c>
      <c r="J4" s="64">
        <v>20</v>
      </c>
      <c r="K4" s="64"/>
      <c r="L4" s="64"/>
      <c r="M4" s="64"/>
      <c r="N4" s="64"/>
      <c r="O4" s="64" t="s">
        <v>41</v>
      </c>
      <c r="P4" s="64"/>
      <c r="Q4" s="64"/>
      <c r="R4" s="64"/>
    </row>
    <row r="5" spans="1:18">
      <c r="A5" s="64">
        <v>100004</v>
      </c>
      <c r="B5" s="59" t="s">
        <v>103</v>
      </c>
      <c r="C5" s="64">
        <v>0</v>
      </c>
      <c r="D5" s="64">
        <v>10</v>
      </c>
      <c r="E5" s="64" t="s">
        <v>104</v>
      </c>
      <c r="F5" s="67" t="s">
        <v>105</v>
      </c>
      <c r="G5" s="64">
        <v>1</v>
      </c>
      <c r="H5" s="64">
        <v>30</v>
      </c>
      <c r="I5" s="64">
        <v>5</v>
      </c>
      <c r="J5" s="64">
        <v>30</v>
      </c>
      <c r="K5" s="64"/>
      <c r="L5" s="64"/>
      <c r="M5" s="64"/>
      <c r="N5" s="64"/>
      <c r="O5" s="64" t="s">
        <v>41</v>
      </c>
      <c r="P5" s="64"/>
      <c r="Q5" s="64"/>
      <c r="R5" s="64"/>
    </row>
    <row r="6" spans="1:18">
      <c r="A6" s="64">
        <v>100005</v>
      </c>
      <c r="B6" s="64" t="s">
        <v>106</v>
      </c>
      <c r="C6" s="64">
        <v>0</v>
      </c>
      <c r="D6" s="64">
        <v>10</v>
      </c>
      <c r="E6" s="64" t="s">
        <v>107</v>
      </c>
      <c r="F6" s="67" t="s">
        <v>108</v>
      </c>
      <c r="G6" s="64">
        <v>5</v>
      </c>
      <c r="H6" s="64">
        <v>999</v>
      </c>
      <c r="I6" s="64">
        <v>6</v>
      </c>
      <c r="J6" s="64">
        <v>0</v>
      </c>
      <c r="K6" s="64"/>
      <c r="L6" s="64"/>
      <c r="M6" s="64"/>
      <c r="N6" s="64"/>
      <c r="O6" s="64" t="s">
        <v>41</v>
      </c>
      <c r="P6" s="64"/>
      <c r="Q6" s="64"/>
      <c r="R6" s="64"/>
    </row>
    <row r="7" spans="1:18">
      <c r="A7" s="64">
        <v>100006</v>
      </c>
      <c r="B7" s="64" t="s">
        <v>109</v>
      </c>
      <c r="C7" s="64">
        <v>0</v>
      </c>
      <c r="D7" s="64">
        <v>10</v>
      </c>
      <c r="E7" s="64" t="s">
        <v>110</v>
      </c>
      <c r="F7" s="67" t="s">
        <v>111</v>
      </c>
      <c r="G7" s="64">
        <v>5</v>
      </c>
      <c r="H7" s="64">
        <v>1</v>
      </c>
      <c r="I7" s="64">
        <v>7</v>
      </c>
      <c r="J7" s="64">
        <v>0</v>
      </c>
      <c r="K7" s="64"/>
      <c r="L7" s="64"/>
      <c r="M7" s="64"/>
      <c r="N7" s="64"/>
      <c r="O7" s="64" t="s">
        <v>41</v>
      </c>
      <c r="P7" s="64"/>
      <c r="Q7" s="64"/>
      <c r="R7" s="64"/>
    </row>
    <row r="8" s="46" customFormat="1" spans="1:18">
      <c r="A8" s="64">
        <v>100007</v>
      </c>
      <c r="B8" s="64" t="s">
        <v>106</v>
      </c>
      <c r="C8" s="64">
        <v>0</v>
      </c>
      <c r="D8" s="64">
        <v>10</v>
      </c>
      <c r="E8" s="64" t="s">
        <v>107</v>
      </c>
      <c r="F8" s="67" t="s">
        <v>112</v>
      </c>
      <c r="G8" s="64">
        <v>6</v>
      </c>
      <c r="H8" s="64">
        <v>3000</v>
      </c>
      <c r="I8" s="64">
        <v>8</v>
      </c>
      <c r="J8" s="64">
        <v>30</v>
      </c>
      <c r="K8" s="64"/>
      <c r="L8" s="64"/>
      <c r="M8" s="64"/>
      <c r="N8" s="64"/>
      <c r="O8" s="64" t="s">
        <v>41</v>
      </c>
      <c r="P8" s="64"/>
      <c r="Q8" s="64"/>
      <c r="R8" s="64"/>
    </row>
    <row r="9" s="47" customFormat="1" spans="1:18">
      <c r="A9" s="64">
        <v>100008</v>
      </c>
      <c r="B9" s="64" t="s">
        <v>113</v>
      </c>
      <c r="C9" s="64">
        <v>0</v>
      </c>
      <c r="D9" s="64">
        <v>10</v>
      </c>
      <c r="E9" s="64" t="s">
        <v>114</v>
      </c>
      <c r="F9" s="67" t="s">
        <v>48</v>
      </c>
      <c r="G9" s="64">
        <v>5</v>
      </c>
      <c r="H9" s="64">
        <v>5</v>
      </c>
      <c r="I9" s="64">
        <v>9</v>
      </c>
      <c r="J9" s="64">
        <v>0</v>
      </c>
      <c r="K9" s="64"/>
      <c r="L9" s="64"/>
      <c r="M9" s="64"/>
      <c r="N9" s="64"/>
      <c r="O9" s="64" t="s">
        <v>41</v>
      </c>
      <c r="P9" s="64"/>
      <c r="Q9" s="64"/>
      <c r="R9" s="64"/>
    </row>
    <row r="10" s="47" customFormat="1" spans="1:18">
      <c r="A10" s="64">
        <v>100009</v>
      </c>
      <c r="B10" s="64" t="s">
        <v>115</v>
      </c>
      <c r="C10" s="64">
        <v>0</v>
      </c>
      <c r="D10" s="64">
        <v>10</v>
      </c>
      <c r="E10" s="64" t="s">
        <v>116</v>
      </c>
      <c r="F10" s="67" t="s">
        <v>117</v>
      </c>
      <c r="G10" s="64">
        <v>6</v>
      </c>
      <c r="H10" s="64">
        <v>10</v>
      </c>
      <c r="I10" s="64">
        <v>10</v>
      </c>
      <c r="J10" s="64">
        <v>0</v>
      </c>
      <c r="K10" s="64"/>
      <c r="L10" s="64"/>
      <c r="M10" s="64"/>
      <c r="N10" s="64"/>
      <c r="O10" s="64" t="s">
        <v>41</v>
      </c>
      <c r="P10" s="64"/>
      <c r="Q10" s="64"/>
      <c r="R10" s="64"/>
    </row>
    <row r="11" s="47" customFormat="1" spans="1:18">
      <c r="A11" s="64">
        <v>100010</v>
      </c>
      <c r="B11" s="64" t="s">
        <v>118</v>
      </c>
      <c r="C11" s="64">
        <v>0</v>
      </c>
      <c r="D11" s="64">
        <v>10</v>
      </c>
      <c r="E11" s="64" t="s">
        <v>119</v>
      </c>
      <c r="F11" s="67" t="s">
        <v>120</v>
      </c>
      <c r="G11" s="64">
        <v>5</v>
      </c>
      <c r="H11" s="64">
        <v>10</v>
      </c>
      <c r="I11" s="64">
        <v>11</v>
      </c>
      <c r="J11" s="64">
        <v>0</v>
      </c>
      <c r="K11" s="64"/>
      <c r="L11" s="64"/>
      <c r="M11" s="64"/>
      <c r="N11" s="64"/>
      <c r="O11" s="64" t="s">
        <v>41</v>
      </c>
      <c r="P11" s="64"/>
      <c r="Q11" s="64"/>
      <c r="R11" s="64"/>
    </row>
    <row r="12" s="47" customFormat="1" spans="1:18">
      <c r="A12" s="64">
        <v>100011</v>
      </c>
      <c r="B12" s="64" t="s">
        <v>57</v>
      </c>
      <c r="C12" s="64">
        <v>0</v>
      </c>
      <c r="D12" s="64">
        <v>10</v>
      </c>
      <c r="E12" s="64" t="s">
        <v>121</v>
      </c>
      <c r="F12" s="67" t="s">
        <v>122</v>
      </c>
      <c r="G12" s="64">
        <v>5</v>
      </c>
      <c r="H12" s="64">
        <v>10</v>
      </c>
      <c r="I12" s="64">
        <v>12</v>
      </c>
      <c r="J12" s="64">
        <v>0</v>
      </c>
      <c r="K12" s="64">
        <v>40</v>
      </c>
      <c r="L12" s="64">
        <v>60</v>
      </c>
      <c r="M12" s="64"/>
      <c r="N12" s="64"/>
      <c r="O12" s="64" t="s">
        <v>41</v>
      </c>
      <c r="P12" s="64"/>
      <c r="Q12" s="64"/>
      <c r="R12" s="64"/>
    </row>
    <row r="13" s="47" customFormat="1" spans="1:18">
      <c r="A13" s="64">
        <v>100012</v>
      </c>
      <c r="B13" s="64" t="s">
        <v>57</v>
      </c>
      <c r="C13" s="64">
        <v>0</v>
      </c>
      <c r="D13" s="64">
        <v>10</v>
      </c>
      <c r="E13" s="64" t="s">
        <v>121</v>
      </c>
      <c r="F13" s="67" t="s">
        <v>122</v>
      </c>
      <c r="G13" s="64">
        <v>5</v>
      </c>
      <c r="H13" s="64">
        <v>10</v>
      </c>
      <c r="I13" s="64">
        <v>13</v>
      </c>
      <c r="J13" s="64">
        <v>0</v>
      </c>
      <c r="K13" s="64">
        <v>61</v>
      </c>
      <c r="L13" s="64">
        <v>80</v>
      </c>
      <c r="M13" s="64"/>
      <c r="N13" s="64"/>
      <c r="O13" s="64" t="s">
        <v>41</v>
      </c>
      <c r="P13" s="64"/>
      <c r="Q13" s="64"/>
      <c r="R13" s="64"/>
    </row>
    <row r="14" s="47" customFormat="1" spans="1:18">
      <c r="A14" s="64">
        <v>100013</v>
      </c>
      <c r="B14" s="64" t="s">
        <v>57</v>
      </c>
      <c r="C14" s="64">
        <v>0</v>
      </c>
      <c r="D14" s="64">
        <v>10</v>
      </c>
      <c r="E14" s="64" t="s">
        <v>121</v>
      </c>
      <c r="F14" s="67" t="s">
        <v>122</v>
      </c>
      <c r="G14" s="64">
        <v>5</v>
      </c>
      <c r="H14" s="64">
        <v>10</v>
      </c>
      <c r="I14" s="64">
        <v>14</v>
      </c>
      <c r="J14" s="64">
        <v>0</v>
      </c>
      <c r="K14" s="64">
        <v>81</v>
      </c>
      <c r="L14" s="64">
        <v>100</v>
      </c>
      <c r="M14" s="64"/>
      <c r="N14" s="64"/>
      <c r="O14" s="64" t="s">
        <v>41</v>
      </c>
      <c r="P14" s="64"/>
      <c r="Q14" s="64"/>
      <c r="R14" s="64"/>
    </row>
    <row r="15" s="47" customFormat="1" spans="1:18">
      <c r="A15" s="64">
        <v>100014</v>
      </c>
      <c r="B15" s="64" t="s">
        <v>57</v>
      </c>
      <c r="C15" s="64">
        <v>0</v>
      </c>
      <c r="D15" s="64">
        <v>10</v>
      </c>
      <c r="E15" s="64" t="s">
        <v>121</v>
      </c>
      <c r="F15" s="67" t="s">
        <v>122</v>
      </c>
      <c r="G15" s="64">
        <v>5</v>
      </c>
      <c r="H15" s="64">
        <v>10</v>
      </c>
      <c r="I15" s="64">
        <v>15</v>
      </c>
      <c r="J15" s="64">
        <v>0</v>
      </c>
      <c r="K15" s="64">
        <v>101</v>
      </c>
      <c r="L15" s="64"/>
      <c r="M15" s="64"/>
      <c r="N15" s="64"/>
      <c r="O15" s="64" t="s">
        <v>41</v>
      </c>
      <c r="P15" s="64"/>
      <c r="Q15" s="64"/>
      <c r="R15" s="64"/>
    </row>
    <row r="16" s="47" customFormat="1" spans="1:18">
      <c r="A16" s="64">
        <v>100015</v>
      </c>
      <c r="B16" s="68" t="s">
        <v>123</v>
      </c>
      <c r="C16" s="69">
        <v>0</v>
      </c>
      <c r="D16" s="70">
        <v>10</v>
      </c>
      <c r="E16" s="71" t="s">
        <v>124</v>
      </c>
      <c r="F16" s="65" t="s">
        <v>111</v>
      </c>
      <c r="G16" s="69">
        <v>5</v>
      </c>
      <c r="H16" s="69">
        <v>10</v>
      </c>
      <c r="I16" s="64">
        <v>16</v>
      </c>
      <c r="J16" s="64">
        <v>0</v>
      </c>
      <c r="K16" s="64"/>
      <c r="L16" s="64"/>
      <c r="M16" s="64"/>
      <c r="N16" s="64"/>
      <c r="O16" s="93" t="s">
        <v>41</v>
      </c>
      <c r="P16" s="70"/>
      <c r="Q16" s="96"/>
      <c r="R16" s="96"/>
    </row>
    <row r="17" s="47" customFormat="1" spans="1:18">
      <c r="A17" s="64">
        <v>100016</v>
      </c>
      <c r="B17" s="68" t="s">
        <v>125</v>
      </c>
      <c r="C17" s="69">
        <v>0</v>
      </c>
      <c r="D17" s="70">
        <v>10</v>
      </c>
      <c r="E17" s="71" t="s">
        <v>126</v>
      </c>
      <c r="F17" s="65" t="s">
        <v>111</v>
      </c>
      <c r="G17" s="69">
        <v>2</v>
      </c>
      <c r="H17" s="69">
        <v>10</v>
      </c>
      <c r="I17" s="64">
        <v>17</v>
      </c>
      <c r="J17" s="64">
        <v>0</v>
      </c>
      <c r="K17" s="64"/>
      <c r="L17" s="64"/>
      <c r="M17" s="64"/>
      <c r="N17" s="64"/>
      <c r="O17" s="93" t="s">
        <v>41</v>
      </c>
      <c r="P17" s="70"/>
      <c r="Q17" s="96"/>
      <c r="R17" s="96"/>
    </row>
    <row r="18" s="47" customFormat="1" spans="1:18">
      <c r="A18" s="64">
        <v>100017</v>
      </c>
      <c r="B18" s="68" t="s">
        <v>127</v>
      </c>
      <c r="C18" s="69">
        <v>0</v>
      </c>
      <c r="D18" s="70">
        <v>10</v>
      </c>
      <c r="E18" s="71" t="s">
        <v>128</v>
      </c>
      <c r="F18" s="65" t="s">
        <v>129</v>
      </c>
      <c r="G18" s="69">
        <v>6</v>
      </c>
      <c r="H18" s="69">
        <v>1</v>
      </c>
      <c r="I18" s="64">
        <v>18</v>
      </c>
      <c r="J18" s="64">
        <v>0</v>
      </c>
      <c r="K18" s="64">
        <v>80</v>
      </c>
      <c r="L18" s="64"/>
      <c r="M18" s="64"/>
      <c r="N18" s="64"/>
      <c r="O18" s="93" t="s">
        <v>130</v>
      </c>
      <c r="P18" s="70"/>
      <c r="Q18" s="96"/>
      <c r="R18" s="96"/>
    </row>
    <row r="19" s="47" customFormat="1" spans="1:18">
      <c r="A19" s="64">
        <v>100018</v>
      </c>
      <c r="B19" s="68" t="s">
        <v>131</v>
      </c>
      <c r="C19" s="69">
        <v>0</v>
      </c>
      <c r="D19" s="70">
        <v>10</v>
      </c>
      <c r="E19" s="71" t="s">
        <v>132</v>
      </c>
      <c r="F19" s="65" t="s">
        <v>111</v>
      </c>
      <c r="G19" s="69">
        <v>5</v>
      </c>
      <c r="H19" s="69">
        <v>2</v>
      </c>
      <c r="I19" s="64">
        <v>19</v>
      </c>
      <c r="J19" s="64">
        <v>0</v>
      </c>
      <c r="K19" s="64"/>
      <c r="L19" s="64"/>
      <c r="M19" s="64"/>
      <c r="N19" s="64"/>
      <c r="O19" s="93" t="s">
        <v>41</v>
      </c>
      <c r="P19" s="70"/>
      <c r="Q19" s="96"/>
      <c r="R19" s="96"/>
    </row>
    <row r="20" s="47" customFormat="1" spans="1:18">
      <c r="A20" s="64">
        <v>100019</v>
      </c>
      <c r="B20" s="66" t="s">
        <v>133</v>
      </c>
      <c r="C20" s="69">
        <v>0</v>
      </c>
      <c r="D20" s="70">
        <v>10</v>
      </c>
      <c r="E20" s="71" t="s">
        <v>134</v>
      </c>
      <c r="F20" s="65" t="s">
        <v>135</v>
      </c>
      <c r="G20" s="69"/>
      <c r="H20" s="69">
        <v>4</v>
      </c>
      <c r="I20" s="64">
        <v>20</v>
      </c>
      <c r="J20" s="64">
        <v>0</v>
      </c>
      <c r="K20" s="64">
        <v>70</v>
      </c>
      <c r="L20" s="64"/>
      <c r="M20" s="64"/>
      <c r="N20" s="64"/>
      <c r="O20" s="64" t="s">
        <v>41</v>
      </c>
      <c r="P20" s="70"/>
      <c r="Q20" s="96"/>
      <c r="R20" s="96"/>
    </row>
    <row r="21" s="47" customFormat="1" spans="1:18">
      <c r="A21" s="64">
        <v>100020</v>
      </c>
      <c r="B21" s="66" t="s">
        <v>136</v>
      </c>
      <c r="C21" s="69">
        <v>0</v>
      </c>
      <c r="D21" s="70">
        <v>10</v>
      </c>
      <c r="E21" s="71" t="s">
        <v>137</v>
      </c>
      <c r="F21" s="65" t="s">
        <v>135</v>
      </c>
      <c r="G21" s="69"/>
      <c r="H21" s="69">
        <v>4</v>
      </c>
      <c r="I21" s="64">
        <v>21</v>
      </c>
      <c r="J21" s="64">
        <v>0</v>
      </c>
      <c r="K21" s="64">
        <v>70</v>
      </c>
      <c r="L21" s="64"/>
      <c r="M21" s="64"/>
      <c r="N21" s="64"/>
      <c r="O21" s="64" t="s">
        <v>41</v>
      </c>
      <c r="P21" s="70"/>
      <c r="Q21" s="96"/>
      <c r="R21" s="96"/>
    </row>
    <row r="22" s="47" customFormat="1" spans="1:18">
      <c r="A22" s="64">
        <v>100021</v>
      </c>
      <c r="B22" s="66" t="s">
        <v>138</v>
      </c>
      <c r="C22" s="69">
        <v>0</v>
      </c>
      <c r="D22" s="70">
        <v>10</v>
      </c>
      <c r="E22" s="71" t="s">
        <v>139</v>
      </c>
      <c r="F22" s="65" t="s">
        <v>135</v>
      </c>
      <c r="G22" s="69"/>
      <c r="H22" s="69">
        <v>4</v>
      </c>
      <c r="I22" s="64">
        <v>22</v>
      </c>
      <c r="J22" s="64">
        <v>0</v>
      </c>
      <c r="K22" s="64">
        <v>70</v>
      </c>
      <c r="L22" s="64"/>
      <c r="M22" s="64"/>
      <c r="N22" s="64"/>
      <c r="O22" s="64" t="s">
        <v>41</v>
      </c>
      <c r="P22" s="70"/>
      <c r="Q22" s="96"/>
      <c r="R22" s="96"/>
    </row>
    <row r="23" s="47" customFormat="1" spans="1:18">
      <c r="A23" s="64">
        <v>100022</v>
      </c>
      <c r="B23" s="66" t="s">
        <v>140</v>
      </c>
      <c r="C23" s="69">
        <v>0</v>
      </c>
      <c r="D23" s="70">
        <v>10</v>
      </c>
      <c r="E23" s="71" t="s">
        <v>141</v>
      </c>
      <c r="F23" s="65" t="s">
        <v>135</v>
      </c>
      <c r="G23" s="69"/>
      <c r="H23" s="69">
        <v>4</v>
      </c>
      <c r="I23" s="64">
        <v>23</v>
      </c>
      <c r="J23" s="64">
        <v>0</v>
      </c>
      <c r="K23" s="64">
        <v>70</v>
      </c>
      <c r="L23" s="64"/>
      <c r="M23" s="64"/>
      <c r="N23" s="64"/>
      <c r="O23" s="64" t="s">
        <v>41</v>
      </c>
      <c r="P23" s="70"/>
      <c r="Q23" s="96"/>
      <c r="R23" s="96"/>
    </row>
    <row r="24" s="47" customFormat="1" spans="1:18">
      <c r="A24" s="64">
        <v>100023</v>
      </c>
      <c r="B24" s="66" t="s">
        <v>142</v>
      </c>
      <c r="C24" s="69">
        <v>0</v>
      </c>
      <c r="D24" s="70">
        <v>10</v>
      </c>
      <c r="E24" s="71" t="s">
        <v>143</v>
      </c>
      <c r="F24" s="65" t="s">
        <v>135</v>
      </c>
      <c r="G24" s="69"/>
      <c r="H24" s="69">
        <v>4</v>
      </c>
      <c r="I24" s="64">
        <v>24</v>
      </c>
      <c r="J24" s="64">
        <v>0</v>
      </c>
      <c r="K24" s="64">
        <v>70</v>
      </c>
      <c r="L24" s="64"/>
      <c r="M24" s="64"/>
      <c r="N24" s="64"/>
      <c r="O24" s="64" t="s">
        <v>41</v>
      </c>
      <c r="P24" s="70"/>
      <c r="Q24" s="96"/>
      <c r="R24" s="96"/>
    </row>
    <row r="25" spans="1:18">
      <c r="A25" s="64">
        <v>100024</v>
      </c>
      <c r="B25" s="59" t="s">
        <v>144</v>
      </c>
      <c r="C25" s="64">
        <v>0</v>
      </c>
      <c r="D25" s="64">
        <v>10</v>
      </c>
      <c r="E25" s="64" t="s">
        <v>145</v>
      </c>
      <c r="F25" s="65" t="s">
        <v>146</v>
      </c>
      <c r="G25" s="64"/>
      <c r="H25" s="64">
        <v>200</v>
      </c>
      <c r="I25" s="64">
        <v>2</v>
      </c>
      <c r="J25" s="64">
        <v>0</v>
      </c>
      <c r="K25" s="64">
        <v>70</v>
      </c>
      <c r="L25" s="64"/>
      <c r="M25" s="64"/>
      <c r="N25" s="64"/>
      <c r="O25" s="64" t="s">
        <v>41</v>
      </c>
      <c r="P25" s="64"/>
      <c r="Q25" s="64"/>
      <c r="R25" s="64"/>
    </row>
    <row r="26" s="47" customFormat="1" spans="1:18">
      <c r="A26" s="70">
        <v>200001</v>
      </c>
      <c r="B26" s="72" t="s">
        <v>147</v>
      </c>
      <c r="C26" s="73">
        <v>0</v>
      </c>
      <c r="D26" s="73">
        <v>20</v>
      </c>
      <c r="E26" s="74" t="s">
        <v>148</v>
      </c>
      <c r="F26" s="75" t="s">
        <v>149</v>
      </c>
      <c r="G26" s="76"/>
      <c r="H26" s="73">
        <v>1</v>
      </c>
      <c r="I26" s="76">
        <v>1</v>
      </c>
      <c r="J26" s="73">
        <v>0</v>
      </c>
      <c r="K26" s="70"/>
      <c r="L26" s="70"/>
      <c r="M26" s="70"/>
      <c r="N26" s="70"/>
      <c r="O26" s="94"/>
      <c r="P26" s="70"/>
      <c r="Q26" s="95"/>
      <c r="R26" s="95"/>
    </row>
    <row r="27" s="47" customFormat="1" spans="1:18">
      <c r="A27" s="70">
        <v>200002</v>
      </c>
      <c r="B27" s="77" t="s">
        <v>150</v>
      </c>
      <c r="C27" s="78">
        <v>0</v>
      </c>
      <c r="D27" s="78">
        <v>20</v>
      </c>
      <c r="E27" s="78" t="s">
        <v>151</v>
      </c>
      <c r="F27" s="79" t="s">
        <v>149</v>
      </c>
      <c r="G27" s="80"/>
      <c r="H27" s="78">
        <v>1</v>
      </c>
      <c r="I27" s="80">
        <v>2</v>
      </c>
      <c r="J27" s="78">
        <v>0</v>
      </c>
      <c r="K27" s="70"/>
      <c r="L27" s="70"/>
      <c r="M27" s="70"/>
      <c r="N27" s="70"/>
      <c r="O27" s="94"/>
      <c r="P27" s="70"/>
      <c r="Q27" s="95"/>
      <c r="R27" s="95"/>
    </row>
    <row r="28" s="47" customFormat="1" spans="1:18">
      <c r="A28" s="70">
        <v>200004</v>
      </c>
      <c r="B28" s="77" t="s">
        <v>152</v>
      </c>
      <c r="C28" s="78">
        <v>0</v>
      </c>
      <c r="D28" s="78">
        <v>20</v>
      </c>
      <c r="E28" s="78" t="s">
        <v>153</v>
      </c>
      <c r="F28" s="79" t="s">
        <v>154</v>
      </c>
      <c r="G28" s="78"/>
      <c r="H28" s="78">
        <v>1</v>
      </c>
      <c r="I28" s="80">
        <v>3</v>
      </c>
      <c r="J28" s="78">
        <v>0</v>
      </c>
      <c r="K28" s="70"/>
      <c r="L28" s="70"/>
      <c r="M28" s="70"/>
      <c r="N28" s="70"/>
      <c r="O28" s="94"/>
      <c r="P28" s="95"/>
      <c r="Q28" s="95"/>
      <c r="R28" s="95"/>
    </row>
    <row r="29" s="47" customFormat="1" spans="1:18">
      <c r="A29" s="70">
        <v>200003</v>
      </c>
      <c r="B29" s="78" t="s">
        <v>155</v>
      </c>
      <c r="C29" s="78">
        <v>0</v>
      </c>
      <c r="D29" s="78">
        <v>20</v>
      </c>
      <c r="E29" s="78" t="s">
        <v>156</v>
      </c>
      <c r="F29" s="79" t="s">
        <v>20</v>
      </c>
      <c r="G29" s="78"/>
      <c r="H29" s="78">
        <v>1</v>
      </c>
      <c r="I29" s="80">
        <v>4</v>
      </c>
      <c r="J29" s="78">
        <v>0</v>
      </c>
      <c r="K29" s="70"/>
      <c r="L29" s="70"/>
      <c r="M29" s="70"/>
      <c r="N29" s="70"/>
      <c r="O29" s="94"/>
      <c r="P29" s="70"/>
      <c r="Q29" s="95"/>
      <c r="R29" s="95"/>
    </row>
    <row r="30" s="47" customFormat="1" spans="1:18">
      <c r="A30" s="70">
        <v>200005</v>
      </c>
      <c r="B30" s="81" t="s">
        <v>157</v>
      </c>
      <c r="C30" s="73">
        <v>0</v>
      </c>
      <c r="D30" s="73">
        <v>20</v>
      </c>
      <c r="E30" s="74" t="s">
        <v>158</v>
      </c>
      <c r="F30" s="75" t="s">
        <v>20</v>
      </c>
      <c r="G30" s="73"/>
      <c r="H30" s="73">
        <v>1</v>
      </c>
      <c r="I30" s="76">
        <v>5</v>
      </c>
      <c r="J30" s="73">
        <v>0</v>
      </c>
      <c r="K30" s="70"/>
      <c r="L30" s="70"/>
      <c r="M30" s="70"/>
      <c r="N30" s="70"/>
      <c r="O30" s="94"/>
      <c r="P30" s="95"/>
      <c r="Q30" s="95"/>
      <c r="R30" s="95"/>
    </row>
    <row r="31" s="47" customFormat="1" spans="1:18">
      <c r="A31" s="70">
        <v>200006</v>
      </c>
      <c r="B31" s="81" t="s">
        <v>159</v>
      </c>
      <c r="C31" s="73">
        <v>0</v>
      </c>
      <c r="D31" s="73">
        <v>20</v>
      </c>
      <c r="E31" s="74" t="s">
        <v>160</v>
      </c>
      <c r="F31" s="75" t="s">
        <v>20</v>
      </c>
      <c r="G31" s="73"/>
      <c r="H31" s="73">
        <v>1</v>
      </c>
      <c r="I31" s="76">
        <v>6</v>
      </c>
      <c r="J31" s="73">
        <v>0</v>
      </c>
      <c r="K31" s="70"/>
      <c r="L31" s="70"/>
      <c r="M31" s="70"/>
      <c r="N31" s="70"/>
      <c r="O31" s="94"/>
      <c r="P31" s="95"/>
      <c r="Q31" s="95"/>
      <c r="R31" s="95"/>
    </row>
    <row r="32" s="47" customFormat="1" spans="1:18">
      <c r="A32" s="70">
        <v>200007</v>
      </c>
      <c r="B32" s="82" t="s">
        <v>161</v>
      </c>
      <c r="C32" s="73">
        <v>0</v>
      </c>
      <c r="D32" s="73">
        <v>20</v>
      </c>
      <c r="E32" s="74" t="s">
        <v>162</v>
      </c>
      <c r="F32" s="75" t="s">
        <v>163</v>
      </c>
      <c r="G32" s="73"/>
      <c r="H32" s="73">
        <v>1</v>
      </c>
      <c r="I32" s="76">
        <v>7</v>
      </c>
      <c r="J32" s="73">
        <v>0</v>
      </c>
      <c r="K32" s="70"/>
      <c r="L32" s="70"/>
      <c r="M32" s="70"/>
      <c r="N32" s="70"/>
      <c r="O32" s="94"/>
      <c r="P32" s="95"/>
      <c r="Q32" s="95"/>
      <c r="R32" s="95"/>
    </row>
    <row r="33" spans="1:18">
      <c r="A33" s="70">
        <v>200008</v>
      </c>
      <c r="B33" s="77" t="s">
        <v>164</v>
      </c>
      <c r="C33" s="78">
        <v>0</v>
      </c>
      <c r="D33" s="78">
        <v>20</v>
      </c>
      <c r="E33" s="78" t="s">
        <v>165</v>
      </c>
      <c r="F33" s="79" t="s">
        <v>154</v>
      </c>
      <c r="G33" s="78"/>
      <c r="H33" s="78">
        <v>1</v>
      </c>
      <c r="I33" s="80">
        <v>8</v>
      </c>
      <c r="J33" s="78">
        <v>0</v>
      </c>
      <c r="K33" s="70"/>
      <c r="L33" s="70"/>
      <c r="M33" s="70"/>
      <c r="N33" s="70"/>
      <c r="O33" s="94"/>
      <c r="P33" s="95"/>
      <c r="Q33" s="95"/>
      <c r="R33" s="95"/>
    </row>
    <row r="34" spans="1:18">
      <c r="A34" s="70">
        <v>200009</v>
      </c>
      <c r="B34" s="82" t="s">
        <v>166</v>
      </c>
      <c r="C34" s="73">
        <v>0</v>
      </c>
      <c r="D34" s="73">
        <v>20</v>
      </c>
      <c r="E34" s="74" t="s">
        <v>167</v>
      </c>
      <c r="F34" s="75" t="s">
        <v>168</v>
      </c>
      <c r="G34" s="73"/>
      <c r="H34" s="73">
        <v>1</v>
      </c>
      <c r="I34" s="76">
        <v>9</v>
      </c>
      <c r="J34" s="73">
        <v>0</v>
      </c>
      <c r="K34" s="70"/>
      <c r="L34" s="70"/>
      <c r="M34" s="70"/>
      <c r="N34" s="70"/>
      <c r="O34" s="94"/>
      <c r="P34" s="95"/>
      <c r="Q34" s="95"/>
      <c r="R34" s="95"/>
    </row>
    <row r="35" spans="1:18">
      <c r="A35" s="70">
        <v>200010</v>
      </c>
      <c r="B35" s="82" t="s">
        <v>169</v>
      </c>
      <c r="C35" s="73">
        <v>0</v>
      </c>
      <c r="D35" s="73">
        <v>20</v>
      </c>
      <c r="E35" s="74" t="s">
        <v>170</v>
      </c>
      <c r="F35" s="75" t="s">
        <v>168</v>
      </c>
      <c r="G35" s="73"/>
      <c r="H35" s="73">
        <v>1</v>
      </c>
      <c r="I35" s="76">
        <v>10</v>
      </c>
      <c r="J35" s="73">
        <v>0</v>
      </c>
      <c r="K35" s="70"/>
      <c r="L35" s="70"/>
      <c r="M35" s="70"/>
      <c r="N35" s="70"/>
      <c r="O35" s="94"/>
      <c r="P35" s="95"/>
      <c r="Q35" s="95"/>
      <c r="R35" s="95"/>
    </row>
    <row r="36" spans="1:18">
      <c r="A36" s="70">
        <v>200011</v>
      </c>
      <c r="B36" s="82" t="s">
        <v>171</v>
      </c>
      <c r="C36" s="73">
        <v>0</v>
      </c>
      <c r="D36" s="73">
        <v>20</v>
      </c>
      <c r="E36" s="74" t="s">
        <v>172</v>
      </c>
      <c r="F36" s="75" t="s">
        <v>168</v>
      </c>
      <c r="G36" s="73"/>
      <c r="H36" s="73">
        <v>1</v>
      </c>
      <c r="I36" s="76">
        <v>11</v>
      </c>
      <c r="J36" s="73">
        <v>0</v>
      </c>
      <c r="K36" s="70"/>
      <c r="L36" s="70"/>
      <c r="M36" s="70"/>
      <c r="N36" s="70"/>
      <c r="O36" s="94"/>
      <c r="P36" s="95"/>
      <c r="Q36" s="95"/>
      <c r="R36" s="95"/>
    </row>
    <row r="37" spans="1:18">
      <c r="A37" s="70">
        <v>200012</v>
      </c>
      <c r="B37" s="82" t="s">
        <v>173</v>
      </c>
      <c r="C37" s="73">
        <v>0</v>
      </c>
      <c r="D37" s="73">
        <v>20</v>
      </c>
      <c r="E37" s="74" t="s">
        <v>104</v>
      </c>
      <c r="F37" s="75" t="s">
        <v>174</v>
      </c>
      <c r="G37" s="73"/>
      <c r="H37" s="73">
        <v>99</v>
      </c>
      <c r="I37" s="76">
        <v>12</v>
      </c>
      <c r="J37" s="73">
        <v>0</v>
      </c>
      <c r="K37" s="70"/>
      <c r="L37" s="70"/>
      <c r="M37" s="70"/>
      <c r="N37" s="70"/>
      <c r="O37" s="94"/>
      <c r="P37" s="95"/>
      <c r="Q37" s="95"/>
      <c r="R37" s="95"/>
    </row>
    <row r="38" spans="1:18">
      <c r="A38" s="70">
        <v>200013</v>
      </c>
      <c r="B38" s="82" t="s">
        <v>175</v>
      </c>
      <c r="C38" s="73">
        <v>0</v>
      </c>
      <c r="D38" s="73">
        <v>20</v>
      </c>
      <c r="E38" s="74" t="s">
        <v>101</v>
      </c>
      <c r="F38" s="75" t="s">
        <v>176</v>
      </c>
      <c r="G38" s="73"/>
      <c r="H38" s="73">
        <v>99</v>
      </c>
      <c r="I38" s="76">
        <v>13</v>
      </c>
      <c r="J38" s="73">
        <v>0</v>
      </c>
      <c r="K38" s="70"/>
      <c r="L38" s="70"/>
      <c r="M38" s="70"/>
      <c r="N38" s="70"/>
      <c r="O38" s="94"/>
      <c r="P38" s="95"/>
      <c r="Q38" s="95"/>
      <c r="R38" s="95"/>
    </row>
    <row r="39" spans="1:18">
      <c r="A39" s="70">
        <v>200014</v>
      </c>
      <c r="B39" s="82" t="s">
        <v>177</v>
      </c>
      <c r="C39" s="73">
        <v>0</v>
      </c>
      <c r="D39" s="73">
        <v>20</v>
      </c>
      <c r="E39" s="74" t="s">
        <v>145</v>
      </c>
      <c r="F39" s="75" t="s">
        <v>178</v>
      </c>
      <c r="G39" s="73"/>
      <c r="H39" s="73">
        <v>99</v>
      </c>
      <c r="I39" s="76">
        <v>14</v>
      </c>
      <c r="J39" s="73">
        <v>0</v>
      </c>
      <c r="K39" s="70"/>
      <c r="L39" s="70"/>
      <c r="M39" s="70"/>
      <c r="N39" s="70"/>
      <c r="O39" s="94"/>
      <c r="P39" s="95"/>
      <c r="Q39" s="95"/>
      <c r="R39" s="95"/>
    </row>
    <row r="40" spans="1:18">
      <c r="A40" s="70">
        <v>200015</v>
      </c>
      <c r="B40" s="82" t="s">
        <v>179</v>
      </c>
      <c r="C40" s="73">
        <v>0</v>
      </c>
      <c r="D40" s="73">
        <v>20</v>
      </c>
      <c r="E40" s="74" t="s">
        <v>180</v>
      </c>
      <c r="F40" s="75" t="s">
        <v>181</v>
      </c>
      <c r="G40" s="73"/>
      <c r="H40" s="73">
        <v>99</v>
      </c>
      <c r="I40" s="76">
        <v>14</v>
      </c>
      <c r="J40" s="73">
        <v>0</v>
      </c>
      <c r="K40" s="70"/>
      <c r="L40" s="70"/>
      <c r="M40" s="70"/>
      <c r="N40" s="70"/>
      <c r="O40" s="94"/>
      <c r="P40" s="95"/>
      <c r="Q40" s="95"/>
      <c r="R40" s="95"/>
    </row>
    <row r="41" spans="1:18">
      <c r="A41" s="64">
        <v>310001</v>
      </c>
      <c r="B41" s="83" t="s">
        <v>182</v>
      </c>
      <c r="C41" s="70">
        <v>0</v>
      </c>
      <c r="D41" s="70">
        <v>31</v>
      </c>
      <c r="E41" s="71" t="s">
        <v>183</v>
      </c>
      <c r="F41" s="67" t="s">
        <v>184</v>
      </c>
      <c r="G41" s="64"/>
      <c r="H41" s="64"/>
      <c r="I41" s="64">
        <v>1</v>
      </c>
      <c r="J41" s="64">
        <v>0</v>
      </c>
      <c r="K41" s="64"/>
      <c r="L41" s="64"/>
      <c r="M41" s="64"/>
      <c r="N41" s="64"/>
      <c r="O41" s="93"/>
      <c r="P41" s="64"/>
      <c r="Q41" s="96"/>
      <c r="R41" s="96"/>
    </row>
    <row r="42" spans="1:18">
      <c r="A42" s="64">
        <v>310002</v>
      </c>
      <c r="B42" s="83" t="s">
        <v>185</v>
      </c>
      <c r="C42" s="70">
        <v>0</v>
      </c>
      <c r="D42" s="70">
        <v>31</v>
      </c>
      <c r="E42" s="71" t="s">
        <v>186</v>
      </c>
      <c r="F42" s="67" t="s">
        <v>187</v>
      </c>
      <c r="G42" s="64"/>
      <c r="H42" s="64"/>
      <c r="I42" s="64">
        <v>2</v>
      </c>
      <c r="J42" s="64">
        <v>0</v>
      </c>
      <c r="K42" s="64"/>
      <c r="L42" s="64"/>
      <c r="M42" s="64"/>
      <c r="N42" s="64"/>
      <c r="O42" s="93"/>
      <c r="P42" s="64"/>
      <c r="Q42" s="96"/>
      <c r="R42" s="96"/>
    </row>
    <row r="43" spans="1:18">
      <c r="A43" s="64">
        <v>310003</v>
      </c>
      <c r="B43" s="70" t="s">
        <v>188</v>
      </c>
      <c r="C43" s="70">
        <v>0</v>
      </c>
      <c r="D43" s="70">
        <v>31</v>
      </c>
      <c r="E43" s="71" t="s">
        <v>189</v>
      </c>
      <c r="F43" s="67" t="s">
        <v>190</v>
      </c>
      <c r="G43" s="64"/>
      <c r="H43" s="64">
        <v>5</v>
      </c>
      <c r="I43" s="64">
        <v>3</v>
      </c>
      <c r="J43" s="64">
        <v>0</v>
      </c>
      <c r="K43" s="64"/>
      <c r="L43" s="64"/>
      <c r="M43" s="64"/>
      <c r="N43" s="64"/>
      <c r="O43" s="64" t="s">
        <v>41</v>
      </c>
      <c r="P43" s="64"/>
      <c r="Q43" s="96"/>
      <c r="R43" s="96"/>
    </row>
    <row r="44" spans="1:18">
      <c r="A44" s="64">
        <v>310004</v>
      </c>
      <c r="B44" s="83" t="s">
        <v>191</v>
      </c>
      <c r="C44" s="70">
        <v>0</v>
      </c>
      <c r="D44" s="70">
        <v>31</v>
      </c>
      <c r="E44" s="71" t="s">
        <v>192</v>
      </c>
      <c r="F44" s="67" t="s">
        <v>193</v>
      </c>
      <c r="G44" s="64"/>
      <c r="H44" s="64"/>
      <c r="I44" s="64">
        <v>4</v>
      </c>
      <c r="J44" s="64">
        <v>0</v>
      </c>
      <c r="K44" s="64"/>
      <c r="L44" s="64"/>
      <c r="M44" s="64"/>
      <c r="N44" s="64"/>
      <c r="O44" s="93"/>
      <c r="P44" s="64"/>
      <c r="Q44" s="96"/>
      <c r="R44" s="96"/>
    </row>
    <row r="45" spans="1:18">
      <c r="A45" s="64">
        <v>310005</v>
      </c>
      <c r="B45" s="83" t="s">
        <v>194</v>
      </c>
      <c r="C45" s="70">
        <v>0</v>
      </c>
      <c r="D45" s="70">
        <v>31</v>
      </c>
      <c r="E45" s="71" t="s">
        <v>195</v>
      </c>
      <c r="F45" s="67" t="s">
        <v>193</v>
      </c>
      <c r="G45" s="64"/>
      <c r="H45" s="64"/>
      <c r="I45" s="64">
        <v>5</v>
      </c>
      <c r="J45" s="64">
        <v>0</v>
      </c>
      <c r="K45" s="64"/>
      <c r="L45" s="64"/>
      <c r="M45" s="64"/>
      <c r="N45" s="64"/>
      <c r="O45" s="93"/>
      <c r="P45" s="64"/>
      <c r="Q45" s="96"/>
      <c r="R45" s="96"/>
    </row>
    <row r="46" s="46" customFormat="1" spans="1:18">
      <c r="A46" s="64">
        <v>310006</v>
      </c>
      <c r="B46" s="83" t="s">
        <v>196</v>
      </c>
      <c r="C46" s="70">
        <v>0</v>
      </c>
      <c r="D46" s="70">
        <v>31</v>
      </c>
      <c r="E46" s="71" t="s">
        <v>197</v>
      </c>
      <c r="F46" s="67" t="s">
        <v>193</v>
      </c>
      <c r="G46" s="64"/>
      <c r="H46" s="64"/>
      <c r="I46" s="64">
        <v>6</v>
      </c>
      <c r="J46" s="64">
        <v>0</v>
      </c>
      <c r="K46" s="64"/>
      <c r="L46" s="64"/>
      <c r="M46" s="64"/>
      <c r="N46" s="64"/>
      <c r="O46" s="93"/>
      <c r="P46" s="64"/>
      <c r="Q46" s="96"/>
      <c r="R46" s="96"/>
    </row>
    <row r="47" s="46" customFormat="1" spans="1:18">
      <c r="A47" s="64">
        <v>310007</v>
      </c>
      <c r="B47" s="84" t="s">
        <v>198</v>
      </c>
      <c r="C47" s="69">
        <v>0</v>
      </c>
      <c r="D47" s="69">
        <v>31</v>
      </c>
      <c r="E47" s="85" t="s">
        <v>199</v>
      </c>
      <c r="F47" s="86" t="s">
        <v>200</v>
      </c>
      <c r="G47" s="69"/>
      <c r="H47" s="69">
        <v>5</v>
      </c>
      <c r="I47" s="69">
        <v>7</v>
      </c>
      <c r="J47" s="69">
        <v>0</v>
      </c>
      <c r="K47" s="64"/>
      <c r="L47" s="69"/>
      <c r="M47" s="69"/>
      <c r="N47" s="69"/>
      <c r="O47" s="67" t="s">
        <v>29</v>
      </c>
      <c r="P47" s="69"/>
      <c r="Q47" s="87"/>
      <c r="R47" s="87"/>
    </row>
    <row r="48" s="46" customFormat="1" spans="1:18">
      <c r="A48" s="64">
        <v>310008</v>
      </c>
      <c r="B48" s="87" t="s">
        <v>161</v>
      </c>
      <c r="C48" s="69">
        <v>0</v>
      </c>
      <c r="D48" s="69">
        <v>31</v>
      </c>
      <c r="E48" s="88" t="s">
        <v>162</v>
      </c>
      <c r="F48" s="86" t="s">
        <v>201</v>
      </c>
      <c r="G48" s="69"/>
      <c r="H48" s="69">
        <v>1</v>
      </c>
      <c r="I48" s="69">
        <v>10</v>
      </c>
      <c r="J48" s="69">
        <v>0</v>
      </c>
      <c r="K48" s="64"/>
      <c r="L48" s="69"/>
      <c r="M48" s="69"/>
      <c r="N48" s="69"/>
      <c r="O48" s="67" t="s">
        <v>29</v>
      </c>
      <c r="P48" s="69"/>
      <c r="Q48" s="87"/>
      <c r="R48" s="87"/>
    </row>
    <row r="49" s="46" customFormat="1" spans="1:18">
      <c r="A49" s="64">
        <v>310009</v>
      </c>
      <c r="B49" s="84" t="s">
        <v>157</v>
      </c>
      <c r="C49" s="69">
        <v>0</v>
      </c>
      <c r="D49" s="69">
        <v>31</v>
      </c>
      <c r="E49" s="88" t="s">
        <v>158</v>
      </c>
      <c r="F49" s="86" t="s">
        <v>202</v>
      </c>
      <c r="G49" s="69"/>
      <c r="H49" s="69">
        <v>1</v>
      </c>
      <c r="I49" s="69">
        <v>11</v>
      </c>
      <c r="J49" s="64">
        <v>0</v>
      </c>
      <c r="K49" s="64"/>
      <c r="L49" s="64"/>
      <c r="M49" s="64"/>
      <c r="N49" s="64"/>
      <c r="O49" s="67" t="s">
        <v>29</v>
      </c>
      <c r="P49" s="69"/>
      <c r="Q49" s="87"/>
      <c r="R49" s="87"/>
    </row>
    <row r="50" s="46" customFormat="1" spans="1:18">
      <c r="A50" s="64">
        <v>310010</v>
      </c>
      <c r="B50" s="84" t="s">
        <v>203</v>
      </c>
      <c r="C50" s="69">
        <v>0</v>
      </c>
      <c r="D50" s="69">
        <v>31</v>
      </c>
      <c r="E50" s="88" t="s">
        <v>204</v>
      </c>
      <c r="F50" s="86" t="s">
        <v>205</v>
      </c>
      <c r="G50" s="69"/>
      <c r="H50" s="69">
        <v>1</v>
      </c>
      <c r="I50" s="69">
        <v>12</v>
      </c>
      <c r="J50" s="69">
        <v>0</v>
      </c>
      <c r="K50" s="64"/>
      <c r="L50" s="69"/>
      <c r="M50" s="69"/>
      <c r="N50" s="69"/>
      <c r="O50" s="67" t="s">
        <v>29</v>
      </c>
      <c r="P50" s="69"/>
      <c r="Q50" s="87"/>
      <c r="R50" s="87"/>
    </row>
    <row r="51" s="46" customFormat="1" spans="1:18">
      <c r="A51" s="64">
        <v>310011</v>
      </c>
      <c r="B51" s="84" t="s">
        <v>206</v>
      </c>
      <c r="C51" s="69">
        <v>0</v>
      </c>
      <c r="D51" s="69">
        <v>31</v>
      </c>
      <c r="E51" s="88" t="s">
        <v>207</v>
      </c>
      <c r="F51" s="86" t="s">
        <v>201</v>
      </c>
      <c r="G51" s="69"/>
      <c r="H51" s="69">
        <v>1</v>
      </c>
      <c r="I51" s="69">
        <v>13</v>
      </c>
      <c r="J51" s="69">
        <v>0</v>
      </c>
      <c r="K51" s="64"/>
      <c r="L51" s="69"/>
      <c r="M51" s="69"/>
      <c r="N51" s="69"/>
      <c r="O51" s="67" t="s">
        <v>29</v>
      </c>
      <c r="P51" s="69"/>
      <c r="Q51" s="87"/>
      <c r="R51" s="87"/>
    </row>
    <row r="52" spans="1:18">
      <c r="A52" s="64">
        <v>310012</v>
      </c>
      <c r="B52" s="89" t="s">
        <v>208</v>
      </c>
      <c r="C52" s="90">
        <v>0</v>
      </c>
      <c r="D52" s="90">
        <v>31</v>
      </c>
      <c r="E52" s="90" t="s">
        <v>209</v>
      </c>
      <c r="F52" s="91" t="s">
        <v>201</v>
      </c>
      <c r="G52" s="69"/>
      <c r="H52" s="69">
        <v>1</v>
      </c>
      <c r="I52" s="69">
        <v>14</v>
      </c>
      <c r="J52" s="64">
        <v>0</v>
      </c>
      <c r="K52" s="64"/>
      <c r="L52" s="64"/>
      <c r="M52" s="64"/>
      <c r="N52" s="64"/>
      <c r="O52" s="67" t="s">
        <v>29</v>
      </c>
      <c r="P52" s="69"/>
      <c r="Q52" s="87"/>
      <c r="R52" s="87"/>
    </row>
    <row r="53" spans="1:18">
      <c r="A53" s="64">
        <v>310013</v>
      </c>
      <c r="B53" s="68" t="s">
        <v>123</v>
      </c>
      <c r="C53" s="69">
        <v>0</v>
      </c>
      <c r="D53" s="69">
        <v>31</v>
      </c>
      <c r="E53" s="71" t="s">
        <v>210</v>
      </c>
      <c r="F53" s="86" t="s">
        <v>193</v>
      </c>
      <c r="G53" s="69"/>
      <c r="H53" s="69">
        <v>10</v>
      </c>
      <c r="I53" s="69">
        <v>8</v>
      </c>
      <c r="J53" s="64">
        <v>0</v>
      </c>
      <c r="K53" s="64"/>
      <c r="L53" s="64"/>
      <c r="M53" s="64"/>
      <c r="N53" s="64"/>
      <c r="O53" s="67" t="s">
        <v>29</v>
      </c>
      <c r="P53" s="69"/>
      <c r="Q53" s="87"/>
      <c r="R53" s="87"/>
    </row>
    <row r="54" spans="1:18">
      <c r="A54" s="64">
        <v>310014</v>
      </c>
      <c r="B54" s="68" t="s">
        <v>127</v>
      </c>
      <c r="C54" s="69">
        <v>0</v>
      </c>
      <c r="D54" s="69">
        <v>31</v>
      </c>
      <c r="E54" s="71" t="s">
        <v>128</v>
      </c>
      <c r="F54" s="86" t="s">
        <v>193</v>
      </c>
      <c r="G54" s="69"/>
      <c r="H54" s="69">
        <v>1</v>
      </c>
      <c r="I54" s="69">
        <v>15</v>
      </c>
      <c r="J54" s="64">
        <v>0</v>
      </c>
      <c r="K54" s="64"/>
      <c r="L54" s="64"/>
      <c r="M54" s="64"/>
      <c r="N54" s="64"/>
      <c r="O54" s="67" t="s">
        <v>29</v>
      </c>
      <c r="P54" s="69"/>
      <c r="Q54" s="87"/>
      <c r="R54" s="87"/>
    </row>
    <row r="55" spans="1:18">
      <c r="A55" s="64">
        <v>310015</v>
      </c>
      <c r="B55" s="89" t="s">
        <v>150</v>
      </c>
      <c r="C55" s="90">
        <v>0</v>
      </c>
      <c r="D55" s="90">
        <v>31</v>
      </c>
      <c r="E55" s="90" t="s">
        <v>151</v>
      </c>
      <c r="F55" s="91" t="s">
        <v>211</v>
      </c>
      <c r="G55" s="90"/>
      <c r="H55" s="90">
        <v>1</v>
      </c>
      <c r="I55" s="90">
        <v>9</v>
      </c>
      <c r="J55" s="64">
        <v>0</v>
      </c>
      <c r="K55" s="64"/>
      <c r="L55" s="64"/>
      <c r="M55" s="64"/>
      <c r="N55" s="64"/>
      <c r="O55" s="67" t="s">
        <v>29</v>
      </c>
      <c r="P55" s="69"/>
      <c r="Q55" s="87"/>
      <c r="R55" s="87"/>
    </row>
    <row r="56" spans="1:18">
      <c r="A56" s="64">
        <v>320001</v>
      </c>
      <c r="B56" s="83" t="s">
        <v>212</v>
      </c>
      <c r="C56" s="70">
        <v>0</v>
      </c>
      <c r="D56" s="70">
        <v>32</v>
      </c>
      <c r="E56" s="71" t="s">
        <v>213</v>
      </c>
      <c r="F56" s="67" t="s">
        <v>214</v>
      </c>
      <c r="G56" s="64"/>
      <c r="H56" s="64"/>
      <c r="I56" s="64">
        <v>1</v>
      </c>
      <c r="J56" s="64">
        <v>0</v>
      </c>
      <c r="K56" s="64"/>
      <c r="L56" s="64"/>
      <c r="M56" s="64"/>
      <c r="N56" s="64"/>
      <c r="O56" s="93"/>
      <c r="P56" s="64"/>
      <c r="Q56" s="96"/>
      <c r="R56" s="96"/>
    </row>
    <row r="57" spans="1:18">
      <c r="A57" s="64">
        <v>320002</v>
      </c>
      <c r="B57" s="83" t="s">
        <v>215</v>
      </c>
      <c r="C57" s="70">
        <v>0</v>
      </c>
      <c r="D57" s="70">
        <v>32</v>
      </c>
      <c r="E57" s="71" t="s">
        <v>216</v>
      </c>
      <c r="F57" s="67" t="s">
        <v>214</v>
      </c>
      <c r="G57" s="64"/>
      <c r="H57" s="64"/>
      <c r="I57" s="64">
        <v>2</v>
      </c>
      <c r="J57" s="64">
        <v>0</v>
      </c>
      <c r="K57" s="64"/>
      <c r="L57" s="64"/>
      <c r="M57" s="64"/>
      <c r="N57" s="64"/>
      <c r="O57" s="93"/>
      <c r="P57" s="96"/>
      <c r="Q57" s="96"/>
      <c r="R57" s="96"/>
    </row>
    <row r="58" spans="1:18">
      <c r="A58" s="64">
        <v>320003</v>
      </c>
      <c r="B58" s="83" t="s">
        <v>217</v>
      </c>
      <c r="C58" s="70">
        <v>0</v>
      </c>
      <c r="D58" s="70">
        <v>32</v>
      </c>
      <c r="E58" s="71" t="s">
        <v>218</v>
      </c>
      <c r="F58" s="67" t="s">
        <v>219</v>
      </c>
      <c r="G58" s="64"/>
      <c r="H58" s="64"/>
      <c r="I58" s="64">
        <v>3</v>
      </c>
      <c r="J58" s="64">
        <v>0</v>
      </c>
      <c r="K58" s="64"/>
      <c r="L58" s="64"/>
      <c r="M58" s="64"/>
      <c r="N58" s="64"/>
      <c r="O58" s="93"/>
      <c r="P58" s="96"/>
      <c r="Q58" s="96"/>
      <c r="R58" s="96"/>
    </row>
    <row r="59" spans="1:18">
      <c r="A59" s="64">
        <v>320004</v>
      </c>
      <c r="B59" s="92" t="s">
        <v>220</v>
      </c>
      <c r="C59" s="70">
        <v>0</v>
      </c>
      <c r="D59" s="70">
        <v>32</v>
      </c>
      <c r="E59" s="71" t="s">
        <v>221</v>
      </c>
      <c r="F59" s="67" t="s">
        <v>219</v>
      </c>
      <c r="G59" s="64"/>
      <c r="H59" s="64"/>
      <c r="I59" s="64">
        <v>4</v>
      </c>
      <c r="J59" s="64">
        <v>0</v>
      </c>
      <c r="K59" s="64"/>
      <c r="L59" s="64"/>
      <c r="M59" s="64"/>
      <c r="N59" s="64"/>
      <c r="O59" s="93"/>
      <c r="P59" s="96"/>
      <c r="Q59" s="96"/>
      <c r="R59" s="96"/>
    </row>
    <row r="60" spans="1:18">
      <c r="A60" s="64">
        <v>320005</v>
      </c>
      <c r="B60" s="92" t="s">
        <v>222</v>
      </c>
      <c r="C60" s="70">
        <v>0</v>
      </c>
      <c r="D60" s="70">
        <v>32</v>
      </c>
      <c r="E60" s="71" t="s">
        <v>223</v>
      </c>
      <c r="F60" s="67" t="s">
        <v>219</v>
      </c>
      <c r="G60" s="64"/>
      <c r="H60" s="64"/>
      <c r="I60" s="64">
        <v>5</v>
      </c>
      <c r="J60" s="64">
        <v>0</v>
      </c>
      <c r="K60" s="64"/>
      <c r="L60" s="64"/>
      <c r="M60" s="64"/>
      <c r="N60" s="64"/>
      <c r="O60" s="93"/>
      <c r="P60" s="96"/>
      <c r="Q60" s="96"/>
      <c r="R60" s="96"/>
    </row>
    <row r="61" spans="1:18">
      <c r="A61" s="64">
        <v>320006</v>
      </c>
      <c r="B61" s="92" t="s">
        <v>188</v>
      </c>
      <c r="C61" s="70">
        <v>0</v>
      </c>
      <c r="D61" s="70">
        <v>32</v>
      </c>
      <c r="E61" s="71" t="s">
        <v>189</v>
      </c>
      <c r="F61" s="67" t="s">
        <v>219</v>
      </c>
      <c r="G61" s="64"/>
      <c r="H61" s="64">
        <v>5</v>
      </c>
      <c r="I61" s="64">
        <v>6</v>
      </c>
      <c r="J61" s="64">
        <v>0</v>
      </c>
      <c r="K61" s="64"/>
      <c r="L61" s="64"/>
      <c r="M61" s="64"/>
      <c r="N61" s="64"/>
      <c r="O61" s="64" t="s">
        <v>41</v>
      </c>
      <c r="P61" s="96"/>
      <c r="Q61" s="96"/>
      <c r="R61" s="96"/>
    </row>
    <row r="62" spans="1:18">
      <c r="A62" s="64">
        <v>320007</v>
      </c>
      <c r="B62" s="92" t="s">
        <v>224</v>
      </c>
      <c r="C62" s="70">
        <v>0</v>
      </c>
      <c r="D62" s="70">
        <v>32</v>
      </c>
      <c r="E62" s="71" t="s">
        <v>225</v>
      </c>
      <c r="F62" s="67" t="s">
        <v>226</v>
      </c>
      <c r="G62" s="64"/>
      <c r="H62" s="64"/>
      <c r="I62" s="64">
        <v>9</v>
      </c>
      <c r="J62" s="64">
        <v>0</v>
      </c>
      <c r="K62" s="64"/>
      <c r="L62" s="64"/>
      <c r="M62" s="64"/>
      <c r="N62" s="64"/>
      <c r="O62" s="93"/>
      <c r="P62" s="96"/>
      <c r="Q62" s="96"/>
      <c r="R62" s="96"/>
    </row>
    <row r="63" spans="1:18">
      <c r="A63" s="64">
        <v>320008</v>
      </c>
      <c r="B63" s="92" t="s">
        <v>53</v>
      </c>
      <c r="C63" s="70">
        <v>0</v>
      </c>
      <c r="D63" s="70">
        <v>32</v>
      </c>
      <c r="E63" s="71" t="s">
        <v>227</v>
      </c>
      <c r="F63" s="67" t="s">
        <v>228</v>
      </c>
      <c r="G63" s="64"/>
      <c r="H63" s="64"/>
      <c r="I63" s="64">
        <v>9</v>
      </c>
      <c r="J63" s="64">
        <v>0</v>
      </c>
      <c r="K63" s="64"/>
      <c r="L63" s="64"/>
      <c r="M63" s="64"/>
      <c r="N63" s="64"/>
      <c r="O63" s="93"/>
      <c r="P63" s="96"/>
      <c r="Q63" s="96"/>
      <c r="R63" s="96"/>
    </row>
    <row r="64" spans="1:18">
      <c r="A64" s="64">
        <v>320009</v>
      </c>
      <c r="B64" s="92" t="s">
        <v>229</v>
      </c>
      <c r="C64" s="70">
        <v>0</v>
      </c>
      <c r="D64" s="70">
        <v>32</v>
      </c>
      <c r="E64" s="88" t="s">
        <v>230</v>
      </c>
      <c r="F64" s="67" t="s">
        <v>231</v>
      </c>
      <c r="G64" s="64"/>
      <c r="H64" s="64"/>
      <c r="I64" s="64">
        <v>11</v>
      </c>
      <c r="J64" s="64">
        <v>0</v>
      </c>
      <c r="K64" s="64"/>
      <c r="L64" s="64"/>
      <c r="M64" s="64"/>
      <c r="N64" s="64"/>
      <c r="O64" s="93"/>
      <c r="P64" s="96"/>
      <c r="Q64" s="96"/>
      <c r="R64" s="96"/>
    </row>
    <row r="65" spans="1:18">
      <c r="A65" s="64">
        <v>320010</v>
      </c>
      <c r="B65" s="92" t="s">
        <v>232</v>
      </c>
      <c r="C65" s="70">
        <v>0</v>
      </c>
      <c r="D65" s="70">
        <v>32</v>
      </c>
      <c r="E65" s="88" t="s">
        <v>233</v>
      </c>
      <c r="F65" s="67" t="s">
        <v>231</v>
      </c>
      <c r="G65" s="64"/>
      <c r="H65" s="64"/>
      <c r="I65" s="64">
        <v>12</v>
      </c>
      <c r="J65" s="64">
        <v>0</v>
      </c>
      <c r="K65" s="64"/>
      <c r="L65" s="64"/>
      <c r="M65" s="64"/>
      <c r="N65" s="64"/>
      <c r="O65" s="93"/>
      <c r="P65" s="96"/>
      <c r="Q65" s="96"/>
      <c r="R65" s="96"/>
    </row>
    <row r="66" spans="1:18">
      <c r="A66" s="64">
        <v>320011</v>
      </c>
      <c r="B66" s="70" t="s">
        <v>234</v>
      </c>
      <c r="C66" s="70">
        <v>0</v>
      </c>
      <c r="D66" s="70">
        <v>32</v>
      </c>
      <c r="E66" s="88" t="s">
        <v>235</v>
      </c>
      <c r="F66" s="67" t="s">
        <v>236</v>
      </c>
      <c r="G66" s="64"/>
      <c r="H66" s="64">
        <v>10</v>
      </c>
      <c r="I66" s="64">
        <v>13</v>
      </c>
      <c r="J66" s="64">
        <v>0</v>
      </c>
      <c r="K66" s="64"/>
      <c r="L66" s="64"/>
      <c r="M66" s="64"/>
      <c r="N66" s="64"/>
      <c r="O66" s="67" t="s">
        <v>29</v>
      </c>
      <c r="P66" s="96"/>
      <c r="Q66" s="96"/>
      <c r="R66" s="96"/>
    </row>
    <row r="67" spans="1:18">
      <c r="A67" s="64">
        <v>320012</v>
      </c>
      <c r="B67" s="70" t="s">
        <v>237</v>
      </c>
      <c r="C67" s="70">
        <v>0</v>
      </c>
      <c r="D67" s="70">
        <v>32</v>
      </c>
      <c r="E67" s="88" t="s">
        <v>238</v>
      </c>
      <c r="F67" s="67" t="s">
        <v>226</v>
      </c>
      <c r="G67" s="64"/>
      <c r="H67" s="64">
        <v>5</v>
      </c>
      <c r="I67" s="64">
        <v>14</v>
      </c>
      <c r="J67" s="64">
        <v>0</v>
      </c>
      <c r="K67" s="64"/>
      <c r="L67" s="64"/>
      <c r="M67" s="64"/>
      <c r="N67" s="64"/>
      <c r="O67" s="67" t="s">
        <v>29</v>
      </c>
      <c r="P67" s="96"/>
      <c r="Q67" s="96"/>
      <c r="R67" s="96"/>
    </row>
    <row r="68" spans="1:18">
      <c r="A68" s="64">
        <v>320013</v>
      </c>
      <c r="B68" s="68" t="s">
        <v>123</v>
      </c>
      <c r="C68" s="69">
        <v>0</v>
      </c>
      <c r="D68" s="70">
        <v>32</v>
      </c>
      <c r="E68" s="71" t="s">
        <v>210</v>
      </c>
      <c r="F68" s="67" t="s">
        <v>214</v>
      </c>
      <c r="G68" s="69"/>
      <c r="H68" s="69">
        <v>10</v>
      </c>
      <c r="I68" s="69">
        <v>10</v>
      </c>
      <c r="J68" s="64">
        <v>0</v>
      </c>
      <c r="K68" s="64"/>
      <c r="L68" s="64"/>
      <c r="M68" s="64"/>
      <c r="N68" s="64"/>
      <c r="O68" s="67" t="s">
        <v>29</v>
      </c>
      <c r="P68" s="69"/>
      <c r="Q68" s="87"/>
      <c r="R68" s="87"/>
    </row>
    <row r="69" spans="1:18">
      <c r="A69" s="64">
        <v>320014</v>
      </c>
      <c r="B69" s="68" t="s">
        <v>127</v>
      </c>
      <c r="C69" s="69">
        <v>0</v>
      </c>
      <c r="D69" s="70">
        <v>32</v>
      </c>
      <c r="E69" s="71" t="s">
        <v>128</v>
      </c>
      <c r="F69" s="67" t="s">
        <v>214</v>
      </c>
      <c r="G69" s="69"/>
      <c r="H69" s="69">
        <v>1</v>
      </c>
      <c r="I69" s="69">
        <v>7</v>
      </c>
      <c r="J69" s="64">
        <v>0</v>
      </c>
      <c r="K69" s="64"/>
      <c r="L69" s="64"/>
      <c r="M69" s="64"/>
      <c r="N69" s="64"/>
      <c r="O69" s="67" t="s">
        <v>29</v>
      </c>
      <c r="P69" s="69"/>
      <c r="Q69" s="87"/>
      <c r="R69" s="87"/>
    </row>
    <row r="70" spans="1:18">
      <c r="A70" s="64">
        <v>320015</v>
      </c>
      <c r="B70" s="68" t="s">
        <v>239</v>
      </c>
      <c r="C70" s="69">
        <v>0</v>
      </c>
      <c r="D70" s="70">
        <v>32</v>
      </c>
      <c r="E70" s="71" t="s">
        <v>240</v>
      </c>
      <c r="F70" s="67" t="s">
        <v>241</v>
      </c>
      <c r="G70" s="69"/>
      <c r="H70" s="69">
        <v>40</v>
      </c>
      <c r="I70" s="69">
        <v>15</v>
      </c>
      <c r="J70" s="64">
        <v>0</v>
      </c>
      <c r="K70" s="64"/>
      <c r="L70" s="64"/>
      <c r="M70" s="64"/>
      <c r="N70" s="64"/>
      <c r="O70" s="67" t="s">
        <v>29</v>
      </c>
      <c r="P70" s="69"/>
      <c r="Q70" s="87"/>
      <c r="R70" s="87"/>
    </row>
    <row r="71" spans="1:18">
      <c r="A71" s="64">
        <v>330001</v>
      </c>
      <c r="B71" s="97" t="s">
        <v>242</v>
      </c>
      <c r="C71" s="98">
        <v>0</v>
      </c>
      <c r="D71" s="98">
        <v>33</v>
      </c>
      <c r="E71" s="71" t="s">
        <v>189</v>
      </c>
      <c r="F71" s="99" t="s">
        <v>243</v>
      </c>
      <c r="G71" s="98"/>
      <c r="H71" s="98">
        <v>5</v>
      </c>
      <c r="I71" s="98">
        <v>1</v>
      </c>
      <c r="J71" s="64">
        <v>0</v>
      </c>
      <c r="K71" s="64"/>
      <c r="L71" s="64"/>
      <c r="M71" s="64"/>
      <c r="N71" s="64"/>
      <c r="O71" s="64" t="s">
        <v>41</v>
      </c>
      <c r="P71" s="96"/>
      <c r="Q71" s="96"/>
      <c r="R71" s="96"/>
    </row>
    <row r="72" spans="1:18">
      <c r="A72" s="64">
        <v>330002</v>
      </c>
      <c r="B72" s="100" t="s">
        <v>244</v>
      </c>
      <c r="C72" s="98">
        <v>0</v>
      </c>
      <c r="D72" s="98">
        <v>33</v>
      </c>
      <c r="E72" s="100" t="s">
        <v>245</v>
      </c>
      <c r="F72" s="99" t="s">
        <v>246</v>
      </c>
      <c r="G72" s="98"/>
      <c r="H72" s="98">
        <v>2</v>
      </c>
      <c r="I72" s="98">
        <v>2</v>
      </c>
      <c r="J72" s="64">
        <v>0</v>
      </c>
      <c r="K72" s="64"/>
      <c r="L72" s="64"/>
      <c r="M72" s="64"/>
      <c r="N72" s="64"/>
      <c r="O72" s="93"/>
      <c r="P72" s="96"/>
      <c r="Q72" s="96"/>
      <c r="R72" s="96"/>
    </row>
    <row r="73" spans="1:18">
      <c r="A73" s="64">
        <v>330003</v>
      </c>
      <c r="B73" s="101" t="s">
        <v>247</v>
      </c>
      <c r="C73" s="98">
        <v>0</v>
      </c>
      <c r="D73" s="98">
        <v>33</v>
      </c>
      <c r="E73" s="102" t="s">
        <v>248</v>
      </c>
      <c r="F73" s="99" t="s">
        <v>246</v>
      </c>
      <c r="G73" s="101"/>
      <c r="H73" s="101">
        <v>2</v>
      </c>
      <c r="I73" s="98">
        <v>3</v>
      </c>
      <c r="J73" s="121">
        <v>0</v>
      </c>
      <c r="K73" s="121"/>
      <c r="L73" s="121"/>
      <c r="M73" s="121"/>
      <c r="N73" s="121"/>
      <c r="O73" s="93"/>
      <c r="P73" s="96"/>
      <c r="Q73" s="96"/>
      <c r="R73" s="96"/>
    </row>
    <row r="74" spans="1:18">
      <c r="A74" s="64">
        <v>330004</v>
      </c>
      <c r="B74" s="100" t="s">
        <v>249</v>
      </c>
      <c r="C74" s="98">
        <v>0</v>
      </c>
      <c r="D74" s="98">
        <v>33</v>
      </c>
      <c r="E74" s="100" t="s">
        <v>250</v>
      </c>
      <c r="F74" s="99" t="s">
        <v>251</v>
      </c>
      <c r="G74" s="98"/>
      <c r="H74" s="98">
        <v>2</v>
      </c>
      <c r="I74" s="98">
        <v>4</v>
      </c>
      <c r="J74" s="64">
        <v>0</v>
      </c>
      <c r="K74" s="64"/>
      <c r="L74" s="64"/>
      <c r="M74" s="64"/>
      <c r="N74" s="64"/>
      <c r="O74" s="93"/>
      <c r="P74" s="96"/>
      <c r="Q74" s="96"/>
      <c r="R74" s="96"/>
    </row>
    <row r="75" spans="1:18">
      <c r="A75" s="64">
        <v>330005</v>
      </c>
      <c r="B75" s="97" t="s">
        <v>252</v>
      </c>
      <c r="C75" s="98">
        <v>0</v>
      </c>
      <c r="D75" s="98">
        <v>33</v>
      </c>
      <c r="E75" s="97" t="s">
        <v>253</v>
      </c>
      <c r="F75" s="99" t="s">
        <v>251</v>
      </c>
      <c r="G75" s="98"/>
      <c r="H75" s="98">
        <v>2</v>
      </c>
      <c r="I75" s="98">
        <v>5</v>
      </c>
      <c r="J75" s="64">
        <v>0</v>
      </c>
      <c r="K75" s="64"/>
      <c r="L75" s="64"/>
      <c r="M75" s="64"/>
      <c r="N75" s="64"/>
      <c r="O75" s="93"/>
      <c r="P75" s="96"/>
      <c r="Q75" s="96"/>
      <c r="R75" s="96"/>
    </row>
    <row r="76" spans="1:18">
      <c r="A76" s="64">
        <v>330006</v>
      </c>
      <c r="B76" s="100" t="s">
        <v>254</v>
      </c>
      <c r="C76" s="98">
        <v>0</v>
      </c>
      <c r="D76" s="98">
        <v>33</v>
      </c>
      <c r="E76" s="100" t="s">
        <v>255</v>
      </c>
      <c r="F76" s="99" t="s">
        <v>256</v>
      </c>
      <c r="G76" s="98"/>
      <c r="H76" s="98">
        <v>1</v>
      </c>
      <c r="I76" s="98">
        <v>6</v>
      </c>
      <c r="J76" s="64">
        <v>0</v>
      </c>
      <c r="K76" s="64"/>
      <c r="L76" s="64"/>
      <c r="M76" s="64"/>
      <c r="N76" s="64"/>
      <c r="O76" s="93"/>
      <c r="P76" s="96"/>
      <c r="Q76" s="96"/>
      <c r="R76" s="96"/>
    </row>
    <row r="77" spans="1:18">
      <c r="A77" s="64">
        <v>330007</v>
      </c>
      <c r="B77" s="100" t="s">
        <v>257</v>
      </c>
      <c r="C77" s="98">
        <v>0</v>
      </c>
      <c r="D77" s="98">
        <v>33</v>
      </c>
      <c r="E77" s="100" t="s">
        <v>258</v>
      </c>
      <c r="F77" s="99" t="s">
        <v>256</v>
      </c>
      <c r="G77" s="98"/>
      <c r="H77" s="98">
        <v>1</v>
      </c>
      <c r="I77" s="98">
        <v>7</v>
      </c>
      <c r="J77" s="64">
        <v>0</v>
      </c>
      <c r="K77" s="64"/>
      <c r="L77" s="64"/>
      <c r="M77" s="64"/>
      <c r="N77" s="64"/>
      <c r="O77" s="93"/>
      <c r="P77" s="96"/>
      <c r="Q77" s="96"/>
      <c r="R77" s="96"/>
    </row>
    <row r="78" spans="1:18">
      <c r="A78" s="64">
        <v>330008</v>
      </c>
      <c r="B78" s="101" t="s">
        <v>155</v>
      </c>
      <c r="C78" s="98">
        <v>0</v>
      </c>
      <c r="D78" s="98">
        <v>33</v>
      </c>
      <c r="E78" s="103" t="s">
        <v>156</v>
      </c>
      <c r="F78" s="99" t="s">
        <v>256</v>
      </c>
      <c r="G78" s="101"/>
      <c r="H78" s="101">
        <v>1</v>
      </c>
      <c r="I78" s="98">
        <v>8</v>
      </c>
      <c r="J78" s="121">
        <v>0</v>
      </c>
      <c r="K78" s="121"/>
      <c r="L78" s="121"/>
      <c r="M78" s="121"/>
      <c r="N78" s="121"/>
      <c r="O78" s="93"/>
      <c r="P78" s="96"/>
      <c r="Q78" s="96"/>
      <c r="R78" s="96"/>
    </row>
    <row r="79" spans="1:18">
      <c r="A79" s="64">
        <v>330009</v>
      </c>
      <c r="B79" s="104" t="s">
        <v>188</v>
      </c>
      <c r="C79" s="98">
        <v>0</v>
      </c>
      <c r="D79" s="98">
        <v>33</v>
      </c>
      <c r="E79" s="97" t="s">
        <v>259</v>
      </c>
      <c r="F79" s="99" t="s">
        <v>260</v>
      </c>
      <c r="G79" s="98"/>
      <c r="H79" s="98">
        <v>1</v>
      </c>
      <c r="I79" s="98">
        <v>9</v>
      </c>
      <c r="J79" s="64">
        <v>0</v>
      </c>
      <c r="K79" s="64"/>
      <c r="L79" s="64"/>
      <c r="M79" s="64"/>
      <c r="N79" s="64"/>
      <c r="O79" s="93"/>
      <c r="P79" s="96"/>
      <c r="Q79" s="96"/>
      <c r="R79" s="96"/>
    </row>
    <row r="80" spans="1:18">
      <c r="A80" s="64">
        <v>330010</v>
      </c>
      <c r="B80" s="98" t="s">
        <v>261</v>
      </c>
      <c r="C80" s="98">
        <v>0</v>
      </c>
      <c r="D80" s="98">
        <v>33</v>
      </c>
      <c r="E80" s="100" t="s">
        <v>262</v>
      </c>
      <c r="F80" s="99" t="s">
        <v>263</v>
      </c>
      <c r="G80" s="98"/>
      <c r="H80" s="98">
        <v>5</v>
      </c>
      <c r="I80" s="98">
        <v>10</v>
      </c>
      <c r="J80" s="64">
        <v>0</v>
      </c>
      <c r="K80" s="64"/>
      <c r="L80" s="64"/>
      <c r="M80" s="64"/>
      <c r="N80" s="64"/>
      <c r="O80" s="93"/>
      <c r="P80" s="96"/>
      <c r="Q80" s="96"/>
      <c r="R80" s="96"/>
    </row>
    <row r="81" spans="1:18">
      <c r="A81" s="64">
        <v>330011</v>
      </c>
      <c r="B81" s="97" t="s">
        <v>264</v>
      </c>
      <c r="C81" s="98">
        <v>0</v>
      </c>
      <c r="D81" s="98">
        <v>33</v>
      </c>
      <c r="E81" s="105" t="s">
        <v>265</v>
      </c>
      <c r="F81" s="99" t="s">
        <v>266</v>
      </c>
      <c r="G81" s="98"/>
      <c r="H81" s="98">
        <v>5</v>
      </c>
      <c r="I81" s="98">
        <v>11</v>
      </c>
      <c r="J81" s="64">
        <v>0</v>
      </c>
      <c r="K81" s="64"/>
      <c r="L81" s="64"/>
      <c r="M81" s="64"/>
      <c r="N81" s="64"/>
      <c r="O81" s="93"/>
      <c r="P81" s="96"/>
      <c r="Q81" s="96"/>
      <c r="R81" s="96"/>
    </row>
    <row r="82" spans="1:18">
      <c r="A82" s="64">
        <v>330012</v>
      </c>
      <c r="B82" s="97" t="s">
        <v>267</v>
      </c>
      <c r="C82" s="98">
        <v>0</v>
      </c>
      <c r="D82" s="98">
        <v>33</v>
      </c>
      <c r="E82" s="105" t="s">
        <v>268</v>
      </c>
      <c r="F82" s="99" t="s">
        <v>260</v>
      </c>
      <c r="G82" s="98"/>
      <c r="H82" s="98">
        <v>2</v>
      </c>
      <c r="I82" s="98">
        <v>12</v>
      </c>
      <c r="J82" s="64">
        <v>0</v>
      </c>
      <c r="K82" s="64"/>
      <c r="L82" s="64"/>
      <c r="M82" s="64"/>
      <c r="N82" s="64"/>
      <c r="O82" s="93"/>
      <c r="P82" s="96"/>
      <c r="Q82" s="96"/>
      <c r="R82" s="96"/>
    </row>
    <row r="83" spans="1:18">
      <c r="A83" s="64">
        <v>330013</v>
      </c>
      <c r="B83" s="104" t="s">
        <v>269</v>
      </c>
      <c r="C83" s="98">
        <v>0</v>
      </c>
      <c r="D83" s="98">
        <v>33</v>
      </c>
      <c r="E83" s="105" t="s">
        <v>270</v>
      </c>
      <c r="F83" s="99" t="s">
        <v>271</v>
      </c>
      <c r="G83" s="98"/>
      <c r="H83" s="98">
        <v>1</v>
      </c>
      <c r="I83" s="98">
        <v>13</v>
      </c>
      <c r="J83" s="64">
        <v>0</v>
      </c>
      <c r="K83" s="64"/>
      <c r="L83" s="64"/>
      <c r="M83" s="64"/>
      <c r="N83" s="64"/>
      <c r="O83" s="93"/>
      <c r="P83" s="96"/>
      <c r="Q83" s="96"/>
      <c r="R83" s="96"/>
    </row>
    <row r="84" spans="1:18">
      <c r="A84" s="64">
        <v>330014</v>
      </c>
      <c r="B84" s="104" t="s">
        <v>272</v>
      </c>
      <c r="C84" s="98">
        <v>0</v>
      </c>
      <c r="D84" s="98">
        <v>33</v>
      </c>
      <c r="E84" s="105" t="s">
        <v>273</v>
      </c>
      <c r="F84" s="99" t="s">
        <v>271</v>
      </c>
      <c r="G84" s="98"/>
      <c r="H84" s="98">
        <v>1</v>
      </c>
      <c r="I84" s="98">
        <v>14</v>
      </c>
      <c r="J84" s="64">
        <v>0</v>
      </c>
      <c r="K84" s="64"/>
      <c r="L84" s="64"/>
      <c r="M84" s="64"/>
      <c r="N84" s="64"/>
      <c r="O84" s="93"/>
      <c r="P84" s="96"/>
      <c r="Q84" s="96"/>
      <c r="R84" s="96"/>
    </row>
    <row r="85" s="47" customFormat="1" spans="1:18">
      <c r="A85" s="64">
        <v>330015</v>
      </c>
      <c r="B85" s="104" t="s">
        <v>274</v>
      </c>
      <c r="C85" s="98">
        <v>0</v>
      </c>
      <c r="D85" s="98">
        <v>33</v>
      </c>
      <c r="E85" s="105" t="s">
        <v>275</v>
      </c>
      <c r="F85" s="99" t="s">
        <v>271</v>
      </c>
      <c r="G85" s="98"/>
      <c r="H85" s="98">
        <v>1</v>
      </c>
      <c r="I85" s="98">
        <v>15</v>
      </c>
      <c r="J85" s="64">
        <v>0</v>
      </c>
      <c r="K85" s="64"/>
      <c r="L85" s="64"/>
      <c r="M85" s="64"/>
      <c r="N85" s="64"/>
      <c r="O85" s="93"/>
      <c r="P85" s="96"/>
      <c r="Q85" s="96"/>
      <c r="R85" s="96"/>
    </row>
    <row r="86" s="46" customFormat="1" spans="1:18">
      <c r="A86" s="64">
        <v>330016</v>
      </c>
      <c r="B86" s="104" t="s">
        <v>276</v>
      </c>
      <c r="C86" s="98">
        <v>0</v>
      </c>
      <c r="D86" s="98">
        <v>33</v>
      </c>
      <c r="E86" s="105" t="s">
        <v>277</v>
      </c>
      <c r="F86" s="99" t="s">
        <v>271</v>
      </c>
      <c r="G86" s="98"/>
      <c r="H86" s="98">
        <v>1</v>
      </c>
      <c r="I86" s="98">
        <v>16</v>
      </c>
      <c r="J86" s="70">
        <v>0</v>
      </c>
      <c r="K86" s="70"/>
      <c r="L86" s="70"/>
      <c r="M86" s="70"/>
      <c r="N86" s="70"/>
      <c r="O86" s="94"/>
      <c r="P86" s="95"/>
      <c r="Q86" s="95"/>
      <c r="R86" s="95"/>
    </row>
    <row r="87" s="46" customFormat="1" spans="1:18">
      <c r="A87" s="64">
        <v>330017</v>
      </c>
      <c r="B87" s="104" t="s">
        <v>278</v>
      </c>
      <c r="C87" s="98">
        <v>0</v>
      </c>
      <c r="D87" s="98">
        <v>33</v>
      </c>
      <c r="E87" s="105" t="s">
        <v>279</v>
      </c>
      <c r="F87" s="99" t="s">
        <v>271</v>
      </c>
      <c r="G87" s="98"/>
      <c r="H87" s="98">
        <v>999</v>
      </c>
      <c r="I87" s="98">
        <v>17</v>
      </c>
      <c r="J87" s="70">
        <v>0</v>
      </c>
      <c r="K87" s="70"/>
      <c r="L87" s="70"/>
      <c r="M87" s="70"/>
      <c r="N87" s="70"/>
      <c r="O87" s="94"/>
      <c r="P87" s="95"/>
      <c r="Q87" s="95"/>
      <c r="R87" s="95"/>
    </row>
    <row r="88" s="46" customFormat="1" spans="1:18">
      <c r="A88" s="64">
        <v>340001</v>
      </c>
      <c r="B88" s="106" t="s">
        <v>280</v>
      </c>
      <c r="C88" s="69">
        <v>0</v>
      </c>
      <c r="D88" s="69">
        <v>34</v>
      </c>
      <c r="E88" s="85" t="s">
        <v>281</v>
      </c>
      <c r="F88" s="86" t="s">
        <v>282</v>
      </c>
      <c r="G88" s="69"/>
      <c r="H88" s="69">
        <v>1</v>
      </c>
      <c r="I88" s="69">
        <v>1</v>
      </c>
      <c r="J88" s="69">
        <v>0</v>
      </c>
      <c r="K88" s="69"/>
      <c r="L88" s="69"/>
      <c r="M88" s="69"/>
      <c r="N88" s="69"/>
      <c r="O88" s="122"/>
      <c r="P88" s="87"/>
      <c r="Q88" s="87"/>
      <c r="R88" s="87"/>
    </row>
    <row r="89" s="46" customFormat="1" spans="1:18">
      <c r="A89" s="64">
        <v>340002</v>
      </c>
      <c r="B89" s="95" t="s">
        <v>283</v>
      </c>
      <c r="C89" s="69">
        <v>0</v>
      </c>
      <c r="D89" s="69">
        <v>34</v>
      </c>
      <c r="E89" s="85" t="s">
        <v>284</v>
      </c>
      <c r="F89" s="86" t="s">
        <v>282</v>
      </c>
      <c r="G89" s="69"/>
      <c r="H89" s="69">
        <v>1</v>
      </c>
      <c r="I89" s="69">
        <v>2</v>
      </c>
      <c r="J89" s="69">
        <v>0</v>
      </c>
      <c r="K89" s="69"/>
      <c r="L89" s="69"/>
      <c r="M89" s="69"/>
      <c r="N89" s="69"/>
      <c r="O89" s="122"/>
      <c r="P89" s="87"/>
      <c r="Q89" s="87"/>
      <c r="R89" s="87"/>
    </row>
    <row r="90" s="46" customFormat="1" spans="1:18">
      <c r="A90" s="64">
        <v>340003</v>
      </c>
      <c r="B90" s="106" t="s">
        <v>285</v>
      </c>
      <c r="C90" s="69">
        <v>0</v>
      </c>
      <c r="D90" s="69">
        <v>34</v>
      </c>
      <c r="E90" s="85" t="s">
        <v>286</v>
      </c>
      <c r="F90" s="86" t="s">
        <v>287</v>
      </c>
      <c r="G90" s="69"/>
      <c r="H90" s="69">
        <v>1</v>
      </c>
      <c r="I90" s="69">
        <v>3</v>
      </c>
      <c r="J90" s="69">
        <v>0</v>
      </c>
      <c r="K90" s="69"/>
      <c r="L90" s="69"/>
      <c r="M90" s="69"/>
      <c r="N90" s="69"/>
      <c r="O90" s="122"/>
      <c r="P90" s="87"/>
      <c r="Q90" s="87"/>
      <c r="R90" s="87"/>
    </row>
    <row r="91" s="46" customFormat="1" spans="1:18">
      <c r="A91" s="64">
        <v>340004</v>
      </c>
      <c r="B91" s="106" t="s">
        <v>164</v>
      </c>
      <c r="C91" s="69">
        <v>0</v>
      </c>
      <c r="D91" s="69">
        <v>34</v>
      </c>
      <c r="E91" s="107" t="s">
        <v>165</v>
      </c>
      <c r="F91" s="86" t="s">
        <v>287</v>
      </c>
      <c r="G91" s="69"/>
      <c r="H91" s="69">
        <v>1</v>
      </c>
      <c r="I91" s="69">
        <v>4</v>
      </c>
      <c r="J91" s="69"/>
      <c r="K91" s="69"/>
      <c r="L91" s="69"/>
      <c r="M91" s="69"/>
      <c r="N91" s="69"/>
      <c r="O91" s="122"/>
      <c r="P91" s="87"/>
      <c r="Q91" s="87"/>
      <c r="R91" s="87"/>
    </row>
    <row r="92" s="46" customFormat="1" spans="1:18">
      <c r="A92" s="64">
        <v>340005</v>
      </c>
      <c r="B92" s="106" t="s">
        <v>288</v>
      </c>
      <c r="C92" s="69">
        <v>0</v>
      </c>
      <c r="D92" s="69">
        <v>34</v>
      </c>
      <c r="E92" s="85" t="s">
        <v>289</v>
      </c>
      <c r="F92" s="86" t="s">
        <v>287</v>
      </c>
      <c r="G92" s="69"/>
      <c r="H92" s="69">
        <v>1</v>
      </c>
      <c r="I92" s="69">
        <v>5</v>
      </c>
      <c r="J92" s="69">
        <v>0</v>
      </c>
      <c r="K92" s="69"/>
      <c r="L92" s="69"/>
      <c r="M92" s="69"/>
      <c r="N92" s="69"/>
      <c r="O92" s="122"/>
      <c r="P92" s="87"/>
      <c r="Q92" s="87"/>
      <c r="R92" s="87"/>
    </row>
    <row r="93" s="46" customFormat="1" spans="1:18">
      <c r="A93" s="64">
        <v>340006</v>
      </c>
      <c r="B93" s="106" t="s">
        <v>290</v>
      </c>
      <c r="C93" s="69">
        <v>0</v>
      </c>
      <c r="D93" s="69">
        <v>34</v>
      </c>
      <c r="E93" s="88" t="s">
        <v>291</v>
      </c>
      <c r="F93" s="86" t="s">
        <v>292</v>
      </c>
      <c r="G93" s="69"/>
      <c r="H93" s="69">
        <v>1</v>
      </c>
      <c r="I93" s="69">
        <v>6</v>
      </c>
      <c r="J93" s="69"/>
      <c r="K93" s="69"/>
      <c r="L93" s="69"/>
      <c r="M93" s="69"/>
      <c r="N93" s="69"/>
      <c r="O93" s="122"/>
      <c r="P93" s="87"/>
      <c r="Q93" s="87"/>
      <c r="R93" s="87"/>
    </row>
    <row r="94" s="46" customFormat="1" spans="1:18">
      <c r="A94" s="64">
        <v>340007</v>
      </c>
      <c r="B94" s="95" t="s">
        <v>169</v>
      </c>
      <c r="C94" s="69">
        <v>0</v>
      </c>
      <c r="D94" s="69">
        <v>34</v>
      </c>
      <c r="E94" s="85" t="s">
        <v>170</v>
      </c>
      <c r="F94" s="86" t="s">
        <v>292</v>
      </c>
      <c r="G94" s="69"/>
      <c r="H94" s="69">
        <v>1</v>
      </c>
      <c r="I94" s="69">
        <v>7</v>
      </c>
      <c r="J94" s="69">
        <v>0</v>
      </c>
      <c r="K94" s="69"/>
      <c r="L94" s="69"/>
      <c r="M94" s="69"/>
      <c r="N94" s="69"/>
      <c r="O94" s="122"/>
      <c r="P94" s="87"/>
      <c r="Q94" s="87"/>
      <c r="R94" s="87"/>
    </row>
    <row r="95" spans="1:18">
      <c r="A95" s="64">
        <v>340008</v>
      </c>
      <c r="B95" s="95" t="s">
        <v>293</v>
      </c>
      <c r="C95" s="69">
        <v>0</v>
      </c>
      <c r="D95" s="69">
        <v>34</v>
      </c>
      <c r="E95" s="88" t="s">
        <v>294</v>
      </c>
      <c r="F95" s="86" t="s">
        <v>287</v>
      </c>
      <c r="G95" s="69"/>
      <c r="H95" s="69">
        <v>1</v>
      </c>
      <c r="I95" s="69">
        <v>8</v>
      </c>
      <c r="J95" s="69"/>
      <c r="K95" s="69"/>
      <c r="L95" s="69"/>
      <c r="M95" s="69"/>
      <c r="N95" s="69"/>
      <c r="O95" s="122"/>
      <c r="P95" s="87"/>
      <c r="Q95" s="87"/>
      <c r="R95" s="87"/>
    </row>
    <row r="96" spans="1:18">
      <c r="A96" s="64">
        <v>340009</v>
      </c>
      <c r="B96" s="108" t="s">
        <v>295</v>
      </c>
      <c r="C96" s="70">
        <v>0</v>
      </c>
      <c r="D96" s="70">
        <v>34</v>
      </c>
      <c r="E96" s="109" t="s">
        <v>296</v>
      </c>
      <c r="F96" s="67" t="s">
        <v>297</v>
      </c>
      <c r="G96" s="64"/>
      <c r="H96" s="64">
        <v>1</v>
      </c>
      <c r="I96" s="69">
        <v>13</v>
      </c>
      <c r="J96" s="64">
        <v>0</v>
      </c>
      <c r="K96" s="64"/>
      <c r="L96" s="64"/>
      <c r="M96" s="64"/>
      <c r="N96" s="64"/>
      <c r="O96" s="93"/>
      <c r="P96" s="96"/>
      <c r="Q96" s="96"/>
      <c r="R96" s="96"/>
    </row>
    <row r="97" spans="1:18">
      <c r="A97" s="64">
        <v>340010</v>
      </c>
      <c r="B97" s="108" t="s">
        <v>298</v>
      </c>
      <c r="C97" s="70">
        <v>0</v>
      </c>
      <c r="D97" s="70">
        <v>34</v>
      </c>
      <c r="E97" s="109" t="s">
        <v>299</v>
      </c>
      <c r="F97" s="67" t="s">
        <v>297</v>
      </c>
      <c r="G97" s="64"/>
      <c r="H97" s="64">
        <v>1</v>
      </c>
      <c r="I97" s="69">
        <v>14</v>
      </c>
      <c r="J97" s="64">
        <v>0</v>
      </c>
      <c r="K97" s="64"/>
      <c r="L97" s="64"/>
      <c r="M97" s="64"/>
      <c r="N97" s="64"/>
      <c r="O97" s="93"/>
      <c r="P97" s="96"/>
      <c r="Q97" s="96"/>
      <c r="R97" s="96"/>
    </row>
    <row r="98" spans="1:18">
      <c r="A98" s="64">
        <v>340011</v>
      </c>
      <c r="B98" s="108" t="s">
        <v>300</v>
      </c>
      <c r="C98" s="70">
        <v>0</v>
      </c>
      <c r="D98" s="70">
        <v>34</v>
      </c>
      <c r="E98" s="109" t="s">
        <v>301</v>
      </c>
      <c r="F98" s="67" t="s">
        <v>297</v>
      </c>
      <c r="G98" s="64"/>
      <c r="H98" s="64">
        <v>1</v>
      </c>
      <c r="I98" s="69">
        <v>15</v>
      </c>
      <c r="J98" s="64">
        <v>0</v>
      </c>
      <c r="K98" s="64"/>
      <c r="L98" s="64"/>
      <c r="M98" s="64"/>
      <c r="N98" s="64"/>
      <c r="O98" s="93"/>
      <c r="P98" s="96"/>
      <c r="Q98" s="96"/>
      <c r="R98" s="96"/>
    </row>
    <row r="99" spans="1:18">
      <c r="A99" s="64">
        <v>340012</v>
      </c>
      <c r="B99" s="108" t="s">
        <v>302</v>
      </c>
      <c r="C99" s="70">
        <v>0</v>
      </c>
      <c r="D99" s="70">
        <v>34</v>
      </c>
      <c r="E99" s="109" t="s">
        <v>303</v>
      </c>
      <c r="F99" s="67" t="s">
        <v>297</v>
      </c>
      <c r="G99" s="64"/>
      <c r="H99" s="64">
        <v>1</v>
      </c>
      <c r="I99" s="69">
        <v>16</v>
      </c>
      <c r="J99" s="64">
        <v>0</v>
      </c>
      <c r="K99" s="64"/>
      <c r="L99" s="64"/>
      <c r="M99" s="64"/>
      <c r="N99" s="64"/>
      <c r="O99" s="93"/>
      <c r="P99" s="96"/>
      <c r="Q99" s="96"/>
      <c r="R99" s="96"/>
    </row>
    <row r="100" spans="1:18">
      <c r="A100" s="64">
        <v>340013</v>
      </c>
      <c r="B100" s="108" t="s">
        <v>304</v>
      </c>
      <c r="C100" s="70">
        <v>0</v>
      </c>
      <c r="D100" s="70">
        <v>34</v>
      </c>
      <c r="E100" s="109" t="s">
        <v>305</v>
      </c>
      <c r="F100" s="67" t="s">
        <v>306</v>
      </c>
      <c r="G100" s="64"/>
      <c r="H100" s="64">
        <v>1</v>
      </c>
      <c r="I100" s="69">
        <v>17</v>
      </c>
      <c r="J100" s="64">
        <v>0</v>
      </c>
      <c r="K100" s="64"/>
      <c r="L100" s="64"/>
      <c r="M100" s="64"/>
      <c r="N100" s="64"/>
      <c r="O100" s="93"/>
      <c r="P100" s="96"/>
      <c r="Q100" s="96"/>
      <c r="R100" s="96"/>
    </row>
    <row r="101" spans="1:18">
      <c r="A101" s="64">
        <v>340014</v>
      </c>
      <c r="B101" s="108" t="s">
        <v>307</v>
      </c>
      <c r="C101" s="70">
        <v>0</v>
      </c>
      <c r="D101" s="70">
        <v>34</v>
      </c>
      <c r="E101" s="109" t="s">
        <v>308</v>
      </c>
      <c r="F101" s="67" t="s">
        <v>306</v>
      </c>
      <c r="G101" s="64"/>
      <c r="H101" s="64">
        <v>1</v>
      </c>
      <c r="I101" s="69">
        <v>18</v>
      </c>
      <c r="J101" s="64">
        <v>0</v>
      </c>
      <c r="K101" s="64"/>
      <c r="L101" s="64"/>
      <c r="M101" s="64"/>
      <c r="N101" s="64"/>
      <c r="O101" s="93"/>
      <c r="P101" s="96"/>
      <c r="Q101" s="96"/>
      <c r="R101" s="96"/>
    </row>
    <row r="102" spans="1:18">
      <c r="A102" s="64">
        <v>340015</v>
      </c>
      <c r="B102" s="108" t="s">
        <v>309</v>
      </c>
      <c r="C102" s="70">
        <v>0</v>
      </c>
      <c r="D102" s="70">
        <v>34</v>
      </c>
      <c r="E102" s="109" t="s">
        <v>310</v>
      </c>
      <c r="F102" s="67" t="s">
        <v>306</v>
      </c>
      <c r="G102" s="64"/>
      <c r="H102" s="64">
        <v>1</v>
      </c>
      <c r="I102" s="69">
        <v>19</v>
      </c>
      <c r="J102" s="64">
        <v>0</v>
      </c>
      <c r="K102" s="64"/>
      <c r="L102" s="64"/>
      <c r="M102" s="64"/>
      <c r="N102" s="64"/>
      <c r="O102" s="93"/>
      <c r="P102" s="96"/>
      <c r="Q102" s="96"/>
      <c r="R102" s="96"/>
    </row>
    <row r="103" spans="1:18">
      <c r="A103" s="64">
        <v>340016</v>
      </c>
      <c r="B103" s="108" t="s">
        <v>311</v>
      </c>
      <c r="C103" s="70">
        <v>0</v>
      </c>
      <c r="D103" s="70">
        <v>34</v>
      </c>
      <c r="E103" s="109" t="s">
        <v>312</v>
      </c>
      <c r="F103" s="67" t="s">
        <v>306</v>
      </c>
      <c r="G103" s="64"/>
      <c r="H103" s="64">
        <v>1</v>
      </c>
      <c r="I103" s="69">
        <v>20</v>
      </c>
      <c r="J103" s="64">
        <v>0</v>
      </c>
      <c r="K103" s="64"/>
      <c r="L103" s="64"/>
      <c r="M103" s="64"/>
      <c r="N103" s="64"/>
      <c r="O103" s="93"/>
      <c r="P103" s="96"/>
      <c r="Q103" s="96"/>
      <c r="R103" s="96"/>
    </row>
    <row r="104" spans="1:18">
      <c r="A104" s="64">
        <v>340017</v>
      </c>
      <c r="B104" s="108" t="s">
        <v>313</v>
      </c>
      <c r="C104" s="70">
        <v>0</v>
      </c>
      <c r="D104" s="70">
        <v>34</v>
      </c>
      <c r="E104" s="109" t="s">
        <v>314</v>
      </c>
      <c r="F104" s="67" t="s">
        <v>315</v>
      </c>
      <c r="G104" s="64"/>
      <c r="H104" s="64">
        <v>1</v>
      </c>
      <c r="I104" s="69">
        <v>21</v>
      </c>
      <c r="J104" s="64">
        <v>0</v>
      </c>
      <c r="K104" s="64"/>
      <c r="L104" s="64"/>
      <c r="M104" s="64"/>
      <c r="N104" s="64"/>
      <c r="O104" s="93"/>
      <c r="P104" s="96"/>
      <c r="Q104" s="96"/>
      <c r="R104" s="96"/>
    </row>
    <row r="105" spans="1:18">
      <c r="A105" s="64">
        <v>340018</v>
      </c>
      <c r="B105" s="108" t="s">
        <v>316</v>
      </c>
      <c r="C105" s="70">
        <v>0</v>
      </c>
      <c r="D105" s="70">
        <v>34</v>
      </c>
      <c r="E105" s="109" t="s">
        <v>317</v>
      </c>
      <c r="F105" s="67" t="s">
        <v>315</v>
      </c>
      <c r="G105" s="64"/>
      <c r="H105" s="64">
        <v>1</v>
      </c>
      <c r="I105" s="69">
        <v>22</v>
      </c>
      <c r="J105" s="64">
        <v>0</v>
      </c>
      <c r="K105" s="64"/>
      <c r="L105" s="64"/>
      <c r="M105" s="64"/>
      <c r="N105" s="64"/>
      <c r="O105" s="93"/>
      <c r="P105" s="96"/>
      <c r="Q105" s="96"/>
      <c r="R105" s="96"/>
    </row>
    <row r="106" spans="1:18">
      <c r="A106" s="64">
        <v>340019</v>
      </c>
      <c r="B106" s="108" t="s">
        <v>318</v>
      </c>
      <c r="C106" s="70">
        <v>0</v>
      </c>
      <c r="D106" s="70">
        <v>34</v>
      </c>
      <c r="E106" s="109" t="s">
        <v>319</v>
      </c>
      <c r="F106" s="67" t="s">
        <v>315</v>
      </c>
      <c r="G106" s="64"/>
      <c r="H106" s="64">
        <v>1</v>
      </c>
      <c r="I106" s="69">
        <v>23</v>
      </c>
      <c r="J106" s="64">
        <v>0</v>
      </c>
      <c r="K106" s="64"/>
      <c r="L106" s="64"/>
      <c r="M106" s="64"/>
      <c r="N106" s="64"/>
      <c r="O106" s="93"/>
      <c r="P106" s="96"/>
      <c r="Q106" s="96"/>
      <c r="R106" s="96"/>
    </row>
    <row r="107" spans="1:18">
      <c r="A107" s="64">
        <v>340020</v>
      </c>
      <c r="B107" s="108" t="s">
        <v>320</v>
      </c>
      <c r="C107" s="70">
        <v>0</v>
      </c>
      <c r="D107" s="70">
        <v>34</v>
      </c>
      <c r="E107" s="109" t="s">
        <v>321</v>
      </c>
      <c r="F107" s="67" t="s">
        <v>315</v>
      </c>
      <c r="G107" s="64"/>
      <c r="H107" s="64">
        <v>1</v>
      </c>
      <c r="I107" s="69">
        <v>24</v>
      </c>
      <c r="J107" s="64">
        <v>0</v>
      </c>
      <c r="K107" s="64"/>
      <c r="L107" s="64"/>
      <c r="M107" s="64"/>
      <c r="N107" s="64"/>
      <c r="O107" s="93"/>
      <c r="P107" s="96"/>
      <c r="Q107" s="96"/>
      <c r="R107" s="96"/>
    </row>
    <row r="108" spans="1:18">
      <c r="A108" s="64">
        <v>340021</v>
      </c>
      <c r="B108" s="108" t="s">
        <v>269</v>
      </c>
      <c r="C108" s="70">
        <v>0</v>
      </c>
      <c r="D108" s="70">
        <v>34</v>
      </c>
      <c r="E108" s="109" t="s">
        <v>270</v>
      </c>
      <c r="F108" s="67" t="s">
        <v>322</v>
      </c>
      <c r="G108" s="64"/>
      <c r="H108" s="64">
        <v>1</v>
      </c>
      <c r="I108" s="69">
        <v>25</v>
      </c>
      <c r="J108" s="64">
        <v>0</v>
      </c>
      <c r="K108" s="64"/>
      <c r="L108" s="64"/>
      <c r="M108" s="64"/>
      <c r="N108" s="64"/>
      <c r="O108" s="93"/>
      <c r="P108" s="96"/>
      <c r="Q108" s="96"/>
      <c r="R108" s="96"/>
    </row>
    <row r="109" spans="1:18">
      <c r="A109" s="64">
        <v>340022</v>
      </c>
      <c r="B109" s="108" t="s">
        <v>272</v>
      </c>
      <c r="C109" s="70">
        <v>0</v>
      </c>
      <c r="D109" s="70">
        <v>34</v>
      </c>
      <c r="E109" s="109" t="s">
        <v>273</v>
      </c>
      <c r="F109" s="67" t="s">
        <v>322</v>
      </c>
      <c r="G109" s="64"/>
      <c r="H109" s="64">
        <v>1</v>
      </c>
      <c r="I109" s="69">
        <v>26</v>
      </c>
      <c r="J109" s="64">
        <v>0</v>
      </c>
      <c r="K109" s="64"/>
      <c r="L109" s="64"/>
      <c r="M109" s="64"/>
      <c r="N109" s="64"/>
      <c r="O109" s="93"/>
      <c r="P109" s="96"/>
      <c r="Q109" s="96"/>
      <c r="R109" s="96"/>
    </row>
    <row r="110" spans="1:18">
      <c r="A110" s="64">
        <v>340023</v>
      </c>
      <c r="B110" s="108" t="s">
        <v>274</v>
      </c>
      <c r="C110" s="70">
        <v>0</v>
      </c>
      <c r="D110" s="70">
        <v>34</v>
      </c>
      <c r="E110" s="109" t="s">
        <v>275</v>
      </c>
      <c r="F110" s="67" t="s">
        <v>322</v>
      </c>
      <c r="G110" s="64"/>
      <c r="H110" s="64">
        <v>1</v>
      </c>
      <c r="I110" s="69">
        <v>27</v>
      </c>
      <c r="J110" s="64">
        <v>0</v>
      </c>
      <c r="K110" s="64"/>
      <c r="L110" s="64"/>
      <c r="M110" s="64"/>
      <c r="N110" s="64"/>
      <c r="O110" s="93"/>
      <c r="P110" s="96"/>
      <c r="Q110" s="96"/>
      <c r="R110" s="96"/>
    </row>
    <row r="111" s="48" customFormat="1" spans="1:18">
      <c r="A111" s="64">
        <v>340024</v>
      </c>
      <c r="B111" s="108" t="s">
        <v>276</v>
      </c>
      <c r="C111" s="70">
        <v>0</v>
      </c>
      <c r="D111" s="70">
        <v>34</v>
      </c>
      <c r="E111" s="109" t="s">
        <v>277</v>
      </c>
      <c r="F111" s="67" t="s">
        <v>322</v>
      </c>
      <c r="G111" s="64"/>
      <c r="H111" s="64">
        <v>1</v>
      </c>
      <c r="I111" s="69">
        <v>28</v>
      </c>
      <c r="J111" s="64">
        <v>0</v>
      </c>
      <c r="K111" s="64"/>
      <c r="L111" s="64"/>
      <c r="M111" s="64"/>
      <c r="N111" s="64"/>
      <c r="O111" s="93"/>
      <c r="P111" s="96"/>
      <c r="Q111" s="96"/>
      <c r="R111" s="96"/>
    </row>
    <row r="112" s="48" customFormat="1" spans="1:18">
      <c r="A112" s="64">
        <v>340025</v>
      </c>
      <c r="B112" s="110" t="s">
        <v>171</v>
      </c>
      <c r="C112" s="111">
        <v>0</v>
      </c>
      <c r="D112" s="111">
        <v>34</v>
      </c>
      <c r="E112" s="112" t="s">
        <v>172</v>
      </c>
      <c r="F112" s="113" t="s">
        <v>292</v>
      </c>
      <c r="G112" s="111"/>
      <c r="H112" s="111">
        <v>1</v>
      </c>
      <c r="I112" s="111">
        <v>9</v>
      </c>
      <c r="J112" s="111">
        <v>0</v>
      </c>
      <c r="K112" s="64"/>
      <c r="L112" s="64"/>
      <c r="M112" s="64"/>
      <c r="N112" s="64"/>
      <c r="O112" s="93"/>
      <c r="P112" s="96"/>
      <c r="Q112" s="96"/>
      <c r="R112" s="96"/>
    </row>
    <row r="113" s="48" customFormat="1" spans="1:18">
      <c r="A113" s="64">
        <v>340026</v>
      </c>
      <c r="B113" s="114" t="s">
        <v>152</v>
      </c>
      <c r="C113" s="111">
        <v>0</v>
      </c>
      <c r="D113" s="111">
        <v>34</v>
      </c>
      <c r="E113" s="111" t="s">
        <v>153</v>
      </c>
      <c r="F113" s="113" t="s">
        <v>287</v>
      </c>
      <c r="G113" s="111"/>
      <c r="H113" s="111">
        <v>1</v>
      </c>
      <c r="I113" s="111">
        <v>10</v>
      </c>
      <c r="J113" s="111">
        <v>0</v>
      </c>
      <c r="K113" s="64"/>
      <c r="L113" s="64"/>
      <c r="M113" s="64"/>
      <c r="N113" s="64"/>
      <c r="O113" s="93"/>
      <c r="P113" s="96"/>
      <c r="Q113" s="96"/>
      <c r="R113" s="96"/>
    </row>
    <row r="114" s="48" customFormat="1" spans="1:18">
      <c r="A114" s="64">
        <v>340027</v>
      </c>
      <c r="B114" s="114" t="s">
        <v>323</v>
      </c>
      <c r="C114" s="111">
        <v>0</v>
      </c>
      <c r="D114" s="111">
        <v>34</v>
      </c>
      <c r="E114" s="111" t="s">
        <v>324</v>
      </c>
      <c r="F114" s="113" t="s">
        <v>287</v>
      </c>
      <c r="G114" s="111"/>
      <c r="H114" s="111">
        <v>1</v>
      </c>
      <c r="I114" s="111">
        <v>11</v>
      </c>
      <c r="J114" s="111">
        <v>0</v>
      </c>
      <c r="K114" s="64"/>
      <c r="L114" s="64"/>
      <c r="M114" s="64"/>
      <c r="N114" s="64"/>
      <c r="O114" s="93"/>
      <c r="P114" s="96"/>
      <c r="Q114" s="96"/>
      <c r="R114" s="96"/>
    </row>
    <row r="115" s="48" customFormat="1" spans="1:18">
      <c r="A115" s="64">
        <v>340028</v>
      </c>
      <c r="B115" s="114" t="s">
        <v>325</v>
      </c>
      <c r="C115" s="111">
        <v>0</v>
      </c>
      <c r="D115" s="111">
        <v>34</v>
      </c>
      <c r="E115" s="111" t="s">
        <v>326</v>
      </c>
      <c r="F115" s="113" t="s">
        <v>292</v>
      </c>
      <c r="G115" s="111"/>
      <c r="H115" s="111">
        <v>1</v>
      </c>
      <c r="I115" s="111">
        <v>12</v>
      </c>
      <c r="J115" s="111">
        <v>0</v>
      </c>
      <c r="K115" s="64"/>
      <c r="L115" s="64"/>
      <c r="M115" s="64"/>
      <c r="N115" s="64"/>
      <c r="O115" s="93"/>
      <c r="P115" s="96"/>
      <c r="Q115" s="96"/>
      <c r="R115" s="96"/>
    </row>
    <row r="116" s="48" customFormat="1" spans="1:18">
      <c r="A116" s="115">
        <v>350001</v>
      </c>
      <c r="B116" s="116" t="s">
        <v>327</v>
      </c>
      <c r="C116" s="115">
        <v>0</v>
      </c>
      <c r="D116" s="115">
        <v>35</v>
      </c>
      <c r="E116" s="117" t="s">
        <v>328</v>
      </c>
      <c r="F116" s="118" t="s">
        <v>329</v>
      </c>
      <c r="G116" s="115"/>
      <c r="H116" s="115">
        <v>1</v>
      </c>
      <c r="I116" s="115">
        <v>1</v>
      </c>
      <c r="J116" s="115">
        <v>0</v>
      </c>
      <c r="K116" s="115"/>
      <c r="L116" s="115"/>
      <c r="M116" s="115"/>
      <c r="N116" s="115"/>
      <c r="O116" s="123"/>
      <c r="P116" s="124"/>
      <c r="Q116" s="124"/>
      <c r="R116" s="124"/>
    </row>
    <row r="117" s="48" customFormat="1" spans="1:18">
      <c r="A117" s="115">
        <v>350002</v>
      </c>
      <c r="B117" s="115" t="s">
        <v>53</v>
      </c>
      <c r="C117" s="115">
        <v>0</v>
      </c>
      <c r="D117" s="115">
        <v>35</v>
      </c>
      <c r="E117" s="117" t="s">
        <v>330</v>
      </c>
      <c r="F117" s="118" t="s">
        <v>329</v>
      </c>
      <c r="G117" s="119"/>
      <c r="H117" s="115">
        <v>1</v>
      </c>
      <c r="I117" s="115">
        <v>2</v>
      </c>
      <c r="J117" s="115">
        <v>0</v>
      </c>
      <c r="K117" s="115"/>
      <c r="L117" s="115"/>
      <c r="M117" s="115"/>
      <c r="N117" s="115"/>
      <c r="O117" s="123"/>
      <c r="P117" s="124"/>
      <c r="Q117" s="124"/>
      <c r="R117" s="124"/>
    </row>
    <row r="118" s="48" customFormat="1" spans="1:18">
      <c r="A118" s="115">
        <v>350003</v>
      </c>
      <c r="B118" s="115" t="s">
        <v>224</v>
      </c>
      <c r="C118" s="115">
        <v>0</v>
      </c>
      <c r="D118" s="115">
        <v>35</v>
      </c>
      <c r="E118" s="117" t="s">
        <v>225</v>
      </c>
      <c r="F118" s="118" t="s">
        <v>329</v>
      </c>
      <c r="G118" s="119"/>
      <c r="H118" s="115">
        <v>1</v>
      </c>
      <c r="I118" s="115">
        <v>3</v>
      </c>
      <c r="J118" s="115">
        <v>0</v>
      </c>
      <c r="K118" s="115"/>
      <c r="L118" s="115"/>
      <c r="M118" s="115"/>
      <c r="N118" s="115"/>
      <c r="O118" s="123"/>
      <c r="P118" s="124"/>
      <c r="Q118" s="124"/>
      <c r="R118" s="124"/>
    </row>
    <row r="119" s="48" customFormat="1" spans="1:18">
      <c r="A119" s="115">
        <v>350004</v>
      </c>
      <c r="B119" s="115" t="s">
        <v>115</v>
      </c>
      <c r="C119" s="115">
        <v>0</v>
      </c>
      <c r="D119" s="115">
        <v>35</v>
      </c>
      <c r="E119" s="117" t="s">
        <v>116</v>
      </c>
      <c r="F119" s="118" t="s">
        <v>329</v>
      </c>
      <c r="G119" s="119"/>
      <c r="H119" s="115">
        <v>1</v>
      </c>
      <c r="I119" s="115">
        <v>4</v>
      </c>
      <c r="J119" s="115">
        <v>0</v>
      </c>
      <c r="K119" s="115"/>
      <c r="L119" s="115"/>
      <c r="M119" s="115"/>
      <c r="N119" s="115"/>
      <c r="O119" s="123"/>
      <c r="P119" s="124"/>
      <c r="Q119" s="124"/>
      <c r="R119" s="124"/>
    </row>
    <row r="120" s="48" customFormat="1" spans="1:18">
      <c r="A120" s="115">
        <v>350005</v>
      </c>
      <c r="B120" s="120" t="s">
        <v>118</v>
      </c>
      <c r="C120" s="115">
        <v>0</v>
      </c>
      <c r="D120" s="115">
        <v>35</v>
      </c>
      <c r="E120" s="117" t="s">
        <v>331</v>
      </c>
      <c r="F120" s="118" t="s">
        <v>329</v>
      </c>
      <c r="G120" s="119"/>
      <c r="H120" s="115">
        <v>1</v>
      </c>
      <c r="I120" s="115">
        <v>5</v>
      </c>
      <c r="J120" s="115">
        <v>0</v>
      </c>
      <c r="K120" s="115"/>
      <c r="L120" s="115"/>
      <c r="M120" s="115"/>
      <c r="N120" s="115"/>
      <c r="O120" s="123"/>
      <c r="P120" s="124"/>
      <c r="Q120" s="124"/>
      <c r="R120" s="124"/>
    </row>
    <row r="121" s="48" customFormat="1" spans="1:18">
      <c r="A121" s="115">
        <v>350006</v>
      </c>
      <c r="B121" s="120" t="s">
        <v>332</v>
      </c>
      <c r="C121" s="115">
        <v>0</v>
      </c>
      <c r="D121" s="115">
        <v>35</v>
      </c>
      <c r="E121" s="117" t="s">
        <v>317</v>
      </c>
      <c r="F121" s="118" t="s">
        <v>333</v>
      </c>
      <c r="G121" s="119"/>
      <c r="H121" s="115">
        <v>1</v>
      </c>
      <c r="I121" s="115">
        <v>6</v>
      </c>
      <c r="J121" s="115">
        <v>0</v>
      </c>
      <c r="K121" s="115"/>
      <c r="L121" s="115"/>
      <c r="M121" s="115"/>
      <c r="N121" s="115"/>
      <c r="O121" s="123"/>
      <c r="P121" s="124"/>
      <c r="Q121" s="124"/>
      <c r="R121" s="124"/>
    </row>
    <row r="122" s="48" customFormat="1" spans="1:18">
      <c r="A122" s="115">
        <v>350007</v>
      </c>
      <c r="B122" s="120" t="s">
        <v>334</v>
      </c>
      <c r="C122" s="115">
        <v>0</v>
      </c>
      <c r="D122" s="115">
        <v>35</v>
      </c>
      <c r="E122" s="117" t="s">
        <v>273</v>
      </c>
      <c r="F122" s="118" t="s">
        <v>333</v>
      </c>
      <c r="G122" s="119"/>
      <c r="H122" s="115">
        <v>1</v>
      </c>
      <c r="I122" s="115">
        <v>7</v>
      </c>
      <c r="J122" s="115">
        <v>0</v>
      </c>
      <c r="K122" s="115"/>
      <c r="L122" s="115"/>
      <c r="M122" s="115"/>
      <c r="N122" s="115"/>
      <c r="O122" s="123"/>
      <c r="P122" s="124"/>
      <c r="Q122" s="124"/>
      <c r="R122" s="124"/>
    </row>
    <row r="123" s="48" customFormat="1" spans="1:18">
      <c r="A123" s="115">
        <v>350008</v>
      </c>
      <c r="B123" s="120" t="s">
        <v>335</v>
      </c>
      <c r="C123" s="115">
        <v>0</v>
      </c>
      <c r="D123" s="115">
        <v>35</v>
      </c>
      <c r="E123" s="117" t="s">
        <v>319</v>
      </c>
      <c r="F123" s="118" t="s">
        <v>333</v>
      </c>
      <c r="G123" s="119"/>
      <c r="H123" s="115">
        <v>1</v>
      </c>
      <c r="I123" s="115">
        <v>8</v>
      </c>
      <c r="J123" s="115">
        <v>0</v>
      </c>
      <c r="K123" s="115"/>
      <c r="L123" s="115"/>
      <c r="M123" s="115"/>
      <c r="N123" s="115"/>
      <c r="O123" s="123"/>
      <c r="P123" s="124"/>
      <c r="Q123" s="124"/>
      <c r="R123" s="124"/>
    </row>
    <row r="124" s="48" customFormat="1" spans="1:18">
      <c r="A124" s="115">
        <v>350009</v>
      </c>
      <c r="B124" s="120" t="s">
        <v>336</v>
      </c>
      <c r="C124" s="115">
        <v>0</v>
      </c>
      <c r="D124" s="115">
        <v>35</v>
      </c>
      <c r="E124" s="117" t="s">
        <v>275</v>
      </c>
      <c r="F124" s="118" t="s">
        <v>333</v>
      </c>
      <c r="G124" s="119"/>
      <c r="H124" s="115">
        <v>1</v>
      </c>
      <c r="I124" s="115">
        <v>9</v>
      </c>
      <c r="J124" s="115">
        <v>0</v>
      </c>
      <c r="K124" s="115"/>
      <c r="L124" s="115"/>
      <c r="M124" s="115"/>
      <c r="N124" s="115"/>
      <c r="O124" s="123"/>
      <c r="P124" s="124"/>
      <c r="Q124" s="124"/>
      <c r="R124" s="124"/>
    </row>
    <row r="125" s="48" customFormat="1" spans="1:18">
      <c r="A125" s="115">
        <v>350010</v>
      </c>
      <c r="B125" s="120" t="s">
        <v>337</v>
      </c>
      <c r="C125" s="115">
        <v>0</v>
      </c>
      <c r="D125" s="115">
        <v>35</v>
      </c>
      <c r="E125" s="117" t="s">
        <v>338</v>
      </c>
      <c r="F125" s="118" t="s">
        <v>339</v>
      </c>
      <c r="G125" s="119"/>
      <c r="H125" s="115">
        <v>1</v>
      </c>
      <c r="I125" s="115">
        <v>10</v>
      </c>
      <c r="J125" s="115">
        <v>0</v>
      </c>
      <c r="K125" s="115"/>
      <c r="L125" s="115"/>
      <c r="M125" s="115"/>
      <c r="N125" s="115"/>
      <c r="O125" s="123"/>
      <c r="P125" s="124"/>
      <c r="Q125" s="124"/>
      <c r="R125" s="124"/>
    </row>
    <row r="126" s="48" customFormat="1" spans="1:18">
      <c r="A126" s="115">
        <v>350011</v>
      </c>
      <c r="B126" s="120" t="s">
        <v>340</v>
      </c>
      <c r="C126" s="115">
        <v>0</v>
      </c>
      <c r="D126" s="115">
        <v>35</v>
      </c>
      <c r="E126" s="117" t="s">
        <v>341</v>
      </c>
      <c r="F126" s="118" t="s">
        <v>339</v>
      </c>
      <c r="G126" s="119"/>
      <c r="H126" s="115">
        <v>1</v>
      </c>
      <c r="I126" s="115">
        <v>11</v>
      </c>
      <c r="J126" s="115">
        <v>0</v>
      </c>
      <c r="K126" s="115"/>
      <c r="L126" s="115"/>
      <c r="M126" s="115"/>
      <c r="N126" s="115"/>
      <c r="O126" s="123"/>
      <c r="P126" s="124"/>
      <c r="Q126" s="124"/>
      <c r="R126" s="124"/>
    </row>
    <row r="127" s="48" customFormat="1" spans="1:18">
      <c r="A127" s="115">
        <v>350012</v>
      </c>
      <c r="B127" s="120" t="s">
        <v>342</v>
      </c>
      <c r="C127" s="115">
        <v>0</v>
      </c>
      <c r="D127" s="115">
        <v>35</v>
      </c>
      <c r="E127" s="117" t="s">
        <v>343</v>
      </c>
      <c r="F127" s="118" t="s">
        <v>339</v>
      </c>
      <c r="G127" s="119"/>
      <c r="H127" s="115">
        <v>1</v>
      </c>
      <c r="I127" s="115">
        <v>12</v>
      </c>
      <c r="J127" s="115">
        <v>0</v>
      </c>
      <c r="K127" s="115"/>
      <c r="L127" s="115"/>
      <c r="M127" s="115"/>
      <c r="N127" s="115"/>
      <c r="O127" s="118" t="s">
        <v>29</v>
      </c>
      <c r="P127" s="124"/>
      <c r="Q127" s="124"/>
      <c r="R127" s="124"/>
    </row>
    <row r="128" s="48" customFormat="1" spans="1:18">
      <c r="A128" s="115">
        <v>350013</v>
      </c>
      <c r="B128" s="120" t="s">
        <v>344</v>
      </c>
      <c r="C128" s="115">
        <v>0</v>
      </c>
      <c r="D128" s="115">
        <v>35</v>
      </c>
      <c r="E128" s="117" t="s">
        <v>345</v>
      </c>
      <c r="F128" s="118" t="s">
        <v>339</v>
      </c>
      <c r="G128" s="119"/>
      <c r="H128" s="115">
        <v>1</v>
      </c>
      <c r="I128" s="115">
        <v>13</v>
      </c>
      <c r="J128" s="115">
        <v>0</v>
      </c>
      <c r="K128" s="115"/>
      <c r="L128" s="115"/>
      <c r="M128" s="115"/>
      <c r="N128" s="115"/>
      <c r="O128" s="118" t="s">
        <v>29</v>
      </c>
      <c r="P128" s="124"/>
      <c r="Q128" s="124"/>
      <c r="R128" s="124"/>
    </row>
    <row r="129" s="48" customFormat="1" spans="1:18">
      <c r="A129" s="115">
        <v>350014</v>
      </c>
      <c r="B129" s="120" t="s">
        <v>152</v>
      </c>
      <c r="C129" s="115">
        <v>0</v>
      </c>
      <c r="D129" s="115">
        <v>35</v>
      </c>
      <c r="E129" s="117" t="s">
        <v>153</v>
      </c>
      <c r="F129" s="118" t="s">
        <v>346</v>
      </c>
      <c r="G129" s="119"/>
      <c r="H129" s="115">
        <v>1</v>
      </c>
      <c r="I129" s="115">
        <v>14</v>
      </c>
      <c r="J129" s="115">
        <v>0</v>
      </c>
      <c r="K129" s="115"/>
      <c r="L129" s="115"/>
      <c r="M129" s="115"/>
      <c r="N129" s="115"/>
      <c r="O129" s="118" t="s">
        <v>29</v>
      </c>
      <c r="P129" s="124"/>
      <c r="Q129" s="124"/>
      <c r="R129" s="124"/>
    </row>
    <row r="130" s="48" customFormat="1" spans="1:18">
      <c r="A130" s="115">
        <v>350015</v>
      </c>
      <c r="B130" s="120" t="s">
        <v>288</v>
      </c>
      <c r="C130" s="115">
        <v>0</v>
      </c>
      <c r="D130" s="115">
        <v>35</v>
      </c>
      <c r="E130" s="117" t="s">
        <v>289</v>
      </c>
      <c r="F130" s="118" t="s">
        <v>346</v>
      </c>
      <c r="G130" s="119"/>
      <c r="H130" s="115">
        <v>1</v>
      </c>
      <c r="I130" s="115">
        <v>16</v>
      </c>
      <c r="J130" s="115">
        <v>0</v>
      </c>
      <c r="K130" s="115"/>
      <c r="L130" s="115"/>
      <c r="M130" s="115"/>
      <c r="N130" s="115"/>
      <c r="O130" s="118" t="s">
        <v>37</v>
      </c>
      <c r="P130" s="124"/>
      <c r="Q130" s="124"/>
      <c r="R130" s="124"/>
    </row>
    <row r="131" spans="1:18">
      <c r="A131" s="115">
        <v>350016</v>
      </c>
      <c r="B131" s="120" t="s">
        <v>347</v>
      </c>
      <c r="C131" s="115">
        <v>0</v>
      </c>
      <c r="D131" s="115">
        <v>35</v>
      </c>
      <c r="E131" s="117" t="s">
        <v>348</v>
      </c>
      <c r="F131" s="118" t="s">
        <v>346</v>
      </c>
      <c r="G131" s="119"/>
      <c r="H131" s="115">
        <v>1</v>
      </c>
      <c r="I131" s="115">
        <v>17</v>
      </c>
      <c r="J131" s="115">
        <v>0</v>
      </c>
      <c r="K131" s="115"/>
      <c r="L131" s="115"/>
      <c r="M131" s="115"/>
      <c r="N131" s="115"/>
      <c r="O131" s="118" t="s">
        <v>37</v>
      </c>
      <c r="P131" s="124"/>
      <c r="Q131" s="124"/>
      <c r="R131" s="124"/>
    </row>
    <row r="132" spans="1:18">
      <c r="A132" s="64">
        <v>400001</v>
      </c>
      <c r="B132" s="125" t="s">
        <v>349</v>
      </c>
      <c r="C132" s="70">
        <v>0</v>
      </c>
      <c r="D132" s="70">
        <v>40</v>
      </c>
      <c r="E132" s="71" t="s">
        <v>350</v>
      </c>
      <c r="F132" s="67" t="s">
        <v>351</v>
      </c>
      <c r="G132" s="121"/>
      <c r="H132" s="64">
        <v>1</v>
      </c>
      <c r="I132" s="64">
        <v>1</v>
      </c>
      <c r="J132" s="64">
        <v>0</v>
      </c>
      <c r="K132" s="64"/>
      <c r="L132" s="64"/>
      <c r="M132" s="64"/>
      <c r="N132" s="64"/>
      <c r="O132" s="93"/>
      <c r="P132" s="96"/>
      <c r="Q132" s="96"/>
      <c r="R132" s="96"/>
    </row>
    <row r="133" spans="1:18">
      <c r="A133" s="64">
        <v>400002</v>
      </c>
      <c r="B133" s="125" t="s">
        <v>352</v>
      </c>
      <c r="C133" s="70">
        <v>0</v>
      </c>
      <c r="D133" s="70">
        <v>40</v>
      </c>
      <c r="E133" s="71" t="s">
        <v>353</v>
      </c>
      <c r="F133" s="67" t="s">
        <v>354</v>
      </c>
      <c r="G133" s="121"/>
      <c r="H133" s="64">
        <v>1</v>
      </c>
      <c r="I133" s="64">
        <v>2</v>
      </c>
      <c r="J133" s="64">
        <v>0</v>
      </c>
      <c r="K133" s="64"/>
      <c r="L133" s="64"/>
      <c r="M133" s="64"/>
      <c r="N133" s="64"/>
      <c r="O133" s="93"/>
      <c r="P133" s="96"/>
      <c r="Q133" s="96"/>
      <c r="R133" s="96"/>
    </row>
    <row r="134" spans="1:18">
      <c r="A134" s="64">
        <v>400003</v>
      </c>
      <c r="B134" s="125" t="s">
        <v>355</v>
      </c>
      <c r="C134" s="70">
        <v>0</v>
      </c>
      <c r="D134" s="70">
        <v>40</v>
      </c>
      <c r="E134" s="71" t="s">
        <v>356</v>
      </c>
      <c r="F134" s="67" t="s">
        <v>357</v>
      </c>
      <c r="G134" s="121"/>
      <c r="H134" s="64">
        <v>1</v>
      </c>
      <c r="I134" s="64">
        <v>3</v>
      </c>
      <c r="J134" s="64">
        <v>0</v>
      </c>
      <c r="K134" s="64"/>
      <c r="L134" s="64"/>
      <c r="M134" s="64"/>
      <c r="N134" s="64"/>
      <c r="O134" s="93"/>
      <c r="P134" s="96"/>
      <c r="Q134" s="96"/>
      <c r="R134" s="96"/>
    </row>
    <row r="135" spans="1:18">
      <c r="A135" s="64">
        <v>400004</v>
      </c>
      <c r="B135" s="125" t="s">
        <v>358</v>
      </c>
      <c r="C135" s="70">
        <v>0</v>
      </c>
      <c r="D135" s="70">
        <v>40</v>
      </c>
      <c r="E135" s="71" t="s">
        <v>359</v>
      </c>
      <c r="F135" s="67" t="s">
        <v>351</v>
      </c>
      <c r="G135" s="121"/>
      <c r="H135" s="64">
        <v>1</v>
      </c>
      <c r="I135" s="64">
        <v>4</v>
      </c>
      <c r="J135" s="64">
        <v>0</v>
      </c>
      <c r="K135" s="64"/>
      <c r="L135" s="64"/>
      <c r="M135" s="64"/>
      <c r="N135" s="64"/>
      <c r="O135" s="93"/>
      <c r="P135" s="96"/>
      <c r="Q135" s="96"/>
      <c r="R135" s="96"/>
    </row>
    <row r="136" spans="1:18">
      <c r="A136" s="64">
        <v>400005</v>
      </c>
      <c r="B136" s="125" t="s">
        <v>360</v>
      </c>
      <c r="C136" s="70">
        <v>0</v>
      </c>
      <c r="D136" s="70">
        <v>40</v>
      </c>
      <c r="E136" s="71" t="s">
        <v>361</v>
      </c>
      <c r="F136" s="67" t="s">
        <v>357</v>
      </c>
      <c r="G136" s="121"/>
      <c r="H136" s="64">
        <v>1</v>
      </c>
      <c r="I136" s="64">
        <v>5</v>
      </c>
      <c r="J136" s="64">
        <v>0</v>
      </c>
      <c r="K136" s="64"/>
      <c r="L136" s="64"/>
      <c r="M136" s="64"/>
      <c r="N136" s="64"/>
      <c r="O136" s="93"/>
      <c r="P136" s="96"/>
      <c r="Q136" s="96"/>
      <c r="R136" s="96"/>
    </row>
    <row r="137" spans="1:18">
      <c r="A137" s="64">
        <v>400006</v>
      </c>
      <c r="B137" s="125" t="s">
        <v>362</v>
      </c>
      <c r="C137" s="70">
        <v>0</v>
      </c>
      <c r="D137" s="70">
        <v>40</v>
      </c>
      <c r="E137" s="71" t="s">
        <v>363</v>
      </c>
      <c r="F137" s="67" t="s">
        <v>351</v>
      </c>
      <c r="G137" s="121"/>
      <c r="H137" s="64">
        <v>1</v>
      </c>
      <c r="I137" s="64">
        <v>6</v>
      </c>
      <c r="J137" s="64">
        <v>0</v>
      </c>
      <c r="K137" s="64"/>
      <c r="L137" s="64"/>
      <c r="M137" s="64"/>
      <c r="N137" s="64"/>
      <c r="O137" s="93"/>
      <c r="P137" s="96"/>
      <c r="Q137" s="96"/>
      <c r="R137" s="96"/>
    </row>
    <row r="138" spans="1:18">
      <c r="A138" s="64">
        <v>400007</v>
      </c>
      <c r="B138" s="125" t="s">
        <v>364</v>
      </c>
      <c r="C138" s="70">
        <v>0</v>
      </c>
      <c r="D138" s="70">
        <v>40</v>
      </c>
      <c r="E138" s="71" t="s">
        <v>365</v>
      </c>
      <c r="F138" s="67" t="s">
        <v>357</v>
      </c>
      <c r="G138" s="121"/>
      <c r="H138" s="64">
        <v>1</v>
      </c>
      <c r="I138" s="64">
        <v>7</v>
      </c>
      <c r="J138" s="64">
        <v>0</v>
      </c>
      <c r="K138" s="64"/>
      <c r="L138" s="64"/>
      <c r="M138" s="64"/>
      <c r="N138" s="64"/>
      <c r="O138" s="93"/>
      <c r="P138" s="96"/>
      <c r="Q138" s="96"/>
      <c r="R138" s="96"/>
    </row>
    <row r="139" spans="1:18">
      <c r="A139" s="64">
        <v>400008</v>
      </c>
      <c r="B139" s="125" t="s">
        <v>366</v>
      </c>
      <c r="C139" s="70">
        <v>0</v>
      </c>
      <c r="D139" s="70">
        <v>40</v>
      </c>
      <c r="E139" s="71" t="s">
        <v>367</v>
      </c>
      <c r="F139" s="67" t="s">
        <v>357</v>
      </c>
      <c r="G139" s="121"/>
      <c r="H139" s="64">
        <v>1</v>
      </c>
      <c r="I139" s="64">
        <v>8</v>
      </c>
      <c r="J139" s="64">
        <v>0</v>
      </c>
      <c r="K139" s="64"/>
      <c r="L139" s="64"/>
      <c r="M139" s="64"/>
      <c r="N139" s="64"/>
      <c r="O139" s="93"/>
      <c r="P139" s="96"/>
      <c r="Q139" s="96"/>
      <c r="R139" s="96"/>
    </row>
    <row r="140" spans="1:18">
      <c r="A140" s="64">
        <v>400009</v>
      </c>
      <c r="B140" s="125" t="s">
        <v>368</v>
      </c>
      <c r="C140" s="70">
        <v>0</v>
      </c>
      <c r="D140" s="70">
        <v>40</v>
      </c>
      <c r="E140" s="71" t="s">
        <v>369</v>
      </c>
      <c r="F140" s="67" t="s">
        <v>357</v>
      </c>
      <c r="G140" s="121"/>
      <c r="H140" s="64">
        <v>1</v>
      </c>
      <c r="I140" s="64">
        <v>9</v>
      </c>
      <c r="J140" s="64">
        <v>0</v>
      </c>
      <c r="K140" s="64"/>
      <c r="L140" s="64"/>
      <c r="M140" s="64"/>
      <c r="N140" s="64"/>
      <c r="O140" s="93"/>
      <c r="P140" s="96"/>
      <c r="Q140" s="96"/>
      <c r="R140" s="96"/>
    </row>
    <row r="141" spans="1:18">
      <c r="A141" s="64">
        <v>400010</v>
      </c>
      <c r="B141" s="125" t="s">
        <v>370</v>
      </c>
      <c r="C141" s="70">
        <v>0</v>
      </c>
      <c r="D141" s="70">
        <v>40</v>
      </c>
      <c r="E141" s="71" t="s">
        <v>371</v>
      </c>
      <c r="F141" s="67" t="s">
        <v>354</v>
      </c>
      <c r="G141" s="121"/>
      <c r="H141" s="64">
        <v>1</v>
      </c>
      <c r="I141" s="64">
        <v>10</v>
      </c>
      <c r="J141" s="64">
        <v>0</v>
      </c>
      <c r="K141" s="64"/>
      <c r="L141" s="64"/>
      <c r="M141" s="64"/>
      <c r="N141" s="64"/>
      <c r="O141" s="93"/>
      <c r="P141" s="64"/>
      <c r="Q141" s="96"/>
      <c r="R141" s="96"/>
    </row>
    <row r="142" spans="1:18">
      <c r="A142" s="64">
        <v>400011</v>
      </c>
      <c r="B142" s="125" t="s">
        <v>372</v>
      </c>
      <c r="C142" s="70">
        <v>0</v>
      </c>
      <c r="D142" s="70">
        <v>40</v>
      </c>
      <c r="E142" s="71" t="s">
        <v>373</v>
      </c>
      <c r="F142" s="67" t="s">
        <v>354</v>
      </c>
      <c r="G142" s="121"/>
      <c r="H142" s="64">
        <v>1</v>
      </c>
      <c r="I142" s="64">
        <v>11</v>
      </c>
      <c r="J142" s="64">
        <v>0</v>
      </c>
      <c r="K142" s="64"/>
      <c r="L142" s="64"/>
      <c r="M142" s="64"/>
      <c r="N142" s="64"/>
      <c r="O142" s="93"/>
      <c r="P142" s="64"/>
      <c r="Q142" s="96"/>
      <c r="R142" s="96"/>
    </row>
    <row r="143" spans="1:18">
      <c r="A143" s="64">
        <v>400012</v>
      </c>
      <c r="B143" s="125" t="s">
        <v>374</v>
      </c>
      <c r="C143" s="70">
        <v>0</v>
      </c>
      <c r="D143" s="70">
        <v>40</v>
      </c>
      <c r="E143" s="71" t="s">
        <v>375</v>
      </c>
      <c r="F143" s="67" t="s">
        <v>354</v>
      </c>
      <c r="G143" s="121"/>
      <c r="H143" s="64">
        <v>1</v>
      </c>
      <c r="I143" s="64">
        <v>12</v>
      </c>
      <c r="J143" s="64">
        <v>0</v>
      </c>
      <c r="K143" s="64"/>
      <c r="L143" s="64"/>
      <c r="M143" s="64"/>
      <c r="N143" s="64"/>
      <c r="O143" s="93"/>
      <c r="P143" s="64"/>
      <c r="Q143" s="96"/>
      <c r="R143" s="96"/>
    </row>
    <row r="144" spans="1:18">
      <c r="A144" s="64">
        <v>400013</v>
      </c>
      <c r="B144" s="125" t="s">
        <v>376</v>
      </c>
      <c r="C144" s="70">
        <v>0</v>
      </c>
      <c r="D144" s="70">
        <v>40</v>
      </c>
      <c r="E144" s="71" t="s">
        <v>377</v>
      </c>
      <c r="F144" s="67" t="s">
        <v>357</v>
      </c>
      <c r="G144" s="121"/>
      <c r="H144" s="64">
        <v>1</v>
      </c>
      <c r="I144" s="64">
        <v>13</v>
      </c>
      <c r="J144" s="64">
        <v>0</v>
      </c>
      <c r="K144" s="64"/>
      <c r="L144" s="64"/>
      <c r="M144" s="64"/>
      <c r="N144" s="64"/>
      <c r="O144" s="93"/>
      <c r="P144" s="64"/>
      <c r="Q144" s="96"/>
      <c r="R144" s="96"/>
    </row>
    <row r="145" spans="1:18">
      <c r="A145" s="64">
        <v>400014</v>
      </c>
      <c r="B145" s="125" t="s">
        <v>378</v>
      </c>
      <c r="C145" s="70">
        <v>0</v>
      </c>
      <c r="D145" s="70">
        <v>40</v>
      </c>
      <c r="E145" s="71" t="s">
        <v>379</v>
      </c>
      <c r="F145" s="67" t="s">
        <v>357</v>
      </c>
      <c r="G145" s="121"/>
      <c r="H145" s="64">
        <v>1</v>
      </c>
      <c r="I145" s="64">
        <v>14</v>
      </c>
      <c r="J145" s="64">
        <v>0</v>
      </c>
      <c r="K145" s="64"/>
      <c r="L145" s="64"/>
      <c r="M145" s="64"/>
      <c r="N145" s="64"/>
      <c r="O145" s="93"/>
      <c r="P145" s="64"/>
      <c r="Q145" s="96"/>
      <c r="R145" s="96"/>
    </row>
    <row r="146" spans="1:18">
      <c r="A146" s="64">
        <v>400015</v>
      </c>
      <c r="B146" s="125" t="s">
        <v>380</v>
      </c>
      <c r="C146" s="70">
        <v>0</v>
      </c>
      <c r="D146" s="70">
        <v>40</v>
      </c>
      <c r="E146" s="71" t="s">
        <v>381</v>
      </c>
      <c r="F146" s="67" t="s">
        <v>354</v>
      </c>
      <c r="G146" s="121"/>
      <c r="H146" s="64">
        <v>1</v>
      </c>
      <c r="I146" s="64">
        <v>15</v>
      </c>
      <c r="J146" s="64">
        <v>0</v>
      </c>
      <c r="K146" s="64"/>
      <c r="L146" s="64"/>
      <c r="M146" s="64"/>
      <c r="N146" s="64"/>
      <c r="O146" s="93"/>
      <c r="P146" s="64"/>
      <c r="Q146" s="96"/>
      <c r="R146" s="96"/>
    </row>
    <row r="147" spans="1:18">
      <c r="A147" s="64">
        <v>400016</v>
      </c>
      <c r="B147" s="125" t="s">
        <v>382</v>
      </c>
      <c r="C147" s="70">
        <v>0</v>
      </c>
      <c r="D147" s="70">
        <v>40</v>
      </c>
      <c r="E147" s="71" t="s">
        <v>383</v>
      </c>
      <c r="F147" s="67" t="s">
        <v>354</v>
      </c>
      <c r="G147" s="121"/>
      <c r="H147" s="64">
        <v>1</v>
      </c>
      <c r="I147" s="64">
        <v>16</v>
      </c>
      <c r="J147" s="64">
        <v>0</v>
      </c>
      <c r="K147" s="64"/>
      <c r="L147" s="64"/>
      <c r="M147" s="64"/>
      <c r="N147" s="64"/>
      <c r="O147" s="93"/>
      <c r="P147" s="64"/>
      <c r="Q147" s="96"/>
      <c r="R147" s="96"/>
    </row>
    <row r="148" spans="1:18">
      <c r="A148" s="64">
        <v>400017</v>
      </c>
      <c r="B148" s="125" t="s">
        <v>384</v>
      </c>
      <c r="C148" s="70">
        <v>0</v>
      </c>
      <c r="D148" s="70">
        <v>40</v>
      </c>
      <c r="E148" s="71" t="s">
        <v>385</v>
      </c>
      <c r="F148" s="67" t="s">
        <v>357</v>
      </c>
      <c r="G148" s="121"/>
      <c r="H148" s="64">
        <v>1</v>
      </c>
      <c r="I148" s="64">
        <v>17</v>
      </c>
      <c r="J148" s="64">
        <v>0</v>
      </c>
      <c r="K148" s="64"/>
      <c r="L148" s="64"/>
      <c r="M148" s="64"/>
      <c r="N148" s="64"/>
      <c r="O148" s="93"/>
      <c r="P148" s="64"/>
      <c r="Q148" s="96"/>
      <c r="R148" s="96"/>
    </row>
    <row r="149" spans="1:18">
      <c r="A149" s="64">
        <v>400018</v>
      </c>
      <c r="B149" s="125" t="s">
        <v>352</v>
      </c>
      <c r="C149" s="70">
        <v>0</v>
      </c>
      <c r="D149" s="70">
        <v>40</v>
      </c>
      <c r="E149" s="71" t="s">
        <v>353</v>
      </c>
      <c r="F149" s="67" t="s">
        <v>386</v>
      </c>
      <c r="G149" s="121">
        <v>8</v>
      </c>
      <c r="H149" s="64">
        <v>1</v>
      </c>
      <c r="I149" s="64">
        <v>18</v>
      </c>
      <c r="J149" s="64">
        <v>0</v>
      </c>
      <c r="K149" s="64"/>
      <c r="L149" s="64"/>
      <c r="M149" s="64"/>
      <c r="N149" s="64"/>
      <c r="O149" s="93"/>
      <c r="P149" s="64"/>
      <c r="Q149" s="96"/>
      <c r="R149" s="96"/>
    </row>
    <row r="150" spans="1:18">
      <c r="A150" s="64">
        <v>400019</v>
      </c>
      <c r="B150" s="125" t="s">
        <v>370</v>
      </c>
      <c r="C150" s="70">
        <v>0</v>
      </c>
      <c r="D150" s="70">
        <v>40</v>
      </c>
      <c r="E150" s="71" t="s">
        <v>371</v>
      </c>
      <c r="F150" s="67" t="s">
        <v>386</v>
      </c>
      <c r="G150" s="121">
        <v>8</v>
      </c>
      <c r="H150" s="64">
        <v>1</v>
      </c>
      <c r="I150" s="64">
        <v>19</v>
      </c>
      <c r="J150" s="64">
        <v>0</v>
      </c>
      <c r="K150" s="64"/>
      <c r="L150" s="64"/>
      <c r="M150" s="64"/>
      <c r="N150" s="64"/>
      <c r="O150" s="93"/>
      <c r="P150" s="64"/>
      <c r="Q150" s="96"/>
      <c r="R150" s="96"/>
    </row>
    <row r="151" spans="1:18">
      <c r="A151" s="64">
        <v>400020</v>
      </c>
      <c r="B151" s="125" t="s">
        <v>372</v>
      </c>
      <c r="C151" s="70">
        <v>0</v>
      </c>
      <c r="D151" s="70">
        <v>40</v>
      </c>
      <c r="E151" s="71" t="s">
        <v>373</v>
      </c>
      <c r="F151" s="67" t="s">
        <v>386</v>
      </c>
      <c r="G151" s="121">
        <v>8</v>
      </c>
      <c r="H151" s="64">
        <v>1</v>
      </c>
      <c r="I151" s="64">
        <v>20</v>
      </c>
      <c r="J151" s="64">
        <v>0</v>
      </c>
      <c r="K151" s="64"/>
      <c r="L151" s="64"/>
      <c r="M151" s="64"/>
      <c r="N151" s="64"/>
      <c r="O151" s="93"/>
      <c r="P151" s="64"/>
      <c r="Q151" s="96"/>
      <c r="R151" s="96"/>
    </row>
    <row r="152" spans="1:18">
      <c r="A152" s="64">
        <v>400021</v>
      </c>
      <c r="B152" s="125" t="s">
        <v>374</v>
      </c>
      <c r="C152" s="70">
        <v>0</v>
      </c>
      <c r="D152" s="70">
        <v>40</v>
      </c>
      <c r="E152" s="71" t="s">
        <v>375</v>
      </c>
      <c r="F152" s="67" t="s">
        <v>386</v>
      </c>
      <c r="G152" s="121">
        <v>8</v>
      </c>
      <c r="H152" s="64">
        <v>1</v>
      </c>
      <c r="I152" s="64">
        <v>21</v>
      </c>
      <c r="J152" s="64">
        <v>0</v>
      </c>
      <c r="K152" s="64"/>
      <c r="L152" s="64"/>
      <c r="M152" s="64"/>
      <c r="N152" s="64"/>
      <c r="O152" s="93"/>
      <c r="P152" s="64"/>
      <c r="Q152" s="96"/>
      <c r="R152" s="96"/>
    </row>
    <row r="153" spans="1:18">
      <c r="A153" s="64">
        <v>400022</v>
      </c>
      <c r="B153" s="125" t="s">
        <v>380</v>
      </c>
      <c r="C153" s="64">
        <v>0</v>
      </c>
      <c r="D153" s="64">
        <v>40</v>
      </c>
      <c r="E153" s="64" t="s">
        <v>381</v>
      </c>
      <c r="F153" s="67" t="s">
        <v>386</v>
      </c>
      <c r="G153" s="64">
        <v>8</v>
      </c>
      <c r="H153" s="64">
        <v>1</v>
      </c>
      <c r="I153" s="64">
        <v>22</v>
      </c>
      <c r="J153" s="64">
        <v>0</v>
      </c>
      <c r="K153" s="64"/>
      <c r="L153" s="64"/>
      <c r="M153" s="64"/>
      <c r="N153" s="64"/>
      <c r="O153" s="64"/>
      <c r="P153" s="64"/>
      <c r="Q153" s="64"/>
      <c r="R153" s="64"/>
    </row>
    <row r="154" spans="1:18">
      <c r="A154" s="64">
        <v>400023</v>
      </c>
      <c r="B154" s="125" t="s">
        <v>382</v>
      </c>
      <c r="C154" s="64">
        <v>0</v>
      </c>
      <c r="D154" s="64">
        <v>40</v>
      </c>
      <c r="E154" s="64" t="s">
        <v>383</v>
      </c>
      <c r="F154" s="67" t="s">
        <v>386</v>
      </c>
      <c r="G154" s="64">
        <v>8</v>
      </c>
      <c r="H154" s="64">
        <v>1</v>
      </c>
      <c r="I154" s="64">
        <v>23</v>
      </c>
      <c r="J154" s="64">
        <v>0</v>
      </c>
      <c r="K154" s="64"/>
      <c r="L154" s="64"/>
      <c r="M154" s="64"/>
      <c r="N154" s="64"/>
      <c r="O154" s="64"/>
      <c r="P154" s="64"/>
      <c r="Q154" s="64"/>
      <c r="R154" s="64"/>
    </row>
    <row r="155" spans="1:18">
      <c r="A155" s="64">
        <v>400024</v>
      </c>
      <c r="B155" s="125" t="s">
        <v>387</v>
      </c>
      <c r="C155" s="64">
        <v>0</v>
      </c>
      <c r="D155" s="64">
        <v>40</v>
      </c>
      <c r="E155" s="64" t="s">
        <v>388</v>
      </c>
      <c r="F155" s="67" t="s">
        <v>386</v>
      </c>
      <c r="G155" s="64">
        <v>8</v>
      </c>
      <c r="H155" s="64">
        <v>1</v>
      </c>
      <c r="I155" s="64">
        <v>24</v>
      </c>
      <c r="J155" s="64">
        <v>0</v>
      </c>
      <c r="K155" s="64"/>
      <c r="L155" s="64"/>
      <c r="M155" s="64"/>
      <c r="N155" s="64"/>
      <c r="O155" s="64"/>
      <c r="P155" s="64"/>
      <c r="Q155" s="64"/>
      <c r="R155" s="64"/>
    </row>
    <row r="156" spans="1:18">
      <c r="A156" s="64">
        <v>400025</v>
      </c>
      <c r="B156" s="125" t="s">
        <v>389</v>
      </c>
      <c r="C156" s="64">
        <v>0</v>
      </c>
      <c r="D156" s="64">
        <v>40</v>
      </c>
      <c r="E156" s="64" t="s">
        <v>390</v>
      </c>
      <c r="F156" s="67" t="s">
        <v>386</v>
      </c>
      <c r="G156" s="64">
        <v>8</v>
      </c>
      <c r="H156" s="64">
        <v>1</v>
      </c>
      <c r="I156" s="64">
        <v>25</v>
      </c>
      <c r="J156" s="64">
        <v>0</v>
      </c>
      <c r="K156" s="64"/>
      <c r="L156" s="64"/>
      <c r="M156" s="64"/>
      <c r="N156" s="64"/>
      <c r="O156" s="64"/>
      <c r="P156" s="64"/>
      <c r="Q156" s="64"/>
      <c r="R156" s="64"/>
    </row>
    <row r="157" spans="1:18">
      <c r="A157" s="64">
        <v>400026</v>
      </c>
      <c r="B157" s="125" t="s">
        <v>391</v>
      </c>
      <c r="C157" s="64">
        <v>0</v>
      </c>
      <c r="D157" s="64">
        <v>40</v>
      </c>
      <c r="E157" s="64" t="s">
        <v>392</v>
      </c>
      <c r="F157" s="67" t="s">
        <v>386</v>
      </c>
      <c r="G157" s="64">
        <v>8</v>
      </c>
      <c r="H157" s="64">
        <v>1</v>
      </c>
      <c r="I157" s="64">
        <v>26</v>
      </c>
      <c r="J157" s="64">
        <v>0</v>
      </c>
      <c r="K157" s="64"/>
      <c r="L157" s="64"/>
      <c r="M157" s="64"/>
      <c r="N157" s="64"/>
      <c r="O157" s="64"/>
      <c r="P157" s="64"/>
      <c r="Q157" s="64"/>
      <c r="R157" s="64"/>
    </row>
    <row r="158" spans="1:18">
      <c r="A158" s="64">
        <v>400027</v>
      </c>
      <c r="B158" s="125" t="s">
        <v>393</v>
      </c>
      <c r="C158" s="64">
        <v>0</v>
      </c>
      <c r="D158" s="64">
        <v>40</v>
      </c>
      <c r="E158" s="64" t="s">
        <v>394</v>
      </c>
      <c r="F158" s="67" t="s">
        <v>386</v>
      </c>
      <c r="G158" s="64">
        <v>8</v>
      </c>
      <c r="H158" s="64">
        <v>1</v>
      </c>
      <c r="I158" s="64">
        <v>27</v>
      </c>
      <c r="J158" s="64">
        <v>0</v>
      </c>
      <c r="K158" s="64"/>
      <c r="L158" s="64"/>
      <c r="M158" s="64"/>
      <c r="N158" s="64"/>
      <c r="O158" s="64"/>
      <c r="P158" s="64"/>
      <c r="Q158" s="64"/>
      <c r="R158" s="64"/>
    </row>
    <row r="159" spans="1:18">
      <c r="A159" s="64">
        <v>400028</v>
      </c>
      <c r="B159" s="125" t="s">
        <v>355</v>
      </c>
      <c r="C159" s="64">
        <v>0</v>
      </c>
      <c r="D159" s="64">
        <v>40</v>
      </c>
      <c r="E159" s="64" t="s">
        <v>356</v>
      </c>
      <c r="F159" s="67" t="s">
        <v>386</v>
      </c>
      <c r="G159" s="64">
        <v>8</v>
      </c>
      <c r="H159" s="64">
        <v>1</v>
      </c>
      <c r="I159" s="64">
        <v>28</v>
      </c>
      <c r="J159" s="64">
        <v>0</v>
      </c>
      <c r="K159" s="64"/>
      <c r="L159" s="64"/>
      <c r="M159" s="64"/>
      <c r="N159" s="64"/>
      <c r="O159" s="64"/>
      <c r="P159" s="64"/>
      <c r="Q159" s="64"/>
      <c r="R159" s="64"/>
    </row>
    <row r="160" spans="1:18">
      <c r="A160" s="64">
        <v>400029</v>
      </c>
      <c r="B160" s="125" t="s">
        <v>395</v>
      </c>
      <c r="C160" s="64">
        <v>0</v>
      </c>
      <c r="D160" s="64">
        <v>40</v>
      </c>
      <c r="E160" s="64" t="s">
        <v>396</v>
      </c>
      <c r="F160" s="67" t="s">
        <v>351</v>
      </c>
      <c r="G160" s="64"/>
      <c r="H160" s="64">
        <v>1</v>
      </c>
      <c r="I160" s="64">
        <v>29</v>
      </c>
      <c r="J160" s="64">
        <v>0</v>
      </c>
      <c r="K160" s="64"/>
      <c r="L160" s="64"/>
      <c r="M160" s="64"/>
      <c r="N160" s="64"/>
      <c r="O160" s="64"/>
      <c r="P160" s="64"/>
      <c r="Q160" s="64"/>
      <c r="R160" s="64"/>
    </row>
    <row r="161" spans="1:18">
      <c r="A161" s="64">
        <v>400030</v>
      </c>
      <c r="B161" s="125" t="s">
        <v>397</v>
      </c>
      <c r="C161" s="64">
        <v>0</v>
      </c>
      <c r="D161" s="64">
        <v>40</v>
      </c>
      <c r="E161" s="64" t="s">
        <v>398</v>
      </c>
      <c r="F161" s="67" t="s">
        <v>351</v>
      </c>
      <c r="G161" s="64"/>
      <c r="H161" s="64">
        <v>1</v>
      </c>
      <c r="I161" s="64">
        <v>30</v>
      </c>
      <c r="J161" s="64">
        <v>0</v>
      </c>
      <c r="K161" s="64"/>
      <c r="L161" s="64"/>
      <c r="M161" s="64"/>
      <c r="N161" s="64"/>
      <c r="O161" s="64"/>
      <c r="P161" s="64"/>
      <c r="Q161" s="64"/>
      <c r="R161" s="64"/>
    </row>
    <row r="162" spans="1:18">
      <c r="A162" s="64">
        <v>400031</v>
      </c>
      <c r="B162" s="125" t="s">
        <v>399</v>
      </c>
      <c r="C162" s="64">
        <v>0</v>
      </c>
      <c r="D162" s="64">
        <v>40</v>
      </c>
      <c r="E162" s="64" t="s">
        <v>400</v>
      </c>
      <c r="F162" s="67" t="s">
        <v>357</v>
      </c>
      <c r="G162" s="64"/>
      <c r="H162" s="64">
        <v>1</v>
      </c>
      <c r="I162" s="64">
        <v>31</v>
      </c>
      <c r="J162" s="64">
        <v>0</v>
      </c>
      <c r="K162" s="64"/>
      <c r="L162" s="64"/>
      <c r="M162" s="64"/>
      <c r="N162" s="64"/>
      <c r="O162" s="64"/>
      <c r="P162" s="64"/>
      <c r="Q162" s="64"/>
      <c r="R162" s="64"/>
    </row>
    <row r="163" spans="1:18">
      <c r="A163" s="64">
        <v>400032</v>
      </c>
      <c r="B163" s="125" t="s">
        <v>401</v>
      </c>
      <c r="C163" s="64">
        <v>0</v>
      </c>
      <c r="D163" s="64">
        <v>40</v>
      </c>
      <c r="E163" s="64" t="s">
        <v>402</v>
      </c>
      <c r="F163" s="67" t="s">
        <v>351</v>
      </c>
      <c r="G163" s="64"/>
      <c r="H163" s="64">
        <v>1</v>
      </c>
      <c r="I163" s="64">
        <v>32</v>
      </c>
      <c r="J163" s="64">
        <v>0</v>
      </c>
      <c r="K163" s="64"/>
      <c r="L163" s="64"/>
      <c r="M163" s="64"/>
      <c r="N163" s="64"/>
      <c r="O163" s="64"/>
      <c r="P163" s="64"/>
      <c r="Q163" s="64"/>
      <c r="R163" s="64"/>
    </row>
    <row r="164" spans="1:18">
      <c r="A164" s="64">
        <v>400033</v>
      </c>
      <c r="B164" s="125" t="s">
        <v>403</v>
      </c>
      <c r="C164" s="64">
        <v>0</v>
      </c>
      <c r="D164" s="64">
        <v>40</v>
      </c>
      <c r="E164" s="64" t="s">
        <v>404</v>
      </c>
      <c r="F164" s="67" t="s">
        <v>351</v>
      </c>
      <c r="G164" s="64"/>
      <c r="H164" s="64">
        <v>1</v>
      </c>
      <c r="I164" s="64">
        <v>33</v>
      </c>
      <c r="J164" s="64">
        <v>0</v>
      </c>
      <c r="K164" s="64"/>
      <c r="L164" s="64"/>
      <c r="M164" s="64"/>
      <c r="N164" s="64"/>
      <c r="O164" s="64"/>
      <c r="P164" s="64"/>
      <c r="Q164" s="64"/>
      <c r="R164" s="64"/>
    </row>
    <row r="165" spans="1:18">
      <c r="A165" s="64">
        <v>400034</v>
      </c>
      <c r="B165" s="125" t="s">
        <v>405</v>
      </c>
      <c r="C165" s="64">
        <v>0</v>
      </c>
      <c r="D165" s="64">
        <v>40</v>
      </c>
      <c r="E165" s="64" t="s">
        <v>406</v>
      </c>
      <c r="F165" s="67" t="s">
        <v>351</v>
      </c>
      <c r="G165" s="64"/>
      <c r="H165" s="64">
        <v>1</v>
      </c>
      <c r="I165" s="64">
        <v>34</v>
      </c>
      <c r="J165" s="64">
        <v>0</v>
      </c>
      <c r="K165" s="64"/>
      <c r="L165" s="64"/>
      <c r="M165" s="64"/>
      <c r="N165" s="64"/>
      <c r="O165" s="64"/>
      <c r="P165" s="64"/>
      <c r="Q165" s="64"/>
      <c r="R165" s="64"/>
    </row>
    <row r="166" spans="1:18">
      <c r="A166" s="64">
        <v>400035</v>
      </c>
      <c r="B166" s="125" t="s">
        <v>387</v>
      </c>
      <c r="C166" s="64">
        <v>0</v>
      </c>
      <c r="D166" s="64">
        <v>40</v>
      </c>
      <c r="E166" s="64" t="s">
        <v>388</v>
      </c>
      <c r="F166" s="67" t="s">
        <v>354</v>
      </c>
      <c r="G166" s="64"/>
      <c r="H166" s="64">
        <v>1</v>
      </c>
      <c r="I166" s="64">
        <v>35</v>
      </c>
      <c r="J166" s="64">
        <v>0</v>
      </c>
      <c r="K166" s="64"/>
      <c r="L166" s="64"/>
      <c r="M166" s="64"/>
      <c r="N166" s="64"/>
      <c r="O166" s="64"/>
      <c r="P166" s="64"/>
      <c r="Q166" s="64"/>
      <c r="R166" s="64"/>
    </row>
    <row r="167" spans="1:18">
      <c r="A167" s="64">
        <v>400036</v>
      </c>
      <c r="B167" s="125" t="s">
        <v>407</v>
      </c>
      <c r="C167" s="64">
        <v>0</v>
      </c>
      <c r="D167" s="64">
        <v>40</v>
      </c>
      <c r="E167" s="64" t="s">
        <v>408</v>
      </c>
      <c r="F167" s="67" t="s">
        <v>357</v>
      </c>
      <c r="G167" s="64"/>
      <c r="H167" s="64">
        <v>1</v>
      </c>
      <c r="I167" s="64">
        <v>36</v>
      </c>
      <c r="J167" s="64">
        <v>0</v>
      </c>
      <c r="K167" s="64"/>
      <c r="L167" s="64"/>
      <c r="M167" s="64"/>
      <c r="N167" s="64"/>
      <c r="O167" s="64"/>
      <c r="P167" s="64"/>
      <c r="Q167" s="64"/>
      <c r="R167" s="64"/>
    </row>
    <row r="168" spans="1:18">
      <c r="A168" s="64">
        <v>400037</v>
      </c>
      <c r="B168" s="125" t="s">
        <v>389</v>
      </c>
      <c r="C168" s="64">
        <v>0</v>
      </c>
      <c r="D168" s="64">
        <v>40</v>
      </c>
      <c r="E168" s="64" t="s">
        <v>390</v>
      </c>
      <c r="F168" s="67" t="s">
        <v>354</v>
      </c>
      <c r="G168" s="64"/>
      <c r="H168" s="64">
        <v>1</v>
      </c>
      <c r="I168" s="64">
        <v>37</v>
      </c>
      <c r="J168" s="64">
        <v>0</v>
      </c>
      <c r="K168" s="64"/>
      <c r="L168" s="64"/>
      <c r="M168" s="64"/>
      <c r="N168" s="64"/>
      <c r="O168" s="64"/>
      <c r="P168" s="64"/>
      <c r="Q168" s="64"/>
      <c r="R168" s="64"/>
    </row>
    <row r="169" spans="1:18">
      <c r="A169" s="64">
        <v>400038</v>
      </c>
      <c r="B169" s="125" t="s">
        <v>391</v>
      </c>
      <c r="C169" s="64">
        <v>0</v>
      </c>
      <c r="D169" s="64">
        <v>40</v>
      </c>
      <c r="E169" s="64" t="s">
        <v>392</v>
      </c>
      <c r="F169" s="67" t="s">
        <v>354</v>
      </c>
      <c r="G169" s="64"/>
      <c r="H169" s="64">
        <v>1</v>
      </c>
      <c r="I169" s="64">
        <v>38</v>
      </c>
      <c r="J169" s="64">
        <v>0</v>
      </c>
      <c r="K169" s="64"/>
      <c r="L169" s="64"/>
      <c r="M169" s="64"/>
      <c r="N169" s="64"/>
      <c r="O169" s="64"/>
      <c r="P169" s="64"/>
      <c r="Q169" s="64"/>
      <c r="R169" s="64"/>
    </row>
    <row r="170" spans="1:18">
      <c r="A170" s="64">
        <v>400039</v>
      </c>
      <c r="B170" s="125" t="s">
        <v>409</v>
      </c>
      <c r="C170" s="64">
        <v>0</v>
      </c>
      <c r="D170" s="64">
        <v>40</v>
      </c>
      <c r="E170" s="64" t="s">
        <v>410</v>
      </c>
      <c r="F170" s="67" t="s">
        <v>351</v>
      </c>
      <c r="G170" s="64"/>
      <c r="H170" s="64">
        <v>1</v>
      </c>
      <c r="I170" s="64">
        <v>39</v>
      </c>
      <c r="J170" s="64">
        <v>0</v>
      </c>
      <c r="K170" s="64"/>
      <c r="L170" s="64"/>
      <c r="M170" s="64"/>
      <c r="N170" s="64"/>
      <c r="O170" s="64"/>
      <c r="P170" s="64"/>
      <c r="Q170" s="64"/>
      <c r="R170" s="64"/>
    </row>
    <row r="171" spans="1:18">
      <c r="A171" s="64">
        <v>400040</v>
      </c>
      <c r="B171" s="125" t="s">
        <v>411</v>
      </c>
      <c r="C171" s="64">
        <v>0</v>
      </c>
      <c r="D171" s="64">
        <v>40</v>
      </c>
      <c r="E171" s="64" t="s">
        <v>412</v>
      </c>
      <c r="F171" s="67" t="s">
        <v>351</v>
      </c>
      <c r="G171" s="64"/>
      <c r="H171" s="64">
        <v>1</v>
      </c>
      <c r="I171" s="64">
        <v>40</v>
      </c>
      <c r="J171" s="64">
        <v>0</v>
      </c>
      <c r="K171" s="64"/>
      <c r="L171" s="64"/>
      <c r="M171" s="64"/>
      <c r="N171" s="64"/>
      <c r="O171" s="64"/>
      <c r="P171" s="64"/>
      <c r="Q171" s="64"/>
      <c r="R171" s="64"/>
    </row>
    <row r="172" spans="1:18">
      <c r="A172" s="64">
        <v>400041</v>
      </c>
      <c r="B172" s="125" t="s">
        <v>393</v>
      </c>
      <c r="C172" s="64">
        <v>0</v>
      </c>
      <c r="D172" s="64">
        <v>40</v>
      </c>
      <c r="E172" s="64" t="s">
        <v>394</v>
      </c>
      <c r="F172" s="67" t="s">
        <v>354</v>
      </c>
      <c r="G172" s="64"/>
      <c r="H172" s="64">
        <v>1</v>
      </c>
      <c r="I172" s="64">
        <v>41</v>
      </c>
      <c r="J172" s="64">
        <v>0</v>
      </c>
      <c r="K172" s="64"/>
      <c r="L172" s="64"/>
      <c r="M172" s="64"/>
      <c r="N172" s="64"/>
      <c r="O172" s="64"/>
      <c r="P172" s="64"/>
      <c r="Q172" s="64"/>
      <c r="R172" s="64"/>
    </row>
    <row r="173" spans="1:18">
      <c r="A173" s="64">
        <v>400042</v>
      </c>
      <c r="B173" s="92" t="s">
        <v>413</v>
      </c>
      <c r="C173" s="64">
        <v>0</v>
      </c>
      <c r="D173" s="64">
        <v>40</v>
      </c>
      <c r="E173" s="64" t="s">
        <v>414</v>
      </c>
      <c r="F173" s="67" t="s">
        <v>354</v>
      </c>
      <c r="G173" s="64"/>
      <c r="H173" s="64">
        <v>1</v>
      </c>
      <c r="I173" s="64">
        <v>42</v>
      </c>
      <c r="J173" s="64">
        <v>0</v>
      </c>
      <c r="K173" s="64"/>
      <c r="L173" s="64"/>
      <c r="M173" s="64"/>
      <c r="N173" s="64"/>
      <c r="O173" s="64"/>
      <c r="P173" s="64"/>
      <c r="Q173" s="64"/>
      <c r="R173" s="64"/>
    </row>
    <row r="174" spans="1:18">
      <c r="A174" s="64">
        <v>400043</v>
      </c>
      <c r="B174" s="92" t="s">
        <v>415</v>
      </c>
      <c r="C174" s="64">
        <v>0</v>
      </c>
      <c r="D174" s="64">
        <v>40</v>
      </c>
      <c r="E174" s="64" t="s">
        <v>416</v>
      </c>
      <c r="F174" s="67" t="s">
        <v>357</v>
      </c>
      <c r="G174" s="64"/>
      <c r="H174" s="64">
        <v>1</v>
      </c>
      <c r="I174" s="64">
        <v>43</v>
      </c>
      <c r="J174" s="64">
        <v>0</v>
      </c>
      <c r="K174" s="64"/>
      <c r="L174" s="64"/>
      <c r="M174" s="64"/>
      <c r="N174" s="64"/>
      <c r="O174" s="64"/>
      <c r="P174" s="64"/>
      <c r="Q174" s="64"/>
      <c r="R174" s="64"/>
    </row>
    <row r="175" spans="1:18">
      <c r="A175" s="64">
        <v>400044</v>
      </c>
      <c r="B175" s="92" t="s">
        <v>417</v>
      </c>
      <c r="C175" s="64">
        <v>0</v>
      </c>
      <c r="D175" s="64">
        <v>40</v>
      </c>
      <c r="E175" s="64" t="s">
        <v>418</v>
      </c>
      <c r="F175" s="67" t="s">
        <v>357</v>
      </c>
      <c r="G175" s="64"/>
      <c r="H175" s="64">
        <v>1</v>
      </c>
      <c r="I175" s="64">
        <v>44</v>
      </c>
      <c r="J175" s="64">
        <v>0</v>
      </c>
      <c r="K175" s="64"/>
      <c r="L175" s="64"/>
      <c r="M175" s="64"/>
      <c r="N175" s="64"/>
      <c r="O175" s="64"/>
      <c r="P175" s="64"/>
      <c r="Q175" s="64"/>
      <c r="R175" s="64"/>
    </row>
    <row r="176" spans="1:18">
      <c r="A176" s="64">
        <v>400045</v>
      </c>
      <c r="B176" s="92" t="s">
        <v>419</v>
      </c>
      <c r="C176" s="64">
        <v>0</v>
      </c>
      <c r="D176" s="64">
        <v>40</v>
      </c>
      <c r="E176" s="64" t="s">
        <v>420</v>
      </c>
      <c r="F176" s="67" t="s">
        <v>357</v>
      </c>
      <c r="G176" s="64"/>
      <c r="H176" s="64">
        <v>1</v>
      </c>
      <c r="I176" s="64">
        <v>45</v>
      </c>
      <c r="J176" s="64">
        <v>0</v>
      </c>
      <c r="K176" s="64"/>
      <c r="L176" s="64"/>
      <c r="M176" s="64"/>
      <c r="N176" s="64"/>
      <c r="O176" s="64"/>
      <c r="P176" s="64"/>
      <c r="Q176" s="64"/>
      <c r="R176" s="64"/>
    </row>
    <row r="177" spans="1:18">
      <c r="A177" s="64">
        <v>400046</v>
      </c>
      <c r="B177" s="92" t="s">
        <v>421</v>
      </c>
      <c r="C177" s="64">
        <v>0</v>
      </c>
      <c r="D177" s="64">
        <v>40</v>
      </c>
      <c r="E177" s="64" t="s">
        <v>422</v>
      </c>
      <c r="F177" s="67" t="s">
        <v>357</v>
      </c>
      <c r="G177" s="64"/>
      <c r="H177" s="64">
        <v>1</v>
      </c>
      <c r="I177" s="64">
        <v>46</v>
      </c>
      <c r="J177" s="64">
        <v>0</v>
      </c>
      <c r="K177" s="64"/>
      <c r="L177" s="64"/>
      <c r="M177" s="64"/>
      <c r="N177" s="64"/>
      <c r="O177" s="64"/>
      <c r="P177" s="64"/>
      <c r="Q177" s="64"/>
      <c r="R177" s="64"/>
    </row>
    <row r="178" spans="1:18">
      <c r="A178" s="64">
        <v>400047</v>
      </c>
      <c r="B178" s="92" t="s">
        <v>423</v>
      </c>
      <c r="C178" s="64">
        <v>0</v>
      </c>
      <c r="D178" s="64">
        <v>40</v>
      </c>
      <c r="E178" s="64" t="s">
        <v>424</v>
      </c>
      <c r="F178" s="67" t="s">
        <v>357</v>
      </c>
      <c r="G178" s="64"/>
      <c r="H178" s="64">
        <v>1</v>
      </c>
      <c r="I178" s="64">
        <v>47</v>
      </c>
      <c r="J178" s="64">
        <v>0</v>
      </c>
      <c r="K178" s="64"/>
      <c r="L178" s="64"/>
      <c r="M178" s="64"/>
      <c r="N178" s="64"/>
      <c r="O178" s="64"/>
      <c r="P178" s="64"/>
      <c r="Q178" s="64"/>
      <c r="R178" s="64"/>
    </row>
    <row r="179" spans="1:18">
      <c r="A179" s="64">
        <v>400048</v>
      </c>
      <c r="B179" s="92" t="s">
        <v>425</v>
      </c>
      <c r="C179" s="64">
        <v>0</v>
      </c>
      <c r="D179" s="64">
        <v>40</v>
      </c>
      <c r="E179" s="64" t="s">
        <v>426</v>
      </c>
      <c r="F179" s="67" t="s">
        <v>357</v>
      </c>
      <c r="G179" s="64"/>
      <c r="H179" s="64">
        <v>1</v>
      </c>
      <c r="I179" s="64">
        <v>48</v>
      </c>
      <c r="J179" s="64">
        <v>0</v>
      </c>
      <c r="K179" s="64"/>
      <c r="L179" s="64"/>
      <c r="M179" s="64"/>
      <c r="N179" s="64"/>
      <c r="O179" s="64"/>
      <c r="P179" s="64"/>
      <c r="Q179" s="64"/>
      <c r="R179" s="64"/>
    </row>
    <row r="180" spans="1:18">
      <c r="A180" s="64">
        <v>400049</v>
      </c>
      <c r="B180" s="92" t="s">
        <v>427</v>
      </c>
      <c r="C180" s="64">
        <v>0</v>
      </c>
      <c r="D180" s="64">
        <v>40</v>
      </c>
      <c r="E180" s="64" t="s">
        <v>428</v>
      </c>
      <c r="F180" s="67" t="s">
        <v>357</v>
      </c>
      <c r="G180" s="64"/>
      <c r="H180" s="64">
        <v>1</v>
      </c>
      <c r="I180" s="64">
        <v>49</v>
      </c>
      <c r="J180" s="64">
        <v>0</v>
      </c>
      <c r="K180" s="64"/>
      <c r="L180" s="64"/>
      <c r="M180" s="64"/>
      <c r="N180" s="64"/>
      <c r="O180" s="64"/>
      <c r="P180" s="64"/>
      <c r="Q180" s="64"/>
      <c r="R180" s="64"/>
    </row>
    <row r="181" spans="1:18">
      <c r="A181" s="64">
        <v>400050</v>
      </c>
      <c r="B181" s="92" t="s">
        <v>429</v>
      </c>
      <c r="C181" s="64">
        <v>0</v>
      </c>
      <c r="D181" s="64">
        <v>40</v>
      </c>
      <c r="E181" s="64" t="s">
        <v>430</v>
      </c>
      <c r="F181" s="67" t="s">
        <v>357</v>
      </c>
      <c r="G181" s="64"/>
      <c r="H181" s="64">
        <v>1</v>
      </c>
      <c r="I181" s="64">
        <v>50</v>
      </c>
      <c r="J181" s="64">
        <v>0</v>
      </c>
      <c r="K181" s="64"/>
      <c r="L181" s="64"/>
      <c r="M181" s="64"/>
      <c r="N181" s="64"/>
      <c r="O181" s="64"/>
      <c r="P181" s="64"/>
      <c r="Q181" s="64"/>
      <c r="R181" s="64"/>
    </row>
    <row r="182" spans="1:18">
      <c r="A182" s="64">
        <v>400051</v>
      </c>
      <c r="B182" s="92" t="s">
        <v>431</v>
      </c>
      <c r="C182" s="64">
        <v>0</v>
      </c>
      <c r="D182" s="64">
        <v>40</v>
      </c>
      <c r="E182" s="64" t="s">
        <v>432</v>
      </c>
      <c r="F182" s="67" t="s">
        <v>357</v>
      </c>
      <c r="G182" s="64"/>
      <c r="H182" s="64">
        <v>1</v>
      </c>
      <c r="I182" s="64">
        <v>51</v>
      </c>
      <c r="J182" s="64">
        <v>0</v>
      </c>
      <c r="K182" s="64"/>
      <c r="L182" s="64"/>
      <c r="M182" s="64"/>
      <c r="N182" s="64"/>
      <c r="O182" s="64"/>
      <c r="P182" s="64"/>
      <c r="Q182" s="64"/>
      <c r="R182" s="64"/>
    </row>
    <row r="183" spans="1:18">
      <c r="A183" s="64">
        <v>400052</v>
      </c>
      <c r="B183" s="92" t="s">
        <v>433</v>
      </c>
      <c r="C183" s="64">
        <v>0</v>
      </c>
      <c r="D183" s="64">
        <v>40</v>
      </c>
      <c r="E183" s="64" t="s">
        <v>434</v>
      </c>
      <c r="F183" s="67" t="s">
        <v>357</v>
      </c>
      <c r="G183" s="64"/>
      <c r="H183" s="64">
        <v>1</v>
      </c>
      <c r="I183" s="64">
        <v>52</v>
      </c>
      <c r="J183" s="64">
        <v>0</v>
      </c>
      <c r="K183" s="64"/>
      <c r="L183" s="64"/>
      <c r="M183" s="64"/>
      <c r="N183" s="64"/>
      <c r="O183" s="64"/>
      <c r="P183" s="64"/>
      <c r="Q183" s="64"/>
      <c r="R183" s="64"/>
    </row>
    <row r="184" spans="1:18">
      <c r="A184" s="64">
        <v>400053</v>
      </c>
      <c r="B184" s="92" t="s">
        <v>435</v>
      </c>
      <c r="C184" s="64">
        <v>0</v>
      </c>
      <c r="D184" s="64">
        <v>40</v>
      </c>
      <c r="E184" s="64" t="s">
        <v>436</v>
      </c>
      <c r="F184" s="67" t="s">
        <v>357</v>
      </c>
      <c r="G184" s="64"/>
      <c r="H184" s="64">
        <v>1</v>
      </c>
      <c r="I184" s="64">
        <v>53</v>
      </c>
      <c r="J184" s="64">
        <v>0</v>
      </c>
      <c r="K184" s="64"/>
      <c r="L184" s="64"/>
      <c r="M184" s="64"/>
      <c r="N184" s="64"/>
      <c r="O184" s="64"/>
      <c r="P184" s="64"/>
      <c r="Q184" s="64"/>
      <c r="R184" s="64"/>
    </row>
    <row r="185" spans="1:18">
      <c r="A185" s="64">
        <v>400054</v>
      </c>
      <c r="B185" s="92" t="s">
        <v>437</v>
      </c>
      <c r="C185" s="64">
        <v>0</v>
      </c>
      <c r="D185" s="64">
        <v>40</v>
      </c>
      <c r="E185" s="64" t="s">
        <v>438</v>
      </c>
      <c r="F185" s="67" t="s">
        <v>357</v>
      </c>
      <c r="G185" s="64"/>
      <c r="H185" s="64">
        <v>1</v>
      </c>
      <c r="I185" s="64">
        <v>54</v>
      </c>
      <c r="J185" s="64">
        <v>0</v>
      </c>
      <c r="K185" s="64"/>
      <c r="L185" s="64"/>
      <c r="M185" s="64"/>
      <c r="N185" s="64"/>
      <c r="O185" s="64"/>
      <c r="P185" s="64"/>
      <c r="Q185" s="64"/>
      <c r="R185" s="64"/>
    </row>
    <row r="186" spans="1:18">
      <c r="A186" s="64">
        <v>400055</v>
      </c>
      <c r="B186" s="92" t="s">
        <v>439</v>
      </c>
      <c r="C186" s="64">
        <v>0</v>
      </c>
      <c r="D186" s="64">
        <v>40</v>
      </c>
      <c r="E186" s="64" t="s">
        <v>440</v>
      </c>
      <c r="F186" s="67" t="s">
        <v>357</v>
      </c>
      <c r="G186" s="64"/>
      <c r="H186" s="64">
        <v>1</v>
      </c>
      <c r="I186" s="64">
        <v>55</v>
      </c>
      <c r="J186" s="64">
        <v>0</v>
      </c>
      <c r="K186" s="64"/>
      <c r="L186" s="64"/>
      <c r="M186" s="64"/>
      <c r="N186" s="64"/>
      <c r="O186" s="64"/>
      <c r="P186" s="64"/>
      <c r="Q186" s="64"/>
      <c r="R186" s="64"/>
    </row>
    <row r="187" spans="1:18">
      <c r="A187" s="64">
        <v>400056</v>
      </c>
      <c r="B187" s="92" t="s">
        <v>441</v>
      </c>
      <c r="C187" s="64">
        <v>0</v>
      </c>
      <c r="D187" s="64">
        <v>40</v>
      </c>
      <c r="E187" s="64" t="s">
        <v>442</v>
      </c>
      <c r="F187" s="67" t="s">
        <v>357</v>
      </c>
      <c r="G187" s="64"/>
      <c r="H187" s="64">
        <v>1</v>
      </c>
      <c r="I187" s="64">
        <v>56</v>
      </c>
      <c r="J187" s="64">
        <v>0</v>
      </c>
      <c r="K187" s="64"/>
      <c r="L187" s="64"/>
      <c r="M187" s="64"/>
      <c r="N187" s="64"/>
      <c r="O187" s="64"/>
      <c r="P187" s="64"/>
      <c r="Q187" s="64"/>
      <c r="R187" s="64"/>
    </row>
    <row r="188" spans="1:18">
      <c r="A188" s="64">
        <v>400057</v>
      </c>
      <c r="B188" s="92" t="s">
        <v>443</v>
      </c>
      <c r="C188" s="64">
        <v>0</v>
      </c>
      <c r="D188" s="64">
        <v>40</v>
      </c>
      <c r="E188" s="64" t="s">
        <v>444</v>
      </c>
      <c r="F188" s="67" t="s">
        <v>357</v>
      </c>
      <c r="G188" s="64"/>
      <c r="H188" s="64">
        <v>1</v>
      </c>
      <c r="I188" s="64">
        <v>57</v>
      </c>
      <c r="J188" s="64">
        <v>0</v>
      </c>
      <c r="K188" s="64"/>
      <c r="L188" s="64"/>
      <c r="M188" s="64"/>
      <c r="N188" s="64"/>
      <c r="O188" s="64"/>
      <c r="P188" s="64"/>
      <c r="Q188" s="64"/>
      <c r="R188" s="64"/>
    </row>
    <row r="189" s="49" customFormat="1" spans="1:18">
      <c r="A189" s="126">
        <v>600001</v>
      </c>
      <c r="B189" s="127" t="s">
        <v>113</v>
      </c>
      <c r="C189" s="126">
        <v>2</v>
      </c>
      <c r="D189" s="126">
        <v>60</v>
      </c>
      <c r="E189" s="126" t="s">
        <v>445</v>
      </c>
      <c r="F189" s="128" t="s">
        <v>446</v>
      </c>
      <c r="G189" s="126"/>
      <c r="H189" s="126">
        <v>1</v>
      </c>
      <c r="I189" s="126">
        <v>2</v>
      </c>
      <c r="J189" s="126">
        <v>0</v>
      </c>
      <c r="K189" s="126"/>
      <c r="L189" s="126"/>
      <c r="M189" s="126"/>
      <c r="N189" s="126"/>
      <c r="O189" s="126"/>
      <c r="P189" s="126"/>
      <c r="Q189" s="126">
        <v>100</v>
      </c>
      <c r="R189" s="126"/>
    </row>
    <row r="190" s="49" customFormat="1" spans="1:18">
      <c r="A190" s="126">
        <v>600002</v>
      </c>
      <c r="B190" s="127" t="s">
        <v>113</v>
      </c>
      <c r="C190" s="126">
        <v>2</v>
      </c>
      <c r="D190" s="126">
        <v>60</v>
      </c>
      <c r="E190" s="126" t="s">
        <v>447</v>
      </c>
      <c r="F190" s="128" t="s">
        <v>448</v>
      </c>
      <c r="G190" s="126"/>
      <c r="H190" s="126">
        <v>1</v>
      </c>
      <c r="I190" s="126">
        <v>3</v>
      </c>
      <c r="J190" s="126">
        <v>0</v>
      </c>
      <c r="K190" s="126"/>
      <c r="L190" s="126"/>
      <c r="M190" s="126"/>
      <c r="N190" s="126"/>
      <c r="O190" s="126"/>
      <c r="P190" s="126"/>
      <c r="Q190" s="126">
        <v>100</v>
      </c>
      <c r="R190" s="126"/>
    </row>
    <row r="191" s="49" customFormat="1" spans="1:18">
      <c r="A191" s="126">
        <v>600003</v>
      </c>
      <c r="B191" s="126" t="s">
        <v>50</v>
      </c>
      <c r="C191" s="126">
        <v>2</v>
      </c>
      <c r="D191" s="126">
        <v>60</v>
      </c>
      <c r="E191" s="126" t="s">
        <v>95</v>
      </c>
      <c r="F191" s="128" t="s">
        <v>449</v>
      </c>
      <c r="G191" s="126">
        <v>7</v>
      </c>
      <c r="H191" s="126">
        <v>1</v>
      </c>
      <c r="I191" s="126">
        <v>4</v>
      </c>
      <c r="J191" s="126">
        <v>0</v>
      </c>
      <c r="K191" s="126"/>
      <c r="L191" s="126"/>
      <c r="M191" s="126"/>
      <c r="N191" s="126"/>
      <c r="O191" s="126"/>
      <c r="P191" s="126"/>
      <c r="Q191" s="126">
        <v>100</v>
      </c>
      <c r="R191" s="126"/>
    </row>
    <row r="192" s="49" customFormat="1" spans="1:18">
      <c r="A192" s="126">
        <v>600004</v>
      </c>
      <c r="B192" s="127" t="s">
        <v>118</v>
      </c>
      <c r="C192" s="126">
        <v>2</v>
      </c>
      <c r="D192" s="126">
        <v>60</v>
      </c>
      <c r="E192" s="126" t="s">
        <v>450</v>
      </c>
      <c r="F192" s="128" t="s">
        <v>111</v>
      </c>
      <c r="G192" s="126">
        <v>5</v>
      </c>
      <c r="H192" s="126">
        <v>1</v>
      </c>
      <c r="I192" s="126">
        <v>5</v>
      </c>
      <c r="J192" s="126">
        <v>0</v>
      </c>
      <c r="K192" s="126"/>
      <c r="L192" s="126"/>
      <c r="M192" s="126"/>
      <c r="N192" s="126"/>
      <c r="O192" s="126"/>
      <c r="P192" s="126"/>
      <c r="Q192" s="126">
        <v>100</v>
      </c>
      <c r="R192" s="126">
        <v>1</v>
      </c>
    </row>
    <row r="193" s="49" customFormat="1" spans="1:18">
      <c r="A193" s="126">
        <v>600005</v>
      </c>
      <c r="B193" s="127" t="s">
        <v>118</v>
      </c>
      <c r="C193" s="126">
        <v>2</v>
      </c>
      <c r="D193" s="126">
        <v>60</v>
      </c>
      <c r="E193" s="126" t="s">
        <v>119</v>
      </c>
      <c r="F193" s="128" t="s">
        <v>48</v>
      </c>
      <c r="G193" s="126"/>
      <c r="H193" s="126">
        <v>1</v>
      </c>
      <c r="I193" s="126">
        <v>6</v>
      </c>
      <c r="J193" s="126">
        <v>0</v>
      </c>
      <c r="K193" s="126"/>
      <c r="L193" s="126"/>
      <c r="M193" s="126"/>
      <c r="N193" s="126"/>
      <c r="O193" s="126"/>
      <c r="P193" s="126"/>
      <c r="Q193" s="126">
        <v>100</v>
      </c>
      <c r="R193" s="126"/>
    </row>
    <row r="194" s="49" customFormat="1" spans="1:18">
      <c r="A194" s="126">
        <v>600006</v>
      </c>
      <c r="B194" s="127" t="s">
        <v>118</v>
      </c>
      <c r="C194" s="126">
        <v>2</v>
      </c>
      <c r="D194" s="126">
        <v>60</v>
      </c>
      <c r="E194" s="126" t="s">
        <v>451</v>
      </c>
      <c r="F194" s="128" t="s">
        <v>452</v>
      </c>
      <c r="G194" s="126">
        <v>7</v>
      </c>
      <c r="H194" s="126">
        <v>1</v>
      </c>
      <c r="I194" s="126">
        <v>7</v>
      </c>
      <c r="J194" s="126">
        <v>0</v>
      </c>
      <c r="K194" s="126"/>
      <c r="L194" s="126"/>
      <c r="M194" s="126"/>
      <c r="N194" s="126"/>
      <c r="O194" s="126"/>
      <c r="P194" s="126"/>
      <c r="Q194" s="126">
        <v>100</v>
      </c>
      <c r="R194" s="126"/>
    </row>
    <row r="195" s="50" customFormat="1" spans="1:18">
      <c r="A195" s="126">
        <v>600007</v>
      </c>
      <c r="B195" s="127" t="s">
        <v>118</v>
      </c>
      <c r="C195" s="126">
        <v>2</v>
      </c>
      <c r="D195" s="126">
        <v>60</v>
      </c>
      <c r="E195" s="126" t="s">
        <v>119</v>
      </c>
      <c r="F195" s="128" t="s">
        <v>447</v>
      </c>
      <c r="G195" s="126">
        <v>2</v>
      </c>
      <c r="H195" s="126">
        <v>1</v>
      </c>
      <c r="I195" s="126">
        <v>8</v>
      </c>
      <c r="J195" s="126">
        <v>0</v>
      </c>
      <c r="K195" s="126"/>
      <c r="L195" s="126"/>
      <c r="M195" s="126"/>
      <c r="N195" s="126"/>
      <c r="O195" s="126"/>
      <c r="P195" s="126"/>
      <c r="Q195" s="126">
        <v>50</v>
      </c>
      <c r="R195" s="126">
        <v>1</v>
      </c>
    </row>
    <row r="196" s="50" customFormat="1" spans="1:18">
      <c r="A196" s="126">
        <v>600008</v>
      </c>
      <c r="B196" s="126" t="s">
        <v>224</v>
      </c>
      <c r="C196" s="126">
        <v>2</v>
      </c>
      <c r="D196" s="126">
        <v>60</v>
      </c>
      <c r="E196" s="126" t="s">
        <v>225</v>
      </c>
      <c r="F196" s="128" t="s">
        <v>111</v>
      </c>
      <c r="G196" s="126"/>
      <c r="H196" s="126">
        <v>1</v>
      </c>
      <c r="I196" s="126">
        <v>1</v>
      </c>
      <c r="J196" s="126">
        <v>0</v>
      </c>
      <c r="K196" s="126"/>
      <c r="L196" s="126"/>
      <c r="M196" s="126"/>
      <c r="N196" s="126"/>
      <c r="O196" s="126"/>
      <c r="P196" s="126"/>
      <c r="Q196" s="126">
        <v>10</v>
      </c>
      <c r="R196" s="126">
        <v>1</v>
      </c>
    </row>
    <row r="197" s="50" customFormat="1" spans="1:18">
      <c r="A197" s="126">
        <v>600009</v>
      </c>
      <c r="B197" s="126" t="s">
        <v>191</v>
      </c>
      <c r="C197" s="126">
        <v>2</v>
      </c>
      <c r="D197" s="126">
        <v>60</v>
      </c>
      <c r="E197" s="126" t="s">
        <v>192</v>
      </c>
      <c r="F197" s="128" t="s">
        <v>453</v>
      </c>
      <c r="G197" s="126"/>
      <c r="H197" s="126">
        <v>1</v>
      </c>
      <c r="I197" s="126">
        <v>2</v>
      </c>
      <c r="J197" s="126">
        <v>0</v>
      </c>
      <c r="K197" s="126"/>
      <c r="L197" s="126"/>
      <c r="M197" s="126"/>
      <c r="N197" s="126"/>
      <c r="O197" s="126"/>
      <c r="P197" s="126"/>
      <c r="Q197" s="126">
        <v>50</v>
      </c>
      <c r="R197" s="126"/>
    </row>
    <row r="198" s="50" customFormat="1" spans="1:18">
      <c r="A198" s="126">
        <v>600010</v>
      </c>
      <c r="B198" s="126" t="s">
        <v>196</v>
      </c>
      <c r="C198" s="126">
        <v>2</v>
      </c>
      <c r="D198" s="126">
        <v>60</v>
      </c>
      <c r="E198" s="126" t="s">
        <v>195</v>
      </c>
      <c r="F198" s="128" t="s">
        <v>453</v>
      </c>
      <c r="G198" s="126"/>
      <c r="H198" s="126">
        <v>1</v>
      </c>
      <c r="I198" s="126">
        <v>3</v>
      </c>
      <c r="J198" s="126">
        <v>0</v>
      </c>
      <c r="K198" s="126"/>
      <c r="L198" s="126"/>
      <c r="M198" s="126"/>
      <c r="N198" s="126"/>
      <c r="O198" s="126"/>
      <c r="P198" s="126"/>
      <c r="Q198" s="126">
        <v>50</v>
      </c>
      <c r="R198" s="126"/>
    </row>
    <row r="199" s="50" customFormat="1" spans="1:18">
      <c r="A199" s="126">
        <v>600011</v>
      </c>
      <c r="B199" s="126" t="s">
        <v>194</v>
      </c>
      <c r="C199" s="126">
        <v>2</v>
      </c>
      <c r="D199" s="126">
        <v>60</v>
      </c>
      <c r="E199" s="126" t="s">
        <v>197</v>
      </c>
      <c r="F199" s="128" t="s">
        <v>453</v>
      </c>
      <c r="G199" s="126"/>
      <c r="H199" s="126">
        <v>1</v>
      </c>
      <c r="I199" s="126">
        <v>4</v>
      </c>
      <c r="J199" s="126">
        <v>0</v>
      </c>
      <c r="K199" s="126"/>
      <c r="L199" s="126"/>
      <c r="M199" s="126"/>
      <c r="N199" s="126"/>
      <c r="O199" s="126"/>
      <c r="P199" s="126"/>
      <c r="Q199" s="126">
        <v>50</v>
      </c>
      <c r="R199" s="126"/>
    </row>
    <row r="200" s="50" customFormat="1" spans="1:18">
      <c r="A200" s="126">
        <v>600012</v>
      </c>
      <c r="B200" s="126" t="s">
        <v>454</v>
      </c>
      <c r="C200" s="126">
        <v>2</v>
      </c>
      <c r="D200" s="126">
        <v>60</v>
      </c>
      <c r="E200" s="126" t="s">
        <v>455</v>
      </c>
      <c r="F200" s="128" t="s">
        <v>453</v>
      </c>
      <c r="G200" s="126"/>
      <c r="H200" s="126">
        <v>1</v>
      </c>
      <c r="I200" s="126">
        <v>5</v>
      </c>
      <c r="J200" s="126">
        <v>0</v>
      </c>
      <c r="K200" s="126"/>
      <c r="L200" s="126"/>
      <c r="M200" s="126"/>
      <c r="N200" s="126"/>
      <c r="O200" s="126"/>
      <c r="P200" s="126"/>
      <c r="Q200" s="126">
        <v>30</v>
      </c>
      <c r="R200" s="126"/>
    </row>
    <row r="201" s="49" customFormat="1" spans="1:18">
      <c r="A201" s="126">
        <v>600013</v>
      </c>
      <c r="B201" s="126" t="s">
        <v>191</v>
      </c>
      <c r="C201" s="126">
        <v>2</v>
      </c>
      <c r="D201" s="126">
        <v>60</v>
      </c>
      <c r="E201" s="126" t="s">
        <v>192</v>
      </c>
      <c r="F201" s="128" t="s">
        <v>456</v>
      </c>
      <c r="G201" s="126"/>
      <c r="H201" s="126">
        <v>1</v>
      </c>
      <c r="I201" s="126">
        <v>6</v>
      </c>
      <c r="J201" s="126">
        <v>0</v>
      </c>
      <c r="K201" s="126"/>
      <c r="L201" s="126"/>
      <c r="M201" s="126"/>
      <c r="N201" s="126"/>
      <c r="O201" s="126"/>
      <c r="P201" s="126"/>
      <c r="Q201" s="126">
        <v>100</v>
      </c>
      <c r="R201" s="126"/>
    </row>
    <row r="202" s="49" customFormat="1" spans="1:18">
      <c r="A202" s="126">
        <v>600014</v>
      </c>
      <c r="B202" s="126" t="s">
        <v>196</v>
      </c>
      <c r="C202" s="126">
        <v>2</v>
      </c>
      <c r="D202" s="126">
        <v>60</v>
      </c>
      <c r="E202" s="126" t="s">
        <v>195</v>
      </c>
      <c r="F202" s="128" t="s">
        <v>456</v>
      </c>
      <c r="G202" s="126"/>
      <c r="H202" s="126">
        <v>1</v>
      </c>
      <c r="I202" s="126">
        <v>1</v>
      </c>
      <c r="J202" s="126">
        <v>0</v>
      </c>
      <c r="K202" s="126"/>
      <c r="L202" s="126"/>
      <c r="M202" s="126"/>
      <c r="N202" s="126"/>
      <c r="O202" s="126"/>
      <c r="P202" s="126"/>
      <c r="Q202" s="126">
        <v>100</v>
      </c>
      <c r="R202" s="126"/>
    </row>
    <row r="203" s="49" customFormat="1" spans="1:18">
      <c r="A203" s="126">
        <v>600015</v>
      </c>
      <c r="B203" s="126" t="s">
        <v>194</v>
      </c>
      <c r="C203" s="126">
        <v>2</v>
      </c>
      <c r="D203" s="126">
        <v>60</v>
      </c>
      <c r="E203" s="126" t="s">
        <v>197</v>
      </c>
      <c r="F203" s="128" t="s">
        <v>456</v>
      </c>
      <c r="G203" s="126"/>
      <c r="H203" s="126">
        <v>1</v>
      </c>
      <c r="I203" s="126">
        <v>1</v>
      </c>
      <c r="J203" s="126">
        <v>0</v>
      </c>
      <c r="K203" s="126"/>
      <c r="L203" s="126"/>
      <c r="M203" s="126"/>
      <c r="N203" s="126"/>
      <c r="O203" s="126"/>
      <c r="P203" s="126"/>
      <c r="Q203" s="126">
        <v>100</v>
      </c>
      <c r="R203" s="126"/>
    </row>
    <row r="204" s="49" customFormat="1" spans="1:18">
      <c r="A204" s="126">
        <v>600016</v>
      </c>
      <c r="B204" s="126" t="s">
        <v>454</v>
      </c>
      <c r="C204" s="126">
        <v>2</v>
      </c>
      <c r="D204" s="126">
        <v>60</v>
      </c>
      <c r="E204" s="126" t="s">
        <v>455</v>
      </c>
      <c r="F204" s="128" t="s">
        <v>456</v>
      </c>
      <c r="G204" s="126"/>
      <c r="H204" s="126">
        <v>1</v>
      </c>
      <c r="I204" s="126">
        <v>2</v>
      </c>
      <c r="J204" s="126">
        <v>0</v>
      </c>
      <c r="K204" s="126"/>
      <c r="L204" s="126"/>
      <c r="M204" s="126"/>
      <c r="N204" s="126"/>
      <c r="O204" s="126"/>
      <c r="P204" s="126"/>
      <c r="Q204" s="126">
        <v>100</v>
      </c>
      <c r="R204" s="126"/>
    </row>
    <row r="205" s="49" customFormat="1" spans="1:18">
      <c r="A205" s="126">
        <v>600017</v>
      </c>
      <c r="B205" s="126" t="s">
        <v>457</v>
      </c>
      <c r="C205" s="126">
        <v>2</v>
      </c>
      <c r="D205" s="126">
        <v>60</v>
      </c>
      <c r="E205" s="126" t="s">
        <v>458</v>
      </c>
      <c r="F205" s="128" t="s">
        <v>459</v>
      </c>
      <c r="G205" s="126"/>
      <c r="H205" s="126">
        <v>1</v>
      </c>
      <c r="I205" s="126">
        <v>3</v>
      </c>
      <c r="J205" s="126">
        <v>0</v>
      </c>
      <c r="K205" s="126"/>
      <c r="L205" s="126"/>
      <c r="M205" s="126"/>
      <c r="N205" s="126"/>
      <c r="O205" s="126"/>
      <c r="P205" s="126"/>
      <c r="Q205" s="126">
        <v>100</v>
      </c>
      <c r="R205" s="126"/>
    </row>
    <row r="206" s="49" customFormat="1" spans="1:18">
      <c r="A206" s="126">
        <v>600018</v>
      </c>
      <c r="B206" s="126" t="s">
        <v>280</v>
      </c>
      <c r="C206" s="126">
        <v>2</v>
      </c>
      <c r="D206" s="126">
        <v>60</v>
      </c>
      <c r="E206" s="126" t="s">
        <v>281</v>
      </c>
      <c r="F206" s="128" t="s">
        <v>460</v>
      </c>
      <c r="G206" s="126"/>
      <c r="H206" s="126">
        <v>1</v>
      </c>
      <c r="I206" s="126">
        <v>4</v>
      </c>
      <c r="J206" s="126">
        <v>0</v>
      </c>
      <c r="K206" s="126"/>
      <c r="L206" s="126"/>
      <c r="M206" s="126"/>
      <c r="N206" s="126"/>
      <c r="O206" s="126"/>
      <c r="P206" s="126"/>
      <c r="Q206" s="126">
        <v>100</v>
      </c>
      <c r="R206" s="126"/>
    </row>
    <row r="207" s="49" customFormat="1" spans="1:18">
      <c r="A207" s="126">
        <v>600019</v>
      </c>
      <c r="B207" s="126" t="s">
        <v>283</v>
      </c>
      <c r="C207" s="126">
        <v>2</v>
      </c>
      <c r="D207" s="126">
        <v>60</v>
      </c>
      <c r="E207" s="126" t="s">
        <v>284</v>
      </c>
      <c r="F207" s="128" t="s">
        <v>460</v>
      </c>
      <c r="G207" s="126"/>
      <c r="H207" s="126">
        <v>1</v>
      </c>
      <c r="I207" s="126">
        <v>5</v>
      </c>
      <c r="J207" s="126">
        <v>0</v>
      </c>
      <c r="K207" s="126"/>
      <c r="L207" s="126"/>
      <c r="M207" s="126"/>
      <c r="N207" s="126"/>
      <c r="O207" s="126"/>
      <c r="P207" s="126"/>
      <c r="Q207" s="126">
        <v>100</v>
      </c>
      <c r="R207" s="126"/>
    </row>
    <row r="208" s="49" customFormat="1" spans="1:18">
      <c r="A208" s="126">
        <v>600020</v>
      </c>
      <c r="B208" s="126" t="s">
        <v>457</v>
      </c>
      <c r="C208" s="126">
        <v>2</v>
      </c>
      <c r="D208" s="126">
        <v>60</v>
      </c>
      <c r="E208" s="126" t="s">
        <v>458</v>
      </c>
      <c r="F208" s="128" t="s">
        <v>48</v>
      </c>
      <c r="G208" s="126"/>
      <c r="H208" s="126">
        <v>1</v>
      </c>
      <c r="I208" s="126">
        <v>6</v>
      </c>
      <c r="J208" s="126">
        <v>0</v>
      </c>
      <c r="K208" s="126"/>
      <c r="L208" s="126"/>
      <c r="M208" s="126"/>
      <c r="N208" s="126"/>
      <c r="O208" s="126"/>
      <c r="P208" s="126"/>
      <c r="Q208" s="126">
        <v>100</v>
      </c>
      <c r="R208" s="126"/>
    </row>
    <row r="209" s="49" customFormat="1" spans="1:18">
      <c r="A209" s="126">
        <v>600021</v>
      </c>
      <c r="B209" s="126" t="s">
        <v>280</v>
      </c>
      <c r="C209" s="126">
        <v>2</v>
      </c>
      <c r="D209" s="126">
        <v>60</v>
      </c>
      <c r="E209" s="126" t="s">
        <v>281</v>
      </c>
      <c r="F209" s="128" t="s">
        <v>461</v>
      </c>
      <c r="G209" s="126"/>
      <c r="H209" s="126">
        <v>1</v>
      </c>
      <c r="I209" s="126">
        <v>7</v>
      </c>
      <c r="J209" s="126">
        <v>0</v>
      </c>
      <c r="K209" s="126"/>
      <c r="L209" s="126"/>
      <c r="M209" s="126"/>
      <c r="N209" s="126"/>
      <c r="O209" s="126"/>
      <c r="P209" s="126"/>
      <c r="Q209" s="126">
        <v>100</v>
      </c>
      <c r="R209" s="126"/>
    </row>
    <row r="210" s="49" customFormat="1" spans="1:18">
      <c r="A210" s="126">
        <v>600022</v>
      </c>
      <c r="B210" s="126" t="s">
        <v>283</v>
      </c>
      <c r="C210" s="126">
        <v>2</v>
      </c>
      <c r="D210" s="126">
        <v>60</v>
      </c>
      <c r="E210" s="126" t="s">
        <v>284</v>
      </c>
      <c r="F210" s="128" t="s">
        <v>461</v>
      </c>
      <c r="G210" s="126"/>
      <c r="H210" s="126">
        <v>1</v>
      </c>
      <c r="I210" s="126">
        <v>8</v>
      </c>
      <c r="J210" s="126">
        <v>0</v>
      </c>
      <c r="K210" s="126"/>
      <c r="L210" s="126"/>
      <c r="M210" s="126"/>
      <c r="N210" s="126"/>
      <c r="O210" s="126"/>
      <c r="P210" s="126"/>
      <c r="Q210" s="126">
        <v>100</v>
      </c>
      <c r="R210" s="126"/>
    </row>
    <row r="211" s="49" customFormat="1" spans="1:18">
      <c r="A211" s="126">
        <v>600023</v>
      </c>
      <c r="B211" s="126" t="s">
        <v>261</v>
      </c>
      <c r="C211" s="126">
        <v>2</v>
      </c>
      <c r="D211" s="126">
        <v>60</v>
      </c>
      <c r="E211" s="126" t="s">
        <v>262</v>
      </c>
      <c r="F211" s="128" t="s">
        <v>462</v>
      </c>
      <c r="G211" s="126"/>
      <c r="H211" s="126">
        <v>1</v>
      </c>
      <c r="I211" s="126">
        <v>1</v>
      </c>
      <c r="J211" s="126">
        <v>0</v>
      </c>
      <c r="K211" s="126"/>
      <c r="L211" s="126"/>
      <c r="M211" s="126"/>
      <c r="N211" s="126"/>
      <c r="O211" s="126"/>
      <c r="P211" s="126"/>
      <c r="Q211" s="126">
        <v>100</v>
      </c>
      <c r="R211" s="126"/>
    </row>
    <row r="212" s="49" customFormat="1" spans="1:18">
      <c r="A212" s="126">
        <v>600024</v>
      </c>
      <c r="B212" s="126" t="s">
        <v>463</v>
      </c>
      <c r="C212" s="126">
        <v>2</v>
      </c>
      <c r="D212" s="126">
        <v>60</v>
      </c>
      <c r="E212" s="126" t="s">
        <v>464</v>
      </c>
      <c r="F212" s="128" t="s">
        <v>462</v>
      </c>
      <c r="G212" s="126"/>
      <c r="H212" s="126">
        <v>1</v>
      </c>
      <c r="I212" s="126">
        <v>2</v>
      </c>
      <c r="J212" s="126">
        <v>0</v>
      </c>
      <c r="K212" s="126"/>
      <c r="L212" s="126"/>
      <c r="M212" s="126"/>
      <c r="N212" s="126"/>
      <c r="O212" s="126"/>
      <c r="P212" s="126"/>
      <c r="Q212" s="126">
        <v>100</v>
      </c>
      <c r="R212" s="126"/>
    </row>
    <row r="213" s="49" customFormat="1" spans="1:18">
      <c r="A213" s="126">
        <v>600025</v>
      </c>
      <c r="B213" s="126" t="s">
        <v>463</v>
      </c>
      <c r="C213" s="126">
        <v>2</v>
      </c>
      <c r="D213" s="126">
        <v>60</v>
      </c>
      <c r="E213" s="126" t="s">
        <v>465</v>
      </c>
      <c r="F213" s="128" t="s">
        <v>129</v>
      </c>
      <c r="G213" s="126"/>
      <c r="H213" s="126">
        <v>1</v>
      </c>
      <c r="I213" s="126">
        <v>3</v>
      </c>
      <c r="J213" s="126">
        <v>0</v>
      </c>
      <c r="K213" s="126"/>
      <c r="L213" s="126"/>
      <c r="M213" s="126"/>
      <c r="N213" s="126"/>
      <c r="O213" s="126"/>
      <c r="P213" s="126"/>
      <c r="Q213" s="126">
        <v>100</v>
      </c>
      <c r="R213" s="126"/>
    </row>
    <row r="214" s="49" customFormat="1" spans="1:18">
      <c r="A214" s="126">
        <v>600026</v>
      </c>
      <c r="B214" s="126" t="s">
        <v>115</v>
      </c>
      <c r="C214" s="126">
        <v>2</v>
      </c>
      <c r="D214" s="126">
        <v>60</v>
      </c>
      <c r="E214" s="126" t="s">
        <v>116</v>
      </c>
      <c r="F214" s="128" t="s">
        <v>117</v>
      </c>
      <c r="G214" s="126"/>
      <c r="H214" s="126">
        <v>1</v>
      </c>
      <c r="I214" s="126">
        <v>4</v>
      </c>
      <c r="J214" s="126">
        <v>0</v>
      </c>
      <c r="K214" s="126"/>
      <c r="L214" s="126"/>
      <c r="M214" s="126"/>
      <c r="N214" s="126"/>
      <c r="O214" s="126"/>
      <c r="P214" s="126"/>
      <c r="Q214" s="126">
        <v>100</v>
      </c>
      <c r="R214" s="126"/>
    </row>
    <row r="215" s="49" customFormat="1" spans="1:18">
      <c r="A215" s="126">
        <v>600027</v>
      </c>
      <c r="B215" s="126" t="s">
        <v>50</v>
      </c>
      <c r="C215" s="126">
        <v>2</v>
      </c>
      <c r="D215" s="126">
        <v>60</v>
      </c>
      <c r="E215" s="126" t="s">
        <v>95</v>
      </c>
      <c r="F215" s="128" t="s">
        <v>466</v>
      </c>
      <c r="G215" s="126">
        <v>1</v>
      </c>
      <c r="H215" s="126">
        <v>1</v>
      </c>
      <c r="I215" s="126">
        <v>5</v>
      </c>
      <c r="J215" s="126">
        <v>0</v>
      </c>
      <c r="K215" s="126"/>
      <c r="L215" s="126"/>
      <c r="M215" s="126"/>
      <c r="N215" s="126"/>
      <c r="O215" s="126"/>
      <c r="P215" s="126"/>
      <c r="Q215" s="126">
        <v>100</v>
      </c>
      <c r="R215" s="126">
        <v>1</v>
      </c>
    </row>
    <row r="216" s="49" customFormat="1" spans="1:18">
      <c r="A216" s="126">
        <v>600028</v>
      </c>
      <c r="B216" s="126" t="s">
        <v>467</v>
      </c>
      <c r="C216" s="126">
        <v>2</v>
      </c>
      <c r="D216" s="126">
        <v>60</v>
      </c>
      <c r="E216" s="126" t="s">
        <v>468</v>
      </c>
      <c r="F216" s="128" t="s">
        <v>466</v>
      </c>
      <c r="G216" s="126"/>
      <c r="H216" s="126">
        <v>1</v>
      </c>
      <c r="I216" s="126">
        <v>6</v>
      </c>
      <c r="J216" s="126">
        <v>0</v>
      </c>
      <c r="K216" s="126"/>
      <c r="L216" s="126"/>
      <c r="M216" s="126"/>
      <c r="N216" s="126"/>
      <c r="O216" s="126"/>
      <c r="P216" s="126"/>
      <c r="Q216" s="126">
        <v>100</v>
      </c>
      <c r="R216" s="126"/>
    </row>
    <row r="217" s="49" customFormat="1" spans="1:18">
      <c r="A217" s="126">
        <v>600029</v>
      </c>
      <c r="B217" s="126" t="s">
        <v>469</v>
      </c>
      <c r="C217" s="126">
        <v>2</v>
      </c>
      <c r="D217" s="126">
        <v>60</v>
      </c>
      <c r="E217" s="126" t="s">
        <v>470</v>
      </c>
      <c r="F217" s="128" t="s">
        <v>471</v>
      </c>
      <c r="G217" s="126"/>
      <c r="H217" s="126">
        <v>1</v>
      </c>
      <c r="I217" s="126">
        <v>7</v>
      </c>
      <c r="J217" s="126">
        <v>0</v>
      </c>
      <c r="K217" s="126"/>
      <c r="L217" s="126"/>
      <c r="M217" s="126"/>
      <c r="N217" s="126"/>
      <c r="O217" s="126"/>
      <c r="P217" s="126"/>
      <c r="Q217" s="126">
        <v>100</v>
      </c>
      <c r="R217" s="126"/>
    </row>
    <row r="218" s="50" customFormat="1" spans="1:18">
      <c r="A218" s="126">
        <v>600030</v>
      </c>
      <c r="B218" s="127" t="s">
        <v>264</v>
      </c>
      <c r="C218" s="126">
        <v>2</v>
      </c>
      <c r="D218" s="126">
        <v>60</v>
      </c>
      <c r="E218" s="126" t="s">
        <v>265</v>
      </c>
      <c r="F218" s="128" t="s">
        <v>461</v>
      </c>
      <c r="G218" s="126"/>
      <c r="H218" s="126">
        <v>1</v>
      </c>
      <c r="I218" s="126">
        <v>8</v>
      </c>
      <c r="J218" s="126">
        <v>0</v>
      </c>
      <c r="K218" s="126"/>
      <c r="L218" s="126"/>
      <c r="M218" s="126"/>
      <c r="N218" s="126"/>
      <c r="O218" s="126"/>
      <c r="P218" s="126"/>
      <c r="Q218" s="126">
        <v>100</v>
      </c>
      <c r="R218" s="126">
        <v>1</v>
      </c>
    </row>
    <row r="219" s="50" customFormat="1" spans="1:18">
      <c r="A219" s="126">
        <v>600031</v>
      </c>
      <c r="B219" s="127" t="s">
        <v>267</v>
      </c>
      <c r="C219" s="126">
        <v>2</v>
      </c>
      <c r="D219" s="126">
        <v>60</v>
      </c>
      <c r="E219" s="126" t="s">
        <v>268</v>
      </c>
      <c r="F219" s="128" t="s">
        <v>456</v>
      </c>
      <c r="G219" s="126">
        <v>6</v>
      </c>
      <c r="H219" s="126">
        <v>1</v>
      </c>
      <c r="I219" s="126">
        <v>1</v>
      </c>
      <c r="J219" s="126">
        <v>0</v>
      </c>
      <c r="K219" s="126"/>
      <c r="L219" s="126"/>
      <c r="M219" s="126"/>
      <c r="N219" s="126"/>
      <c r="O219" s="126"/>
      <c r="P219" s="126"/>
      <c r="Q219" s="126">
        <v>100</v>
      </c>
      <c r="R219" s="126">
        <v>1</v>
      </c>
    </row>
    <row r="220" s="50" customFormat="1" spans="1:18">
      <c r="A220" s="126">
        <v>600032</v>
      </c>
      <c r="B220" s="127" t="s">
        <v>472</v>
      </c>
      <c r="C220" s="126">
        <v>2</v>
      </c>
      <c r="D220" s="126">
        <v>60</v>
      </c>
      <c r="E220" s="126" t="s">
        <v>473</v>
      </c>
      <c r="F220" s="128" t="s">
        <v>474</v>
      </c>
      <c r="G220" s="126">
        <v>6</v>
      </c>
      <c r="H220" s="126">
        <v>1</v>
      </c>
      <c r="I220" s="126">
        <v>2</v>
      </c>
      <c r="J220" s="126">
        <v>0</v>
      </c>
      <c r="K220" s="126"/>
      <c r="L220" s="126"/>
      <c r="M220" s="126"/>
      <c r="N220" s="126"/>
      <c r="O220" s="126"/>
      <c r="P220" s="126"/>
      <c r="Q220" s="126">
        <v>20</v>
      </c>
      <c r="R220" s="126">
        <v>1</v>
      </c>
    </row>
    <row r="221" s="50" customFormat="1" spans="1:18">
      <c r="A221" s="126">
        <v>600033</v>
      </c>
      <c r="B221" s="127" t="s">
        <v>472</v>
      </c>
      <c r="C221" s="126">
        <v>2</v>
      </c>
      <c r="D221" s="126">
        <v>60</v>
      </c>
      <c r="E221" s="126" t="s">
        <v>473</v>
      </c>
      <c r="F221" s="128" t="s">
        <v>475</v>
      </c>
      <c r="G221" s="126">
        <v>2</v>
      </c>
      <c r="H221" s="126">
        <v>1</v>
      </c>
      <c r="I221" s="126">
        <v>3</v>
      </c>
      <c r="J221" s="126">
        <v>0</v>
      </c>
      <c r="K221" s="126"/>
      <c r="L221" s="126"/>
      <c r="M221" s="126"/>
      <c r="N221" s="126"/>
      <c r="O221" s="126"/>
      <c r="P221" s="126"/>
      <c r="Q221" s="126">
        <v>10</v>
      </c>
      <c r="R221" s="126">
        <v>1</v>
      </c>
    </row>
    <row r="222" s="50" customFormat="1" spans="1:18">
      <c r="A222" s="126">
        <v>600034</v>
      </c>
      <c r="B222" s="127" t="s">
        <v>264</v>
      </c>
      <c r="C222" s="126">
        <v>2</v>
      </c>
      <c r="D222" s="126">
        <v>60</v>
      </c>
      <c r="E222" s="126" t="s">
        <v>265</v>
      </c>
      <c r="F222" s="128" t="s">
        <v>114</v>
      </c>
      <c r="G222" s="126"/>
      <c r="H222" s="126">
        <v>1</v>
      </c>
      <c r="I222" s="126">
        <v>4</v>
      </c>
      <c r="J222" s="126">
        <v>0</v>
      </c>
      <c r="K222" s="126"/>
      <c r="L222" s="126"/>
      <c r="M222" s="126"/>
      <c r="N222" s="126"/>
      <c r="O222" s="126"/>
      <c r="P222" s="126"/>
      <c r="Q222" s="126">
        <v>30</v>
      </c>
      <c r="R222" s="126">
        <v>1</v>
      </c>
    </row>
    <row r="223" s="50" customFormat="1" spans="1:18">
      <c r="A223" s="126">
        <v>600035</v>
      </c>
      <c r="B223" s="127" t="s">
        <v>267</v>
      </c>
      <c r="C223" s="126">
        <v>2</v>
      </c>
      <c r="D223" s="126">
        <v>60</v>
      </c>
      <c r="E223" s="126" t="s">
        <v>268</v>
      </c>
      <c r="F223" s="128" t="s">
        <v>476</v>
      </c>
      <c r="G223" s="126"/>
      <c r="H223" s="126">
        <v>1</v>
      </c>
      <c r="I223" s="126">
        <v>5</v>
      </c>
      <c r="J223" s="126">
        <v>0</v>
      </c>
      <c r="K223" s="126"/>
      <c r="L223" s="126"/>
      <c r="M223" s="126"/>
      <c r="N223" s="126"/>
      <c r="O223" s="126"/>
      <c r="P223" s="126"/>
      <c r="Q223" s="126">
        <v>20</v>
      </c>
      <c r="R223" s="126">
        <v>1</v>
      </c>
    </row>
    <row r="224" s="49" customFormat="1" spans="1:18">
      <c r="A224" s="126">
        <v>600036</v>
      </c>
      <c r="B224" s="126" t="s">
        <v>53</v>
      </c>
      <c r="C224" s="126">
        <v>2</v>
      </c>
      <c r="D224" s="126">
        <v>60</v>
      </c>
      <c r="E224" s="126" t="s">
        <v>330</v>
      </c>
      <c r="F224" s="128" t="s">
        <v>111</v>
      </c>
      <c r="G224" s="126">
        <v>4</v>
      </c>
      <c r="H224" s="126">
        <v>1</v>
      </c>
      <c r="I224" s="126">
        <v>6</v>
      </c>
      <c r="J224" s="126">
        <v>0</v>
      </c>
      <c r="K224" s="126"/>
      <c r="L224" s="126"/>
      <c r="M224" s="126"/>
      <c r="N224" s="126"/>
      <c r="O224" s="126"/>
      <c r="P224" s="126"/>
      <c r="Q224" s="126">
        <v>100</v>
      </c>
      <c r="R224" s="126"/>
    </row>
    <row r="225" s="49" customFormat="1" spans="1:18">
      <c r="A225" s="126">
        <v>600037</v>
      </c>
      <c r="B225" s="126" t="s">
        <v>53</v>
      </c>
      <c r="C225" s="126">
        <v>2</v>
      </c>
      <c r="D225" s="126">
        <v>60</v>
      </c>
      <c r="E225" s="126" t="s">
        <v>330</v>
      </c>
      <c r="F225" s="128" t="s">
        <v>477</v>
      </c>
      <c r="G225" s="126">
        <v>2</v>
      </c>
      <c r="H225" s="126">
        <v>1</v>
      </c>
      <c r="I225" s="126">
        <v>1</v>
      </c>
      <c r="J225" s="126">
        <v>0</v>
      </c>
      <c r="K225" s="126"/>
      <c r="L225" s="126"/>
      <c r="M225" s="126"/>
      <c r="N225" s="126"/>
      <c r="O225" s="126"/>
      <c r="P225" s="126"/>
      <c r="Q225" s="126">
        <v>10</v>
      </c>
      <c r="R225" s="126"/>
    </row>
    <row r="226" s="49" customFormat="1" spans="1:18">
      <c r="A226" s="126">
        <v>600038</v>
      </c>
      <c r="B226" s="126" t="s">
        <v>478</v>
      </c>
      <c r="C226" s="126">
        <v>2</v>
      </c>
      <c r="D226" s="126">
        <v>60</v>
      </c>
      <c r="E226" s="126" t="s">
        <v>479</v>
      </c>
      <c r="F226" s="128" t="s">
        <v>480</v>
      </c>
      <c r="G226" s="126"/>
      <c r="H226" s="126">
        <v>1</v>
      </c>
      <c r="I226" s="126">
        <v>1</v>
      </c>
      <c r="J226" s="126">
        <v>0</v>
      </c>
      <c r="K226" s="126"/>
      <c r="L226" s="126"/>
      <c r="M226" s="126"/>
      <c r="N226" s="126"/>
      <c r="O226" s="126"/>
      <c r="P226" s="126"/>
      <c r="Q226" s="126">
        <v>100</v>
      </c>
      <c r="R226" s="126"/>
    </row>
    <row r="227" s="49" customFormat="1" spans="1:18">
      <c r="A227" s="126">
        <v>600039</v>
      </c>
      <c r="B227" s="126" t="s">
        <v>478</v>
      </c>
      <c r="C227" s="126">
        <v>2</v>
      </c>
      <c r="D227" s="126">
        <v>60</v>
      </c>
      <c r="E227" s="126" t="s">
        <v>481</v>
      </c>
      <c r="F227" s="128" t="s">
        <v>120</v>
      </c>
      <c r="G227" s="126"/>
      <c r="H227" s="126">
        <v>1</v>
      </c>
      <c r="I227" s="126">
        <v>2</v>
      </c>
      <c r="J227" s="126">
        <v>0</v>
      </c>
      <c r="K227" s="126"/>
      <c r="L227" s="126"/>
      <c r="M227" s="126"/>
      <c r="N227" s="126"/>
      <c r="O227" s="126"/>
      <c r="P227" s="126"/>
      <c r="Q227" s="126">
        <v>100</v>
      </c>
      <c r="R227" s="126"/>
    </row>
    <row r="228" s="49" customFormat="1" spans="1:18">
      <c r="A228" s="126">
        <v>600040</v>
      </c>
      <c r="B228" s="126" t="s">
        <v>478</v>
      </c>
      <c r="C228" s="126">
        <v>2</v>
      </c>
      <c r="D228" s="126">
        <v>60</v>
      </c>
      <c r="E228" s="126" t="s">
        <v>448</v>
      </c>
      <c r="F228" s="128" t="s">
        <v>48</v>
      </c>
      <c r="G228" s="126"/>
      <c r="H228" s="126">
        <v>1</v>
      </c>
      <c r="I228" s="126">
        <v>3</v>
      </c>
      <c r="J228" s="126">
        <v>0</v>
      </c>
      <c r="K228" s="126"/>
      <c r="L228" s="126"/>
      <c r="M228" s="126"/>
      <c r="N228" s="126"/>
      <c r="O228" s="126"/>
      <c r="P228" s="126"/>
      <c r="Q228" s="126">
        <v>100</v>
      </c>
      <c r="R228" s="126"/>
    </row>
    <row r="229" s="49" customFormat="1" spans="1:18">
      <c r="A229" s="126">
        <v>600041</v>
      </c>
      <c r="B229" s="126" t="s">
        <v>478</v>
      </c>
      <c r="C229" s="126">
        <v>2</v>
      </c>
      <c r="D229" s="126">
        <v>60</v>
      </c>
      <c r="E229" s="126" t="s">
        <v>481</v>
      </c>
      <c r="F229" s="128" t="s">
        <v>482</v>
      </c>
      <c r="G229" s="126"/>
      <c r="H229" s="126">
        <v>1</v>
      </c>
      <c r="I229" s="126">
        <v>4</v>
      </c>
      <c r="J229" s="126">
        <v>0</v>
      </c>
      <c r="K229" s="126"/>
      <c r="L229" s="126"/>
      <c r="M229" s="126"/>
      <c r="N229" s="126"/>
      <c r="O229" s="126"/>
      <c r="P229" s="126"/>
      <c r="Q229" s="126">
        <v>100</v>
      </c>
      <c r="R229" s="126"/>
    </row>
    <row r="230" s="49" customFormat="1" spans="1:18">
      <c r="A230" s="126">
        <v>600042</v>
      </c>
      <c r="B230" s="126" t="s">
        <v>478</v>
      </c>
      <c r="C230" s="126">
        <v>2</v>
      </c>
      <c r="D230" s="126">
        <v>60</v>
      </c>
      <c r="E230" s="126" t="s">
        <v>448</v>
      </c>
      <c r="F230" s="128" t="s">
        <v>445</v>
      </c>
      <c r="G230" s="126"/>
      <c r="H230" s="126">
        <v>1</v>
      </c>
      <c r="I230" s="126">
        <v>5</v>
      </c>
      <c r="J230" s="126">
        <v>0</v>
      </c>
      <c r="K230" s="126"/>
      <c r="L230" s="126"/>
      <c r="M230" s="126"/>
      <c r="N230" s="126"/>
      <c r="O230" s="126"/>
      <c r="P230" s="126"/>
      <c r="Q230" s="126">
        <v>100</v>
      </c>
      <c r="R230" s="126"/>
    </row>
    <row r="231" s="49" customFormat="1" spans="1:18">
      <c r="A231" s="126">
        <v>600043</v>
      </c>
      <c r="B231" s="126" t="s">
        <v>109</v>
      </c>
      <c r="C231" s="126">
        <v>2</v>
      </c>
      <c r="D231" s="126">
        <v>60</v>
      </c>
      <c r="E231" s="126" t="s">
        <v>483</v>
      </c>
      <c r="F231" s="128" t="s">
        <v>445</v>
      </c>
      <c r="G231" s="126"/>
      <c r="H231" s="126">
        <v>1</v>
      </c>
      <c r="I231" s="126">
        <v>6</v>
      </c>
      <c r="J231" s="126">
        <v>0</v>
      </c>
      <c r="K231" s="126"/>
      <c r="L231" s="126"/>
      <c r="M231" s="126"/>
      <c r="N231" s="126"/>
      <c r="O231" s="126"/>
      <c r="P231" s="126"/>
      <c r="Q231" s="126">
        <v>10</v>
      </c>
      <c r="R231" s="126">
        <v>1</v>
      </c>
    </row>
    <row r="232" s="50" customFormat="1" spans="1:18">
      <c r="A232" s="126">
        <v>600044</v>
      </c>
      <c r="B232" s="126" t="s">
        <v>50</v>
      </c>
      <c r="C232" s="126">
        <v>2</v>
      </c>
      <c r="D232" s="126">
        <v>60</v>
      </c>
      <c r="E232" s="129" t="s">
        <v>95</v>
      </c>
      <c r="F232" s="130" t="s">
        <v>108</v>
      </c>
      <c r="G232" s="131">
        <v>5</v>
      </c>
      <c r="H232" s="126">
        <v>1</v>
      </c>
      <c r="I232" s="126">
        <v>7</v>
      </c>
      <c r="J232" s="126">
        <v>0</v>
      </c>
      <c r="K232" s="126"/>
      <c r="L232" s="126"/>
      <c r="M232" s="126"/>
      <c r="N232" s="126"/>
      <c r="O232" s="133"/>
      <c r="P232" s="126"/>
      <c r="Q232" s="127">
        <v>50</v>
      </c>
      <c r="R232" s="127"/>
    </row>
    <row r="233" s="50" customFormat="1" spans="1:18">
      <c r="A233" s="126">
        <v>610001</v>
      </c>
      <c r="B233" s="126" t="s">
        <v>50</v>
      </c>
      <c r="C233" s="126">
        <v>1</v>
      </c>
      <c r="D233" s="126">
        <v>60</v>
      </c>
      <c r="E233" s="126" t="s">
        <v>95</v>
      </c>
      <c r="F233" s="128" t="s">
        <v>449</v>
      </c>
      <c r="G233" s="126">
        <v>7</v>
      </c>
      <c r="H233" s="126">
        <v>1</v>
      </c>
      <c r="I233" s="126">
        <v>1</v>
      </c>
      <c r="J233" s="126">
        <v>0</v>
      </c>
      <c r="K233" s="126"/>
      <c r="L233" s="126"/>
      <c r="M233" s="126"/>
      <c r="N233" s="126"/>
      <c r="O233" s="133"/>
      <c r="P233" s="131"/>
      <c r="Q233" s="134">
        <v>0</v>
      </c>
      <c r="R233" s="134"/>
    </row>
    <row r="234" s="50" customFormat="1" spans="1:18">
      <c r="A234" s="126">
        <v>610002</v>
      </c>
      <c r="B234" s="126" t="s">
        <v>469</v>
      </c>
      <c r="C234" s="126">
        <v>1</v>
      </c>
      <c r="D234" s="126">
        <v>60</v>
      </c>
      <c r="E234" s="127" t="s">
        <v>470</v>
      </c>
      <c r="F234" s="128" t="s">
        <v>471</v>
      </c>
      <c r="G234" s="131"/>
      <c r="H234" s="126">
        <v>1</v>
      </c>
      <c r="I234" s="131">
        <v>2</v>
      </c>
      <c r="J234" s="126">
        <v>0</v>
      </c>
      <c r="K234" s="126"/>
      <c r="L234" s="126"/>
      <c r="M234" s="126"/>
      <c r="N234" s="126"/>
      <c r="O234" s="133"/>
      <c r="P234" s="131"/>
      <c r="Q234" s="134">
        <v>0</v>
      </c>
      <c r="R234" s="134"/>
    </row>
    <row r="235" s="50" customFormat="1" spans="1:18">
      <c r="A235" s="126">
        <v>610003</v>
      </c>
      <c r="B235" s="126" t="s">
        <v>115</v>
      </c>
      <c r="C235" s="126">
        <v>1</v>
      </c>
      <c r="D235" s="126">
        <v>60</v>
      </c>
      <c r="E235" s="126" t="s">
        <v>116</v>
      </c>
      <c r="F235" s="128" t="s">
        <v>117</v>
      </c>
      <c r="G235" s="126">
        <v>6</v>
      </c>
      <c r="H235" s="126">
        <v>1</v>
      </c>
      <c r="I235" s="126">
        <v>3</v>
      </c>
      <c r="J235" s="126">
        <v>0</v>
      </c>
      <c r="K235" s="126"/>
      <c r="L235" s="126"/>
      <c r="M235" s="126"/>
      <c r="N235" s="126"/>
      <c r="O235" s="133"/>
      <c r="P235" s="131"/>
      <c r="Q235" s="134">
        <v>0</v>
      </c>
      <c r="R235" s="134"/>
    </row>
    <row r="236" s="50" customFormat="1" spans="1:18">
      <c r="A236" s="126">
        <v>610004</v>
      </c>
      <c r="B236" s="126" t="s">
        <v>463</v>
      </c>
      <c r="C236" s="126">
        <v>1</v>
      </c>
      <c r="D236" s="126">
        <v>60</v>
      </c>
      <c r="E236" s="126" t="s">
        <v>464</v>
      </c>
      <c r="F236" s="128" t="s">
        <v>462</v>
      </c>
      <c r="G236" s="126">
        <v>4</v>
      </c>
      <c r="H236" s="126">
        <v>1</v>
      </c>
      <c r="I236" s="131">
        <v>4</v>
      </c>
      <c r="J236" s="126">
        <v>0</v>
      </c>
      <c r="K236" s="126"/>
      <c r="L236" s="126"/>
      <c r="M236" s="126"/>
      <c r="N236" s="126"/>
      <c r="O236" s="133"/>
      <c r="P236" s="131"/>
      <c r="Q236" s="134">
        <v>0</v>
      </c>
      <c r="R236" s="134"/>
    </row>
    <row r="237" s="50" customFormat="1" spans="1:18">
      <c r="A237" s="126">
        <v>610005</v>
      </c>
      <c r="B237" s="127" t="s">
        <v>264</v>
      </c>
      <c r="C237" s="126">
        <v>1</v>
      </c>
      <c r="D237" s="126">
        <v>60</v>
      </c>
      <c r="E237" s="126" t="s">
        <v>265</v>
      </c>
      <c r="F237" s="128" t="s">
        <v>114</v>
      </c>
      <c r="G237" s="126"/>
      <c r="H237" s="126">
        <v>1</v>
      </c>
      <c r="I237" s="126">
        <v>5</v>
      </c>
      <c r="J237" s="126">
        <v>0</v>
      </c>
      <c r="K237" s="126"/>
      <c r="L237" s="126"/>
      <c r="M237" s="126"/>
      <c r="N237" s="126"/>
      <c r="O237" s="133"/>
      <c r="P237" s="131"/>
      <c r="Q237" s="134">
        <v>0</v>
      </c>
      <c r="R237" s="134"/>
    </row>
    <row r="238" s="49" customFormat="1" spans="1:18">
      <c r="A238" s="126">
        <v>610006</v>
      </c>
      <c r="B238" s="126" t="s">
        <v>454</v>
      </c>
      <c r="C238" s="126">
        <v>1</v>
      </c>
      <c r="D238" s="126">
        <v>60</v>
      </c>
      <c r="E238" s="126" t="s">
        <v>455</v>
      </c>
      <c r="F238" s="128" t="s">
        <v>453</v>
      </c>
      <c r="G238" s="126"/>
      <c r="H238" s="126">
        <v>1</v>
      </c>
      <c r="I238" s="131">
        <v>6</v>
      </c>
      <c r="J238" s="126">
        <v>0</v>
      </c>
      <c r="K238" s="126"/>
      <c r="L238" s="126"/>
      <c r="M238" s="126"/>
      <c r="N238" s="126"/>
      <c r="O238" s="133"/>
      <c r="P238" s="131"/>
      <c r="Q238" s="134">
        <v>0</v>
      </c>
      <c r="R238" s="134"/>
    </row>
    <row r="239" s="49" customFormat="1" spans="1:18">
      <c r="A239" s="126">
        <v>620001</v>
      </c>
      <c r="B239" s="132" t="s">
        <v>484</v>
      </c>
      <c r="C239" s="126">
        <v>2</v>
      </c>
      <c r="D239" s="126">
        <v>60</v>
      </c>
      <c r="E239" s="126" t="s">
        <v>485</v>
      </c>
      <c r="F239" s="128" t="s">
        <v>486</v>
      </c>
      <c r="G239" s="126"/>
      <c r="H239" s="126">
        <v>1</v>
      </c>
      <c r="I239" s="126">
        <v>1</v>
      </c>
      <c r="J239" s="126">
        <v>0</v>
      </c>
      <c r="K239" s="126"/>
      <c r="L239" s="126"/>
      <c r="M239" s="126"/>
      <c r="N239" s="126"/>
      <c r="O239" s="133"/>
      <c r="P239" s="126"/>
      <c r="Q239" s="127">
        <v>100</v>
      </c>
      <c r="R239" s="127"/>
    </row>
    <row r="240" s="49" customFormat="1" spans="1:18">
      <c r="A240" s="126">
        <v>620002</v>
      </c>
      <c r="B240" s="132" t="s">
        <v>487</v>
      </c>
      <c r="C240" s="126">
        <v>2</v>
      </c>
      <c r="D240" s="126">
        <v>60</v>
      </c>
      <c r="E240" s="126" t="s">
        <v>488</v>
      </c>
      <c r="F240" s="128" t="s">
        <v>486</v>
      </c>
      <c r="G240" s="126"/>
      <c r="H240" s="126">
        <v>1</v>
      </c>
      <c r="I240" s="126">
        <v>2</v>
      </c>
      <c r="J240" s="126">
        <v>0</v>
      </c>
      <c r="K240" s="126"/>
      <c r="L240" s="126"/>
      <c r="M240" s="126"/>
      <c r="N240" s="126"/>
      <c r="O240" s="133"/>
      <c r="P240" s="126"/>
      <c r="Q240" s="127">
        <v>100</v>
      </c>
      <c r="R240" s="127"/>
    </row>
    <row r="241" s="49" customFormat="1" spans="1:18">
      <c r="A241" s="126">
        <v>620003</v>
      </c>
      <c r="B241" s="132" t="s">
        <v>489</v>
      </c>
      <c r="C241" s="126">
        <v>2</v>
      </c>
      <c r="D241" s="126">
        <v>60</v>
      </c>
      <c r="E241" s="126" t="s">
        <v>490</v>
      </c>
      <c r="F241" s="128" t="s">
        <v>486</v>
      </c>
      <c r="G241" s="126"/>
      <c r="H241" s="126">
        <v>1</v>
      </c>
      <c r="I241" s="126">
        <v>3</v>
      </c>
      <c r="J241" s="126">
        <v>0</v>
      </c>
      <c r="K241" s="126"/>
      <c r="L241" s="126"/>
      <c r="M241" s="126"/>
      <c r="N241" s="126"/>
      <c r="O241" s="133"/>
      <c r="P241" s="126"/>
      <c r="Q241" s="127">
        <v>100</v>
      </c>
      <c r="R241" s="127"/>
    </row>
    <row r="242" s="49" customFormat="1" spans="1:18">
      <c r="A242" s="126">
        <v>620004</v>
      </c>
      <c r="B242" s="132" t="s">
        <v>491</v>
      </c>
      <c r="C242" s="126">
        <v>2</v>
      </c>
      <c r="D242" s="126">
        <v>60</v>
      </c>
      <c r="E242" s="126" t="s">
        <v>492</v>
      </c>
      <c r="F242" s="128" t="s">
        <v>486</v>
      </c>
      <c r="G242" s="126"/>
      <c r="H242" s="126">
        <v>1</v>
      </c>
      <c r="I242" s="126">
        <v>4</v>
      </c>
      <c r="J242" s="126">
        <v>0</v>
      </c>
      <c r="K242" s="126"/>
      <c r="L242" s="126"/>
      <c r="M242" s="126"/>
      <c r="N242" s="126"/>
      <c r="O242" s="128"/>
      <c r="P242" s="126"/>
      <c r="Q242" s="127">
        <v>100</v>
      </c>
      <c r="R242" s="127"/>
    </row>
    <row r="243" s="49" customFormat="1" spans="1:18">
      <c r="A243" s="126">
        <v>620005</v>
      </c>
      <c r="B243" s="132" t="s">
        <v>484</v>
      </c>
      <c r="C243" s="126">
        <v>2</v>
      </c>
      <c r="D243" s="126">
        <v>60</v>
      </c>
      <c r="E243" s="126" t="s">
        <v>485</v>
      </c>
      <c r="F243" s="128" t="s">
        <v>493</v>
      </c>
      <c r="G243" s="126"/>
      <c r="H243" s="126">
        <v>1</v>
      </c>
      <c r="I243" s="126">
        <v>1</v>
      </c>
      <c r="J243" s="126">
        <v>0</v>
      </c>
      <c r="K243" s="126"/>
      <c r="L243" s="126"/>
      <c r="M243" s="126"/>
      <c r="N243" s="126"/>
      <c r="O243" s="133"/>
      <c r="P243" s="126"/>
      <c r="Q243" s="127">
        <v>100</v>
      </c>
      <c r="R243" s="127"/>
    </row>
    <row r="244" s="49" customFormat="1" spans="1:18">
      <c r="A244" s="126">
        <v>620006</v>
      </c>
      <c r="B244" s="132" t="s">
        <v>487</v>
      </c>
      <c r="C244" s="126">
        <v>2</v>
      </c>
      <c r="D244" s="126">
        <v>60</v>
      </c>
      <c r="E244" s="126" t="s">
        <v>488</v>
      </c>
      <c r="F244" s="128" t="s">
        <v>493</v>
      </c>
      <c r="G244" s="126"/>
      <c r="H244" s="126">
        <v>1</v>
      </c>
      <c r="I244" s="126">
        <v>2</v>
      </c>
      <c r="J244" s="126">
        <v>0</v>
      </c>
      <c r="K244" s="126"/>
      <c r="L244" s="126"/>
      <c r="M244" s="126"/>
      <c r="N244" s="126"/>
      <c r="O244" s="133"/>
      <c r="P244" s="126"/>
      <c r="Q244" s="127">
        <v>100</v>
      </c>
      <c r="R244" s="127"/>
    </row>
    <row r="245" s="49" customFormat="1" spans="1:18">
      <c r="A245" s="126">
        <v>620007</v>
      </c>
      <c r="B245" s="132" t="s">
        <v>489</v>
      </c>
      <c r="C245" s="126">
        <v>2</v>
      </c>
      <c r="D245" s="126">
        <v>60</v>
      </c>
      <c r="E245" s="126" t="s">
        <v>490</v>
      </c>
      <c r="F245" s="128" t="s">
        <v>493</v>
      </c>
      <c r="G245" s="126"/>
      <c r="H245" s="126">
        <v>1</v>
      </c>
      <c r="I245" s="126">
        <v>3</v>
      </c>
      <c r="J245" s="126">
        <v>0</v>
      </c>
      <c r="K245" s="126"/>
      <c r="L245" s="126"/>
      <c r="M245" s="126"/>
      <c r="N245" s="126"/>
      <c r="O245" s="133"/>
      <c r="P245" s="126"/>
      <c r="Q245" s="127">
        <v>100</v>
      </c>
      <c r="R245" s="127"/>
    </row>
    <row r="246" s="49" customFormat="1" spans="1:18">
      <c r="A246" s="126">
        <v>620008</v>
      </c>
      <c r="B246" s="132" t="s">
        <v>491</v>
      </c>
      <c r="C246" s="126">
        <v>2</v>
      </c>
      <c r="D246" s="126">
        <v>60</v>
      </c>
      <c r="E246" s="126" t="s">
        <v>492</v>
      </c>
      <c r="F246" s="128" t="s">
        <v>493</v>
      </c>
      <c r="G246" s="126"/>
      <c r="H246" s="131">
        <v>1</v>
      </c>
      <c r="I246" s="126">
        <v>4</v>
      </c>
      <c r="J246" s="126">
        <v>0</v>
      </c>
      <c r="K246" s="126"/>
      <c r="L246" s="126"/>
      <c r="M246" s="126"/>
      <c r="N246" s="126"/>
      <c r="O246" s="133"/>
      <c r="P246" s="126"/>
      <c r="Q246" s="127">
        <v>100</v>
      </c>
      <c r="R246" s="127"/>
    </row>
    <row r="247" s="49" customFormat="1" spans="1:18">
      <c r="A247" s="126">
        <v>620009</v>
      </c>
      <c r="B247" s="132" t="s">
        <v>494</v>
      </c>
      <c r="C247" s="126">
        <v>2</v>
      </c>
      <c r="D247" s="126">
        <v>60</v>
      </c>
      <c r="E247" s="126" t="s">
        <v>495</v>
      </c>
      <c r="F247" s="128" t="s">
        <v>482</v>
      </c>
      <c r="G247" s="126"/>
      <c r="H247" s="126">
        <v>1</v>
      </c>
      <c r="I247" s="126">
        <v>1</v>
      </c>
      <c r="J247" s="126">
        <v>0</v>
      </c>
      <c r="K247" s="126"/>
      <c r="L247" s="126"/>
      <c r="M247" s="126"/>
      <c r="N247" s="126"/>
      <c r="O247" s="128"/>
      <c r="P247" s="126"/>
      <c r="Q247" s="127">
        <v>100</v>
      </c>
      <c r="R247" s="127"/>
    </row>
    <row r="248" s="49" customFormat="1" spans="1:18">
      <c r="A248" s="126">
        <v>620010</v>
      </c>
      <c r="B248" s="132" t="s">
        <v>496</v>
      </c>
      <c r="C248" s="126">
        <v>2</v>
      </c>
      <c r="D248" s="126">
        <v>60</v>
      </c>
      <c r="E248" s="126" t="s">
        <v>497</v>
      </c>
      <c r="F248" s="128" t="s">
        <v>482</v>
      </c>
      <c r="G248" s="126"/>
      <c r="H248" s="126">
        <v>1</v>
      </c>
      <c r="I248" s="126">
        <v>2</v>
      </c>
      <c r="J248" s="126">
        <v>0</v>
      </c>
      <c r="K248" s="126"/>
      <c r="L248" s="126"/>
      <c r="M248" s="126"/>
      <c r="N248" s="126"/>
      <c r="O248" s="133"/>
      <c r="P248" s="126"/>
      <c r="Q248" s="127">
        <v>100</v>
      </c>
      <c r="R248" s="127"/>
    </row>
    <row r="249" s="49" customFormat="1" spans="1:18">
      <c r="A249" s="126">
        <v>620011</v>
      </c>
      <c r="B249" s="132" t="s">
        <v>498</v>
      </c>
      <c r="C249" s="126">
        <v>2</v>
      </c>
      <c r="D249" s="126">
        <v>60</v>
      </c>
      <c r="E249" s="126" t="s">
        <v>499</v>
      </c>
      <c r="F249" s="128" t="s">
        <v>482</v>
      </c>
      <c r="G249" s="126"/>
      <c r="H249" s="126">
        <v>1</v>
      </c>
      <c r="I249" s="126">
        <v>3</v>
      </c>
      <c r="J249" s="126">
        <v>0</v>
      </c>
      <c r="K249" s="126"/>
      <c r="L249" s="126"/>
      <c r="M249" s="126"/>
      <c r="N249" s="126"/>
      <c r="O249" s="133"/>
      <c r="P249" s="126"/>
      <c r="Q249" s="127">
        <v>100</v>
      </c>
      <c r="R249" s="127"/>
    </row>
    <row r="250" s="49" customFormat="1" spans="1:18">
      <c r="A250" s="126">
        <v>620012</v>
      </c>
      <c r="B250" s="132" t="s">
        <v>500</v>
      </c>
      <c r="C250" s="126">
        <v>2</v>
      </c>
      <c r="D250" s="126">
        <v>60</v>
      </c>
      <c r="E250" s="126" t="s">
        <v>501</v>
      </c>
      <c r="F250" s="128" t="s">
        <v>482</v>
      </c>
      <c r="G250" s="126"/>
      <c r="H250" s="126">
        <v>1</v>
      </c>
      <c r="I250" s="126">
        <v>4</v>
      </c>
      <c r="J250" s="126">
        <v>0</v>
      </c>
      <c r="K250" s="126"/>
      <c r="L250" s="126"/>
      <c r="M250" s="126"/>
      <c r="N250" s="126"/>
      <c r="O250" s="133"/>
      <c r="P250" s="126"/>
      <c r="Q250" s="127">
        <v>100</v>
      </c>
      <c r="R250" s="127"/>
    </row>
    <row r="251" s="49" customFormat="1" spans="1:18">
      <c r="A251" s="126">
        <v>620013</v>
      </c>
      <c r="B251" s="132" t="s">
        <v>494</v>
      </c>
      <c r="C251" s="126">
        <v>2</v>
      </c>
      <c r="D251" s="126">
        <v>60</v>
      </c>
      <c r="E251" s="126" t="s">
        <v>495</v>
      </c>
      <c r="F251" s="128" t="s">
        <v>120</v>
      </c>
      <c r="G251" s="126"/>
      <c r="H251" s="126">
        <v>1</v>
      </c>
      <c r="I251" s="126">
        <v>1</v>
      </c>
      <c r="J251" s="126">
        <v>0</v>
      </c>
      <c r="K251" s="126"/>
      <c r="L251" s="126"/>
      <c r="M251" s="126"/>
      <c r="N251" s="126"/>
      <c r="O251" s="133"/>
      <c r="P251" s="126"/>
      <c r="Q251" s="127">
        <v>100</v>
      </c>
      <c r="R251" s="127"/>
    </row>
    <row r="252" s="49" customFormat="1" spans="1:18">
      <c r="A252" s="126">
        <v>620014</v>
      </c>
      <c r="B252" s="132" t="s">
        <v>496</v>
      </c>
      <c r="C252" s="126">
        <v>2</v>
      </c>
      <c r="D252" s="126">
        <v>60</v>
      </c>
      <c r="E252" s="126" t="s">
        <v>497</v>
      </c>
      <c r="F252" s="128" t="s">
        <v>120</v>
      </c>
      <c r="G252" s="126"/>
      <c r="H252" s="126">
        <v>1</v>
      </c>
      <c r="I252" s="126">
        <v>2</v>
      </c>
      <c r="J252" s="126">
        <v>0</v>
      </c>
      <c r="K252" s="126"/>
      <c r="L252" s="126"/>
      <c r="M252" s="126"/>
      <c r="N252" s="126"/>
      <c r="O252" s="133"/>
      <c r="P252" s="126"/>
      <c r="Q252" s="127">
        <v>100</v>
      </c>
      <c r="R252" s="127"/>
    </row>
    <row r="253" s="49" customFormat="1" spans="1:18">
      <c r="A253" s="126">
        <v>620015</v>
      </c>
      <c r="B253" s="132" t="s">
        <v>498</v>
      </c>
      <c r="C253" s="126">
        <v>2</v>
      </c>
      <c r="D253" s="126">
        <v>60</v>
      </c>
      <c r="E253" s="126" t="s">
        <v>499</v>
      </c>
      <c r="F253" s="128" t="s">
        <v>120</v>
      </c>
      <c r="G253" s="126"/>
      <c r="H253" s="126">
        <v>1</v>
      </c>
      <c r="I253" s="126">
        <v>3</v>
      </c>
      <c r="J253" s="126">
        <v>0</v>
      </c>
      <c r="K253" s="126"/>
      <c r="L253" s="126"/>
      <c r="M253" s="126"/>
      <c r="N253" s="126"/>
      <c r="O253" s="133"/>
      <c r="P253" s="126"/>
      <c r="Q253" s="127">
        <v>100</v>
      </c>
      <c r="R253" s="127"/>
    </row>
    <row r="254" s="49" customFormat="1" spans="1:18">
      <c r="A254" s="126">
        <v>620016</v>
      </c>
      <c r="B254" s="132" t="s">
        <v>500</v>
      </c>
      <c r="C254" s="126">
        <v>2</v>
      </c>
      <c r="D254" s="126">
        <v>60</v>
      </c>
      <c r="E254" s="126" t="s">
        <v>501</v>
      </c>
      <c r="F254" s="128" t="s">
        <v>120</v>
      </c>
      <c r="G254" s="126"/>
      <c r="H254" s="126">
        <v>1</v>
      </c>
      <c r="I254" s="126">
        <v>4</v>
      </c>
      <c r="J254" s="126">
        <v>0</v>
      </c>
      <c r="K254" s="126"/>
      <c r="L254" s="126"/>
      <c r="M254" s="126"/>
      <c r="N254" s="126"/>
      <c r="O254" s="133"/>
      <c r="P254" s="126"/>
      <c r="Q254" s="127">
        <v>100</v>
      </c>
      <c r="R254" s="127"/>
    </row>
    <row r="255" s="49" customFormat="1" spans="1:18">
      <c r="A255" s="126">
        <v>620017</v>
      </c>
      <c r="B255" s="132" t="s">
        <v>502</v>
      </c>
      <c r="C255" s="126">
        <v>2</v>
      </c>
      <c r="D255" s="126">
        <v>60</v>
      </c>
      <c r="E255" s="126" t="s">
        <v>296</v>
      </c>
      <c r="F255" s="128" t="s">
        <v>503</v>
      </c>
      <c r="G255" s="126"/>
      <c r="H255" s="126">
        <v>1</v>
      </c>
      <c r="I255" s="126">
        <v>1</v>
      </c>
      <c r="J255" s="126">
        <v>0</v>
      </c>
      <c r="K255" s="126"/>
      <c r="L255" s="126"/>
      <c r="M255" s="126"/>
      <c r="N255" s="126"/>
      <c r="O255" s="133"/>
      <c r="P255" s="126"/>
      <c r="Q255" s="127">
        <v>100</v>
      </c>
      <c r="R255" s="127"/>
    </row>
    <row r="256" s="49" customFormat="1" spans="1:18">
      <c r="A256" s="126">
        <v>620018</v>
      </c>
      <c r="B256" s="132" t="s">
        <v>504</v>
      </c>
      <c r="C256" s="126">
        <v>2</v>
      </c>
      <c r="D256" s="126">
        <v>60</v>
      </c>
      <c r="E256" s="126" t="s">
        <v>299</v>
      </c>
      <c r="F256" s="128" t="s">
        <v>503</v>
      </c>
      <c r="G256" s="126"/>
      <c r="H256" s="126">
        <v>1</v>
      </c>
      <c r="I256" s="126">
        <v>2</v>
      </c>
      <c r="J256" s="126">
        <v>0</v>
      </c>
      <c r="K256" s="126"/>
      <c r="L256" s="126"/>
      <c r="M256" s="126"/>
      <c r="N256" s="126"/>
      <c r="O256" s="133"/>
      <c r="P256" s="126"/>
      <c r="Q256" s="127">
        <v>100</v>
      </c>
      <c r="R256" s="127"/>
    </row>
    <row r="257" s="49" customFormat="1" spans="1:18">
      <c r="A257" s="126">
        <v>620019</v>
      </c>
      <c r="B257" s="132" t="s">
        <v>505</v>
      </c>
      <c r="C257" s="126">
        <v>2</v>
      </c>
      <c r="D257" s="126">
        <v>60</v>
      </c>
      <c r="E257" s="126" t="s">
        <v>301</v>
      </c>
      <c r="F257" s="128" t="s">
        <v>503</v>
      </c>
      <c r="G257" s="126"/>
      <c r="H257" s="126">
        <v>1</v>
      </c>
      <c r="I257" s="126">
        <v>3</v>
      </c>
      <c r="J257" s="126">
        <v>0</v>
      </c>
      <c r="K257" s="126"/>
      <c r="L257" s="126"/>
      <c r="M257" s="126"/>
      <c r="N257" s="126"/>
      <c r="O257" s="133"/>
      <c r="P257" s="126"/>
      <c r="Q257" s="127">
        <v>100</v>
      </c>
      <c r="R257" s="127"/>
    </row>
    <row r="258" s="49" customFormat="1" spans="1:18">
      <c r="A258" s="126">
        <v>620020</v>
      </c>
      <c r="B258" s="132" t="s">
        <v>506</v>
      </c>
      <c r="C258" s="126">
        <v>2</v>
      </c>
      <c r="D258" s="126">
        <v>60</v>
      </c>
      <c r="E258" s="126" t="s">
        <v>303</v>
      </c>
      <c r="F258" s="128" t="s">
        <v>503</v>
      </c>
      <c r="G258" s="126"/>
      <c r="H258" s="126">
        <v>1</v>
      </c>
      <c r="I258" s="126">
        <v>4</v>
      </c>
      <c r="J258" s="126">
        <v>0</v>
      </c>
      <c r="K258" s="126"/>
      <c r="L258" s="126"/>
      <c r="M258" s="126"/>
      <c r="N258" s="126"/>
      <c r="O258" s="133"/>
      <c r="P258" s="126"/>
      <c r="Q258" s="127">
        <v>100</v>
      </c>
      <c r="R258" s="127"/>
    </row>
    <row r="259" s="49" customFormat="1" spans="1:18">
      <c r="A259" s="126">
        <v>620021</v>
      </c>
      <c r="B259" s="132" t="s">
        <v>502</v>
      </c>
      <c r="C259" s="126">
        <v>2</v>
      </c>
      <c r="D259" s="126">
        <v>60</v>
      </c>
      <c r="E259" s="126" t="s">
        <v>296</v>
      </c>
      <c r="F259" s="128" t="s">
        <v>507</v>
      </c>
      <c r="G259" s="126"/>
      <c r="H259" s="126">
        <v>1</v>
      </c>
      <c r="I259" s="126">
        <v>1</v>
      </c>
      <c r="J259" s="126">
        <v>0</v>
      </c>
      <c r="K259" s="126"/>
      <c r="L259" s="126"/>
      <c r="M259" s="126"/>
      <c r="N259" s="126"/>
      <c r="O259" s="133"/>
      <c r="P259" s="126"/>
      <c r="Q259" s="127">
        <v>100</v>
      </c>
      <c r="R259" s="127"/>
    </row>
    <row r="260" s="49" customFormat="1" spans="1:18">
      <c r="A260" s="126">
        <v>620022</v>
      </c>
      <c r="B260" s="132" t="s">
        <v>504</v>
      </c>
      <c r="C260" s="126">
        <v>2</v>
      </c>
      <c r="D260" s="126">
        <v>60</v>
      </c>
      <c r="E260" s="126" t="s">
        <v>299</v>
      </c>
      <c r="F260" s="128" t="s">
        <v>507</v>
      </c>
      <c r="G260" s="126"/>
      <c r="H260" s="126">
        <v>1</v>
      </c>
      <c r="I260" s="126">
        <v>2</v>
      </c>
      <c r="J260" s="126">
        <v>0</v>
      </c>
      <c r="K260" s="126"/>
      <c r="L260" s="126"/>
      <c r="M260" s="126"/>
      <c r="N260" s="126"/>
      <c r="O260" s="133"/>
      <c r="P260" s="126"/>
      <c r="Q260" s="127">
        <v>100</v>
      </c>
      <c r="R260" s="127"/>
    </row>
    <row r="261" s="49" customFormat="1" spans="1:18">
      <c r="A261" s="126">
        <v>620023</v>
      </c>
      <c r="B261" s="132" t="s">
        <v>505</v>
      </c>
      <c r="C261" s="126">
        <v>2</v>
      </c>
      <c r="D261" s="126">
        <v>60</v>
      </c>
      <c r="E261" s="126" t="s">
        <v>301</v>
      </c>
      <c r="F261" s="128" t="s">
        <v>507</v>
      </c>
      <c r="G261" s="126"/>
      <c r="H261" s="126">
        <v>1</v>
      </c>
      <c r="I261" s="126">
        <v>3</v>
      </c>
      <c r="J261" s="126">
        <v>0</v>
      </c>
      <c r="K261" s="126"/>
      <c r="L261" s="126"/>
      <c r="M261" s="126"/>
      <c r="N261" s="126"/>
      <c r="O261" s="133"/>
      <c r="P261" s="126"/>
      <c r="Q261" s="127">
        <v>100</v>
      </c>
      <c r="R261" s="127"/>
    </row>
    <row r="262" s="49" customFormat="1" spans="1:18">
      <c r="A262" s="126">
        <v>620024</v>
      </c>
      <c r="B262" s="132" t="s">
        <v>506</v>
      </c>
      <c r="C262" s="126">
        <v>2</v>
      </c>
      <c r="D262" s="126">
        <v>60</v>
      </c>
      <c r="E262" s="126" t="s">
        <v>303</v>
      </c>
      <c r="F262" s="128" t="s">
        <v>507</v>
      </c>
      <c r="G262" s="126"/>
      <c r="H262" s="126">
        <v>1</v>
      </c>
      <c r="I262" s="126">
        <v>4</v>
      </c>
      <c r="J262" s="126">
        <v>0</v>
      </c>
      <c r="K262" s="126"/>
      <c r="L262" s="126"/>
      <c r="M262" s="126"/>
      <c r="N262" s="126"/>
      <c r="O262" s="133"/>
      <c r="P262" s="126"/>
      <c r="Q262" s="127">
        <v>100</v>
      </c>
      <c r="R262" s="127"/>
    </row>
    <row r="263" s="49" customFormat="1" spans="1:18">
      <c r="A263" s="126">
        <v>620025</v>
      </c>
      <c r="B263" s="132" t="s">
        <v>508</v>
      </c>
      <c r="C263" s="126">
        <v>2</v>
      </c>
      <c r="D263" s="126">
        <v>60</v>
      </c>
      <c r="E263" s="126" t="s">
        <v>305</v>
      </c>
      <c r="F263" s="128" t="s">
        <v>509</v>
      </c>
      <c r="G263" s="126"/>
      <c r="H263" s="126">
        <v>1</v>
      </c>
      <c r="I263" s="126">
        <v>1</v>
      </c>
      <c r="J263" s="126">
        <v>0</v>
      </c>
      <c r="K263" s="126"/>
      <c r="L263" s="126"/>
      <c r="M263" s="126"/>
      <c r="N263" s="126"/>
      <c r="O263" s="133"/>
      <c r="P263" s="126"/>
      <c r="Q263" s="127">
        <v>100</v>
      </c>
      <c r="R263" s="127"/>
    </row>
    <row r="264" s="49" customFormat="1" spans="1:18">
      <c r="A264" s="126">
        <v>620026</v>
      </c>
      <c r="B264" s="132" t="s">
        <v>510</v>
      </c>
      <c r="C264" s="126">
        <v>2</v>
      </c>
      <c r="D264" s="126">
        <v>60</v>
      </c>
      <c r="E264" s="126" t="s">
        <v>308</v>
      </c>
      <c r="F264" s="128" t="s">
        <v>509</v>
      </c>
      <c r="G264" s="126"/>
      <c r="H264" s="126">
        <v>1</v>
      </c>
      <c r="I264" s="126">
        <v>2</v>
      </c>
      <c r="J264" s="126">
        <v>0</v>
      </c>
      <c r="K264" s="126"/>
      <c r="L264" s="126"/>
      <c r="M264" s="126"/>
      <c r="N264" s="126"/>
      <c r="O264" s="133"/>
      <c r="P264" s="126"/>
      <c r="Q264" s="127">
        <v>100</v>
      </c>
      <c r="R264" s="127"/>
    </row>
    <row r="265" s="49" customFormat="1" spans="1:18">
      <c r="A265" s="126">
        <v>620027</v>
      </c>
      <c r="B265" s="132" t="s">
        <v>511</v>
      </c>
      <c r="C265" s="126">
        <v>2</v>
      </c>
      <c r="D265" s="126">
        <v>60</v>
      </c>
      <c r="E265" s="126" t="s">
        <v>310</v>
      </c>
      <c r="F265" s="128" t="s">
        <v>509</v>
      </c>
      <c r="G265" s="126"/>
      <c r="H265" s="126">
        <v>1</v>
      </c>
      <c r="I265" s="126">
        <v>3</v>
      </c>
      <c r="J265" s="126">
        <v>0</v>
      </c>
      <c r="K265" s="126"/>
      <c r="L265" s="126"/>
      <c r="M265" s="126"/>
      <c r="N265" s="126"/>
      <c r="O265" s="133"/>
      <c r="P265" s="126"/>
      <c r="Q265" s="127">
        <v>100</v>
      </c>
      <c r="R265" s="127"/>
    </row>
    <row r="266" s="49" customFormat="1" spans="1:18">
      <c r="A266" s="126">
        <v>620028</v>
      </c>
      <c r="B266" s="132" t="s">
        <v>512</v>
      </c>
      <c r="C266" s="126">
        <v>2</v>
      </c>
      <c r="D266" s="126">
        <v>60</v>
      </c>
      <c r="E266" s="126" t="s">
        <v>312</v>
      </c>
      <c r="F266" s="128" t="s">
        <v>509</v>
      </c>
      <c r="G266" s="126"/>
      <c r="H266" s="131">
        <v>1</v>
      </c>
      <c r="I266" s="126">
        <v>4</v>
      </c>
      <c r="J266" s="126">
        <v>0</v>
      </c>
      <c r="K266" s="126"/>
      <c r="L266" s="126"/>
      <c r="M266" s="126"/>
      <c r="N266" s="126"/>
      <c r="O266" s="133"/>
      <c r="P266" s="126"/>
      <c r="Q266" s="127">
        <v>100</v>
      </c>
      <c r="R266" s="127"/>
    </row>
    <row r="267" s="49" customFormat="1" spans="1:18">
      <c r="A267" s="126">
        <v>620029</v>
      </c>
      <c r="B267" s="132" t="s">
        <v>508</v>
      </c>
      <c r="C267" s="126">
        <v>2</v>
      </c>
      <c r="D267" s="126">
        <v>60</v>
      </c>
      <c r="E267" s="126" t="s">
        <v>305</v>
      </c>
      <c r="F267" s="128" t="s">
        <v>117</v>
      </c>
      <c r="G267" s="126"/>
      <c r="H267" s="126">
        <v>1</v>
      </c>
      <c r="I267" s="126">
        <v>1</v>
      </c>
      <c r="J267" s="126">
        <v>0</v>
      </c>
      <c r="K267" s="126"/>
      <c r="L267" s="126"/>
      <c r="M267" s="126"/>
      <c r="N267" s="126"/>
      <c r="O267" s="133"/>
      <c r="P267" s="126"/>
      <c r="Q267" s="127">
        <v>100</v>
      </c>
      <c r="R267" s="127"/>
    </row>
    <row r="268" s="49" customFormat="1" spans="1:18">
      <c r="A268" s="126">
        <v>620030</v>
      </c>
      <c r="B268" s="132" t="s">
        <v>510</v>
      </c>
      <c r="C268" s="126">
        <v>2</v>
      </c>
      <c r="D268" s="126">
        <v>60</v>
      </c>
      <c r="E268" s="126" t="s">
        <v>308</v>
      </c>
      <c r="F268" s="128" t="s">
        <v>117</v>
      </c>
      <c r="G268" s="126"/>
      <c r="H268" s="126">
        <v>1</v>
      </c>
      <c r="I268" s="126">
        <v>2</v>
      </c>
      <c r="J268" s="126">
        <v>0</v>
      </c>
      <c r="K268" s="126"/>
      <c r="L268" s="126"/>
      <c r="M268" s="126"/>
      <c r="N268" s="126"/>
      <c r="O268" s="133"/>
      <c r="P268" s="126"/>
      <c r="Q268" s="127">
        <v>100</v>
      </c>
      <c r="R268" s="127"/>
    </row>
    <row r="269" s="49" customFormat="1" spans="1:18">
      <c r="A269" s="126">
        <v>620031</v>
      </c>
      <c r="B269" s="132" t="s">
        <v>511</v>
      </c>
      <c r="C269" s="126">
        <v>2</v>
      </c>
      <c r="D269" s="126">
        <v>60</v>
      </c>
      <c r="E269" s="126" t="s">
        <v>310</v>
      </c>
      <c r="F269" s="128" t="s">
        <v>117</v>
      </c>
      <c r="G269" s="126"/>
      <c r="H269" s="126">
        <v>1</v>
      </c>
      <c r="I269" s="126">
        <v>3</v>
      </c>
      <c r="J269" s="126">
        <v>0</v>
      </c>
      <c r="K269" s="126"/>
      <c r="L269" s="126"/>
      <c r="M269" s="126"/>
      <c r="N269" s="126"/>
      <c r="O269" s="133"/>
      <c r="P269" s="126"/>
      <c r="Q269" s="127">
        <v>100</v>
      </c>
      <c r="R269" s="127"/>
    </row>
    <row r="270" s="49" customFormat="1" spans="1:18">
      <c r="A270" s="126">
        <v>620032</v>
      </c>
      <c r="B270" s="132" t="s">
        <v>512</v>
      </c>
      <c r="C270" s="126">
        <v>2</v>
      </c>
      <c r="D270" s="126">
        <v>60</v>
      </c>
      <c r="E270" s="126" t="s">
        <v>312</v>
      </c>
      <c r="F270" s="128" t="s">
        <v>117</v>
      </c>
      <c r="G270" s="126"/>
      <c r="H270" s="126">
        <v>1</v>
      </c>
      <c r="I270" s="126">
        <v>4</v>
      </c>
      <c r="J270" s="126">
        <v>0</v>
      </c>
      <c r="K270" s="126"/>
      <c r="L270" s="126"/>
      <c r="M270" s="126"/>
      <c r="N270" s="126"/>
      <c r="O270" s="133"/>
      <c r="P270" s="126"/>
      <c r="Q270" s="127">
        <v>100</v>
      </c>
      <c r="R270" s="127"/>
    </row>
    <row r="271" s="49" customFormat="1" spans="1:18">
      <c r="A271" s="126">
        <v>620033</v>
      </c>
      <c r="B271" s="132" t="s">
        <v>295</v>
      </c>
      <c r="C271" s="126">
        <v>2</v>
      </c>
      <c r="D271" s="126">
        <v>60</v>
      </c>
      <c r="E271" s="126" t="s">
        <v>513</v>
      </c>
      <c r="F271" s="128" t="s">
        <v>514</v>
      </c>
      <c r="G271" s="126"/>
      <c r="H271" s="126">
        <v>1</v>
      </c>
      <c r="I271" s="126">
        <v>1</v>
      </c>
      <c r="J271" s="126">
        <v>0</v>
      </c>
      <c r="K271" s="126"/>
      <c r="L271" s="126"/>
      <c r="M271" s="126"/>
      <c r="N271" s="126"/>
      <c r="O271" s="133"/>
      <c r="P271" s="126"/>
      <c r="Q271" s="127">
        <v>100</v>
      </c>
      <c r="R271" s="127"/>
    </row>
    <row r="272" s="49" customFormat="1" spans="1:18">
      <c r="A272" s="126">
        <v>620034</v>
      </c>
      <c r="B272" s="132" t="s">
        <v>298</v>
      </c>
      <c r="C272" s="126">
        <v>2</v>
      </c>
      <c r="D272" s="126">
        <v>60</v>
      </c>
      <c r="E272" s="126" t="s">
        <v>515</v>
      </c>
      <c r="F272" s="128" t="s">
        <v>514</v>
      </c>
      <c r="G272" s="126"/>
      <c r="H272" s="126">
        <v>1</v>
      </c>
      <c r="I272" s="126">
        <v>2</v>
      </c>
      <c r="J272" s="126">
        <v>0</v>
      </c>
      <c r="K272" s="126"/>
      <c r="L272" s="126"/>
      <c r="M272" s="126"/>
      <c r="N272" s="126"/>
      <c r="O272" s="133"/>
      <c r="P272" s="126"/>
      <c r="Q272" s="127">
        <v>100</v>
      </c>
      <c r="R272" s="127"/>
    </row>
    <row r="273" s="49" customFormat="1" spans="1:18">
      <c r="A273" s="126">
        <v>620035</v>
      </c>
      <c r="B273" s="132" t="s">
        <v>300</v>
      </c>
      <c r="C273" s="126">
        <v>2</v>
      </c>
      <c r="D273" s="126">
        <v>60</v>
      </c>
      <c r="E273" s="126" t="s">
        <v>516</v>
      </c>
      <c r="F273" s="128" t="s">
        <v>514</v>
      </c>
      <c r="G273" s="126"/>
      <c r="H273" s="126">
        <v>1</v>
      </c>
      <c r="I273" s="126">
        <v>3</v>
      </c>
      <c r="J273" s="126">
        <v>0</v>
      </c>
      <c r="K273" s="126"/>
      <c r="L273" s="126"/>
      <c r="M273" s="126"/>
      <c r="N273" s="126"/>
      <c r="O273" s="133"/>
      <c r="P273" s="126"/>
      <c r="Q273" s="127">
        <v>100</v>
      </c>
      <c r="R273" s="127"/>
    </row>
    <row r="274" s="49" customFormat="1" spans="1:18">
      <c r="A274" s="126">
        <v>620036</v>
      </c>
      <c r="B274" s="132" t="s">
        <v>302</v>
      </c>
      <c r="C274" s="126">
        <v>2</v>
      </c>
      <c r="D274" s="126">
        <v>60</v>
      </c>
      <c r="E274" s="126" t="s">
        <v>517</v>
      </c>
      <c r="F274" s="128" t="s">
        <v>514</v>
      </c>
      <c r="G274" s="126"/>
      <c r="H274" s="126">
        <v>1</v>
      </c>
      <c r="I274" s="126">
        <v>4</v>
      </c>
      <c r="J274" s="126">
        <v>0</v>
      </c>
      <c r="K274" s="126"/>
      <c r="L274" s="126"/>
      <c r="M274" s="126"/>
      <c r="N274" s="126"/>
      <c r="O274" s="133"/>
      <c r="P274" s="126"/>
      <c r="Q274" s="127">
        <v>100</v>
      </c>
      <c r="R274" s="127"/>
    </row>
    <row r="275" s="49" customFormat="1" spans="1:18">
      <c r="A275" s="126">
        <v>620037</v>
      </c>
      <c r="B275" s="132" t="s">
        <v>295</v>
      </c>
      <c r="C275" s="126">
        <v>2</v>
      </c>
      <c r="D275" s="126">
        <v>60</v>
      </c>
      <c r="E275" s="126" t="s">
        <v>513</v>
      </c>
      <c r="F275" s="128" t="s">
        <v>518</v>
      </c>
      <c r="G275" s="126"/>
      <c r="H275" s="126">
        <v>1</v>
      </c>
      <c r="I275" s="126">
        <v>1</v>
      </c>
      <c r="J275" s="126">
        <v>0</v>
      </c>
      <c r="K275" s="126"/>
      <c r="L275" s="126"/>
      <c r="M275" s="126"/>
      <c r="N275" s="126"/>
      <c r="O275" s="133"/>
      <c r="P275" s="126"/>
      <c r="Q275" s="127">
        <v>100</v>
      </c>
      <c r="R275" s="127"/>
    </row>
    <row r="276" s="49" customFormat="1" spans="1:18">
      <c r="A276" s="126">
        <v>620038</v>
      </c>
      <c r="B276" s="132" t="s">
        <v>298</v>
      </c>
      <c r="C276" s="126">
        <v>2</v>
      </c>
      <c r="D276" s="126">
        <v>60</v>
      </c>
      <c r="E276" s="126" t="s">
        <v>515</v>
      </c>
      <c r="F276" s="128" t="s">
        <v>518</v>
      </c>
      <c r="G276" s="126"/>
      <c r="H276" s="126">
        <v>1</v>
      </c>
      <c r="I276" s="126">
        <v>2</v>
      </c>
      <c r="J276" s="126">
        <v>0</v>
      </c>
      <c r="K276" s="126"/>
      <c r="L276" s="126"/>
      <c r="M276" s="126"/>
      <c r="N276" s="126"/>
      <c r="O276" s="133"/>
      <c r="P276" s="126"/>
      <c r="Q276" s="127">
        <v>100</v>
      </c>
      <c r="R276" s="127"/>
    </row>
    <row r="277" s="49" customFormat="1" spans="1:18">
      <c r="A277" s="126">
        <v>620039</v>
      </c>
      <c r="B277" s="132" t="s">
        <v>300</v>
      </c>
      <c r="C277" s="126">
        <v>2</v>
      </c>
      <c r="D277" s="126">
        <v>60</v>
      </c>
      <c r="E277" s="126" t="s">
        <v>516</v>
      </c>
      <c r="F277" s="128" t="s">
        <v>518</v>
      </c>
      <c r="G277" s="126"/>
      <c r="H277" s="126">
        <v>1</v>
      </c>
      <c r="I277" s="126">
        <v>3</v>
      </c>
      <c r="J277" s="126">
        <v>0</v>
      </c>
      <c r="K277" s="126"/>
      <c r="L277" s="126"/>
      <c r="M277" s="126"/>
      <c r="N277" s="126"/>
      <c r="O277" s="133"/>
      <c r="P277" s="126"/>
      <c r="Q277" s="127">
        <v>100</v>
      </c>
      <c r="R277" s="127"/>
    </row>
    <row r="278" s="49" customFormat="1" spans="1:18">
      <c r="A278" s="126">
        <v>620040</v>
      </c>
      <c r="B278" s="132" t="s">
        <v>302</v>
      </c>
      <c r="C278" s="126">
        <v>2</v>
      </c>
      <c r="D278" s="126">
        <v>60</v>
      </c>
      <c r="E278" s="126" t="s">
        <v>517</v>
      </c>
      <c r="F278" s="128" t="s">
        <v>518</v>
      </c>
      <c r="G278" s="126"/>
      <c r="H278" s="126">
        <v>1</v>
      </c>
      <c r="I278" s="126">
        <v>4</v>
      </c>
      <c r="J278" s="126">
        <v>0</v>
      </c>
      <c r="K278" s="126"/>
      <c r="L278" s="126"/>
      <c r="M278" s="126"/>
      <c r="N278" s="126"/>
      <c r="O278" s="133"/>
      <c r="P278" s="126"/>
      <c r="Q278" s="127">
        <v>100</v>
      </c>
      <c r="R278" s="127"/>
    </row>
    <row r="279" s="49" customFormat="1" spans="1:18">
      <c r="A279" s="126">
        <v>620041</v>
      </c>
      <c r="B279" s="132" t="s">
        <v>304</v>
      </c>
      <c r="C279" s="126">
        <v>2</v>
      </c>
      <c r="D279" s="126">
        <v>60</v>
      </c>
      <c r="E279" s="126" t="s">
        <v>519</v>
      </c>
      <c r="F279" s="128" t="s">
        <v>520</v>
      </c>
      <c r="G279" s="126"/>
      <c r="H279" s="126">
        <v>1</v>
      </c>
      <c r="I279" s="126">
        <v>1</v>
      </c>
      <c r="J279" s="126">
        <v>0</v>
      </c>
      <c r="K279" s="126"/>
      <c r="L279" s="126"/>
      <c r="M279" s="126"/>
      <c r="N279" s="126"/>
      <c r="O279" s="133"/>
      <c r="P279" s="126"/>
      <c r="Q279" s="127">
        <v>100</v>
      </c>
      <c r="R279" s="127"/>
    </row>
    <row r="280" s="49" customFormat="1" spans="1:18">
      <c r="A280" s="126">
        <v>620042</v>
      </c>
      <c r="B280" s="132" t="s">
        <v>307</v>
      </c>
      <c r="C280" s="126">
        <v>2</v>
      </c>
      <c r="D280" s="126">
        <v>60</v>
      </c>
      <c r="E280" s="126" t="s">
        <v>521</v>
      </c>
      <c r="F280" s="128" t="s">
        <v>520</v>
      </c>
      <c r="G280" s="126"/>
      <c r="H280" s="126">
        <v>1</v>
      </c>
      <c r="I280" s="126">
        <v>2</v>
      </c>
      <c r="J280" s="126">
        <v>0</v>
      </c>
      <c r="K280" s="126"/>
      <c r="L280" s="126"/>
      <c r="M280" s="126"/>
      <c r="N280" s="126"/>
      <c r="O280" s="133"/>
      <c r="P280" s="126"/>
      <c r="Q280" s="127">
        <v>100</v>
      </c>
      <c r="R280" s="127"/>
    </row>
    <row r="281" s="49" customFormat="1" spans="1:18">
      <c r="A281" s="126">
        <v>620043</v>
      </c>
      <c r="B281" s="132" t="s">
        <v>309</v>
      </c>
      <c r="C281" s="126">
        <v>2</v>
      </c>
      <c r="D281" s="126">
        <v>60</v>
      </c>
      <c r="E281" s="126" t="s">
        <v>522</v>
      </c>
      <c r="F281" s="128" t="s">
        <v>520</v>
      </c>
      <c r="G281" s="126"/>
      <c r="H281" s="126">
        <v>1</v>
      </c>
      <c r="I281" s="126">
        <v>3</v>
      </c>
      <c r="J281" s="126">
        <v>0</v>
      </c>
      <c r="K281" s="126"/>
      <c r="L281" s="126"/>
      <c r="M281" s="126"/>
      <c r="N281" s="126"/>
      <c r="O281" s="133"/>
      <c r="P281" s="126"/>
      <c r="Q281" s="127">
        <v>100</v>
      </c>
      <c r="R281" s="127"/>
    </row>
    <row r="282" s="49" customFormat="1" spans="1:18">
      <c r="A282" s="126">
        <v>620044</v>
      </c>
      <c r="B282" s="132" t="s">
        <v>311</v>
      </c>
      <c r="C282" s="126">
        <v>2</v>
      </c>
      <c r="D282" s="126">
        <v>60</v>
      </c>
      <c r="E282" s="126" t="s">
        <v>523</v>
      </c>
      <c r="F282" s="128" t="s">
        <v>520</v>
      </c>
      <c r="G282" s="126"/>
      <c r="H282" s="126">
        <v>1</v>
      </c>
      <c r="I282" s="126">
        <v>4</v>
      </c>
      <c r="J282" s="126">
        <v>0</v>
      </c>
      <c r="K282" s="126"/>
      <c r="L282" s="126"/>
      <c r="M282" s="126"/>
      <c r="N282" s="126"/>
      <c r="O282" s="133"/>
      <c r="P282" s="126"/>
      <c r="Q282" s="127">
        <v>100</v>
      </c>
      <c r="R282" s="127"/>
    </row>
    <row r="283" s="49" customFormat="1" spans="1:18">
      <c r="A283" s="126">
        <v>620045</v>
      </c>
      <c r="B283" s="132" t="s">
        <v>304</v>
      </c>
      <c r="C283" s="126">
        <v>2</v>
      </c>
      <c r="D283" s="126">
        <v>60</v>
      </c>
      <c r="E283" s="126" t="s">
        <v>519</v>
      </c>
      <c r="F283" s="128" t="s">
        <v>524</v>
      </c>
      <c r="G283" s="126"/>
      <c r="H283" s="126">
        <v>1</v>
      </c>
      <c r="I283" s="126">
        <v>1</v>
      </c>
      <c r="J283" s="126">
        <v>0</v>
      </c>
      <c r="K283" s="126"/>
      <c r="L283" s="126"/>
      <c r="M283" s="126"/>
      <c r="N283" s="126"/>
      <c r="O283" s="133"/>
      <c r="P283" s="126"/>
      <c r="Q283" s="127">
        <v>100</v>
      </c>
      <c r="R283" s="127"/>
    </row>
    <row r="284" s="49" customFormat="1" spans="1:18">
      <c r="A284" s="126">
        <v>620046</v>
      </c>
      <c r="B284" s="132" t="s">
        <v>307</v>
      </c>
      <c r="C284" s="126">
        <v>2</v>
      </c>
      <c r="D284" s="126">
        <v>60</v>
      </c>
      <c r="E284" s="126" t="s">
        <v>521</v>
      </c>
      <c r="F284" s="128" t="s">
        <v>524</v>
      </c>
      <c r="G284" s="126"/>
      <c r="H284" s="126">
        <v>1</v>
      </c>
      <c r="I284" s="126">
        <v>2</v>
      </c>
      <c r="J284" s="126">
        <v>0</v>
      </c>
      <c r="K284" s="126"/>
      <c r="L284" s="126"/>
      <c r="M284" s="126"/>
      <c r="N284" s="126"/>
      <c r="O284" s="133"/>
      <c r="P284" s="126"/>
      <c r="Q284" s="127">
        <v>100</v>
      </c>
      <c r="R284" s="127"/>
    </row>
    <row r="285" s="49" customFormat="1" spans="1:18">
      <c r="A285" s="126">
        <v>620047</v>
      </c>
      <c r="B285" s="132" t="s">
        <v>309</v>
      </c>
      <c r="C285" s="126">
        <v>2</v>
      </c>
      <c r="D285" s="126">
        <v>60</v>
      </c>
      <c r="E285" s="126" t="s">
        <v>522</v>
      </c>
      <c r="F285" s="128" t="s">
        <v>524</v>
      </c>
      <c r="G285" s="126"/>
      <c r="H285" s="126">
        <v>1</v>
      </c>
      <c r="I285" s="126">
        <v>3</v>
      </c>
      <c r="J285" s="126">
        <v>0</v>
      </c>
      <c r="K285" s="126"/>
      <c r="L285" s="126"/>
      <c r="M285" s="126"/>
      <c r="N285" s="126"/>
      <c r="O285" s="133"/>
      <c r="P285" s="126"/>
      <c r="Q285" s="127">
        <v>100</v>
      </c>
      <c r="R285" s="127"/>
    </row>
    <row r="286" s="49" customFormat="1" spans="1:18">
      <c r="A286" s="126">
        <v>620048</v>
      </c>
      <c r="B286" s="132" t="s">
        <v>311</v>
      </c>
      <c r="C286" s="126">
        <v>2</v>
      </c>
      <c r="D286" s="126">
        <v>60</v>
      </c>
      <c r="E286" s="126" t="s">
        <v>523</v>
      </c>
      <c r="F286" s="128" t="s">
        <v>524</v>
      </c>
      <c r="G286" s="126"/>
      <c r="H286" s="131">
        <v>1</v>
      </c>
      <c r="I286" s="126">
        <v>4</v>
      </c>
      <c r="J286" s="126">
        <v>0</v>
      </c>
      <c r="K286" s="126"/>
      <c r="L286" s="126"/>
      <c r="M286" s="126"/>
      <c r="N286" s="126"/>
      <c r="O286" s="133"/>
      <c r="P286" s="126"/>
      <c r="Q286" s="127">
        <v>100</v>
      </c>
      <c r="R286" s="127"/>
    </row>
    <row r="287" s="49" customFormat="1" spans="1:18">
      <c r="A287" s="126">
        <v>620049</v>
      </c>
      <c r="B287" s="132" t="s">
        <v>313</v>
      </c>
      <c r="C287" s="126">
        <v>2</v>
      </c>
      <c r="D287" s="126">
        <v>60</v>
      </c>
      <c r="E287" s="126" t="s">
        <v>314</v>
      </c>
      <c r="F287" s="128" t="s">
        <v>525</v>
      </c>
      <c r="G287" s="126"/>
      <c r="H287" s="126">
        <v>1</v>
      </c>
      <c r="I287" s="126">
        <v>1</v>
      </c>
      <c r="J287" s="126">
        <v>0</v>
      </c>
      <c r="K287" s="126"/>
      <c r="L287" s="126"/>
      <c r="M287" s="126"/>
      <c r="N287" s="126"/>
      <c r="O287" s="133"/>
      <c r="P287" s="126"/>
      <c r="Q287" s="127">
        <v>100</v>
      </c>
      <c r="R287" s="127"/>
    </row>
    <row r="288" s="49" customFormat="1" spans="1:18">
      <c r="A288" s="126">
        <v>620050</v>
      </c>
      <c r="B288" s="132" t="s">
        <v>316</v>
      </c>
      <c r="C288" s="126">
        <v>2</v>
      </c>
      <c r="D288" s="126">
        <v>60</v>
      </c>
      <c r="E288" s="126" t="s">
        <v>317</v>
      </c>
      <c r="F288" s="128" t="s">
        <v>525</v>
      </c>
      <c r="G288" s="126"/>
      <c r="H288" s="126">
        <v>1</v>
      </c>
      <c r="I288" s="126">
        <v>2</v>
      </c>
      <c r="J288" s="126">
        <v>0</v>
      </c>
      <c r="K288" s="126"/>
      <c r="L288" s="126"/>
      <c r="M288" s="126"/>
      <c r="N288" s="126"/>
      <c r="O288" s="133"/>
      <c r="P288" s="126"/>
      <c r="Q288" s="127">
        <v>100</v>
      </c>
      <c r="R288" s="127"/>
    </row>
    <row r="289" s="49" customFormat="1" spans="1:18">
      <c r="A289" s="126">
        <v>620051</v>
      </c>
      <c r="B289" s="132" t="s">
        <v>318</v>
      </c>
      <c r="C289" s="126">
        <v>2</v>
      </c>
      <c r="D289" s="126">
        <v>60</v>
      </c>
      <c r="E289" s="126" t="s">
        <v>319</v>
      </c>
      <c r="F289" s="128" t="s">
        <v>525</v>
      </c>
      <c r="G289" s="126"/>
      <c r="H289" s="126">
        <v>1</v>
      </c>
      <c r="I289" s="126">
        <v>3</v>
      </c>
      <c r="J289" s="126">
        <v>0</v>
      </c>
      <c r="K289" s="126"/>
      <c r="L289" s="126"/>
      <c r="M289" s="126"/>
      <c r="N289" s="126"/>
      <c r="O289" s="133"/>
      <c r="P289" s="126"/>
      <c r="Q289" s="127">
        <v>100</v>
      </c>
      <c r="R289" s="127"/>
    </row>
    <row r="290" s="49" customFormat="1" spans="1:18">
      <c r="A290" s="126">
        <v>620052</v>
      </c>
      <c r="B290" s="132" t="s">
        <v>320</v>
      </c>
      <c r="C290" s="126">
        <v>2</v>
      </c>
      <c r="D290" s="126">
        <v>60</v>
      </c>
      <c r="E290" s="126" t="s">
        <v>321</v>
      </c>
      <c r="F290" s="128" t="s">
        <v>525</v>
      </c>
      <c r="G290" s="126"/>
      <c r="H290" s="126">
        <v>1</v>
      </c>
      <c r="I290" s="126">
        <v>4</v>
      </c>
      <c r="J290" s="126">
        <v>0</v>
      </c>
      <c r="K290" s="126"/>
      <c r="L290" s="126"/>
      <c r="M290" s="126"/>
      <c r="N290" s="126"/>
      <c r="O290" s="133"/>
      <c r="P290" s="126"/>
      <c r="Q290" s="127">
        <v>100</v>
      </c>
      <c r="R290" s="127"/>
    </row>
    <row r="291" s="49" customFormat="1" spans="1:18">
      <c r="A291" s="126">
        <v>620053</v>
      </c>
      <c r="B291" s="132" t="s">
        <v>313</v>
      </c>
      <c r="C291" s="126">
        <v>2</v>
      </c>
      <c r="D291" s="126">
        <v>60</v>
      </c>
      <c r="E291" s="126" t="s">
        <v>314</v>
      </c>
      <c r="F291" s="128" t="s">
        <v>526</v>
      </c>
      <c r="G291" s="126"/>
      <c r="H291" s="126">
        <v>1</v>
      </c>
      <c r="I291" s="126">
        <v>1</v>
      </c>
      <c r="J291" s="126">
        <v>0</v>
      </c>
      <c r="K291" s="126"/>
      <c r="L291" s="126"/>
      <c r="M291" s="126"/>
      <c r="N291" s="126"/>
      <c r="O291" s="133"/>
      <c r="P291" s="126"/>
      <c r="Q291" s="127">
        <v>100</v>
      </c>
      <c r="R291" s="127"/>
    </row>
    <row r="292" s="49" customFormat="1" spans="1:18">
      <c r="A292" s="126">
        <v>620054</v>
      </c>
      <c r="B292" s="132" t="s">
        <v>316</v>
      </c>
      <c r="C292" s="126">
        <v>2</v>
      </c>
      <c r="D292" s="126">
        <v>60</v>
      </c>
      <c r="E292" s="126" t="s">
        <v>317</v>
      </c>
      <c r="F292" s="128" t="s">
        <v>526</v>
      </c>
      <c r="G292" s="126"/>
      <c r="H292" s="126">
        <v>1</v>
      </c>
      <c r="I292" s="126">
        <v>2</v>
      </c>
      <c r="J292" s="126">
        <v>0</v>
      </c>
      <c r="K292" s="126"/>
      <c r="L292" s="126"/>
      <c r="M292" s="126"/>
      <c r="N292" s="126"/>
      <c r="O292" s="133"/>
      <c r="P292" s="126"/>
      <c r="Q292" s="127">
        <v>100</v>
      </c>
      <c r="R292" s="127"/>
    </row>
    <row r="293" s="49" customFormat="1" spans="1:18">
      <c r="A293" s="126">
        <v>620055</v>
      </c>
      <c r="B293" s="132" t="s">
        <v>318</v>
      </c>
      <c r="C293" s="126">
        <v>2</v>
      </c>
      <c r="D293" s="126">
        <v>60</v>
      </c>
      <c r="E293" s="126" t="s">
        <v>319</v>
      </c>
      <c r="F293" s="128" t="s">
        <v>526</v>
      </c>
      <c r="G293" s="126"/>
      <c r="H293" s="126">
        <v>1</v>
      </c>
      <c r="I293" s="126">
        <v>3</v>
      </c>
      <c r="J293" s="126">
        <v>0</v>
      </c>
      <c r="K293" s="126"/>
      <c r="L293" s="126"/>
      <c r="M293" s="126"/>
      <c r="N293" s="126"/>
      <c r="O293" s="133"/>
      <c r="P293" s="126"/>
      <c r="Q293" s="127">
        <v>100</v>
      </c>
      <c r="R293" s="127"/>
    </row>
    <row r="294" s="49" customFormat="1" spans="1:18">
      <c r="A294" s="126">
        <v>620056</v>
      </c>
      <c r="B294" s="132" t="s">
        <v>320</v>
      </c>
      <c r="C294" s="126">
        <v>2</v>
      </c>
      <c r="D294" s="126">
        <v>60</v>
      </c>
      <c r="E294" s="126" t="s">
        <v>321</v>
      </c>
      <c r="F294" s="128" t="s">
        <v>526</v>
      </c>
      <c r="G294" s="126"/>
      <c r="H294" s="126">
        <v>1</v>
      </c>
      <c r="I294" s="126">
        <v>4</v>
      </c>
      <c r="J294" s="126">
        <v>0</v>
      </c>
      <c r="K294" s="126"/>
      <c r="L294" s="126"/>
      <c r="M294" s="126"/>
      <c r="N294" s="126"/>
      <c r="O294" s="133"/>
      <c r="P294" s="126"/>
      <c r="Q294" s="127">
        <v>100</v>
      </c>
      <c r="R294" s="127"/>
    </row>
    <row r="295" s="49" customFormat="1" spans="1:18">
      <c r="A295" s="126">
        <v>620057</v>
      </c>
      <c r="B295" s="132" t="s">
        <v>269</v>
      </c>
      <c r="C295" s="126">
        <v>2</v>
      </c>
      <c r="D295" s="126">
        <v>60</v>
      </c>
      <c r="E295" s="126" t="s">
        <v>270</v>
      </c>
      <c r="F295" s="128" t="s">
        <v>527</v>
      </c>
      <c r="G295" s="126"/>
      <c r="H295" s="126">
        <v>1</v>
      </c>
      <c r="I295" s="126">
        <v>1</v>
      </c>
      <c r="J295" s="126">
        <v>0</v>
      </c>
      <c r="K295" s="126"/>
      <c r="L295" s="126"/>
      <c r="M295" s="126"/>
      <c r="N295" s="126"/>
      <c r="O295" s="133"/>
      <c r="P295" s="126"/>
      <c r="Q295" s="127">
        <v>100</v>
      </c>
      <c r="R295" s="127"/>
    </row>
    <row r="296" s="49" customFormat="1" spans="1:18">
      <c r="A296" s="126">
        <v>620058</v>
      </c>
      <c r="B296" s="132" t="s">
        <v>272</v>
      </c>
      <c r="C296" s="126">
        <v>2</v>
      </c>
      <c r="D296" s="126">
        <v>60</v>
      </c>
      <c r="E296" s="126" t="s">
        <v>273</v>
      </c>
      <c r="F296" s="128" t="s">
        <v>527</v>
      </c>
      <c r="G296" s="126"/>
      <c r="H296" s="126">
        <v>1</v>
      </c>
      <c r="I296" s="126">
        <v>2</v>
      </c>
      <c r="J296" s="126">
        <v>0</v>
      </c>
      <c r="K296" s="126"/>
      <c r="L296" s="126"/>
      <c r="M296" s="126"/>
      <c r="N296" s="126"/>
      <c r="O296" s="133"/>
      <c r="P296" s="126"/>
      <c r="Q296" s="127">
        <v>100</v>
      </c>
      <c r="R296" s="127"/>
    </row>
    <row r="297" s="49" customFormat="1" spans="1:18">
      <c r="A297" s="126">
        <v>620059</v>
      </c>
      <c r="B297" s="132" t="s">
        <v>274</v>
      </c>
      <c r="C297" s="126">
        <v>2</v>
      </c>
      <c r="D297" s="126">
        <v>60</v>
      </c>
      <c r="E297" s="126" t="s">
        <v>275</v>
      </c>
      <c r="F297" s="128" t="s">
        <v>527</v>
      </c>
      <c r="G297" s="126"/>
      <c r="H297" s="126">
        <v>1</v>
      </c>
      <c r="I297" s="126">
        <v>3</v>
      </c>
      <c r="J297" s="126">
        <v>0</v>
      </c>
      <c r="K297" s="126"/>
      <c r="L297" s="126"/>
      <c r="M297" s="126"/>
      <c r="N297" s="126"/>
      <c r="O297" s="133"/>
      <c r="P297" s="126"/>
      <c r="Q297" s="127">
        <v>100</v>
      </c>
      <c r="R297" s="127"/>
    </row>
    <row r="298" s="49" customFormat="1" spans="1:18">
      <c r="A298" s="126">
        <v>620060</v>
      </c>
      <c r="B298" s="132" t="s">
        <v>276</v>
      </c>
      <c r="C298" s="126">
        <v>2</v>
      </c>
      <c r="D298" s="126">
        <v>60</v>
      </c>
      <c r="E298" s="126" t="s">
        <v>277</v>
      </c>
      <c r="F298" s="128" t="s">
        <v>527</v>
      </c>
      <c r="G298" s="126"/>
      <c r="H298" s="126">
        <v>1</v>
      </c>
      <c r="I298" s="126">
        <v>4</v>
      </c>
      <c r="J298" s="126">
        <v>0</v>
      </c>
      <c r="K298" s="126"/>
      <c r="L298" s="126"/>
      <c r="M298" s="126"/>
      <c r="N298" s="126"/>
      <c r="O298" s="133"/>
      <c r="P298" s="126"/>
      <c r="Q298" s="127">
        <v>100</v>
      </c>
      <c r="R298" s="127"/>
    </row>
    <row r="299" s="49" customFormat="1" spans="1:18">
      <c r="A299" s="126">
        <v>620061</v>
      </c>
      <c r="B299" s="132" t="s">
        <v>269</v>
      </c>
      <c r="C299" s="126">
        <v>2</v>
      </c>
      <c r="D299" s="126">
        <v>60</v>
      </c>
      <c r="E299" s="126" t="s">
        <v>270</v>
      </c>
      <c r="F299" s="128" t="s">
        <v>528</v>
      </c>
      <c r="G299" s="126"/>
      <c r="H299" s="126">
        <v>1</v>
      </c>
      <c r="I299" s="126">
        <v>1</v>
      </c>
      <c r="J299" s="126">
        <v>0</v>
      </c>
      <c r="K299" s="126"/>
      <c r="L299" s="126"/>
      <c r="M299" s="126"/>
      <c r="N299" s="126"/>
      <c r="O299" s="133"/>
      <c r="P299" s="126"/>
      <c r="Q299" s="127">
        <v>100</v>
      </c>
      <c r="R299" s="127"/>
    </row>
    <row r="300" s="49" customFormat="1" spans="1:18">
      <c r="A300" s="126">
        <v>620062</v>
      </c>
      <c r="B300" s="132" t="s">
        <v>272</v>
      </c>
      <c r="C300" s="126">
        <v>2</v>
      </c>
      <c r="D300" s="126">
        <v>60</v>
      </c>
      <c r="E300" s="126" t="s">
        <v>273</v>
      </c>
      <c r="F300" s="128" t="s">
        <v>528</v>
      </c>
      <c r="G300" s="126"/>
      <c r="H300" s="126">
        <v>1</v>
      </c>
      <c r="I300" s="126">
        <v>2</v>
      </c>
      <c r="J300" s="126">
        <v>0</v>
      </c>
      <c r="K300" s="126"/>
      <c r="L300" s="126"/>
      <c r="M300" s="126"/>
      <c r="N300" s="126"/>
      <c r="O300" s="133"/>
      <c r="P300" s="126"/>
      <c r="Q300" s="127">
        <v>100</v>
      </c>
      <c r="R300" s="127"/>
    </row>
    <row r="301" s="49" customFormat="1" spans="1:18">
      <c r="A301" s="126">
        <v>620063</v>
      </c>
      <c r="B301" s="132" t="s">
        <v>274</v>
      </c>
      <c r="C301" s="126">
        <v>2</v>
      </c>
      <c r="D301" s="126">
        <v>60</v>
      </c>
      <c r="E301" s="126" t="s">
        <v>275</v>
      </c>
      <c r="F301" s="128" t="s">
        <v>528</v>
      </c>
      <c r="G301" s="126"/>
      <c r="H301" s="126">
        <v>1</v>
      </c>
      <c r="I301" s="126">
        <v>3</v>
      </c>
      <c r="J301" s="126">
        <v>0</v>
      </c>
      <c r="K301" s="126"/>
      <c r="L301" s="126"/>
      <c r="M301" s="126"/>
      <c r="N301" s="126"/>
      <c r="O301" s="133"/>
      <c r="P301" s="126"/>
      <c r="Q301" s="127">
        <v>100</v>
      </c>
      <c r="R301" s="127"/>
    </row>
    <row r="302" s="49" customFormat="1" spans="1:18">
      <c r="A302" s="126">
        <v>620064</v>
      </c>
      <c r="B302" s="132" t="s">
        <v>276</v>
      </c>
      <c r="C302" s="126">
        <v>2</v>
      </c>
      <c r="D302" s="126">
        <v>60</v>
      </c>
      <c r="E302" s="126" t="s">
        <v>277</v>
      </c>
      <c r="F302" s="128" t="s">
        <v>528</v>
      </c>
      <c r="G302" s="126"/>
      <c r="H302" s="126">
        <v>1</v>
      </c>
      <c r="I302" s="126">
        <v>4</v>
      </c>
      <c r="J302" s="126">
        <v>0</v>
      </c>
      <c r="K302" s="126"/>
      <c r="L302" s="126"/>
      <c r="M302" s="126"/>
      <c r="N302" s="126"/>
      <c r="O302" s="133"/>
      <c r="P302" s="126"/>
      <c r="Q302" s="127">
        <v>100</v>
      </c>
      <c r="R302" s="127"/>
    </row>
    <row r="303" s="49" customFormat="1" spans="1:18">
      <c r="A303" s="126">
        <v>620065</v>
      </c>
      <c r="B303" s="132" t="s">
        <v>529</v>
      </c>
      <c r="C303" s="126">
        <v>2</v>
      </c>
      <c r="D303" s="126">
        <v>60</v>
      </c>
      <c r="E303" s="126" t="s">
        <v>530</v>
      </c>
      <c r="F303" s="128" t="s">
        <v>531</v>
      </c>
      <c r="G303" s="126"/>
      <c r="H303" s="126">
        <v>1</v>
      </c>
      <c r="I303" s="126">
        <v>1</v>
      </c>
      <c r="J303" s="126">
        <v>0</v>
      </c>
      <c r="K303" s="126"/>
      <c r="L303" s="126"/>
      <c r="M303" s="126"/>
      <c r="N303" s="126"/>
      <c r="O303" s="133"/>
      <c r="P303" s="126"/>
      <c r="Q303" s="127">
        <v>100</v>
      </c>
      <c r="R303" s="127"/>
    </row>
    <row r="304" s="49" customFormat="1" spans="1:18">
      <c r="A304" s="126">
        <v>620066</v>
      </c>
      <c r="B304" s="132" t="s">
        <v>532</v>
      </c>
      <c r="C304" s="126">
        <v>2</v>
      </c>
      <c r="D304" s="126">
        <v>60</v>
      </c>
      <c r="E304" s="126" t="s">
        <v>533</v>
      </c>
      <c r="F304" s="128" t="s">
        <v>531</v>
      </c>
      <c r="G304" s="126"/>
      <c r="H304" s="126">
        <v>1</v>
      </c>
      <c r="I304" s="126">
        <v>2</v>
      </c>
      <c r="J304" s="126">
        <v>0</v>
      </c>
      <c r="K304" s="126"/>
      <c r="L304" s="126"/>
      <c r="M304" s="126"/>
      <c r="N304" s="126"/>
      <c r="O304" s="133"/>
      <c r="P304" s="126"/>
      <c r="Q304" s="127">
        <v>100</v>
      </c>
      <c r="R304" s="127"/>
    </row>
    <row r="305" s="49" customFormat="1" spans="1:18">
      <c r="A305" s="126">
        <v>620067</v>
      </c>
      <c r="B305" s="132" t="s">
        <v>534</v>
      </c>
      <c r="C305" s="126">
        <v>2</v>
      </c>
      <c r="D305" s="126">
        <v>60</v>
      </c>
      <c r="E305" s="126" t="s">
        <v>535</v>
      </c>
      <c r="F305" s="128" t="s">
        <v>531</v>
      </c>
      <c r="G305" s="126"/>
      <c r="H305" s="126">
        <v>1</v>
      </c>
      <c r="I305" s="126">
        <v>3</v>
      </c>
      <c r="J305" s="126">
        <v>0</v>
      </c>
      <c r="K305" s="126"/>
      <c r="L305" s="126"/>
      <c r="M305" s="126"/>
      <c r="N305" s="126"/>
      <c r="O305" s="133"/>
      <c r="P305" s="126"/>
      <c r="Q305" s="127">
        <v>100</v>
      </c>
      <c r="R305" s="127"/>
    </row>
    <row r="306" s="49" customFormat="1" spans="1:18">
      <c r="A306" s="126">
        <v>620068</v>
      </c>
      <c r="B306" s="132" t="s">
        <v>536</v>
      </c>
      <c r="C306" s="126">
        <v>2</v>
      </c>
      <c r="D306" s="126">
        <v>60</v>
      </c>
      <c r="E306" s="126" t="s">
        <v>537</v>
      </c>
      <c r="F306" s="128" t="s">
        <v>531</v>
      </c>
      <c r="G306" s="126"/>
      <c r="H306" s="126">
        <v>1</v>
      </c>
      <c r="I306" s="126">
        <v>4</v>
      </c>
      <c r="J306" s="126">
        <v>0</v>
      </c>
      <c r="K306" s="126"/>
      <c r="L306" s="126"/>
      <c r="M306" s="126"/>
      <c r="N306" s="126"/>
      <c r="O306" s="133"/>
      <c r="P306" s="126"/>
      <c r="Q306" s="127">
        <v>100</v>
      </c>
      <c r="R306" s="127"/>
    </row>
    <row r="307" s="49" customFormat="1" spans="1:18">
      <c r="A307" s="126">
        <v>620069</v>
      </c>
      <c r="B307" s="132" t="s">
        <v>529</v>
      </c>
      <c r="C307" s="126">
        <v>2</v>
      </c>
      <c r="D307" s="126">
        <v>60</v>
      </c>
      <c r="E307" s="126" t="s">
        <v>530</v>
      </c>
      <c r="F307" s="128" t="s">
        <v>538</v>
      </c>
      <c r="G307" s="126"/>
      <c r="H307" s="126">
        <v>1</v>
      </c>
      <c r="I307" s="126">
        <v>1</v>
      </c>
      <c r="J307" s="126">
        <v>0</v>
      </c>
      <c r="K307" s="126"/>
      <c r="L307" s="126"/>
      <c r="M307" s="126"/>
      <c r="N307" s="126"/>
      <c r="O307" s="133"/>
      <c r="P307" s="126"/>
      <c r="Q307" s="127">
        <v>100</v>
      </c>
      <c r="R307" s="127"/>
    </row>
    <row r="308" s="49" customFormat="1" spans="1:18">
      <c r="A308" s="126">
        <v>620070</v>
      </c>
      <c r="B308" s="132" t="s">
        <v>532</v>
      </c>
      <c r="C308" s="126">
        <v>2</v>
      </c>
      <c r="D308" s="126">
        <v>60</v>
      </c>
      <c r="E308" s="126" t="s">
        <v>533</v>
      </c>
      <c r="F308" s="128" t="s">
        <v>538</v>
      </c>
      <c r="G308" s="126"/>
      <c r="H308" s="126">
        <v>1</v>
      </c>
      <c r="I308" s="126">
        <v>2</v>
      </c>
      <c r="J308" s="126">
        <v>0</v>
      </c>
      <c r="K308" s="126"/>
      <c r="L308" s="126"/>
      <c r="M308" s="126"/>
      <c r="N308" s="126"/>
      <c r="O308" s="133"/>
      <c r="P308" s="126"/>
      <c r="Q308" s="127">
        <v>100</v>
      </c>
      <c r="R308" s="127"/>
    </row>
    <row r="309" s="49" customFormat="1" spans="1:18">
      <c r="A309" s="126">
        <v>620071</v>
      </c>
      <c r="B309" s="132" t="s">
        <v>534</v>
      </c>
      <c r="C309" s="126">
        <v>2</v>
      </c>
      <c r="D309" s="126">
        <v>60</v>
      </c>
      <c r="E309" s="126" t="s">
        <v>535</v>
      </c>
      <c r="F309" s="128" t="s">
        <v>538</v>
      </c>
      <c r="G309" s="126"/>
      <c r="H309" s="126">
        <v>1</v>
      </c>
      <c r="I309" s="126">
        <v>3</v>
      </c>
      <c r="J309" s="126">
        <v>0</v>
      </c>
      <c r="K309" s="126"/>
      <c r="L309" s="126"/>
      <c r="M309" s="126"/>
      <c r="N309" s="126"/>
      <c r="O309" s="133"/>
      <c r="P309" s="126"/>
      <c r="Q309" s="127">
        <v>100</v>
      </c>
      <c r="R309" s="127"/>
    </row>
    <row r="310" s="49" customFormat="1" spans="1:18">
      <c r="A310" s="126">
        <v>620072</v>
      </c>
      <c r="B310" s="132" t="s">
        <v>536</v>
      </c>
      <c r="C310" s="126">
        <v>2</v>
      </c>
      <c r="D310" s="126">
        <v>60</v>
      </c>
      <c r="E310" s="126" t="s">
        <v>537</v>
      </c>
      <c r="F310" s="128" t="s">
        <v>538</v>
      </c>
      <c r="G310" s="126"/>
      <c r="H310" s="126">
        <v>1</v>
      </c>
      <c r="I310" s="126">
        <v>4</v>
      </c>
      <c r="J310" s="126">
        <v>0</v>
      </c>
      <c r="K310" s="126"/>
      <c r="L310" s="126"/>
      <c r="M310" s="126"/>
      <c r="N310" s="126"/>
      <c r="O310" s="133"/>
      <c r="P310" s="126"/>
      <c r="Q310" s="127">
        <v>100</v>
      </c>
      <c r="R310" s="127"/>
    </row>
    <row r="311" s="49" customFormat="1" spans="1:18">
      <c r="A311" s="126">
        <v>620073</v>
      </c>
      <c r="B311" s="132" t="s">
        <v>539</v>
      </c>
      <c r="C311" s="126">
        <v>2</v>
      </c>
      <c r="D311" s="126">
        <v>60</v>
      </c>
      <c r="E311" s="126" t="s">
        <v>540</v>
      </c>
      <c r="F311" s="128" t="s">
        <v>541</v>
      </c>
      <c r="G311" s="126"/>
      <c r="H311" s="126">
        <v>1</v>
      </c>
      <c r="I311" s="126">
        <v>1</v>
      </c>
      <c r="J311" s="126">
        <v>0</v>
      </c>
      <c r="K311" s="126"/>
      <c r="L311" s="126"/>
      <c r="M311" s="126"/>
      <c r="N311" s="126"/>
      <c r="O311" s="133"/>
      <c r="P311" s="126"/>
      <c r="Q311" s="127">
        <v>100</v>
      </c>
      <c r="R311" s="127"/>
    </row>
    <row r="312" s="49" customFormat="1" spans="1:18">
      <c r="A312" s="126">
        <v>620074</v>
      </c>
      <c r="B312" s="132" t="s">
        <v>542</v>
      </c>
      <c r="C312" s="126">
        <v>2</v>
      </c>
      <c r="D312" s="126">
        <v>60</v>
      </c>
      <c r="E312" s="126" t="s">
        <v>543</v>
      </c>
      <c r="F312" s="128" t="s">
        <v>541</v>
      </c>
      <c r="G312" s="126"/>
      <c r="H312" s="126">
        <v>1</v>
      </c>
      <c r="I312" s="126">
        <v>2</v>
      </c>
      <c r="J312" s="126">
        <v>0</v>
      </c>
      <c r="K312" s="126"/>
      <c r="L312" s="126"/>
      <c r="M312" s="126"/>
      <c r="N312" s="126"/>
      <c r="O312" s="133"/>
      <c r="P312" s="126"/>
      <c r="Q312" s="127">
        <v>100</v>
      </c>
      <c r="R312" s="127"/>
    </row>
    <row r="313" s="49" customFormat="1" spans="1:18">
      <c r="A313" s="126">
        <v>620075</v>
      </c>
      <c r="B313" s="132" t="s">
        <v>544</v>
      </c>
      <c r="C313" s="126">
        <v>2</v>
      </c>
      <c r="D313" s="126">
        <v>60</v>
      </c>
      <c r="E313" s="126" t="s">
        <v>545</v>
      </c>
      <c r="F313" s="128" t="s">
        <v>541</v>
      </c>
      <c r="G313" s="126"/>
      <c r="H313" s="126">
        <v>1</v>
      </c>
      <c r="I313" s="126">
        <v>3</v>
      </c>
      <c r="J313" s="126">
        <v>0</v>
      </c>
      <c r="K313" s="126"/>
      <c r="L313" s="126"/>
      <c r="M313" s="126"/>
      <c r="N313" s="126"/>
      <c r="O313" s="133"/>
      <c r="P313" s="126"/>
      <c r="Q313" s="127">
        <v>100</v>
      </c>
      <c r="R313" s="127"/>
    </row>
    <row r="314" s="49" customFormat="1" spans="1:18">
      <c r="A314" s="126">
        <v>620076</v>
      </c>
      <c r="B314" s="132" t="s">
        <v>546</v>
      </c>
      <c r="C314" s="126">
        <v>2</v>
      </c>
      <c r="D314" s="126">
        <v>60</v>
      </c>
      <c r="E314" s="126" t="s">
        <v>547</v>
      </c>
      <c r="F314" s="128" t="s">
        <v>541</v>
      </c>
      <c r="G314" s="126"/>
      <c r="H314" s="126">
        <v>1</v>
      </c>
      <c r="I314" s="126">
        <v>4</v>
      </c>
      <c r="J314" s="126">
        <v>0</v>
      </c>
      <c r="K314" s="126"/>
      <c r="L314" s="126"/>
      <c r="M314" s="126"/>
      <c r="N314" s="126"/>
      <c r="O314" s="133"/>
      <c r="P314" s="126"/>
      <c r="Q314" s="127">
        <v>100</v>
      </c>
      <c r="R314" s="127"/>
    </row>
    <row r="315" s="49" customFormat="1" spans="1:18">
      <c r="A315" s="126">
        <v>620077</v>
      </c>
      <c r="B315" s="132" t="s">
        <v>539</v>
      </c>
      <c r="C315" s="126">
        <v>2</v>
      </c>
      <c r="D315" s="126">
        <v>60</v>
      </c>
      <c r="E315" s="126" t="s">
        <v>540</v>
      </c>
      <c r="F315" s="128" t="s">
        <v>548</v>
      </c>
      <c r="G315" s="126"/>
      <c r="H315" s="126">
        <v>1</v>
      </c>
      <c r="I315" s="126">
        <v>1</v>
      </c>
      <c r="J315" s="126">
        <v>0</v>
      </c>
      <c r="K315" s="126"/>
      <c r="L315" s="126"/>
      <c r="M315" s="126"/>
      <c r="N315" s="126"/>
      <c r="O315" s="133"/>
      <c r="P315" s="126"/>
      <c r="Q315" s="127">
        <v>100</v>
      </c>
      <c r="R315" s="127"/>
    </row>
    <row r="316" s="49" customFormat="1" spans="1:18">
      <c r="A316" s="126">
        <v>620078</v>
      </c>
      <c r="B316" s="132" t="s">
        <v>542</v>
      </c>
      <c r="C316" s="126">
        <v>2</v>
      </c>
      <c r="D316" s="126">
        <v>60</v>
      </c>
      <c r="E316" s="126" t="s">
        <v>543</v>
      </c>
      <c r="F316" s="128" t="s">
        <v>548</v>
      </c>
      <c r="G316" s="126"/>
      <c r="H316" s="126">
        <v>1</v>
      </c>
      <c r="I316" s="126">
        <v>2</v>
      </c>
      <c r="J316" s="126">
        <v>0</v>
      </c>
      <c r="K316" s="126"/>
      <c r="L316" s="126"/>
      <c r="M316" s="126"/>
      <c r="N316" s="126"/>
      <c r="O316" s="133"/>
      <c r="P316" s="126"/>
      <c r="Q316" s="127">
        <v>100</v>
      </c>
      <c r="R316" s="127"/>
    </row>
    <row r="317" s="49" customFormat="1" spans="1:18">
      <c r="A317" s="126">
        <v>620079</v>
      </c>
      <c r="B317" s="132" t="s">
        <v>544</v>
      </c>
      <c r="C317" s="126">
        <v>2</v>
      </c>
      <c r="D317" s="126">
        <v>60</v>
      </c>
      <c r="E317" s="126" t="s">
        <v>545</v>
      </c>
      <c r="F317" s="128" t="s">
        <v>548</v>
      </c>
      <c r="G317" s="126"/>
      <c r="H317" s="126">
        <v>1</v>
      </c>
      <c r="I317" s="126">
        <v>3</v>
      </c>
      <c r="J317" s="126">
        <v>0</v>
      </c>
      <c r="K317" s="126"/>
      <c r="L317" s="126"/>
      <c r="M317" s="126"/>
      <c r="N317" s="126"/>
      <c r="O317" s="133"/>
      <c r="P317" s="126"/>
      <c r="Q317" s="127">
        <v>100</v>
      </c>
      <c r="R317" s="127"/>
    </row>
    <row r="318" s="49" customFormat="1" spans="1:18">
      <c r="A318" s="126">
        <v>620080</v>
      </c>
      <c r="B318" s="132" t="s">
        <v>546</v>
      </c>
      <c r="C318" s="126">
        <v>2</v>
      </c>
      <c r="D318" s="126">
        <v>60</v>
      </c>
      <c r="E318" s="126" t="s">
        <v>547</v>
      </c>
      <c r="F318" s="128" t="s">
        <v>548</v>
      </c>
      <c r="G318" s="126"/>
      <c r="H318" s="126">
        <v>1</v>
      </c>
      <c r="I318" s="126">
        <v>4</v>
      </c>
      <c r="J318" s="126">
        <v>0</v>
      </c>
      <c r="K318" s="126"/>
      <c r="L318" s="126"/>
      <c r="M318" s="126"/>
      <c r="N318" s="126"/>
      <c r="O318" s="133"/>
      <c r="P318" s="126"/>
      <c r="Q318" s="127">
        <v>100</v>
      </c>
      <c r="R318" s="127"/>
    </row>
    <row r="319" s="46" customFormat="1" spans="1:18">
      <c r="A319" s="69">
        <v>620081</v>
      </c>
      <c r="B319" s="135" t="s">
        <v>549</v>
      </c>
      <c r="C319" s="69">
        <v>2</v>
      </c>
      <c r="D319" s="69">
        <v>60</v>
      </c>
      <c r="E319" s="69" t="s">
        <v>550</v>
      </c>
      <c r="F319" s="86" t="s">
        <v>146</v>
      </c>
      <c r="G319" s="69"/>
      <c r="H319" s="69">
        <v>1</v>
      </c>
      <c r="I319" s="69">
        <v>9</v>
      </c>
      <c r="J319" s="69"/>
      <c r="K319" s="69"/>
      <c r="L319" s="69"/>
      <c r="M319" s="69"/>
      <c r="N319" s="69"/>
      <c r="O319" s="122"/>
      <c r="P319" s="69"/>
      <c r="Q319" s="87">
        <v>50</v>
      </c>
      <c r="R319" s="87"/>
    </row>
    <row r="320" s="46" customFormat="1" spans="1:18">
      <c r="A320" s="69">
        <v>620082</v>
      </c>
      <c r="B320" s="135" t="s">
        <v>551</v>
      </c>
      <c r="C320" s="69">
        <v>2</v>
      </c>
      <c r="D320" s="69">
        <v>60</v>
      </c>
      <c r="E320" s="69" t="s">
        <v>552</v>
      </c>
      <c r="F320" s="86" t="s">
        <v>553</v>
      </c>
      <c r="G320" s="69"/>
      <c r="H320" s="69">
        <v>1</v>
      </c>
      <c r="I320" s="69">
        <v>5</v>
      </c>
      <c r="J320" s="69"/>
      <c r="K320" s="69"/>
      <c r="L320" s="69"/>
      <c r="M320" s="69"/>
      <c r="N320" s="69"/>
      <c r="O320" s="122"/>
      <c r="P320" s="69"/>
      <c r="Q320" s="87">
        <v>16</v>
      </c>
      <c r="R320" s="87"/>
    </row>
    <row r="321" s="46" customFormat="1" spans="1:18">
      <c r="A321" s="69">
        <v>620083</v>
      </c>
      <c r="B321" s="135" t="s">
        <v>554</v>
      </c>
      <c r="C321" s="69">
        <v>2</v>
      </c>
      <c r="D321" s="69">
        <v>60</v>
      </c>
      <c r="E321" s="69" t="s">
        <v>555</v>
      </c>
      <c r="F321" s="86" t="s">
        <v>556</v>
      </c>
      <c r="G321" s="69"/>
      <c r="H321" s="69">
        <v>1</v>
      </c>
      <c r="I321" s="69">
        <v>1</v>
      </c>
      <c r="J321" s="69"/>
      <c r="K321" s="69"/>
      <c r="L321" s="69"/>
      <c r="M321" s="69"/>
      <c r="N321" s="69"/>
      <c r="O321" s="122"/>
      <c r="P321" s="69"/>
      <c r="Q321" s="87">
        <v>8</v>
      </c>
      <c r="R321" s="87"/>
    </row>
    <row r="322" s="51" customFormat="1" spans="1:18">
      <c r="A322" s="136">
        <v>630001</v>
      </c>
      <c r="B322" s="137" t="s">
        <v>113</v>
      </c>
      <c r="C322" s="136">
        <v>2</v>
      </c>
      <c r="D322" s="136">
        <v>60</v>
      </c>
      <c r="E322" s="136" t="s">
        <v>114</v>
      </c>
      <c r="F322" s="138" t="s">
        <v>557</v>
      </c>
      <c r="G322" s="136"/>
      <c r="H322" s="136">
        <v>1</v>
      </c>
      <c r="I322" s="136">
        <v>2</v>
      </c>
      <c r="J322" s="136">
        <v>0</v>
      </c>
      <c r="K322" s="136"/>
      <c r="L322" s="136"/>
      <c r="M322" s="136"/>
      <c r="N322" s="136"/>
      <c r="O322" s="142"/>
      <c r="P322" s="136"/>
      <c r="Q322" s="144">
        <v>100</v>
      </c>
      <c r="R322" s="144"/>
    </row>
    <row r="323" s="51" customFormat="1" spans="1:18">
      <c r="A323" s="136">
        <v>630002</v>
      </c>
      <c r="B323" s="137" t="s">
        <v>113</v>
      </c>
      <c r="C323" s="136">
        <v>2</v>
      </c>
      <c r="D323" s="136">
        <v>60</v>
      </c>
      <c r="E323" s="136" t="s">
        <v>558</v>
      </c>
      <c r="F323" s="138" t="s">
        <v>559</v>
      </c>
      <c r="G323" s="136"/>
      <c r="H323" s="136">
        <v>1</v>
      </c>
      <c r="I323" s="136">
        <v>3</v>
      </c>
      <c r="J323" s="136">
        <v>0</v>
      </c>
      <c r="K323" s="136"/>
      <c r="L323" s="136"/>
      <c r="M323" s="136"/>
      <c r="N323" s="136"/>
      <c r="O323" s="142"/>
      <c r="P323" s="136"/>
      <c r="Q323" s="144">
        <v>100</v>
      </c>
      <c r="R323" s="144"/>
    </row>
    <row r="324" s="51" customFormat="1" spans="1:18">
      <c r="A324" s="136">
        <v>630003</v>
      </c>
      <c r="B324" s="137" t="s">
        <v>50</v>
      </c>
      <c r="C324" s="136">
        <v>2</v>
      </c>
      <c r="D324" s="136">
        <v>60</v>
      </c>
      <c r="E324" s="136" t="s">
        <v>95</v>
      </c>
      <c r="F324" s="138" t="s">
        <v>449</v>
      </c>
      <c r="G324" s="136">
        <v>7</v>
      </c>
      <c r="H324" s="136">
        <v>1</v>
      </c>
      <c r="I324" s="136">
        <v>4</v>
      </c>
      <c r="J324" s="136">
        <v>0</v>
      </c>
      <c r="K324" s="136"/>
      <c r="L324" s="136"/>
      <c r="M324" s="136"/>
      <c r="N324" s="136"/>
      <c r="O324" s="142"/>
      <c r="P324" s="136"/>
      <c r="Q324" s="144">
        <v>100</v>
      </c>
      <c r="R324" s="144"/>
    </row>
    <row r="325" s="51" customFormat="1" spans="1:18">
      <c r="A325" s="136">
        <v>630004</v>
      </c>
      <c r="B325" s="137" t="s">
        <v>118</v>
      </c>
      <c r="C325" s="136">
        <v>2</v>
      </c>
      <c r="D325" s="136">
        <v>60</v>
      </c>
      <c r="E325" s="136" t="s">
        <v>560</v>
      </c>
      <c r="F325" s="138" t="s">
        <v>99</v>
      </c>
      <c r="G325" s="136">
        <v>5</v>
      </c>
      <c r="H325" s="136">
        <v>1</v>
      </c>
      <c r="I325" s="136">
        <v>5</v>
      </c>
      <c r="J325" s="136">
        <v>0</v>
      </c>
      <c r="K325" s="136"/>
      <c r="L325" s="136"/>
      <c r="M325" s="136"/>
      <c r="N325" s="136"/>
      <c r="O325" s="142"/>
      <c r="P325" s="136"/>
      <c r="Q325" s="144">
        <v>100</v>
      </c>
      <c r="R325" s="144">
        <v>1</v>
      </c>
    </row>
    <row r="326" s="51" customFormat="1" spans="1:18">
      <c r="A326" s="136">
        <v>630005</v>
      </c>
      <c r="B326" s="137" t="s">
        <v>118</v>
      </c>
      <c r="C326" s="136">
        <v>2</v>
      </c>
      <c r="D326" s="136">
        <v>60</v>
      </c>
      <c r="E326" s="136" t="s">
        <v>561</v>
      </c>
      <c r="F326" s="138" t="s">
        <v>461</v>
      </c>
      <c r="G326" s="136"/>
      <c r="H326" s="136">
        <v>1</v>
      </c>
      <c r="I326" s="136">
        <v>6</v>
      </c>
      <c r="J326" s="136">
        <v>0</v>
      </c>
      <c r="K326" s="136"/>
      <c r="L326" s="136"/>
      <c r="M326" s="136"/>
      <c r="N326" s="136"/>
      <c r="O326" s="142"/>
      <c r="P326" s="136"/>
      <c r="Q326" s="144">
        <v>100</v>
      </c>
      <c r="R326" s="144"/>
    </row>
    <row r="327" s="51" customFormat="1" spans="1:18">
      <c r="A327" s="136">
        <v>630006</v>
      </c>
      <c r="B327" s="137" t="s">
        <v>118</v>
      </c>
      <c r="C327" s="136">
        <v>2</v>
      </c>
      <c r="D327" s="136">
        <v>60</v>
      </c>
      <c r="E327" s="136" t="s">
        <v>562</v>
      </c>
      <c r="F327" s="138" t="s">
        <v>563</v>
      </c>
      <c r="G327" s="136">
        <v>7</v>
      </c>
      <c r="H327" s="136">
        <v>1</v>
      </c>
      <c r="I327" s="136">
        <v>7</v>
      </c>
      <c r="J327" s="136">
        <v>0</v>
      </c>
      <c r="K327" s="136"/>
      <c r="L327" s="136"/>
      <c r="M327" s="136"/>
      <c r="N327" s="136"/>
      <c r="O327" s="142"/>
      <c r="P327" s="136"/>
      <c r="Q327" s="144">
        <v>100</v>
      </c>
      <c r="R327" s="144"/>
    </row>
    <row r="328" s="51" customFormat="1" spans="1:18">
      <c r="A328" s="136">
        <v>630007</v>
      </c>
      <c r="B328" s="137" t="s">
        <v>118</v>
      </c>
      <c r="C328" s="136">
        <v>2</v>
      </c>
      <c r="D328" s="136">
        <v>60</v>
      </c>
      <c r="E328" s="136" t="s">
        <v>561</v>
      </c>
      <c r="F328" s="138" t="s">
        <v>564</v>
      </c>
      <c r="G328" s="136">
        <v>2</v>
      </c>
      <c r="H328" s="136">
        <v>1</v>
      </c>
      <c r="I328" s="136">
        <v>8</v>
      </c>
      <c r="J328" s="136">
        <v>0</v>
      </c>
      <c r="K328" s="136"/>
      <c r="L328" s="136"/>
      <c r="M328" s="136"/>
      <c r="N328" s="136"/>
      <c r="O328" s="142"/>
      <c r="P328" s="136"/>
      <c r="Q328" s="144">
        <v>50</v>
      </c>
      <c r="R328" s="144">
        <v>1</v>
      </c>
    </row>
    <row r="329" s="51" customFormat="1" spans="1:18">
      <c r="A329" s="136">
        <v>630008</v>
      </c>
      <c r="B329" s="137" t="s">
        <v>224</v>
      </c>
      <c r="C329" s="136">
        <v>2</v>
      </c>
      <c r="D329" s="136">
        <v>60</v>
      </c>
      <c r="E329" s="136" t="s">
        <v>225</v>
      </c>
      <c r="F329" s="138" t="s">
        <v>111</v>
      </c>
      <c r="G329" s="136"/>
      <c r="H329" s="136">
        <v>1</v>
      </c>
      <c r="I329" s="136">
        <v>1</v>
      </c>
      <c r="J329" s="136">
        <v>0</v>
      </c>
      <c r="K329" s="136"/>
      <c r="L329" s="136"/>
      <c r="M329" s="136"/>
      <c r="N329" s="136"/>
      <c r="O329" s="142"/>
      <c r="P329" s="136"/>
      <c r="Q329" s="144">
        <v>10</v>
      </c>
      <c r="R329" s="144">
        <v>1</v>
      </c>
    </row>
    <row r="330" s="51" customFormat="1" spans="1:18">
      <c r="A330" s="136">
        <v>630009</v>
      </c>
      <c r="B330" s="137" t="s">
        <v>191</v>
      </c>
      <c r="C330" s="136">
        <v>2</v>
      </c>
      <c r="D330" s="136">
        <v>60</v>
      </c>
      <c r="E330" s="136" t="s">
        <v>192</v>
      </c>
      <c r="F330" s="138" t="s">
        <v>453</v>
      </c>
      <c r="G330" s="136"/>
      <c r="H330" s="136">
        <v>1</v>
      </c>
      <c r="I330" s="136">
        <v>2</v>
      </c>
      <c r="J330" s="136">
        <v>0</v>
      </c>
      <c r="K330" s="136"/>
      <c r="L330" s="136"/>
      <c r="M330" s="136"/>
      <c r="N330" s="136"/>
      <c r="O330" s="142"/>
      <c r="P330" s="136"/>
      <c r="Q330" s="144">
        <v>50</v>
      </c>
      <c r="R330" s="144"/>
    </row>
    <row r="331" s="51" customFormat="1" spans="1:18">
      <c r="A331" s="136">
        <v>630010</v>
      </c>
      <c r="B331" s="137" t="s">
        <v>196</v>
      </c>
      <c r="C331" s="136">
        <v>2</v>
      </c>
      <c r="D331" s="136">
        <v>60</v>
      </c>
      <c r="E331" s="136" t="s">
        <v>195</v>
      </c>
      <c r="F331" s="138" t="s">
        <v>453</v>
      </c>
      <c r="G331" s="136"/>
      <c r="H331" s="136">
        <v>1</v>
      </c>
      <c r="I331" s="136">
        <v>3</v>
      </c>
      <c r="J331" s="136">
        <v>0</v>
      </c>
      <c r="K331" s="136"/>
      <c r="L331" s="136"/>
      <c r="M331" s="136"/>
      <c r="N331" s="136"/>
      <c r="O331" s="142"/>
      <c r="P331" s="136"/>
      <c r="Q331" s="144">
        <v>50</v>
      </c>
      <c r="R331" s="144"/>
    </row>
    <row r="332" s="51" customFormat="1" spans="1:18">
      <c r="A332" s="136">
        <v>630011</v>
      </c>
      <c r="B332" s="137" t="s">
        <v>194</v>
      </c>
      <c r="C332" s="136">
        <v>2</v>
      </c>
      <c r="D332" s="136">
        <v>60</v>
      </c>
      <c r="E332" s="136" t="s">
        <v>197</v>
      </c>
      <c r="F332" s="138" t="s">
        <v>453</v>
      </c>
      <c r="G332" s="136"/>
      <c r="H332" s="136">
        <v>1</v>
      </c>
      <c r="I332" s="136">
        <v>4</v>
      </c>
      <c r="J332" s="136">
        <v>0</v>
      </c>
      <c r="K332" s="136"/>
      <c r="L332" s="136"/>
      <c r="M332" s="136"/>
      <c r="N332" s="136"/>
      <c r="O332" s="142"/>
      <c r="P332" s="136"/>
      <c r="Q332" s="144">
        <v>50</v>
      </c>
      <c r="R332" s="144"/>
    </row>
    <row r="333" s="51" customFormat="1" spans="1:18">
      <c r="A333" s="136">
        <v>630012</v>
      </c>
      <c r="B333" s="137" t="s">
        <v>454</v>
      </c>
      <c r="C333" s="136">
        <v>2</v>
      </c>
      <c r="D333" s="136">
        <v>60</v>
      </c>
      <c r="E333" s="136" t="s">
        <v>455</v>
      </c>
      <c r="F333" s="138" t="s">
        <v>453</v>
      </c>
      <c r="G333" s="136"/>
      <c r="H333" s="136">
        <v>1</v>
      </c>
      <c r="I333" s="136">
        <v>5</v>
      </c>
      <c r="J333" s="136">
        <v>0</v>
      </c>
      <c r="K333" s="136"/>
      <c r="L333" s="136"/>
      <c r="M333" s="136"/>
      <c r="N333" s="136"/>
      <c r="O333" s="142"/>
      <c r="P333" s="136"/>
      <c r="Q333" s="144">
        <v>30</v>
      </c>
      <c r="R333" s="144"/>
    </row>
    <row r="334" s="51" customFormat="1" spans="1:18">
      <c r="A334" s="136">
        <v>630013</v>
      </c>
      <c r="B334" s="137" t="s">
        <v>191</v>
      </c>
      <c r="C334" s="136">
        <v>2</v>
      </c>
      <c r="D334" s="136">
        <v>60</v>
      </c>
      <c r="E334" s="136" t="s">
        <v>192</v>
      </c>
      <c r="F334" s="138" t="s">
        <v>456</v>
      </c>
      <c r="G334" s="136"/>
      <c r="H334" s="136">
        <v>1</v>
      </c>
      <c r="I334" s="136">
        <v>6</v>
      </c>
      <c r="J334" s="136">
        <v>0</v>
      </c>
      <c r="K334" s="136"/>
      <c r="L334" s="136"/>
      <c r="M334" s="136"/>
      <c r="N334" s="136"/>
      <c r="O334" s="142"/>
      <c r="P334" s="136"/>
      <c r="Q334" s="144">
        <v>100</v>
      </c>
      <c r="R334" s="144"/>
    </row>
    <row r="335" s="51" customFormat="1" spans="1:18">
      <c r="A335" s="136">
        <v>630014</v>
      </c>
      <c r="B335" s="137" t="s">
        <v>196</v>
      </c>
      <c r="C335" s="136">
        <v>2</v>
      </c>
      <c r="D335" s="136">
        <v>60</v>
      </c>
      <c r="E335" s="136" t="s">
        <v>195</v>
      </c>
      <c r="F335" s="138" t="s">
        <v>456</v>
      </c>
      <c r="G335" s="136"/>
      <c r="H335" s="136">
        <v>1</v>
      </c>
      <c r="I335" s="136">
        <v>1</v>
      </c>
      <c r="J335" s="136">
        <v>0</v>
      </c>
      <c r="K335" s="136"/>
      <c r="L335" s="136"/>
      <c r="M335" s="136"/>
      <c r="N335" s="136"/>
      <c r="O335" s="142"/>
      <c r="P335" s="136"/>
      <c r="Q335" s="144">
        <v>100</v>
      </c>
      <c r="R335" s="144"/>
    </row>
    <row r="336" s="51" customFormat="1" spans="1:18">
      <c r="A336" s="136">
        <v>630015</v>
      </c>
      <c r="B336" s="137" t="s">
        <v>194</v>
      </c>
      <c r="C336" s="136">
        <v>2</v>
      </c>
      <c r="D336" s="136">
        <v>60</v>
      </c>
      <c r="E336" s="136" t="s">
        <v>197</v>
      </c>
      <c r="F336" s="138" t="s">
        <v>456</v>
      </c>
      <c r="G336" s="136"/>
      <c r="H336" s="136">
        <v>1</v>
      </c>
      <c r="I336" s="136">
        <v>1</v>
      </c>
      <c r="J336" s="136">
        <v>0</v>
      </c>
      <c r="K336" s="136"/>
      <c r="L336" s="136"/>
      <c r="M336" s="136"/>
      <c r="N336" s="136"/>
      <c r="O336" s="142"/>
      <c r="P336" s="136"/>
      <c r="Q336" s="144">
        <v>100</v>
      </c>
      <c r="R336" s="144"/>
    </row>
    <row r="337" s="51" customFormat="1" spans="1:18">
      <c r="A337" s="136">
        <v>630016</v>
      </c>
      <c r="B337" s="137" t="s">
        <v>454</v>
      </c>
      <c r="C337" s="136">
        <v>2</v>
      </c>
      <c r="D337" s="136">
        <v>60</v>
      </c>
      <c r="E337" s="136" t="s">
        <v>455</v>
      </c>
      <c r="F337" s="138" t="s">
        <v>456</v>
      </c>
      <c r="G337" s="136"/>
      <c r="H337" s="136">
        <v>1</v>
      </c>
      <c r="I337" s="136">
        <v>2</v>
      </c>
      <c r="J337" s="136">
        <v>0</v>
      </c>
      <c r="K337" s="136"/>
      <c r="L337" s="136"/>
      <c r="M337" s="136"/>
      <c r="N337" s="136"/>
      <c r="O337" s="142"/>
      <c r="P337" s="136"/>
      <c r="Q337" s="144">
        <v>100</v>
      </c>
      <c r="R337" s="144"/>
    </row>
    <row r="338" s="51" customFormat="1" spans="1:18">
      <c r="A338" s="136">
        <v>630017</v>
      </c>
      <c r="B338" s="137" t="s">
        <v>457</v>
      </c>
      <c r="C338" s="136">
        <v>2</v>
      </c>
      <c r="D338" s="136">
        <v>60</v>
      </c>
      <c r="E338" s="136" t="s">
        <v>458</v>
      </c>
      <c r="F338" s="138" t="s">
        <v>459</v>
      </c>
      <c r="G338" s="136"/>
      <c r="H338" s="136">
        <v>1</v>
      </c>
      <c r="I338" s="136">
        <v>3</v>
      </c>
      <c r="J338" s="136">
        <v>0</v>
      </c>
      <c r="K338" s="136"/>
      <c r="L338" s="136"/>
      <c r="M338" s="136"/>
      <c r="N338" s="136"/>
      <c r="O338" s="142"/>
      <c r="P338" s="136"/>
      <c r="Q338" s="144">
        <v>0</v>
      </c>
      <c r="R338" s="144"/>
    </row>
    <row r="339" s="51" customFormat="1" spans="1:18">
      <c r="A339" s="136">
        <v>630018</v>
      </c>
      <c r="B339" s="137" t="s">
        <v>280</v>
      </c>
      <c r="C339" s="136">
        <v>2</v>
      </c>
      <c r="D339" s="136">
        <v>60</v>
      </c>
      <c r="E339" s="136" t="s">
        <v>281</v>
      </c>
      <c r="F339" s="138" t="s">
        <v>460</v>
      </c>
      <c r="G339" s="136"/>
      <c r="H339" s="136">
        <v>1</v>
      </c>
      <c r="I339" s="136">
        <v>4</v>
      </c>
      <c r="J339" s="136">
        <v>0</v>
      </c>
      <c r="K339" s="136"/>
      <c r="L339" s="136"/>
      <c r="M339" s="136"/>
      <c r="N339" s="136"/>
      <c r="O339" s="142"/>
      <c r="P339" s="136"/>
      <c r="Q339" s="144">
        <v>0</v>
      </c>
      <c r="R339" s="144"/>
    </row>
    <row r="340" s="51" customFormat="1" spans="1:18">
      <c r="A340" s="136">
        <v>630019</v>
      </c>
      <c r="B340" s="137" t="s">
        <v>283</v>
      </c>
      <c r="C340" s="136">
        <v>2</v>
      </c>
      <c r="D340" s="136">
        <v>60</v>
      </c>
      <c r="E340" s="136" t="s">
        <v>284</v>
      </c>
      <c r="F340" s="138" t="s">
        <v>460</v>
      </c>
      <c r="G340" s="136"/>
      <c r="H340" s="136">
        <v>1</v>
      </c>
      <c r="I340" s="136">
        <v>5</v>
      </c>
      <c r="J340" s="136">
        <v>0</v>
      </c>
      <c r="K340" s="136"/>
      <c r="L340" s="136"/>
      <c r="M340" s="136"/>
      <c r="N340" s="136"/>
      <c r="O340" s="142"/>
      <c r="P340" s="136"/>
      <c r="Q340" s="144">
        <v>0</v>
      </c>
      <c r="R340" s="144"/>
    </row>
    <row r="341" s="51" customFormat="1" spans="1:18">
      <c r="A341" s="136">
        <v>630020</v>
      </c>
      <c r="B341" s="137" t="s">
        <v>457</v>
      </c>
      <c r="C341" s="136">
        <v>2</v>
      </c>
      <c r="D341" s="136">
        <v>60</v>
      </c>
      <c r="E341" s="136" t="s">
        <v>458</v>
      </c>
      <c r="F341" s="138" t="s">
        <v>48</v>
      </c>
      <c r="G341" s="136"/>
      <c r="H341" s="136">
        <v>1</v>
      </c>
      <c r="I341" s="136">
        <v>6</v>
      </c>
      <c r="J341" s="136">
        <v>0</v>
      </c>
      <c r="K341" s="136"/>
      <c r="L341" s="136"/>
      <c r="M341" s="136"/>
      <c r="N341" s="136"/>
      <c r="O341" s="142"/>
      <c r="P341" s="136"/>
      <c r="Q341" s="144">
        <v>0</v>
      </c>
      <c r="R341" s="144"/>
    </row>
    <row r="342" s="51" customFormat="1" spans="1:18">
      <c r="A342" s="136">
        <v>630021</v>
      </c>
      <c r="B342" s="137" t="s">
        <v>280</v>
      </c>
      <c r="C342" s="136">
        <v>2</v>
      </c>
      <c r="D342" s="136">
        <v>60</v>
      </c>
      <c r="E342" s="136" t="s">
        <v>281</v>
      </c>
      <c r="F342" s="138" t="s">
        <v>461</v>
      </c>
      <c r="G342" s="136"/>
      <c r="H342" s="136">
        <v>1</v>
      </c>
      <c r="I342" s="136">
        <v>7</v>
      </c>
      <c r="J342" s="136">
        <v>0</v>
      </c>
      <c r="K342" s="136"/>
      <c r="L342" s="136"/>
      <c r="M342" s="136"/>
      <c r="N342" s="136"/>
      <c r="O342" s="142"/>
      <c r="P342" s="136"/>
      <c r="Q342" s="144">
        <v>0</v>
      </c>
      <c r="R342" s="144"/>
    </row>
    <row r="343" s="51" customFormat="1" spans="1:18">
      <c r="A343" s="136">
        <v>630022</v>
      </c>
      <c r="B343" s="137" t="s">
        <v>283</v>
      </c>
      <c r="C343" s="136">
        <v>2</v>
      </c>
      <c r="D343" s="136">
        <v>60</v>
      </c>
      <c r="E343" s="136" t="s">
        <v>284</v>
      </c>
      <c r="F343" s="138" t="s">
        <v>461</v>
      </c>
      <c r="G343" s="136"/>
      <c r="H343" s="136">
        <v>1</v>
      </c>
      <c r="I343" s="136">
        <v>8</v>
      </c>
      <c r="J343" s="136">
        <v>0</v>
      </c>
      <c r="K343" s="136"/>
      <c r="L343" s="136"/>
      <c r="M343" s="136"/>
      <c r="N343" s="136"/>
      <c r="O343" s="142"/>
      <c r="P343" s="136"/>
      <c r="Q343" s="144">
        <v>0</v>
      </c>
      <c r="R343" s="144"/>
    </row>
    <row r="344" s="51" customFormat="1" spans="1:18">
      <c r="A344" s="136">
        <v>630023</v>
      </c>
      <c r="B344" s="137" t="s">
        <v>261</v>
      </c>
      <c r="C344" s="136">
        <v>2</v>
      </c>
      <c r="D344" s="136">
        <v>60</v>
      </c>
      <c r="E344" s="136" t="s">
        <v>565</v>
      </c>
      <c r="F344" s="138" t="s">
        <v>566</v>
      </c>
      <c r="G344" s="136"/>
      <c r="H344" s="136">
        <v>1</v>
      </c>
      <c r="I344" s="136">
        <v>1</v>
      </c>
      <c r="J344" s="136">
        <v>0</v>
      </c>
      <c r="K344" s="136"/>
      <c r="L344" s="136"/>
      <c r="M344" s="136"/>
      <c r="N344" s="136"/>
      <c r="O344" s="142"/>
      <c r="P344" s="136"/>
      <c r="Q344" s="144">
        <v>100</v>
      </c>
      <c r="R344" s="144"/>
    </row>
    <row r="345" s="51" customFormat="1" spans="1:18">
      <c r="A345" s="136">
        <v>630024</v>
      </c>
      <c r="B345" s="137" t="s">
        <v>463</v>
      </c>
      <c r="C345" s="136">
        <v>2</v>
      </c>
      <c r="D345" s="136">
        <v>60</v>
      </c>
      <c r="E345" s="136" t="s">
        <v>567</v>
      </c>
      <c r="F345" s="138" t="s">
        <v>566</v>
      </c>
      <c r="G345" s="136"/>
      <c r="H345" s="136">
        <v>1</v>
      </c>
      <c r="I345" s="136">
        <v>2</v>
      </c>
      <c r="J345" s="136">
        <v>0</v>
      </c>
      <c r="K345" s="136"/>
      <c r="L345" s="136"/>
      <c r="M345" s="136"/>
      <c r="N345" s="136"/>
      <c r="O345" s="142"/>
      <c r="P345" s="136"/>
      <c r="Q345" s="144">
        <v>100</v>
      </c>
      <c r="R345" s="144"/>
    </row>
    <row r="346" s="51" customFormat="1" spans="1:18">
      <c r="A346" s="136">
        <v>630025</v>
      </c>
      <c r="B346" s="137" t="s">
        <v>463</v>
      </c>
      <c r="C346" s="136">
        <v>2</v>
      </c>
      <c r="D346" s="136">
        <v>60</v>
      </c>
      <c r="E346" s="136" t="s">
        <v>568</v>
      </c>
      <c r="F346" s="138" t="s">
        <v>456</v>
      </c>
      <c r="G346" s="136"/>
      <c r="H346" s="136">
        <v>1</v>
      </c>
      <c r="I346" s="136">
        <v>3</v>
      </c>
      <c r="J346" s="136">
        <v>0</v>
      </c>
      <c r="K346" s="136"/>
      <c r="L346" s="136"/>
      <c r="M346" s="136"/>
      <c r="N346" s="136"/>
      <c r="O346" s="142"/>
      <c r="P346" s="136"/>
      <c r="Q346" s="144">
        <v>100</v>
      </c>
      <c r="R346" s="144"/>
    </row>
    <row r="347" s="51" customFormat="1" spans="1:18">
      <c r="A347" s="136">
        <v>630026</v>
      </c>
      <c r="B347" s="137" t="s">
        <v>115</v>
      </c>
      <c r="C347" s="136">
        <v>2</v>
      </c>
      <c r="D347" s="136">
        <v>60</v>
      </c>
      <c r="E347" s="136" t="s">
        <v>569</v>
      </c>
      <c r="F347" s="138" t="s">
        <v>129</v>
      </c>
      <c r="G347" s="136"/>
      <c r="H347" s="136">
        <v>1</v>
      </c>
      <c r="I347" s="136">
        <v>4</v>
      </c>
      <c r="J347" s="136">
        <v>0</v>
      </c>
      <c r="K347" s="136"/>
      <c r="L347" s="136"/>
      <c r="M347" s="136"/>
      <c r="N347" s="136"/>
      <c r="O347" s="142"/>
      <c r="P347" s="136"/>
      <c r="Q347" s="144">
        <v>100</v>
      </c>
      <c r="R347" s="144"/>
    </row>
    <row r="348" s="51" customFormat="1" spans="1:18">
      <c r="A348" s="136">
        <v>630027</v>
      </c>
      <c r="B348" s="137" t="s">
        <v>50</v>
      </c>
      <c r="C348" s="136">
        <v>2</v>
      </c>
      <c r="D348" s="136">
        <v>60</v>
      </c>
      <c r="E348" s="136" t="s">
        <v>95</v>
      </c>
      <c r="F348" s="138" t="s">
        <v>466</v>
      </c>
      <c r="G348" s="136">
        <v>1</v>
      </c>
      <c r="H348" s="136">
        <v>1</v>
      </c>
      <c r="I348" s="136">
        <v>5</v>
      </c>
      <c r="J348" s="136">
        <v>0</v>
      </c>
      <c r="K348" s="136"/>
      <c r="L348" s="136"/>
      <c r="M348" s="136"/>
      <c r="N348" s="136"/>
      <c r="O348" s="142"/>
      <c r="P348" s="136"/>
      <c r="Q348" s="144">
        <v>100</v>
      </c>
      <c r="R348" s="144">
        <v>1</v>
      </c>
    </row>
    <row r="349" s="51" customFormat="1" spans="1:18">
      <c r="A349" s="136">
        <v>630028</v>
      </c>
      <c r="B349" s="137" t="s">
        <v>467</v>
      </c>
      <c r="C349" s="136">
        <v>2</v>
      </c>
      <c r="D349" s="136">
        <v>60</v>
      </c>
      <c r="E349" s="136" t="s">
        <v>468</v>
      </c>
      <c r="F349" s="138" t="s">
        <v>466</v>
      </c>
      <c r="G349" s="136"/>
      <c r="H349" s="136">
        <v>1</v>
      </c>
      <c r="I349" s="136">
        <v>6</v>
      </c>
      <c r="J349" s="136">
        <v>0</v>
      </c>
      <c r="K349" s="136"/>
      <c r="L349" s="136"/>
      <c r="M349" s="136"/>
      <c r="N349" s="136"/>
      <c r="O349" s="142"/>
      <c r="P349" s="136"/>
      <c r="Q349" s="144">
        <v>0</v>
      </c>
      <c r="R349" s="144"/>
    </row>
    <row r="350" s="51" customFormat="1" spans="1:18">
      <c r="A350" s="136">
        <v>630029</v>
      </c>
      <c r="B350" s="137" t="s">
        <v>469</v>
      </c>
      <c r="C350" s="136">
        <v>2</v>
      </c>
      <c r="D350" s="136">
        <v>60</v>
      </c>
      <c r="E350" s="136" t="s">
        <v>470</v>
      </c>
      <c r="F350" s="138" t="s">
        <v>471</v>
      </c>
      <c r="G350" s="136"/>
      <c r="H350" s="136">
        <v>1</v>
      </c>
      <c r="I350" s="136">
        <v>7</v>
      </c>
      <c r="J350" s="136">
        <v>0</v>
      </c>
      <c r="K350" s="136"/>
      <c r="L350" s="136"/>
      <c r="M350" s="136"/>
      <c r="N350" s="136"/>
      <c r="O350" s="142"/>
      <c r="P350" s="136"/>
      <c r="Q350" s="144">
        <v>0</v>
      </c>
      <c r="R350" s="144"/>
    </row>
    <row r="351" s="51" customFormat="1" spans="1:18">
      <c r="A351" s="136">
        <v>630030</v>
      </c>
      <c r="B351" s="137" t="s">
        <v>264</v>
      </c>
      <c r="C351" s="136">
        <v>2</v>
      </c>
      <c r="D351" s="136">
        <v>60</v>
      </c>
      <c r="E351" s="136" t="s">
        <v>265</v>
      </c>
      <c r="F351" s="138" t="s">
        <v>461</v>
      </c>
      <c r="G351" s="136"/>
      <c r="H351" s="136">
        <v>1</v>
      </c>
      <c r="I351" s="136">
        <v>8</v>
      </c>
      <c r="J351" s="136">
        <v>0</v>
      </c>
      <c r="K351" s="136"/>
      <c r="L351" s="136"/>
      <c r="M351" s="136"/>
      <c r="N351" s="136"/>
      <c r="O351" s="142"/>
      <c r="P351" s="136"/>
      <c r="Q351" s="144">
        <v>0</v>
      </c>
      <c r="R351" s="144">
        <v>1</v>
      </c>
    </row>
    <row r="352" s="51" customFormat="1" spans="1:18">
      <c r="A352" s="136">
        <v>630031</v>
      </c>
      <c r="B352" s="137" t="s">
        <v>267</v>
      </c>
      <c r="C352" s="136">
        <v>2</v>
      </c>
      <c r="D352" s="136">
        <v>60</v>
      </c>
      <c r="E352" s="136" t="s">
        <v>268</v>
      </c>
      <c r="F352" s="138" t="s">
        <v>456</v>
      </c>
      <c r="G352" s="136">
        <v>6</v>
      </c>
      <c r="H352" s="136">
        <v>1</v>
      </c>
      <c r="I352" s="136">
        <v>1</v>
      </c>
      <c r="J352" s="136">
        <v>0</v>
      </c>
      <c r="K352" s="136"/>
      <c r="L352" s="136"/>
      <c r="M352" s="136"/>
      <c r="N352" s="136"/>
      <c r="O352" s="142"/>
      <c r="P352" s="136"/>
      <c r="Q352" s="144">
        <v>100</v>
      </c>
      <c r="R352" s="144">
        <v>1</v>
      </c>
    </row>
    <row r="353" s="51" customFormat="1" spans="1:18">
      <c r="A353" s="136">
        <v>630032</v>
      </c>
      <c r="B353" s="137" t="s">
        <v>472</v>
      </c>
      <c r="C353" s="136">
        <v>2</v>
      </c>
      <c r="D353" s="136">
        <v>60</v>
      </c>
      <c r="E353" s="136" t="s">
        <v>473</v>
      </c>
      <c r="F353" s="138" t="s">
        <v>474</v>
      </c>
      <c r="G353" s="136">
        <v>6</v>
      </c>
      <c r="H353" s="136">
        <v>1</v>
      </c>
      <c r="I353" s="136">
        <v>2</v>
      </c>
      <c r="J353" s="136">
        <v>0</v>
      </c>
      <c r="K353" s="136"/>
      <c r="L353" s="136"/>
      <c r="M353" s="136"/>
      <c r="N353" s="136"/>
      <c r="O353" s="142"/>
      <c r="P353" s="136"/>
      <c r="Q353" s="144">
        <v>20</v>
      </c>
      <c r="R353" s="144">
        <v>1</v>
      </c>
    </row>
    <row r="354" s="51" customFormat="1" spans="1:18">
      <c r="A354" s="136">
        <v>630033</v>
      </c>
      <c r="B354" s="137" t="s">
        <v>472</v>
      </c>
      <c r="C354" s="136">
        <v>2</v>
      </c>
      <c r="D354" s="136">
        <v>60</v>
      </c>
      <c r="E354" s="136" t="s">
        <v>473</v>
      </c>
      <c r="F354" s="138" t="s">
        <v>475</v>
      </c>
      <c r="G354" s="136">
        <v>2</v>
      </c>
      <c r="H354" s="136">
        <v>1</v>
      </c>
      <c r="I354" s="136">
        <v>3</v>
      </c>
      <c r="J354" s="136">
        <v>0</v>
      </c>
      <c r="K354" s="136"/>
      <c r="L354" s="136"/>
      <c r="M354" s="136"/>
      <c r="N354" s="136"/>
      <c r="O354" s="142"/>
      <c r="P354" s="136"/>
      <c r="Q354" s="144">
        <v>10</v>
      </c>
      <c r="R354" s="144">
        <v>1</v>
      </c>
    </row>
    <row r="355" s="51" customFormat="1" spans="1:18">
      <c r="A355" s="136">
        <v>630034</v>
      </c>
      <c r="B355" s="137" t="s">
        <v>264</v>
      </c>
      <c r="C355" s="136">
        <v>2</v>
      </c>
      <c r="D355" s="136">
        <v>60</v>
      </c>
      <c r="E355" s="136" t="s">
        <v>265</v>
      </c>
      <c r="F355" s="138" t="s">
        <v>114</v>
      </c>
      <c r="G355" s="136"/>
      <c r="H355" s="136">
        <v>1</v>
      </c>
      <c r="I355" s="136">
        <v>4</v>
      </c>
      <c r="J355" s="136">
        <v>0</v>
      </c>
      <c r="K355" s="136"/>
      <c r="L355" s="136"/>
      <c r="M355" s="136"/>
      <c r="N355" s="136"/>
      <c r="O355" s="142"/>
      <c r="P355" s="136"/>
      <c r="Q355" s="144">
        <v>0</v>
      </c>
      <c r="R355" s="144">
        <v>1</v>
      </c>
    </row>
    <row r="356" s="51" customFormat="1" spans="1:18">
      <c r="A356" s="136">
        <v>630035</v>
      </c>
      <c r="B356" s="137" t="s">
        <v>267</v>
      </c>
      <c r="C356" s="136">
        <v>2</v>
      </c>
      <c r="D356" s="136">
        <v>60</v>
      </c>
      <c r="E356" s="136" t="s">
        <v>268</v>
      </c>
      <c r="F356" s="138" t="s">
        <v>476</v>
      </c>
      <c r="G356" s="136"/>
      <c r="H356" s="136">
        <v>1</v>
      </c>
      <c r="I356" s="136">
        <v>5</v>
      </c>
      <c r="J356" s="136">
        <v>0</v>
      </c>
      <c r="K356" s="136"/>
      <c r="L356" s="136"/>
      <c r="M356" s="136"/>
      <c r="N356" s="136"/>
      <c r="O356" s="142"/>
      <c r="P356" s="136"/>
      <c r="Q356" s="144">
        <v>20</v>
      </c>
      <c r="R356" s="144">
        <v>1</v>
      </c>
    </row>
    <row r="357" s="51" customFormat="1" spans="1:18">
      <c r="A357" s="136">
        <v>630036</v>
      </c>
      <c r="B357" s="137" t="s">
        <v>53</v>
      </c>
      <c r="C357" s="136">
        <v>2</v>
      </c>
      <c r="D357" s="136">
        <v>60</v>
      </c>
      <c r="E357" s="136" t="s">
        <v>570</v>
      </c>
      <c r="F357" s="138" t="s">
        <v>99</v>
      </c>
      <c r="G357" s="136">
        <v>4</v>
      </c>
      <c r="H357" s="136">
        <v>1</v>
      </c>
      <c r="I357" s="136">
        <v>6</v>
      </c>
      <c r="J357" s="136">
        <v>0</v>
      </c>
      <c r="K357" s="136"/>
      <c r="L357" s="136"/>
      <c r="M357" s="136"/>
      <c r="N357" s="136"/>
      <c r="O357" s="142"/>
      <c r="P357" s="136"/>
      <c r="Q357" s="144">
        <v>100</v>
      </c>
      <c r="R357" s="144"/>
    </row>
    <row r="358" s="51" customFormat="1" spans="1:18">
      <c r="A358" s="136">
        <v>630037</v>
      </c>
      <c r="B358" s="137" t="s">
        <v>53</v>
      </c>
      <c r="C358" s="136">
        <v>2</v>
      </c>
      <c r="D358" s="136">
        <v>60</v>
      </c>
      <c r="E358" s="136" t="s">
        <v>571</v>
      </c>
      <c r="F358" s="138" t="s">
        <v>572</v>
      </c>
      <c r="G358" s="136">
        <v>2</v>
      </c>
      <c r="H358" s="136">
        <v>1</v>
      </c>
      <c r="I358" s="136">
        <v>1</v>
      </c>
      <c r="J358" s="136">
        <v>0</v>
      </c>
      <c r="K358" s="136"/>
      <c r="L358" s="136"/>
      <c r="M358" s="136"/>
      <c r="N358" s="136"/>
      <c r="O358" s="142"/>
      <c r="P358" s="136"/>
      <c r="Q358" s="144">
        <v>10</v>
      </c>
      <c r="R358" s="144"/>
    </row>
    <row r="359" s="51" customFormat="1" spans="1:18">
      <c r="A359" s="136">
        <v>630038</v>
      </c>
      <c r="B359" s="137" t="s">
        <v>478</v>
      </c>
      <c r="C359" s="136">
        <v>2</v>
      </c>
      <c r="D359" s="136">
        <v>60</v>
      </c>
      <c r="E359" s="136" t="s">
        <v>573</v>
      </c>
      <c r="F359" s="138" t="s">
        <v>574</v>
      </c>
      <c r="G359" s="136"/>
      <c r="H359" s="136">
        <v>1</v>
      </c>
      <c r="I359" s="136">
        <v>1</v>
      </c>
      <c r="J359" s="136">
        <v>0</v>
      </c>
      <c r="K359" s="136"/>
      <c r="L359" s="136"/>
      <c r="M359" s="136"/>
      <c r="N359" s="136"/>
      <c r="O359" s="142"/>
      <c r="P359" s="136"/>
      <c r="Q359" s="144">
        <v>100</v>
      </c>
      <c r="R359" s="144"/>
    </row>
    <row r="360" s="51" customFormat="1" spans="1:18">
      <c r="A360" s="136">
        <v>630039</v>
      </c>
      <c r="B360" s="137" t="s">
        <v>478</v>
      </c>
      <c r="C360" s="136">
        <v>2</v>
      </c>
      <c r="D360" s="136">
        <v>60</v>
      </c>
      <c r="E360" s="136" t="s">
        <v>448</v>
      </c>
      <c r="F360" s="138" t="s">
        <v>48</v>
      </c>
      <c r="G360" s="136"/>
      <c r="H360" s="136">
        <v>1</v>
      </c>
      <c r="I360" s="136">
        <v>2</v>
      </c>
      <c r="J360" s="136">
        <v>0</v>
      </c>
      <c r="K360" s="136"/>
      <c r="L360" s="136"/>
      <c r="M360" s="136"/>
      <c r="N360" s="136"/>
      <c r="O360" s="142"/>
      <c r="P360" s="136"/>
      <c r="Q360" s="144">
        <v>100</v>
      </c>
      <c r="R360" s="144"/>
    </row>
    <row r="361" s="51" customFormat="1" spans="1:18">
      <c r="A361" s="136">
        <v>630040</v>
      </c>
      <c r="B361" s="137" t="s">
        <v>478</v>
      </c>
      <c r="C361" s="136">
        <v>2</v>
      </c>
      <c r="D361" s="136">
        <v>60</v>
      </c>
      <c r="E361" s="136" t="s">
        <v>575</v>
      </c>
      <c r="F361" s="138" t="s">
        <v>461</v>
      </c>
      <c r="G361" s="136"/>
      <c r="H361" s="136">
        <v>1</v>
      </c>
      <c r="I361" s="136">
        <v>3</v>
      </c>
      <c r="J361" s="136">
        <v>0</v>
      </c>
      <c r="K361" s="136"/>
      <c r="L361" s="136"/>
      <c r="M361" s="136"/>
      <c r="N361" s="136"/>
      <c r="O361" s="142"/>
      <c r="P361" s="136"/>
      <c r="Q361" s="144">
        <v>100</v>
      </c>
      <c r="R361" s="144"/>
    </row>
    <row r="362" s="51" customFormat="1" spans="1:18">
      <c r="A362" s="136">
        <v>630041</v>
      </c>
      <c r="B362" s="137" t="s">
        <v>478</v>
      </c>
      <c r="C362" s="136">
        <v>2</v>
      </c>
      <c r="D362" s="136">
        <v>60</v>
      </c>
      <c r="E362" s="136" t="s">
        <v>448</v>
      </c>
      <c r="F362" s="138" t="s">
        <v>445</v>
      </c>
      <c r="G362" s="136"/>
      <c r="H362" s="136">
        <v>1</v>
      </c>
      <c r="I362" s="136">
        <v>4</v>
      </c>
      <c r="J362" s="136">
        <v>0</v>
      </c>
      <c r="K362" s="136"/>
      <c r="L362" s="136"/>
      <c r="M362" s="136"/>
      <c r="N362" s="136"/>
      <c r="O362" s="142"/>
      <c r="P362" s="136"/>
      <c r="Q362" s="144">
        <v>100</v>
      </c>
      <c r="R362" s="144"/>
    </row>
    <row r="363" s="51" customFormat="1" spans="1:18">
      <c r="A363" s="136">
        <v>630042</v>
      </c>
      <c r="B363" s="137" t="s">
        <v>478</v>
      </c>
      <c r="C363" s="136">
        <v>2</v>
      </c>
      <c r="D363" s="136">
        <v>60</v>
      </c>
      <c r="E363" s="136" t="s">
        <v>575</v>
      </c>
      <c r="F363" s="138" t="s">
        <v>114</v>
      </c>
      <c r="G363" s="136"/>
      <c r="H363" s="136">
        <v>1</v>
      </c>
      <c r="I363" s="136">
        <v>5</v>
      </c>
      <c r="J363" s="136">
        <v>0</v>
      </c>
      <c r="K363" s="136"/>
      <c r="L363" s="136"/>
      <c r="M363" s="136"/>
      <c r="N363" s="136"/>
      <c r="O363" s="142"/>
      <c r="P363" s="136"/>
      <c r="Q363" s="144">
        <v>100</v>
      </c>
      <c r="R363" s="144"/>
    </row>
    <row r="364" s="51" customFormat="1" spans="1:18">
      <c r="A364" s="136">
        <v>630043</v>
      </c>
      <c r="B364" s="137" t="s">
        <v>109</v>
      </c>
      <c r="C364" s="136">
        <v>2</v>
      </c>
      <c r="D364" s="136">
        <v>60</v>
      </c>
      <c r="E364" s="136" t="s">
        <v>42</v>
      </c>
      <c r="F364" s="138" t="s">
        <v>114</v>
      </c>
      <c r="G364" s="136"/>
      <c r="H364" s="136">
        <v>1</v>
      </c>
      <c r="I364" s="136">
        <v>6</v>
      </c>
      <c r="J364" s="136">
        <v>0</v>
      </c>
      <c r="K364" s="136"/>
      <c r="L364" s="136"/>
      <c r="M364" s="136"/>
      <c r="N364" s="136"/>
      <c r="O364" s="142"/>
      <c r="P364" s="136"/>
      <c r="Q364" s="144">
        <v>10</v>
      </c>
      <c r="R364" s="144">
        <v>1</v>
      </c>
    </row>
    <row r="365" s="51" customFormat="1" spans="1:18">
      <c r="A365" s="136">
        <v>630044</v>
      </c>
      <c r="B365" s="137" t="s">
        <v>50</v>
      </c>
      <c r="C365" s="136">
        <v>2</v>
      </c>
      <c r="D365" s="136">
        <v>60</v>
      </c>
      <c r="E365" s="136" t="s">
        <v>95</v>
      </c>
      <c r="F365" s="138" t="s">
        <v>108</v>
      </c>
      <c r="G365" s="136">
        <v>5</v>
      </c>
      <c r="H365" s="136">
        <v>1</v>
      </c>
      <c r="I365" s="136">
        <v>7</v>
      </c>
      <c r="J365" s="136">
        <v>0</v>
      </c>
      <c r="K365" s="136"/>
      <c r="L365" s="136"/>
      <c r="M365" s="136"/>
      <c r="N365" s="136"/>
      <c r="O365" s="142"/>
      <c r="P365" s="136"/>
      <c r="Q365" s="144">
        <v>50</v>
      </c>
      <c r="R365" s="144"/>
    </row>
    <row r="366" s="51" customFormat="1" spans="1:18">
      <c r="A366" s="136">
        <v>630045</v>
      </c>
      <c r="B366" s="137" t="s">
        <v>50</v>
      </c>
      <c r="C366" s="136">
        <v>1</v>
      </c>
      <c r="D366" s="136">
        <v>60</v>
      </c>
      <c r="E366" s="136" t="s">
        <v>95</v>
      </c>
      <c r="F366" s="138" t="s">
        <v>449</v>
      </c>
      <c r="G366" s="136">
        <v>7</v>
      </c>
      <c r="H366" s="136">
        <v>1</v>
      </c>
      <c r="I366" s="136">
        <v>1</v>
      </c>
      <c r="J366" s="136">
        <v>0</v>
      </c>
      <c r="K366" s="136"/>
      <c r="L366" s="136"/>
      <c r="M366" s="136"/>
      <c r="N366" s="136"/>
      <c r="O366" s="142"/>
      <c r="P366" s="136"/>
      <c r="Q366" s="144">
        <v>0</v>
      </c>
      <c r="R366" s="144"/>
    </row>
    <row r="367" s="51" customFormat="1" spans="1:18">
      <c r="A367" s="136">
        <v>630046</v>
      </c>
      <c r="B367" s="137" t="s">
        <v>469</v>
      </c>
      <c r="C367" s="136">
        <v>1</v>
      </c>
      <c r="D367" s="136">
        <v>60</v>
      </c>
      <c r="E367" s="136" t="s">
        <v>470</v>
      </c>
      <c r="F367" s="138" t="s">
        <v>471</v>
      </c>
      <c r="G367" s="136"/>
      <c r="H367" s="136">
        <v>1</v>
      </c>
      <c r="I367" s="136">
        <v>2</v>
      </c>
      <c r="J367" s="136">
        <v>0</v>
      </c>
      <c r="K367" s="136"/>
      <c r="L367" s="136"/>
      <c r="M367" s="136"/>
      <c r="N367" s="136"/>
      <c r="O367" s="142"/>
      <c r="P367" s="136"/>
      <c r="Q367" s="144">
        <v>0</v>
      </c>
      <c r="R367" s="144"/>
    </row>
    <row r="368" s="51" customFormat="1" spans="1:18">
      <c r="A368" s="136">
        <v>630047</v>
      </c>
      <c r="B368" s="137" t="s">
        <v>115</v>
      </c>
      <c r="C368" s="136">
        <v>1</v>
      </c>
      <c r="D368" s="136">
        <v>60</v>
      </c>
      <c r="E368" s="136" t="s">
        <v>116</v>
      </c>
      <c r="F368" s="138" t="s">
        <v>117</v>
      </c>
      <c r="G368" s="136">
        <v>6</v>
      </c>
      <c r="H368" s="136">
        <v>1</v>
      </c>
      <c r="I368" s="136">
        <v>3</v>
      </c>
      <c r="J368" s="136">
        <v>0</v>
      </c>
      <c r="K368" s="136"/>
      <c r="L368" s="136"/>
      <c r="M368" s="136"/>
      <c r="N368" s="136"/>
      <c r="O368" s="142"/>
      <c r="P368" s="136"/>
      <c r="Q368" s="144">
        <v>0</v>
      </c>
      <c r="R368" s="144"/>
    </row>
    <row r="369" s="51" customFormat="1" spans="1:18">
      <c r="A369" s="136">
        <v>630048</v>
      </c>
      <c r="B369" s="137" t="s">
        <v>463</v>
      </c>
      <c r="C369" s="136">
        <v>1</v>
      </c>
      <c r="D369" s="136">
        <v>60</v>
      </c>
      <c r="E369" s="136" t="s">
        <v>464</v>
      </c>
      <c r="F369" s="138" t="s">
        <v>462</v>
      </c>
      <c r="G369" s="136">
        <v>4</v>
      </c>
      <c r="H369" s="136">
        <v>1</v>
      </c>
      <c r="I369" s="136">
        <v>4</v>
      </c>
      <c r="J369" s="136">
        <v>0</v>
      </c>
      <c r="K369" s="136"/>
      <c r="L369" s="136"/>
      <c r="M369" s="136"/>
      <c r="N369" s="136"/>
      <c r="O369" s="142"/>
      <c r="P369" s="136"/>
      <c r="Q369" s="144">
        <v>0</v>
      </c>
      <c r="R369" s="144"/>
    </row>
    <row r="370" s="51" customFormat="1" spans="1:18">
      <c r="A370" s="136">
        <v>630049</v>
      </c>
      <c r="B370" s="137" t="s">
        <v>264</v>
      </c>
      <c r="C370" s="136">
        <v>1</v>
      </c>
      <c r="D370" s="136">
        <v>60</v>
      </c>
      <c r="E370" s="136" t="s">
        <v>265</v>
      </c>
      <c r="F370" s="138" t="s">
        <v>114</v>
      </c>
      <c r="G370" s="136"/>
      <c r="H370" s="136">
        <v>1</v>
      </c>
      <c r="I370" s="136">
        <v>5</v>
      </c>
      <c r="J370" s="136">
        <v>0</v>
      </c>
      <c r="K370" s="136"/>
      <c r="L370" s="136"/>
      <c r="M370" s="136"/>
      <c r="N370" s="136"/>
      <c r="O370" s="142"/>
      <c r="P370" s="136"/>
      <c r="Q370" s="144">
        <v>0</v>
      </c>
      <c r="R370" s="144"/>
    </row>
    <row r="371" s="51" customFormat="1" spans="1:18">
      <c r="A371" s="136">
        <v>630050</v>
      </c>
      <c r="B371" s="137" t="s">
        <v>454</v>
      </c>
      <c r="C371" s="136">
        <v>1</v>
      </c>
      <c r="D371" s="136">
        <v>60</v>
      </c>
      <c r="E371" s="136" t="s">
        <v>455</v>
      </c>
      <c r="F371" s="138" t="s">
        <v>453</v>
      </c>
      <c r="G371" s="136"/>
      <c r="H371" s="136">
        <v>1</v>
      </c>
      <c r="I371" s="136">
        <v>6</v>
      </c>
      <c r="J371" s="136">
        <v>0</v>
      </c>
      <c r="K371" s="136"/>
      <c r="L371" s="136"/>
      <c r="M371" s="136"/>
      <c r="N371" s="136"/>
      <c r="O371" s="142"/>
      <c r="P371" s="136"/>
      <c r="Q371" s="144">
        <v>0</v>
      </c>
      <c r="R371" s="144"/>
    </row>
    <row r="372" s="52" customFormat="1" spans="1:18">
      <c r="A372" s="139">
        <v>640001</v>
      </c>
      <c r="B372" s="140" t="s">
        <v>113</v>
      </c>
      <c r="C372" s="139">
        <v>2</v>
      </c>
      <c r="D372" s="139">
        <v>60</v>
      </c>
      <c r="E372" s="139" t="s">
        <v>558</v>
      </c>
      <c r="F372" s="141" t="s">
        <v>559</v>
      </c>
      <c r="G372" s="139"/>
      <c r="H372" s="139">
        <v>1</v>
      </c>
      <c r="I372" s="139">
        <v>2</v>
      </c>
      <c r="J372" s="139">
        <v>0</v>
      </c>
      <c r="K372" s="139"/>
      <c r="L372" s="139"/>
      <c r="M372" s="139"/>
      <c r="N372" s="139"/>
      <c r="O372" s="143"/>
      <c r="P372" s="139"/>
      <c r="Q372" s="145">
        <v>100</v>
      </c>
      <c r="R372" s="145"/>
    </row>
    <row r="373" s="52" customFormat="1" spans="1:18">
      <c r="A373" s="139">
        <v>640002</v>
      </c>
      <c r="B373" s="140" t="s">
        <v>113</v>
      </c>
      <c r="C373" s="139">
        <v>2</v>
      </c>
      <c r="D373" s="139">
        <v>60</v>
      </c>
      <c r="E373" s="139" t="s">
        <v>576</v>
      </c>
      <c r="F373" s="141" t="s">
        <v>577</v>
      </c>
      <c r="G373" s="139"/>
      <c r="H373" s="139">
        <v>1</v>
      </c>
      <c r="I373" s="139">
        <v>3</v>
      </c>
      <c r="J373" s="139">
        <v>0</v>
      </c>
      <c r="K373" s="139"/>
      <c r="L373" s="139"/>
      <c r="M373" s="139"/>
      <c r="N373" s="139"/>
      <c r="O373" s="143"/>
      <c r="P373" s="139"/>
      <c r="Q373" s="145">
        <v>100</v>
      </c>
      <c r="R373" s="145"/>
    </row>
    <row r="374" s="52" customFormat="1" spans="1:18">
      <c r="A374" s="139">
        <v>640003</v>
      </c>
      <c r="B374" s="140" t="s">
        <v>50</v>
      </c>
      <c r="C374" s="139">
        <v>2</v>
      </c>
      <c r="D374" s="139">
        <v>60</v>
      </c>
      <c r="E374" s="139" t="s">
        <v>95</v>
      </c>
      <c r="F374" s="141" t="s">
        <v>449</v>
      </c>
      <c r="G374" s="139">
        <v>7</v>
      </c>
      <c r="H374" s="139">
        <v>1</v>
      </c>
      <c r="I374" s="139">
        <v>4</v>
      </c>
      <c r="J374" s="139">
        <v>0</v>
      </c>
      <c r="K374" s="139"/>
      <c r="L374" s="139"/>
      <c r="M374" s="139"/>
      <c r="N374" s="139"/>
      <c r="O374" s="143"/>
      <c r="P374" s="139"/>
      <c r="Q374" s="145">
        <v>100</v>
      </c>
      <c r="R374" s="145"/>
    </row>
    <row r="375" s="52" customFormat="1" spans="1:18">
      <c r="A375" s="139">
        <v>640004</v>
      </c>
      <c r="B375" s="140" t="s">
        <v>118</v>
      </c>
      <c r="C375" s="139">
        <v>2</v>
      </c>
      <c r="D375" s="139">
        <v>60</v>
      </c>
      <c r="E375" s="139" t="s">
        <v>578</v>
      </c>
      <c r="F375" s="141" t="s">
        <v>112</v>
      </c>
      <c r="G375" s="139">
        <v>5</v>
      </c>
      <c r="H375" s="139">
        <v>1</v>
      </c>
      <c r="I375" s="139">
        <v>5</v>
      </c>
      <c r="J375" s="139">
        <v>0</v>
      </c>
      <c r="K375" s="139"/>
      <c r="L375" s="139"/>
      <c r="M375" s="139"/>
      <c r="N375" s="139"/>
      <c r="O375" s="143"/>
      <c r="P375" s="139"/>
      <c r="Q375" s="145">
        <v>100</v>
      </c>
      <c r="R375" s="145">
        <v>1</v>
      </c>
    </row>
    <row r="376" s="52" customFormat="1" spans="1:18">
      <c r="A376" s="139">
        <v>640005</v>
      </c>
      <c r="B376" s="140" t="s">
        <v>118</v>
      </c>
      <c r="C376" s="139">
        <v>2</v>
      </c>
      <c r="D376" s="139">
        <v>60</v>
      </c>
      <c r="E376" s="139" t="s">
        <v>451</v>
      </c>
      <c r="F376" s="141" t="s">
        <v>129</v>
      </c>
      <c r="G376" s="139"/>
      <c r="H376" s="139">
        <v>1</v>
      </c>
      <c r="I376" s="139">
        <v>6</v>
      </c>
      <c r="J376" s="139">
        <v>0</v>
      </c>
      <c r="K376" s="139"/>
      <c r="L376" s="139"/>
      <c r="M376" s="139"/>
      <c r="N376" s="139"/>
      <c r="O376" s="143"/>
      <c r="P376" s="139"/>
      <c r="Q376" s="145">
        <v>100</v>
      </c>
      <c r="R376" s="145"/>
    </row>
    <row r="377" s="52" customFormat="1" spans="1:18">
      <c r="A377" s="139">
        <v>640006</v>
      </c>
      <c r="B377" s="140" t="s">
        <v>118</v>
      </c>
      <c r="C377" s="139">
        <v>2</v>
      </c>
      <c r="D377" s="139">
        <v>60</v>
      </c>
      <c r="E377" s="139" t="s">
        <v>579</v>
      </c>
      <c r="F377" s="141" t="s">
        <v>580</v>
      </c>
      <c r="G377" s="139">
        <v>7</v>
      </c>
      <c r="H377" s="139">
        <v>1</v>
      </c>
      <c r="I377" s="139">
        <v>7</v>
      </c>
      <c r="J377" s="139">
        <v>0</v>
      </c>
      <c r="K377" s="139"/>
      <c r="L377" s="139"/>
      <c r="M377" s="139"/>
      <c r="N377" s="139"/>
      <c r="O377" s="143"/>
      <c r="P377" s="139"/>
      <c r="Q377" s="145">
        <v>100</v>
      </c>
      <c r="R377" s="145"/>
    </row>
    <row r="378" s="52" customFormat="1" spans="1:18">
      <c r="A378" s="139">
        <v>640007</v>
      </c>
      <c r="B378" s="140" t="s">
        <v>118</v>
      </c>
      <c r="C378" s="139">
        <v>2</v>
      </c>
      <c r="D378" s="139">
        <v>60</v>
      </c>
      <c r="E378" s="139" t="s">
        <v>581</v>
      </c>
      <c r="F378" s="141" t="s">
        <v>582</v>
      </c>
      <c r="G378" s="139">
        <v>2</v>
      </c>
      <c r="H378" s="139">
        <v>1</v>
      </c>
      <c r="I378" s="139">
        <v>8</v>
      </c>
      <c r="J378" s="139">
        <v>0</v>
      </c>
      <c r="K378" s="139"/>
      <c r="L378" s="139"/>
      <c r="M378" s="139"/>
      <c r="N378" s="139"/>
      <c r="O378" s="143"/>
      <c r="P378" s="139"/>
      <c r="Q378" s="145">
        <v>50</v>
      </c>
      <c r="R378" s="145">
        <v>1</v>
      </c>
    </row>
    <row r="379" s="52" customFormat="1" spans="1:18">
      <c r="A379" s="139">
        <v>640008</v>
      </c>
      <c r="B379" s="140" t="s">
        <v>224</v>
      </c>
      <c r="C379" s="139">
        <v>2</v>
      </c>
      <c r="D379" s="139">
        <v>60</v>
      </c>
      <c r="E379" s="139" t="s">
        <v>225</v>
      </c>
      <c r="F379" s="141" t="s">
        <v>111</v>
      </c>
      <c r="G379" s="139"/>
      <c r="H379" s="139">
        <v>1</v>
      </c>
      <c r="I379" s="139">
        <v>1</v>
      </c>
      <c r="J379" s="139">
        <v>0</v>
      </c>
      <c r="K379" s="139"/>
      <c r="L379" s="139"/>
      <c r="M379" s="139"/>
      <c r="N379" s="139"/>
      <c r="O379" s="143"/>
      <c r="P379" s="139"/>
      <c r="Q379" s="145">
        <v>10</v>
      </c>
      <c r="R379" s="145">
        <v>1</v>
      </c>
    </row>
    <row r="380" s="52" customFormat="1" spans="1:18">
      <c r="A380" s="139">
        <v>640009</v>
      </c>
      <c r="B380" s="140" t="s">
        <v>191</v>
      </c>
      <c r="C380" s="139">
        <v>2</v>
      </c>
      <c r="D380" s="139">
        <v>60</v>
      </c>
      <c r="E380" s="139" t="s">
        <v>192</v>
      </c>
      <c r="F380" s="141" t="s">
        <v>453</v>
      </c>
      <c r="G380" s="139"/>
      <c r="H380" s="139">
        <v>1</v>
      </c>
      <c r="I380" s="139">
        <v>2</v>
      </c>
      <c r="J380" s="139">
        <v>0</v>
      </c>
      <c r="K380" s="139"/>
      <c r="L380" s="139"/>
      <c r="M380" s="139"/>
      <c r="N380" s="139"/>
      <c r="O380" s="143"/>
      <c r="P380" s="139"/>
      <c r="Q380" s="145">
        <v>50</v>
      </c>
      <c r="R380" s="145"/>
    </row>
    <row r="381" s="52" customFormat="1" spans="1:18">
      <c r="A381" s="139">
        <v>640010</v>
      </c>
      <c r="B381" s="140" t="s">
        <v>196</v>
      </c>
      <c r="C381" s="139">
        <v>2</v>
      </c>
      <c r="D381" s="139">
        <v>60</v>
      </c>
      <c r="E381" s="139" t="s">
        <v>195</v>
      </c>
      <c r="F381" s="141" t="s">
        <v>453</v>
      </c>
      <c r="G381" s="139"/>
      <c r="H381" s="139">
        <v>1</v>
      </c>
      <c r="I381" s="139">
        <v>3</v>
      </c>
      <c r="J381" s="139">
        <v>0</v>
      </c>
      <c r="K381" s="139"/>
      <c r="L381" s="139"/>
      <c r="M381" s="139"/>
      <c r="N381" s="139"/>
      <c r="O381" s="143"/>
      <c r="P381" s="139"/>
      <c r="Q381" s="145">
        <v>50</v>
      </c>
      <c r="R381" s="145"/>
    </row>
    <row r="382" s="52" customFormat="1" spans="1:18">
      <c r="A382" s="139">
        <v>640011</v>
      </c>
      <c r="B382" s="140" t="s">
        <v>194</v>
      </c>
      <c r="C382" s="139">
        <v>2</v>
      </c>
      <c r="D382" s="139">
        <v>60</v>
      </c>
      <c r="E382" s="139" t="s">
        <v>197</v>
      </c>
      <c r="F382" s="141" t="s">
        <v>453</v>
      </c>
      <c r="G382" s="139"/>
      <c r="H382" s="139">
        <v>1</v>
      </c>
      <c r="I382" s="139">
        <v>4</v>
      </c>
      <c r="J382" s="139">
        <v>0</v>
      </c>
      <c r="K382" s="139"/>
      <c r="L382" s="139"/>
      <c r="M382" s="139"/>
      <c r="N382" s="139"/>
      <c r="O382" s="143"/>
      <c r="P382" s="139"/>
      <c r="Q382" s="145">
        <v>50</v>
      </c>
      <c r="R382" s="145"/>
    </row>
    <row r="383" s="52" customFormat="1" spans="1:18">
      <c r="A383" s="139">
        <v>640012</v>
      </c>
      <c r="B383" s="140" t="s">
        <v>454</v>
      </c>
      <c r="C383" s="139">
        <v>2</v>
      </c>
      <c r="D383" s="139">
        <v>60</v>
      </c>
      <c r="E383" s="139" t="s">
        <v>455</v>
      </c>
      <c r="F383" s="141" t="s">
        <v>453</v>
      </c>
      <c r="G383" s="139"/>
      <c r="H383" s="139">
        <v>1</v>
      </c>
      <c r="I383" s="139">
        <v>5</v>
      </c>
      <c r="J383" s="139">
        <v>0</v>
      </c>
      <c r="K383" s="139"/>
      <c r="L383" s="139"/>
      <c r="M383" s="139"/>
      <c r="N383" s="139"/>
      <c r="O383" s="143"/>
      <c r="P383" s="139"/>
      <c r="Q383" s="145">
        <v>30</v>
      </c>
      <c r="R383" s="145"/>
    </row>
    <row r="384" s="52" customFormat="1" spans="1:18">
      <c r="A384" s="139">
        <v>640013</v>
      </c>
      <c r="B384" s="140" t="s">
        <v>191</v>
      </c>
      <c r="C384" s="139">
        <v>2</v>
      </c>
      <c r="D384" s="139">
        <v>60</v>
      </c>
      <c r="E384" s="139" t="s">
        <v>192</v>
      </c>
      <c r="F384" s="141" t="s">
        <v>456</v>
      </c>
      <c r="G384" s="139"/>
      <c r="H384" s="139">
        <v>1</v>
      </c>
      <c r="I384" s="139">
        <v>6</v>
      </c>
      <c r="J384" s="139">
        <v>0</v>
      </c>
      <c r="K384" s="139"/>
      <c r="L384" s="139"/>
      <c r="M384" s="139"/>
      <c r="N384" s="139"/>
      <c r="O384" s="143"/>
      <c r="P384" s="139"/>
      <c r="Q384" s="145">
        <v>100</v>
      </c>
      <c r="R384" s="145"/>
    </row>
    <row r="385" s="52" customFormat="1" spans="1:18">
      <c r="A385" s="139">
        <v>640014</v>
      </c>
      <c r="B385" s="140" t="s">
        <v>196</v>
      </c>
      <c r="C385" s="139">
        <v>2</v>
      </c>
      <c r="D385" s="139">
        <v>60</v>
      </c>
      <c r="E385" s="139" t="s">
        <v>195</v>
      </c>
      <c r="F385" s="141" t="s">
        <v>456</v>
      </c>
      <c r="G385" s="139"/>
      <c r="H385" s="139">
        <v>1</v>
      </c>
      <c r="I385" s="139">
        <v>1</v>
      </c>
      <c r="J385" s="139">
        <v>0</v>
      </c>
      <c r="K385" s="139"/>
      <c r="L385" s="139"/>
      <c r="M385" s="139"/>
      <c r="N385" s="139"/>
      <c r="O385" s="143"/>
      <c r="P385" s="139"/>
      <c r="Q385" s="145">
        <v>100</v>
      </c>
      <c r="R385" s="145"/>
    </row>
    <row r="386" s="52" customFormat="1" spans="1:18">
      <c r="A386" s="139">
        <v>640015</v>
      </c>
      <c r="B386" s="140" t="s">
        <v>194</v>
      </c>
      <c r="C386" s="139">
        <v>2</v>
      </c>
      <c r="D386" s="139">
        <v>60</v>
      </c>
      <c r="E386" s="139" t="s">
        <v>197</v>
      </c>
      <c r="F386" s="141" t="s">
        <v>456</v>
      </c>
      <c r="G386" s="139"/>
      <c r="H386" s="139">
        <v>1</v>
      </c>
      <c r="I386" s="139">
        <v>1</v>
      </c>
      <c r="J386" s="139">
        <v>0</v>
      </c>
      <c r="K386" s="139"/>
      <c r="L386" s="139"/>
      <c r="M386" s="139"/>
      <c r="N386" s="139"/>
      <c r="O386" s="143"/>
      <c r="P386" s="139"/>
      <c r="Q386" s="145">
        <v>100</v>
      </c>
      <c r="R386" s="145"/>
    </row>
    <row r="387" s="52" customFormat="1" spans="1:18">
      <c r="A387" s="139">
        <v>640016</v>
      </c>
      <c r="B387" s="140" t="s">
        <v>454</v>
      </c>
      <c r="C387" s="139">
        <v>2</v>
      </c>
      <c r="D387" s="139">
        <v>60</v>
      </c>
      <c r="E387" s="139" t="s">
        <v>455</v>
      </c>
      <c r="F387" s="141" t="s">
        <v>456</v>
      </c>
      <c r="G387" s="139"/>
      <c r="H387" s="139">
        <v>1</v>
      </c>
      <c r="I387" s="139">
        <v>2</v>
      </c>
      <c r="J387" s="139">
        <v>0</v>
      </c>
      <c r="K387" s="139"/>
      <c r="L387" s="139"/>
      <c r="M387" s="139"/>
      <c r="N387" s="139"/>
      <c r="O387" s="143"/>
      <c r="P387" s="139"/>
      <c r="Q387" s="145">
        <v>100</v>
      </c>
      <c r="R387" s="145"/>
    </row>
    <row r="388" s="52" customFormat="1" spans="1:18">
      <c r="A388" s="139">
        <v>640017</v>
      </c>
      <c r="B388" s="140" t="s">
        <v>457</v>
      </c>
      <c r="C388" s="139">
        <v>2</v>
      </c>
      <c r="D388" s="139">
        <v>60</v>
      </c>
      <c r="E388" s="139" t="s">
        <v>458</v>
      </c>
      <c r="F388" s="141" t="s">
        <v>459</v>
      </c>
      <c r="G388" s="139"/>
      <c r="H388" s="139">
        <v>1</v>
      </c>
      <c r="I388" s="139">
        <v>3</v>
      </c>
      <c r="J388" s="139">
        <v>0</v>
      </c>
      <c r="K388" s="139"/>
      <c r="L388" s="139"/>
      <c r="M388" s="139"/>
      <c r="N388" s="139"/>
      <c r="O388" s="143"/>
      <c r="P388" s="139"/>
      <c r="Q388" s="145">
        <v>0</v>
      </c>
      <c r="R388" s="145"/>
    </row>
    <row r="389" s="52" customFormat="1" spans="1:18">
      <c r="A389" s="139">
        <v>640018</v>
      </c>
      <c r="B389" s="140" t="s">
        <v>280</v>
      </c>
      <c r="C389" s="139">
        <v>2</v>
      </c>
      <c r="D389" s="139">
        <v>60</v>
      </c>
      <c r="E389" s="139" t="s">
        <v>281</v>
      </c>
      <c r="F389" s="141" t="s">
        <v>460</v>
      </c>
      <c r="G389" s="139"/>
      <c r="H389" s="139">
        <v>1</v>
      </c>
      <c r="I389" s="139">
        <v>4</v>
      </c>
      <c r="J389" s="139">
        <v>0</v>
      </c>
      <c r="K389" s="139"/>
      <c r="L389" s="139"/>
      <c r="M389" s="139"/>
      <c r="N389" s="139"/>
      <c r="O389" s="143"/>
      <c r="P389" s="139"/>
      <c r="Q389" s="145">
        <v>0</v>
      </c>
      <c r="R389" s="145"/>
    </row>
    <row r="390" s="52" customFormat="1" spans="1:18">
      <c r="A390" s="139">
        <v>640019</v>
      </c>
      <c r="B390" s="140" t="s">
        <v>283</v>
      </c>
      <c r="C390" s="139">
        <v>2</v>
      </c>
      <c r="D390" s="139">
        <v>60</v>
      </c>
      <c r="E390" s="139" t="s">
        <v>284</v>
      </c>
      <c r="F390" s="141" t="s">
        <v>460</v>
      </c>
      <c r="G390" s="139"/>
      <c r="H390" s="139">
        <v>1</v>
      </c>
      <c r="I390" s="139">
        <v>5</v>
      </c>
      <c r="J390" s="139">
        <v>0</v>
      </c>
      <c r="K390" s="139"/>
      <c r="L390" s="139"/>
      <c r="M390" s="139"/>
      <c r="N390" s="139"/>
      <c r="O390" s="143"/>
      <c r="P390" s="139"/>
      <c r="Q390" s="145">
        <v>0</v>
      </c>
      <c r="R390" s="145"/>
    </row>
    <row r="391" s="52" customFormat="1" spans="1:18">
      <c r="A391" s="139">
        <v>640020</v>
      </c>
      <c r="B391" s="140" t="s">
        <v>457</v>
      </c>
      <c r="C391" s="139">
        <v>2</v>
      </c>
      <c r="D391" s="139">
        <v>60</v>
      </c>
      <c r="E391" s="139" t="s">
        <v>458</v>
      </c>
      <c r="F391" s="141" t="s">
        <v>48</v>
      </c>
      <c r="G391" s="139"/>
      <c r="H391" s="139">
        <v>1</v>
      </c>
      <c r="I391" s="139">
        <v>6</v>
      </c>
      <c r="J391" s="139">
        <v>0</v>
      </c>
      <c r="K391" s="139"/>
      <c r="L391" s="139"/>
      <c r="M391" s="139"/>
      <c r="N391" s="139"/>
      <c r="O391" s="143"/>
      <c r="P391" s="139"/>
      <c r="Q391" s="145">
        <v>0</v>
      </c>
      <c r="R391" s="145"/>
    </row>
    <row r="392" s="52" customFormat="1" spans="1:18">
      <c r="A392" s="139">
        <v>640021</v>
      </c>
      <c r="B392" s="140" t="s">
        <v>280</v>
      </c>
      <c r="C392" s="139">
        <v>2</v>
      </c>
      <c r="D392" s="139">
        <v>60</v>
      </c>
      <c r="E392" s="139" t="s">
        <v>281</v>
      </c>
      <c r="F392" s="141" t="s">
        <v>461</v>
      </c>
      <c r="G392" s="139"/>
      <c r="H392" s="139">
        <v>1</v>
      </c>
      <c r="I392" s="139">
        <v>7</v>
      </c>
      <c r="J392" s="139">
        <v>0</v>
      </c>
      <c r="K392" s="139"/>
      <c r="L392" s="139"/>
      <c r="M392" s="139"/>
      <c r="N392" s="139"/>
      <c r="O392" s="143"/>
      <c r="P392" s="139"/>
      <c r="Q392" s="145">
        <v>0</v>
      </c>
      <c r="R392" s="145"/>
    </row>
    <row r="393" s="52" customFormat="1" spans="1:18">
      <c r="A393" s="139">
        <v>640022</v>
      </c>
      <c r="B393" s="140" t="s">
        <v>283</v>
      </c>
      <c r="C393" s="139">
        <v>2</v>
      </c>
      <c r="D393" s="139">
        <v>60</v>
      </c>
      <c r="E393" s="139" t="s">
        <v>284</v>
      </c>
      <c r="F393" s="141" t="s">
        <v>461</v>
      </c>
      <c r="G393" s="139"/>
      <c r="H393" s="139">
        <v>1</v>
      </c>
      <c r="I393" s="139">
        <v>8</v>
      </c>
      <c r="J393" s="139">
        <v>0</v>
      </c>
      <c r="K393" s="139"/>
      <c r="L393" s="139"/>
      <c r="M393" s="139"/>
      <c r="N393" s="139"/>
      <c r="O393" s="143"/>
      <c r="P393" s="139"/>
      <c r="Q393" s="145">
        <v>0</v>
      </c>
      <c r="R393" s="145"/>
    </row>
    <row r="394" s="52" customFormat="1" spans="1:18">
      <c r="A394" s="139">
        <v>640023</v>
      </c>
      <c r="B394" s="140" t="s">
        <v>261</v>
      </c>
      <c r="C394" s="139">
        <v>2</v>
      </c>
      <c r="D394" s="139">
        <v>60</v>
      </c>
      <c r="E394" s="139" t="s">
        <v>565</v>
      </c>
      <c r="F394" s="141" t="s">
        <v>566</v>
      </c>
      <c r="G394" s="139"/>
      <c r="H394" s="139">
        <v>1</v>
      </c>
      <c r="I394" s="139">
        <v>1</v>
      </c>
      <c r="J394" s="139">
        <v>0</v>
      </c>
      <c r="K394" s="139"/>
      <c r="L394" s="139"/>
      <c r="M394" s="139"/>
      <c r="N394" s="139"/>
      <c r="O394" s="143"/>
      <c r="P394" s="139"/>
      <c r="Q394" s="145">
        <v>100</v>
      </c>
      <c r="R394" s="145"/>
    </row>
    <row r="395" s="52" customFormat="1" spans="1:18">
      <c r="A395" s="139">
        <v>640024</v>
      </c>
      <c r="B395" s="140" t="s">
        <v>463</v>
      </c>
      <c r="C395" s="139">
        <v>2</v>
      </c>
      <c r="D395" s="139">
        <v>60</v>
      </c>
      <c r="E395" s="139" t="s">
        <v>567</v>
      </c>
      <c r="F395" s="141" t="s">
        <v>566</v>
      </c>
      <c r="G395" s="139"/>
      <c r="H395" s="139">
        <v>1</v>
      </c>
      <c r="I395" s="139">
        <v>2</v>
      </c>
      <c r="J395" s="139">
        <v>0</v>
      </c>
      <c r="K395" s="139"/>
      <c r="L395" s="139"/>
      <c r="M395" s="139"/>
      <c r="N395" s="139"/>
      <c r="O395" s="143"/>
      <c r="P395" s="139"/>
      <c r="Q395" s="145">
        <v>100</v>
      </c>
      <c r="R395" s="145"/>
    </row>
    <row r="396" s="52" customFormat="1" spans="1:18">
      <c r="A396" s="139">
        <v>640025</v>
      </c>
      <c r="B396" s="140" t="s">
        <v>463</v>
      </c>
      <c r="C396" s="139">
        <v>2</v>
      </c>
      <c r="D396" s="139">
        <v>60</v>
      </c>
      <c r="E396" s="139" t="s">
        <v>568</v>
      </c>
      <c r="F396" s="141" t="s">
        <v>456</v>
      </c>
      <c r="G396" s="139"/>
      <c r="H396" s="139">
        <v>1</v>
      </c>
      <c r="I396" s="139">
        <v>3</v>
      </c>
      <c r="J396" s="139">
        <v>0</v>
      </c>
      <c r="K396" s="139"/>
      <c r="L396" s="139"/>
      <c r="M396" s="139"/>
      <c r="N396" s="139"/>
      <c r="O396" s="143"/>
      <c r="P396" s="139"/>
      <c r="Q396" s="145">
        <v>100</v>
      </c>
      <c r="R396" s="145"/>
    </row>
    <row r="397" s="52" customFormat="1" spans="1:18">
      <c r="A397" s="139">
        <v>640026</v>
      </c>
      <c r="B397" s="140" t="s">
        <v>115</v>
      </c>
      <c r="C397" s="139">
        <v>2</v>
      </c>
      <c r="D397" s="139">
        <v>60</v>
      </c>
      <c r="E397" s="139" t="s">
        <v>569</v>
      </c>
      <c r="F397" s="141" t="s">
        <v>129</v>
      </c>
      <c r="G397" s="139"/>
      <c r="H397" s="139">
        <v>1</v>
      </c>
      <c r="I397" s="139">
        <v>4</v>
      </c>
      <c r="J397" s="139">
        <v>0</v>
      </c>
      <c r="K397" s="139"/>
      <c r="L397" s="139"/>
      <c r="M397" s="139"/>
      <c r="N397" s="139"/>
      <c r="O397" s="143"/>
      <c r="P397" s="139"/>
      <c r="Q397" s="145">
        <v>100</v>
      </c>
      <c r="R397" s="145"/>
    </row>
    <row r="398" s="52" customFormat="1" spans="1:18">
      <c r="A398" s="139">
        <v>640027</v>
      </c>
      <c r="B398" s="140" t="s">
        <v>50</v>
      </c>
      <c r="C398" s="139">
        <v>2</v>
      </c>
      <c r="D398" s="139">
        <v>60</v>
      </c>
      <c r="E398" s="139" t="s">
        <v>95</v>
      </c>
      <c r="F398" s="141" t="s">
        <v>466</v>
      </c>
      <c r="G398" s="139">
        <v>1</v>
      </c>
      <c r="H398" s="139">
        <v>1</v>
      </c>
      <c r="I398" s="139">
        <v>5</v>
      </c>
      <c r="J398" s="139">
        <v>0</v>
      </c>
      <c r="K398" s="139"/>
      <c r="L398" s="139"/>
      <c r="M398" s="139"/>
      <c r="N398" s="139"/>
      <c r="O398" s="143"/>
      <c r="P398" s="139"/>
      <c r="Q398" s="145">
        <v>100</v>
      </c>
      <c r="R398" s="145">
        <v>1</v>
      </c>
    </row>
    <row r="399" s="52" customFormat="1" spans="1:18">
      <c r="A399" s="139">
        <v>640028</v>
      </c>
      <c r="B399" s="140" t="s">
        <v>467</v>
      </c>
      <c r="C399" s="139">
        <v>2</v>
      </c>
      <c r="D399" s="139">
        <v>60</v>
      </c>
      <c r="E399" s="139" t="s">
        <v>468</v>
      </c>
      <c r="F399" s="141" t="s">
        <v>466</v>
      </c>
      <c r="G399" s="139"/>
      <c r="H399" s="139">
        <v>1</v>
      </c>
      <c r="I399" s="139">
        <v>6</v>
      </c>
      <c r="J399" s="139">
        <v>0</v>
      </c>
      <c r="K399" s="139"/>
      <c r="L399" s="139"/>
      <c r="M399" s="139"/>
      <c r="N399" s="139"/>
      <c r="O399" s="143"/>
      <c r="P399" s="139"/>
      <c r="Q399" s="145">
        <v>0</v>
      </c>
      <c r="R399" s="145"/>
    </row>
    <row r="400" s="52" customFormat="1" spans="1:18">
      <c r="A400" s="139">
        <v>640029</v>
      </c>
      <c r="B400" s="140" t="s">
        <v>469</v>
      </c>
      <c r="C400" s="139">
        <v>2</v>
      </c>
      <c r="D400" s="139">
        <v>60</v>
      </c>
      <c r="E400" s="139" t="s">
        <v>470</v>
      </c>
      <c r="F400" s="141" t="s">
        <v>471</v>
      </c>
      <c r="G400" s="139"/>
      <c r="H400" s="139">
        <v>1</v>
      </c>
      <c r="I400" s="139">
        <v>7</v>
      </c>
      <c r="J400" s="139">
        <v>0</v>
      </c>
      <c r="K400" s="139"/>
      <c r="L400" s="139"/>
      <c r="M400" s="139"/>
      <c r="N400" s="139"/>
      <c r="O400" s="143"/>
      <c r="P400" s="139"/>
      <c r="Q400" s="145">
        <v>0</v>
      </c>
      <c r="R400" s="145"/>
    </row>
    <row r="401" s="52" customFormat="1" spans="1:18">
      <c r="A401" s="139">
        <v>640030</v>
      </c>
      <c r="B401" s="140" t="s">
        <v>264</v>
      </c>
      <c r="C401" s="139">
        <v>2</v>
      </c>
      <c r="D401" s="139">
        <v>60</v>
      </c>
      <c r="E401" s="139" t="s">
        <v>265</v>
      </c>
      <c r="F401" s="141" t="s">
        <v>461</v>
      </c>
      <c r="G401" s="139"/>
      <c r="H401" s="139">
        <v>1</v>
      </c>
      <c r="I401" s="139">
        <v>8</v>
      </c>
      <c r="J401" s="139">
        <v>0</v>
      </c>
      <c r="K401" s="139"/>
      <c r="L401" s="139"/>
      <c r="M401" s="139"/>
      <c r="N401" s="139"/>
      <c r="O401" s="143"/>
      <c r="P401" s="139"/>
      <c r="Q401" s="145">
        <v>0</v>
      </c>
      <c r="R401" s="145">
        <v>1</v>
      </c>
    </row>
    <row r="402" s="52" customFormat="1" spans="1:18">
      <c r="A402" s="139">
        <v>640031</v>
      </c>
      <c r="B402" s="140" t="s">
        <v>267</v>
      </c>
      <c r="C402" s="139">
        <v>2</v>
      </c>
      <c r="D402" s="139">
        <v>60</v>
      </c>
      <c r="E402" s="139" t="s">
        <v>268</v>
      </c>
      <c r="F402" s="141" t="s">
        <v>456</v>
      </c>
      <c r="G402" s="139">
        <v>6</v>
      </c>
      <c r="H402" s="139">
        <v>1</v>
      </c>
      <c r="I402" s="139">
        <v>1</v>
      </c>
      <c r="J402" s="139">
        <v>0</v>
      </c>
      <c r="K402" s="139"/>
      <c r="L402" s="139"/>
      <c r="M402" s="139"/>
      <c r="N402" s="139"/>
      <c r="O402" s="143"/>
      <c r="P402" s="139"/>
      <c r="Q402" s="145">
        <v>100</v>
      </c>
      <c r="R402" s="145">
        <v>1</v>
      </c>
    </row>
    <row r="403" s="52" customFormat="1" spans="1:18">
      <c r="A403" s="139">
        <v>640032</v>
      </c>
      <c r="B403" s="140" t="s">
        <v>472</v>
      </c>
      <c r="C403" s="139">
        <v>2</v>
      </c>
      <c r="D403" s="139">
        <v>60</v>
      </c>
      <c r="E403" s="139" t="s">
        <v>473</v>
      </c>
      <c r="F403" s="141" t="s">
        <v>474</v>
      </c>
      <c r="G403" s="139">
        <v>6</v>
      </c>
      <c r="H403" s="139">
        <v>1</v>
      </c>
      <c r="I403" s="139">
        <v>2</v>
      </c>
      <c r="J403" s="139">
        <v>0</v>
      </c>
      <c r="K403" s="139"/>
      <c r="L403" s="139"/>
      <c r="M403" s="139"/>
      <c r="N403" s="139"/>
      <c r="O403" s="143"/>
      <c r="P403" s="139"/>
      <c r="Q403" s="145">
        <v>20</v>
      </c>
      <c r="R403" s="145">
        <v>1</v>
      </c>
    </row>
    <row r="404" s="52" customFormat="1" spans="1:18">
      <c r="A404" s="139">
        <v>640033</v>
      </c>
      <c r="B404" s="140" t="s">
        <v>472</v>
      </c>
      <c r="C404" s="139">
        <v>2</v>
      </c>
      <c r="D404" s="139">
        <v>60</v>
      </c>
      <c r="E404" s="139" t="s">
        <v>473</v>
      </c>
      <c r="F404" s="141" t="s">
        <v>475</v>
      </c>
      <c r="G404" s="139">
        <v>2</v>
      </c>
      <c r="H404" s="139">
        <v>1</v>
      </c>
      <c r="I404" s="139">
        <v>3</v>
      </c>
      <c r="J404" s="139">
        <v>0</v>
      </c>
      <c r="K404" s="139"/>
      <c r="L404" s="139"/>
      <c r="M404" s="139"/>
      <c r="N404" s="139"/>
      <c r="O404" s="143"/>
      <c r="P404" s="139"/>
      <c r="Q404" s="145">
        <v>10</v>
      </c>
      <c r="R404" s="145">
        <v>1</v>
      </c>
    </row>
    <row r="405" s="52" customFormat="1" spans="1:18">
      <c r="A405" s="139">
        <v>640034</v>
      </c>
      <c r="B405" s="140" t="s">
        <v>264</v>
      </c>
      <c r="C405" s="139">
        <v>2</v>
      </c>
      <c r="D405" s="139">
        <v>60</v>
      </c>
      <c r="E405" s="139" t="s">
        <v>265</v>
      </c>
      <c r="F405" s="141" t="s">
        <v>114</v>
      </c>
      <c r="G405" s="139"/>
      <c r="H405" s="139">
        <v>1</v>
      </c>
      <c r="I405" s="139">
        <v>4</v>
      </c>
      <c r="J405" s="139">
        <v>0</v>
      </c>
      <c r="K405" s="139"/>
      <c r="L405" s="139"/>
      <c r="M405" s="139"/>
      <c r="N405" s="139"/>
      <c r="O405" s="143"/>
      <c r="P405" s="139"/>
      <c r="Q405" s="145">
        <v>0</v>
      </c>
      <c r="R405" s="145">
        <v>1</v>
      </c>
    </row>
    <row r="406" s="52" customFormat="1" spans="1:18">
      <c r="A406" s="139">
        <v>640035</v>
      </c>
      <c r="B406" s="140" t="s">
        <v>267</v>
      </c>
      <c r="C406" s="139">
        <v>2</v>
      </c>
      <c r="D406" s="139">
        <v>60</v>
      </c>
      <c r="E406" s="139" t="s">
        <v>268</v>
      </c>
      <c r="F406" s="141" t="s">
        <v>476</v>
      </c>
      <c r="G406" s="139"/>
      <c r="H406" s="139">
        <v>1</v>
      </c>
      <c r="I406" s="139">
        <v>5</v>
      </c>
      <c r="J406" s="139">
        <v>0</v>
      </c>
      <c r="K406" s="139"/>
      <c r="L406" s="139"/>
      <c r="M406" s="139"/>
      <c r="N406" s="139"/>
      <c r="O406" s="143"/>
      <c r="P406" s="139"/>
      <c r="Q406" s="145">
        <v>20</v>
      </c>
      <c r="R406" s="145">
        <v>1</v>
      </c>
    </row>
    <row r="407" s="52" customFormat="1" spans="1:18">
      <c r="A407" s="139">
        <v>640036</v>
      </c>
      <c r="B407" s="140" t="s">
        <v>53</v>
      </c>
      <c r="C407" s="139">
        <v>2</v>
      </c>
      <c r="D407" s="139">
        <v>60</v>
      </c>
      <c r="E407" s="139" t="s">
        <v>583</v>
      </c>
      <c r="F407" s="141" t="s">
        <v>112</v>
      </c>
      <c r="G407" s="139">
        <v>4</v>
      </c>
      <c r="H407" s="139">
        <v>1</v>
      </c>
      <c r="I407" s="139">
        <v>6</v>
      </c>
      <c r="J407" s="139">
        <v>0</v>
      </c>
      <c r="K407" s="139"/>
      <c r="L407" s="139"/>
      <c r="M407" s="139"/>
      <c r="N407" s="139"/>
      <c r="O407" s="143"/>
      <c r="P407" s="139"/>
      <c r="Q407" s="145">
        <v>100</v>
      </c>
      <c r="R407" s="145"/>
    </row>
    <row r="408" s="52" customFormat="1" spans="1:18">
      <c r="A408" s="139">
        <v>640037</v>
      </c>
      <c r="B408" s="140" t="s">
        <v>53</v>
      </c>
      <c r="C408" s="139">
        <v>2</v>
      </c>
      <c r="D408" s="139">
        <v>60</v>
      </c>
      <c r="E408" s="139" t="s">
        <v>584</v>
      </c>
      <c r="F408" s="141" t="s">
        <v>475</v>
      </c>
      <c r="G408" s="139">
        <v>2</v>
      </c>
      <c r="H408" s="139">
        <v>1</v>
      </c>
      <c r="I408" s="139">
        <v>1</v>
      </c>
      <c r="J408" s="139">
        <v>0</v>
      </c>
      <c r="K408" s="139"/>
      <c r="L408" s="139"/>
      <c r="M408" s="139"/>
      <c r="N408" s="139"/>
      <c r="O408" s="143"/>
      <c r="P408" s="139"/>
      <c r="Q408" s="145">
        <v>10</v>
      </c>
      <c r="R408" s="145"/>
    </row>
    <row r="409" s="52" customFormat="1" spans="1:18">
      <c r="A409" s="139">
        <v>640038</v>
      </c>
      <c r="B409" s="140" t="s">
        <v>478</v>
      </c>
      <c r="C409" s="139">
        <v>2</v>
      </c>
      <c r="D409" s="139">
        <v>60</v>
      </c>
      <c r="E409" s="139" t="s">
        <v>585</v>
      </c>
      <c r="F409" s="141" t="s">
        <v>586</v>
      </c>
      <c r="G409" s="139"/>
      <c r="H409" s="139">
        <v>1</v>
      </c>
      <c r="I409" s="139">
        <v>1</v>
      </c>
      <c r="J409" s="139">
        <v>0</v>
      </c>
      <c r="K409" s="139"/>
      <c r="L409" s="139"/>
      <c r="M409" s="139"/>
      <c r="N409" s="139"/>
      <c r="O409" s="143"/>
      <c r="P409" s="139"/>
      <c r="Q409" s="145">
        <v>100</v>
      </c>
      <c r="R409" s="145"/>
    </row>
    <row r="410" s="52" customFormat="1" spans="1:18">
      <c r="A410" s="139">
        <v>640039</v>
      </c>
      <c r="B410" s="140" t="s">
        <v>478</v>
      </c>
      <c r="C410" s="139">
        <v>2</v>
      </c>
      <c r="D410" s="139">
        <v>60</v>
      </c>
      <c r="E410" s="139" t="s">
        <v>587</v>
      </c>
      <c r="F410" s="141" t="s">
        <v>117</v>
      </c>
      <c r="G410" s="139"/>
      <c r="H410" s="139">
        <v>1</v>
      </c>
      <c r="I410" s="139">
        <v>2</v>
      </c>
      <c r="J410" s="139">
        <v>0</v>
      </c>
      <c r="K410" s="139"/>
      <c r="L410" s="139"/>
      <c r="M410" s="139"/>
      <c r="N410" s="139"/>
      <c r="O410" s="143"/>
      <c r="P410" s="139"/>
      <c r="Q410" s="145">
        <v>100</v>
      </c>
      <c r="R410" s="145"/>
    </row>
    <row r="411" s="52" customFormat="1" spans="1:18">
      <c r="A411" s="139">
        <v>640040</v>
      </c>
      <c r="B411" s="140" t="s">
        <v>478</v>
      </c>
      <c r="C411" s="139">
        <v>2</v>
      </c>
      <c r="D411" s="139">
        <v>60</v>
      </c>
      <c r="E411" s="139" t="s">
        <v>588</v>
      </c>
      <c r="F411" s="141" t="s">
        <v>129</v>
      </c>
      <c r="G411" s="139"/>
      <c r="H411" s="139">
        <v>1</v>
      </c>
      <c r="I411" s="139">
        <v>3</v>
      </c>
      <c r="J411" s="139">
        <v>0</v>
      </c>
      <c r="K411" s="139"/>
      <c r="L411" s="139"/>
      <c r="M411" s="139"/>
      <c r="N411" s="139"/>
      <c r="O411" s="143"/>
      <c r="P411" s="139"/>
      <c r="Q411" s="145">
        <v>100</v>
      </c>
      <c r="R411" s="145"/>
    </row>
    <row r="412" s="52" customFormat="1" spans="1:18">
      <c r="A412" s="139">
        <v>640041</v>
      </c>
      <c r="B412" s="140" t="s">
        <v>478</v>
      </c>
      <c r="C412" s="139">
        <v>2</v>
      </c>
      <c r="D412" s="139">
        <v>60</v>
      </c>
      <c r="E412" s="139" t="s">
        <v>587</v>
      </c>
      <c r="F412" s="141" t="s">
        <v>509</v>
      </c>
      <c r="G412" s="139"/>
      <c r="H412" s="139">
        <v>1</v>
      </c>
      <c r="I412" s="139">
        <v>4</v>
      </c>
      <c r="J412" s="139">
        <v>0</v>
      </c>
      <c r="K412" s="139"/>
      <c r="L412" s="139"/>
      <c r="M412" s="139"/>
      <c r="N412" s="139"/>
      <c r="O412" s="143"/>
      <c r="P412" s="139"/>
      <c r="Q412" s="145">
        <v>100</v>
      </c>
      <c r="R412" s="145"/>
    </row>
    <row r="413" s="52" customFormat="1" spans="1:18">
      <c r="A413" s="139">
        <v>640042</v>
      </c>
      <c r="B413" s="140" t="s">
        <v>478</v>
      </c>
      <c r="C413" s="139">
        <v>2</v>
      </c>
      <c r="D413" s="139">
        <v>60</v>
      </c>
      <c r="E413" s="139" t="s">
        <v>588</v>
      </c>
      <c r="F413" s="141" t="s">
        <v>589</v>
      </c>
      <c r="G413" s="139"/>
      <c r="H413" s="139">
        <v>1</v>
      </c>
      <c r="I413" s="139">
        <v>5</v>
      </c>
      <c r="J413" s="139">
        <v>0</v>
      </c>
      <c r="K413" s="139"/>
      <c r="L413" s="139"/>
      <c r="M413" s="139"/>
      <c r="N413" s="139"/>
      <c r="O413" s="143"/>
      <c r="P413" s="139"/>
      <c r="Q413" s="145">
        <v>100</v>
      </c>
      <c r="R413" s="145"/>
    </row>
    <row r="414" s="52" customFormat="1" spans="1:18">
      <c r="A414" s="139">
        <v>640043</v>
      </c>
      <c r="B414" s="140" t="s">
        <v>109</v>
      </c>
      <c r="C414" s="139">
        <v>2</v>
      </c>
      <c r="D414" s="139">
        <v>60</v>
      </c>
      <c r="E414" s="139" t="s">
        <v>590</v>
      </c>
      <c r="F414" s="141" t="s">
        <v>589</v>
      </c>
      <c r="G414" s="139"/>
      <c r="H414" s="139">
        <v>1</v>
      </c>
      <c r="I414" s="139">
        <v>6</v>
      </c>
      <c r="J414" s="139">
        <v>0</v>
      </c>
      <c r="K414" s="139"/>
      <c r="L414" s="139"/>
      <c r="M414" s="139"/>
      <c r="N414" s="139"/>
      <c r="O414" s="143"/>
      <c r="P414" s="139"/>
      <c r="Q414" s="145">
        <v>10</v>
      </c>
      <c r="R414" s="145">
        <v>1</v>
      </c>
    </row>
    <row r="415" s="52" customFormat="1" spans="1:18">
      <c r="A415" s="139">
        <v>640044</v>
      </c>
      <c r="B415" s="140" t="s">
        <v>50</v>
      </c>
      <c r="C415" s="139">
        <v>2</v>
      </c>
      <c r="D415" s="139">
        <v>60</v>
      </c>
      <c r="E415" s="139" t="s">
        <v>95</v>
      </c>
      <c r="F415" s="141" t="s">
        <v>108</v>
      </c>
      <c r="G415" s="139">
        <v>5</v>
      </c>
      <c r="H415" s="139">
        <v>1</v>
      </c>
      <c r="I415" s="139">
        <v>7</v>
      </c>
      <c r="J415" s="139">
        <v>0</v>
      </c>
      <c r="K415" s="139"/>
      <c r="L415" s="139"/>
      <c r="M415" s="139"/>
      <c r="N415" s="139"/>
      <c r="O415" s="143"/>
      <c r="P415" s="139"/>
      <c r="Q415" s="145">
        <v>50</v>
      </c>
      <c r="R415" s="145"/>
    </row>
    <row r="416" s="52" customFormat="1" spans="1:18">
      <c r="A416" s="139">
        <v>640045</v>
      </c>
      <c r="B416" s="140" t="s">
        <v>50</v>
      </c>
      <c r="C416" s="139">
        <v>1</v>
      </c>
      <c r="D416" s="139">
        <v>60</v>
      </c>
      <c r="E416" s="139" t="s">
        <v>95</v>
      </c>
      <c r="F416" s="141" t="s">
        <v>449</v>
      </c>
      <c r="G416" s="139">
        <v>7</v>
      </c>
      <c r="H416" s="139">
        <v>1</v>
      </c>
      <c r="I416" s="139">
        <v>1</v>
      </c>
      <c r="J416" s="139">
        <v>0</v>
      </c>
      <c r="K416" s="139"/>
      <c r="L416" s="139"/>
      <c r="M416" s="139"/>
      <c r="N416" s="139"/>
      <c r="O416" s="143"/>
      <c r="P416" s="139"/>
      <c r="Q416" s="145">
        <v>0</v>
      </c>
      <c r="R416" s="145"/>
    </row>
    <row r="417" s="52" customFormat="1" spans="1:18">
      <c r="A417" s="139">
        <v>640046</v>
      </c>
      <c r="B417" s="140" t="s">
        <v>469</v>
      </c>
      <c r="C417" s="139">
        <v>1</v>
      </c>
      <c r="D417" s="139">
        <v>60</v>
      </c>
      <c r="E417" s="139" t="s">
        <v>470</v>
      </c>
      <c r="F417" s="141" t="s">
        <v>471</v>
      </c>
      <c r="G417" s="139"/>
      <c r="H417" s="139">
        <v>1</v>
      </c>
      <c r="I417" s="139">
        <v>2</v>
      </c>
      <c r="J417" s="139">
        <v>0</v>
      </c>
      <c r="K417" s="139"/>
      <c r="L417" s="139"/>
      <c r="M417" s="139"/>
      <c r="N417" s="139"/>
      <c r="O417" s="143"/>
      <c r="P417" s="139"/>
      <c r="Q417" s="145">
        <v>0</v>
      </c>
      <c r="R417" s="145"/>
    </row>
    <row r="418" s="52" customFormat="1" spans="1:18">
      <c r="A418" s="139">
        <v>640047</v>
      </c>
      <c r="B418" s="140" t="s">
        <v>115</v>
      </c>
      <c r="C418" s="139">
        <v>1</v>
      </c>
      <c r="D418" s="139">
        <v>60</v>
      </c>
      <c r="E418" s="139" t="s">
        <v>116</v>
      </c>
      <c r="F418" s="141" t="s">
        <v>117</v>
      </c>
      <c r="G418" s="139">
        <v>6</v>
      </c>
      <c r="H418" s="139">
        <v>1</v>
      </c>
      <c r="I418" s="139">
        <v>3</v>
      </c>
      <c r="J418" s="139">
        <v>0</v>
      </c>
      <c r="K418" s="139"/>
      <c r="L418" s="139"/>
      <c r="M418" s="139"/>
      <c r="N418" s="139"/>
      <c r="O418" s="143"/>
      <c r="P418" s="139"/>
      <c r="Q418" s="145">
        <v>0</v>
      </c>
      <c r="R418" s="145"/>
    </row>
    <row r="419" s="52" customFormat="1" spans="1:18">
      <c r="A419" s="139">
        <v>640048</v>
      </c>
      <c r="B419" s="140" t="s">
        <v>463</v>
      </c>
      <c r="C419" s="139">
        <v>1</v>
      </c>
      <c r="D419" s="139">
        <v>60</v>
      </c>
      <c r="E419" s="139" t="s">
        <v>464</v>
      </c>
      <c r="F419" s="141" t="s">
        <v>462</v>
      </c>
      <c r="G419" s="139">
        <v>4</v>
      </c>
      <c r="H419" s="139">
        <v>1</v>
      </c>
      <c r="I419" s="139">
        <v>4</v>
      </c>
      <c r="J419" s="139">
        <v>0</v>
      </c>
      <c r="K419" s="139"/>
      <c r="L419" s="139"/>
      <c r="M419" s="139"/>
      <c r="N419" s="139"/>
      <c r="O419" s="143"/>
      <c r="P419" s="139"/>
      <c r="Q419" s="145">
        <v>0</v>
      </c>
      <c r="R419" s="145"/>
    </row>
    <row r="420" s="52" customFormat="1" spans="1:18">
      <c r="A420" s="139">
        <v>640049</v>
      </c>
      <c r="B420" s="140" t="s">
        <v>264</v>
      </c>
      <c r="C420" s="139">
        <v>1</v>
      </c>
      <c r="D420" s="139">
        <v>60</v>
      </c>
      <c r="E420" s="139" t="s">
        <v>265</v>
      </c>
      <c r="F420" s="141" t="s">
        <v>114</v>
      </c>
      <c r="G420" s="139"/>
      <c r="H420" s="139">
        <v>1</v>
      </c>
      <c r="I420" s="139">
        <v>5</v>
      </c>
      <c r="J420" s="139">
        <v>0</v>
      </c>
      <c r="K420" s="139"/>
      <c r="L420" s="139"/>
      <c r="M420" s="139"/>
      <c r="N420" s="139"/>
      <c r="O420" s="143"/>
      <c r="P420" s="139"/>
      <c r="Q420" s="145">
        <v>0</v>
      </c>
      <c r="R420" s="145"/>
    </row>
    <row r="421" s="52" customFormat="1" spans="1:18">
      <c r="A421" s="139">
        <v>640050</v>
      </c>
      <c r="B421" s="140" t="s">
        <v>454</v>
      </c>
      <c r="C421" s="139">
        <v>1</v>
      </c>
      <c r="D421" s="139">
        <v>60</v>
      </c>
      <c r="E421" s="139" t="s">
        <v>455</v>
      </c>
      <c r="F421" s="141" t="s">
        <v>453</v>
      </c>
      <c r="G421" s="139"/>
      <c r="H421" s="139">
        <v>1</v>
      </c>
      <c r="I421" s="139">
        <v>6</v>
      </c>
      <c r="J421" s="139">
        <v>0</v>
      </c>
      <c r="K421" s="139"/>
      <c r="L421" s="139"/>
      <c r="M421" s="139"/>
      <c r="N421" s="139"/>
      <c r="O421" s="143"/>
      <c r="P421" s="139"/>
      <c r="Q421" s="145">
        <v>0</v>
      </c>
      <c r="R421" s="145"/>
    </row>
    <row r="422" s="47" customFormat="1" spans="1:18">
      <c r="A422" s="70">
        <v>700001</v>
      </c>
      <c r="B422" s="92" t="s">
        <v>50</v>
      </c>
      <c r="C422" s="70">
        <v>0</v>
      </c>
      <c r="D422" s="70">
        <v>70</v>
      </c>
      <c r="E422" s="71" t="s">
        <v>95</v>
      </c>
      <c r="F422" s="146" t="s">
        <v>480</v>
      </c>
      <c r="G422" s="147"/>
      <c r="H422" s="70"/>
      <c r="I422" s="70"/>
      <c r="J422" s="70"/>
      <c r="K422" s="70"/>
      <c r="L422" s="70"/>
      <c r="M422" s="70"/>
      <c r="N422" s="70"/>
      <c r="O422" s="94"/>
      <c r="P422" s="70"/>
      <c r="Q422" s="95"/>
      <c r="R422" s="95"/>
    </row>
    <row r="423" s="47" customFormat="1" spans="1:18">
      <c r="A423" s="70">
        <v>800001</v>
      </c>
      <c r="B423" s="92" t="s">
        <v>217</v>
      </c>
      <c r="C423" s="70">
        <v>0</v>
      </c>
      <c r="D423" s="70">
        <v>80</v>
      </c>
      <c r="E423" s="71" t="s">
        <v>591</v>
      </c>
      <c r="F423" s="146" t="s">
        <v>592</v>
      </c>
      <c r="G423" s="147"/>
      <c r="H423" s="70"/>
      <c r="I423" s="148">
        <v>10</v>
      </c>
      <c r="J423" s="70"/>
      <c r="K423" s="70"/>
      <c r="L423" s="70"/>
      <c r="M423" s="70"/>
      <c r="N423" s="70"/>
      <c r="O423" s="94"/>
      <c r="P423" s="70"/>
      <c r="Q423" s="95"/>
      <c r="R423" s="95"/>
    </row>
    <row r="424" s="47" customFormat="1" spans="1:18">
      <c r="A424" s="70">
        <v>800002</v>
      </c>
      <c r="B424" s="92" t="s">
        <v>220</v>
      </c>
      <c r="C424" s="70">
        <v>0</v>
      </c>
      <c r="D424" s="70">
        <v>80</v>
      </c>
      <c r="E424" s="71" t="s">
        <v>593</v>
      </c>
      <c r="F424" s="146" t="s">
        <v>592</v>
      </c>
      <c r="G424" s="147"/>
      <c r="H424" s="70"/>
      <c r="I424" s="148">
        <v>20</v>
      </c>
      <c r="J424" s="70"/>
      <c r="K424" s="70"/>
      <c r="L424" s="70"/>
      <c r="M424" s="70"/>
      <c r="N424" s="70"/>
      <c r="O424" s="94"/>
      <c r="P424" s="70"/>
      <c r="Q424" s="95"/>
      <c r="R424" s="95"/>
    </row>
    <row r="425" s="47" customFormat="1" spans="1:18">
      <c r="A425" s="70">
        <v>800003</v>
      </c>
      <c r="B425" s="92" t="s">
        <v>222</v>
      </c>
      <c r="C425" s="70">
        <v>0</v>
      </c>
      <c r="D425" s="70">
        <v>80</v>
      </c>
      <c r="E425" s="71" t="s">
        <v>594</v>
      </c>
      <c r="F425" s="146" t="s">
        <v>592</v>
      </c>
      <c r="G425" s="147"/>
      <c r="H425" s="70"/>
      <c r="I425" s="148">
        <v>30</v>
      </c>
      <c r="J425" s="70"/>
      <c r="K425" s="70"/>
      <c r="L425" s="70"/>
      <c r="M425" s="70"/>
      <c r="N425" s="70"/>
      <c r="O425" s="94"/>
      <c r="P425" s="70"/>
      <c r="Q425" s="95"/>
      <c r="R425" s="95"/>
    </row>
    <row r="426" s="47" customFormat="1" spans="1:18">
      <c r="A426" s="70">
        <v>800004</v>
      </c>
      <c r="B426" s="92" t="s">
        <v>595</v>
      </c>
      <c r="C426" s="70">
        <v>0</v>
      </c>
      <c r="D426" s="70">
        <v>80</v>
      </c>
      <c r="E426" s="71" t="s">
        <v>596</v>
      </c>
      <c r="F426" s="146" t="s">
        <v>597</v>
      </c>
      <c r="G426" s="147"/>
      <c r="H426" s="70"/>
      <c r="I426" s="148">
        <v>40</v>
      </c>
      <c r="J426" s="70"/>
      <c r="K426" s="70"/>
      <c r="L426" s="70"/>
      <c r="M426" s="70"/>
      <c r="N426" s="70"/>
      <c r="O426" s="94"/>
      <c r="P426" s="70"/>
      <c r="Q426" s="95"/>
      <c r="R426" s="95"/>
    </row>
    <row r="427" s="47" customFormat="1" spans="1:18">
      <c r="A427" s="70">
        <v>800005</v>
      </c>
      <c r="B427" s="92" t="s">
        <v>598</v>
      </c>
      <c r="C427" s="70">
        <v>0</v>
      </c>
      <c r="D427" s="70">
        <v>80</v>
      </c>
      <c r="E427" s="71" t="s">
        <v>599</v>
      </c>
      <c r="F427" s="146" t="s">
        <v>597</v>
      </c>
      <c r="G427" s="147"/>
      <c r="H427" s="70"/>
      <c r="I427" s="148">
        <v>50</v>
      </c>
      <c r="J427" s="70"/>
      <c r="K427" s="70"/>
      <c r="L427" s="70"/>
      <c r="M427" s="70"/>
      <c r="N427" s="70"/>
      <c r="O427" s="94"/>
      <c r="P427" s="70"/>
      <c r="Q427" s="95"/>
      <c r="R427" s="95"/>
    </row>
    <row r="428" spans="1:18">
      <c r="A428" s="70">
        <v>800006</v>
      </c>
      <c r="B428" s="92" t="s">
        <v>164</v>
      </c>
      <c r="C428" s="70">
        <v>0</v>
      </c>
      <c r="D428" s="70">
        <v>80</v>
      </c>
      <c r="E428" s="71" t="s">
        <v>165</v>
      </c>
      <c r="F428" s="146" t="s">
        <v>600</v>
      </c>
      <c r="G428" s="96"/>
      <c r="H428" s="121"/>
      <c r="I428" s="148">
        <v>330</v>
      </c>
      <c r="J428" s="70"/>
      <c r="K428" s="121"/>
      <c r="L428" s="121"/>
      <c r="M428" s="121"/>
      <c r="N428" s="121"/>
      <c r="O428" s="93"/>
      <c r="P428" s="96"/>
      <c r="Q428" s="96"/>
      <c r="R428" s="96"/>
    </row>
    <row r="429" spans="1:18">
      <c r="A429" s="70">
        <v>800007</v>
      </c>
      <c r="B429" s="92" t="s">
        <v>285</v>
      </c>
      <c r="C429" s="70">
        <v>0</v>
      </c>
      <c r="D429" s="70">
        <v>80</v>
      </c>
      <c r="E429" s="71" t="s">
        <v>286</v>
      </c>
      <c r="F429" s="146" t="s">
        <v>601</v>
      </c>
      <c r="G429" s="96"/>
      <c r="H429" s="121"/>
      <c r="I429" s="148">
        <v>239</v>
      </c>
      <c r="J429" s="70"/>
      <c r="K429" s="121"/>
      <c r="L429" s="121"/>
      <c r="M429" s="121"/>
      <c r="N429" s="121"/>
      <c r="O429" s="93"/>
      <c r="P429" s="96"/>
      <c r="Q429" s="96"/>
      <c r="R429" s="96"/>
    </row>
    <row r="430" spans="1:18">
      <c r="A430" s="70">
        <v>800008</v>
      </c>
      <c r="B430" s="92" t="s">
        <v>161</v>
      </c>
      <c r="C430" s="70">
        <v>0</v>
      </c>
      <c r="D430" s="70">
        <v>80</v>
      </c>
      <c r="E430" s="71" t="s">
        <v>162</v>
      </c>
      <c r="F430" s="146" t="s">
        <v>602</v>
      </c>
      <c r="G430" s="96"/>
      <c r="H430" s="121"/>
      <c r="I430" s="148">
        <v>60</v>
      </c>
      <c r="J430" s="70"/>
      <c r="K430" s="121"/>
      <c r="L430" s="121"/>
      <c r="M430" s="121"/>
      <c r="N430" s="121"/>
      <c r="O430" s="93"/>
      <c r="P430" s="96"/>
      <c r="Q430" s="96"/>
      <c r="R430" s="96"/>
    </row>
    <row r="431" spans="1:18">
      <c r="A431" s="70">
        <v>800009</v>
      </c>
      <c r="B431" s="92" t="s">
        <v>166</v>
      </c>
      <c r="C431" s="70">
        <v>0</v>
      </c>
      <c r="D431" s="70">
        <v>80</v>
      </c>
      <c r="E431" s="71" t="s">
        <v>167</v>
      </c>
      <c r="F431" s="146" t="s">
        <v>603</v>
      </c>
      <c r="G431" s="96"/>
      <c r="H431" s="121"/>
      <c r="I431" s="148">
        <v>430</v>
      </c>
      <c r="J431" s="70"/>
      <c r="K431" s="121"/>
      <c r="L431" s="121"/>
      <c r="M431" s="121"/>
      <c r="N431" s="121"/>
      <c r="O431" s="93"/>
      <c r="P431" s="96"/>
      <c r="Q431" s="96"/>
      <c r="R431" s="96"/>
    </row>
    <row r="432" spans="1:18">
      <c r="A432" s="70">
        <v>800010</v>
      </c>
      <c r="B432" s="92" t="s">
        <v>254</v>
      </c>
      <c r="C432" s="70">
        <v>0</v>
      </c>
      <c r="D432" s="70">
        <v>80</v>
      </c>
      <c r="E432" s="71" t="s">
        <v>255</v>
      </c>
      <c r="F432" s="146" t="s">
        <v>603</v>
      </c>
      <c r="G432" s="96"/>
      <c r="H432" s="121"/>
      <c r="I432" s="148">
        <v>440</v>
      </c>
      <c r="J432" s="70"/>
      <c r="K432" s="121"/>
      <c r="L432" s="121"/>
      <c r="M432" s="121"/>
      <c r="N432" s="121"/>
      <c r="O432" s="93"/>
      <c r="P432" s="96"/>
      <c r="Q432" s="96"/>
      <c r="R432" s="96"/>
    </row>
    <row r="433" spans="1:18">
      <c r="A433" s="70">
        <v>800011</v>
      </c>
      <c r="B433" s="92" t="s">
        <v>323</v>
      </c>
      <c r="C433" s="70">
        <v>0</v>
      </c>
      <c r="D433" s="70">
        <v>80</v>
      </c>
      <c r="E433" s="71" t="s">
        <v>324</v>
      </c>
      <c r="F433" s="146" t="s">
        <v>603</v>
      </c>
      <c r="G433" s="96"/>
      <c r="H433" s="121"/>
      <c r="I433" s="148">
        <v>450</v>
      </c>
      <c r="J433" s="70"/>
      <c r="K433" s="121"/>
      <c r="L433" s="121"/>
      <c r="M433" s="121"/>
      <c r="N433" s="121"/>
      <c r="O433" s="93"/>
      <c r="P433" s="96"/>
      <c r="Q433" s="96"/>
      <c r="R433" s="96"/>
    </row>
    <row r="434" spans="1:18">
      <c r="A434" s="70">
        <v>800012</v>
      </c>
      <c r="B434" s="92" t="s">
        <v>169</v>
      </c>
      <c r="C434" s="70">
        <v>0</v>
      </c>
      <c r="D434" s="70">
        <v>80</v>
      </c>
      <c r="E434" s="71" t="s">
        <v>170</v>
      </c>
      <c r="F434" s="146" t="s">
        <v>600</v>
      </c>
      <c r="G434" s="96"/>
      <c r="H434" s="121"/>
      <c r="I434" s="148">
        <v>340</v>
      </c>
      <c r="J434" s="70"/>
      <c r="K434" s="121"/>
      <c r="L434" s="121"/>
      <c r="M434" s="121"/>
      <c r="N434" s="121"/>
      <c r="O434" s="93"/>
      <c r="P434" s="96"/>
      <c r="Q434" s="96"/>
      <c r="R434" s="96"/>
    </row>
    <row r="435" spans="1:18">
      <c r="A435" s="70">
        <v>800013</v>
      </c>
      <c r="B435" s="92" t="s">
        <v>155</v>
      </c>
      <c r="C435" s="70">
        <v>0</v>
      </c>
      <c r="D435" s="70">
        <v>80</v>
      </c>
      <c r="E435" s="71" t="s">
        <v>156</v>
      </c>
      <c r="F435" s="146" t="s">
        <v>604</v>
      </c>
      <c r="G435" s="96"/>
      <c r="H435" s="121"/>
      <c r="I435" s="148">
        <v>250</v>
      </c>
      <c r="J435" s="70"/>
      <c r="K435" s="121"/>
      <c r="L435" s="121"/>
      <c r="M435" s="121"/>
      <c r="N435" s="121"/>
      <c r="O435" s="93"/>
      <c r="P435" s="96"/>
      <c r="Q435" s="96"/>
      <c r="R435" s="96"/>
    </row>
    <row r="436" spans="1:18">
      <c r="A436" s="70">
        <v>800014</v>
      </c>
      <c r="B436" s="92" t="s">
        <v>203</v>
      </c>
      <c r="C436" s="70">
        <v>0</v>
      </c>
      <c r="D436" s="70">
        <v>80</v>
      </c>
      <c r="E436" s="71" t="s">
        <v>204</v>
      </c>
      <c r="F436" s="146" t="s">
        <v>600</v>
      </c>
      <c r="G436" s="121"/>
      <c r="H436" s="121"/>
      <c r="I436" s="148">
        <v>350</v>
      </c>
      <c r="J436" s="70"/>
      <c r="K436" s="121"/>
      <c r="L436" s="121"/>
      <c r="M436" s="121"/>
      <c r="N436" s="121"/>
      <c r="O436" s="93"/>
      <c r="P436" s="96"/>
      <c r="Q436" s="96"/>
      <c r="R436" s="96"/>
    </row>
    <row r="437" spans="1:18">
      <c r="A437" s="70">
        <v>800015</v>
      </c>
      <c r="B437" s="92" t="s">
        <v>605</v>
      </c>
      <c r="C437" s="70">
        <v>0</v>
      </c>
      <c r="D437" s="70">
        <v>80</v>
      </c>
      <c r="E437" s="71" t="s">
        <v>606</v>
      </c>
      <c r="F437" s="146" t="s">
        <v>603</v>
      </c>
      <c r="G437" s="96"/>
      <c r="H437" s="121"/>
      <c r="I437" s="148">
        <v>460</v>
      </c>
      <c r="J437" s="70"/>
      <c r="K437" s="121"/>
      <c r="L437" s="121"/>
      <c r="M437" s="121"/>
      <c r="N437" s="121"/>
      <c r="O437" s="93"/>
      <c r="P437" s="96"/>
      <c r="Q437" s="96"/>
      <c r="R437" s="96"/>
    </row>
    <row r="438" spans="1:18">
      <c r="A438" s="70">
        <v>800016</v>
      </c>
      <c r="B438" s="92" t="s">
        <v>152</v>
      </c>
      <c r="C438" s="70">
        <v>0</v>
      </c>
      <c r="D438" s="70">
        <v>80</v>
      </c>
      <c r="E438" s="71" t="s">
        <v>153</v>
      </c>
      <c r="F438" s="146" t="s">
        <v>604</v>
      </c>
      <c r="G438" s="96"/>
      <c r="H438" s="121"/>
      <c r="I438" s="148">
        <v>260</v>
      </c>
      <c r="J438" s="70"/>
      <c r="K438" s="121"/>
      <c r="L438" s="121"/>
      <c r="M438" s="121"/>
      <c r="N438" s="121"/>
      <c r="O438" s="93"/>
      <c r="P438" s="96"/>
      <c r="Q438" s="96"/>
      <c r="R438" s="96"/>
    </row>
    <row r="439" ht="17.25" customHeight="1" spans="1:18">
      <c r="A439" s="70">
        <v>800017</v>
      </c>
      <c r="B439" s="92" t="s">
        <v>293</v>
      </c>
      <c r="C439" s="70">
        <v>0</v>
      </c>
      <c r="D439" s="70">
        <v>80</v>
      </c>
      <c r="E439" s="71" t="s">
        <v>294</v>
      </c>
      <c r="F439" s="146" t="s">
        <v>604</v>
      </c>
      <c r="G439" s="96"/>
      <c r="H439" s="121"/>
      <c r="I439" s="148">
        <v>270</v>
      </c>
      <c r="J439" s="70"/>
      <c r="K439" s="121"/>
      <c r="L439" s="121"/>
      <c r="M439" s="121"/>
      <c r="N439" s="121"/>
      <c r="O439" s="93"/>
      <c r="P439" s="96"/>
      <c r="Q439" s="96"/>
      <c r="R439" s="96"/>
    </row>
    <row r="440" spans="1:18">
      <c r="A440" s="70">
        <v>800018</v>
      </c>
      <c r="B440" s="92" t="s">
        <v>325</v>
      </c>
      <c r="C440" s="70">
        <v>0</v>
      </c>
      <c r="D440" s="70">
        <v>80</v>
      </c>
      <c r="E440" s="71" t="s">
        <v>326</v>
      </c>
      <c r="F440" s="146" t="s">
        <v>603</v>
      </c>
      <c r="G440" s="121"/>
      <c r="H440" s="121"/>
      <c r="I440" s="148">
        <v>470</v>
      </c>
      <c r="J440" s="70"/>
      <c r="K440" s="121"/>
      <c r="L440" s="121"/>
      <c r="M440" s="121"/>
      <c r="N440" s="121"/>
      <c r="O440" s="93"/>
      <c r="P440" s="96"/>
      <c r="Q440" s="96"/>
      <c r="R440" s="96"/>
    </row>
    <row r="441" spans="1:18">
      <c r="A441" s="70">
        <v>800019</v>
      </c>
      <c r="B441" s="92" t="s">
        <v>607</v>
      </c>
      <c r="C441" s="70">
        <v>0</v>
      </c>
      <c r="D441" s="70">
        <v>80</v>
      </c>
      <c r="E441" s="71" t="s">
        <v>608</v>
      </c>
      <c r="F441" s="146" t="s">
        <v>604</v>
      </c>
      <c r="G441" s="121"/>
      <c r="H441" s="121"/>
      <c r="I441" s="148">
        <v>280</v>
      </c>
      <c r="J441" s="70"/>
      <c r="K441" s="121"/>
      <c r="L441" s="121"/>
      <c r="M441" s="121"/>
      <c r="N441" s="121"/>
      <c r="O441" s="93"/>
      <c r="P441" s="96"/>
      <c r="Q441" s="96"/>
      <c r="R441" s="96"/>
    </row>
    <row r="442" spans="1:18">
      <c r="A442" s="70">
        <v>800020</v>
      </c>
      <c r="B442" s="92" t="s">
        <v>288</v>
      </c>
      <c r="C442" s="70">
        <v>0</v>
      </c>
      <c r="D442" s="70">
        <v>80</v>
      </c>
      <c r="E442" s="71" t="s">
        <v>289</v>
      </c>
      <c r="F442" s="146" t="s">
        <v>604</v>
      </c>
      <c r="G442" s="121"/>
      <c r="H442" s="121"/>
      <c r="I442" s="148">
        <v>300</v>
      </c>
      <c r="J442" s="70"/>
      <c r="K442" s="121"/>
      <c r="L442" s="121"/>
      <c r="M442" s="121"/>
      <c r="N442" s="121"/>
      <c r="O442" s="93"/>
      <c r="P442" s="96"/>
      <c r="Q442" s="96"/>
      <c r="R442" s="96"/>
    </row>
    <row r="443" spans="1:18">
      <c r="A443" s="70">
        <v>800021</v>
      </c>
      <c r="B443" s="92" t="s">
        <v>257</v>
      </c>
      <c r="C443" s="70">
        <v>0</v>
      </c>
      <c r="D443" s="70">
        <v>80</v>
      </c>
      <c r="E443" s="71" t="s">
        <v>258</v>
      </c>
      <c r="F443" s="146" t="s">
        <v>600</v>
      </c>
      <c r="G443" s="121"/>
      <c r="H443" s="121"/>
      <c r="I443" s="148">
        <v>370</v>
      </c>
      <c r="J443" s="70"/>
      <c r="K443" s="121"/>
      <c r="L443" s="121"/>
      <c r="M443" s="121"/>
      <c r="N443" s="121"/>
      <c r="O443" s="93"/>
      <c r="P443" s="96"/>
      <c r="Q443" s="96"/>
      <c r="R443" s="96"/>
    </row>
    <row r="444" spans="1:18">
      <c r="A444" s="70">
        <v>800022</v>
      </c>
      <c r="B444" s="92" t="s">
        <v>347</v>
      </c>
      <c r="C444" s="70">
        <v>0</v>
      </c>
      <c r="D444" s="70">
        <v>80</v>
      </c>
      <c r="E444" s="71" t="s">
        <v>348</v>
      </c>
      <c r="F444" s="146" t="s">
        <v>600</v>
      </c>
      <c r="G444" s="121"/>
      <c r="H444" s="121"/>
      <c r="I444" s="148">
        <v>380</v>
      </c>
      <c r="J444" s="70"/>
      <c r="K444" s="121"/>
      <c r="L444" s="121"/>
      <c r="M444" s="121"/>
      <c r="N444" s="121"/>
      <c r="O444" s="93"/>
      <c r="P444" s="96"/>
      <c r="Q444" s="96"/>
      <c r="R444" s="96"/>
    </row>
    <row r="445" spans="1:18">
      <c r="A445" s="70">
        <v>800023</v>
      </c>
      <c r="B445" s="92" t="s">
        <v>157</v>
      </c>
      <c r="C445" s="70">
        <v>0</v>
      </c>
      <c r="D445" s="70">
        <v>80</v>
      </c>
      <c r="E445" s="71" t="s">
        <v>158</v>
      </c>
      <c r="F445" s="146" t="s">
        <v>600</v>
      </c>
      <c r="G445" s="121"/>
      <c r="H445" s="121"/>
      <c r="I445" s="148">
        <v>390</v>
      </c>
      <c r="J445" s="70"/>
      <c r="K445" s="121"/>
      <c r="L445" s="121"/>
      <c r="M445" s="121"/>
      <c r="N445" s="121"/>
      <c r="O445" s="93"/>
      <c r="P445" s="96"/>
      <c r="Q445" s="96"/>
      <c r="R445" s="96"/>
    </row>
    <row r="446" spans="1:18">
      <c r="A446" s="70">
        <v>800024</v>
      </c>
      <c r="B446" s="92" t="s">
        <v>609</v>
      </c>
      <c r="C446" s="70">
        <v>0</v>
      </c>
      <c r="D446" s="70">
        <v>80</v>
      </c>
      <c r="E446" s="71" t="s">
        <v>610</v>
      </c>
      <c r="F446" s="146" t="s">
        <v>604</v>
      </c>
      <c r="G446" s="121"/>
      <c r="H446" s="121"/>
      <c r="I446" s="148">
        <v>310</v>
      </c>
      <c r="J446" s="70"/>
      <c r="K446" s="121"/>
      <c r="L446" s="121"/>
      <c r="M446" s="121"/>
      <c r="N446" s="121"/>
      <c r="O446" s="93"/>
      <c r="P446" s="96"/>
      <c r="Q446" s="96"/>
      <c r="R446" s="96"/>
    </row>
    <row r="447" spans="1:18">
      <c r="A447" s="70">
        <v>800025</v>
      </c>
      <c r="B447" s="92" t="s">
        <v>611</v>
      </c>
      <c r="C447" s="70">
        <v>0</v>
      </c>
      <c r="D447" s="70">
        <v>80</v>
      </c>
      <c r="E447" s="71" t="s">
        <v>612</v>
      </c>
      <c r="F447" s="146" t="s">
        <v>603</v>
      </c>
      <c r="G447" s="121"/>
      <c r="H447" s="121"/>
      <c r="I447" s="148">
        <v>490</v>
      </c>
      <c r="J447" s="70"/>
      <c r="K447" s="121"/>
      <c r="L447" s="121"/>
      <c r="M447" s="121"/>
      <c r="N447" s="121"/>
      <c r="O447" s="93"/>
      <c r="P447" s="96"/>
      <c r="Q447" s="96"/>
      <c r="R447" s="96"/>
    </row>
    <row r="448" spans="1:18">
      <c r="A448" s="70">
        <v>800026</v>
      </c>
      <c r="B448" s="92" t="s">
        <v>171</v>
      </c>
      <c r="C448" s="70">
        <v>0</v>
      </c>
      <c r="D448" s="70">
        <v>80</v>
      </c>
      <c r="E448" s="71" t="s">
        <v>172</v>
      </c>
      <c r="F448" s="146" t="s">
        <v>603</v>
      </c>
      <c r="G448" s="121"/>
      <c r="H448" s="121"/>
      <c r="I448" s="148">
        <v>500</v>
      </c>
      <c r="J448" s="70"/>
      <c r="K448" s="121"/>
      <c r="L448" s="121"/>
      <c r="M448" s="121"/>
      <c r="N448" s="121"/>
      <c r="O448" s="93"/>
      <c r="P448" s="96"/>
      <c r="Q448" s="96"/>
      <c r="R448" s="96"/>
    </row>
    <row r="449" spans="1:18">
      <c r="A449" s="70">
        <v>800027</v>
      </c>
      <c r="B449" s="92" t="s">
        <v>159</v>
      </c>
      <c r="C449" s="70">
        <v>0</v>
      </c>
      <c r="D449" s="70">
        <v>80</v>
      </c>
      <c r="E449" s="71" t="s">
        <v>160</v>
      </c>
      <c r="F449" s="146" t="s">
        <v>603</v>
      </c>
      <c r="G449" s="121"/>
      <c r="H449" s="121"/>
      <c r="I449" s="148">
        <v>510</v>
      </c>
      <c r="J449" s="70"/>
      <c r="K449" s="121"/>
      <c r="L449" s="121"/>
      <c r="M449" s="121"/>
      <c r="N449" s="121"/>
      <c r="O449" s="93"/>
      <c r="P449" s="96"/>
      <c r="Q449" s="96"/>
      <c r="R449" s="96"/>
    </row>
    <row r="450" spans="1:18">
      <c r="A450" s="70">
        <v>800028</v>
      </c>
      <c r="B450" s="92" t="s">
        <v>290</v>
      </c>
      <c r="C450" s="70">
        <v>0</v>
      </c>
      <c r="D450" s="70">
        <v>80</v>
      </c>
      <c r="E450" s="71" t="s">
        <v>291</v>
      </c>
      <c r="F450" s="146" t="s">
        <v>603</v>
      </c>
      <c r="G450" s="121"/>
      <c r="H450" s="121"/>
      <c r="I450" s="148">
        <v>520</v>
      </c>
      <c r="J450" s="70"/>
      <c r="K450" s="121"/>
      <c r="L450" s="121"/>
      <c r="M450" s="121"/>
      <c r="N450" s="121"/>
      <c r="O450" s="93"/>
      <c r="P450" s="96"/>
      <c r="Q450" s="96"/>
      <c r="R450" s="96"/>
    </row>
    <row r="451" spans="1:18">
      <c r="A451" s="70">
        <v>800029</v>
      </c>
      <c r="B451" s="92" t="s">
        <v>147</v>
      </c>
      <c r="C451" s="70">
        <v>0</v>
      </c>
      <c r="D451" s="70">
        <v>80</v>
      </c>
      <c r="E451" s="71" t="s">
        <v>148</v>
      </c>
      <c r="F451" s="146" t="s">
        <v>602</v>
      </c>
      <c r="G451" s="121"/>
      <c r="H451" s="121"/>
      <c r="I451" s="148">
        <v>70</v>
      </c>
      <c r="J451" s="70"/>
      <c r="K451" s="121"/>
      <c r="L451" s="121"/>
      <c r="M451" s="121"/>
      <c r="N451" s="121"/>
      <c r="O451" s="93"/>
      <c r="P451" s="96"/>
      <c r="Q451" s="96"/>
      <c r="R451" s="96"/>
    </row>
    <row r="452" s="47" customFormat="1" spans="1:18">
      <c r="A452" s="70">
        <v>800030</v>
      </c>
      <c r="B452" s="92" t="s">
        <v>613</v>
      </c>
      <c r="C452" s="70">
        <v>0</v>
      </c>
      <c r="D452" s="70">
        <v>80</v>
      </c>
      <c r="E452" s="71" t="s">
        <v>614</v>
      </c>
      <c r="F452" s="146" t="s">
        <v>601</v>
      </c>
      <c r="G452" s="147"/>
      <c r="H452" s="147"/>
      <c r="I452" s="148">
        <v>160</v>
      </c>
      <c r="J452" s="70"/>
      <c r="K452" s="147"/>
      <c r="L452" s="147"/>
      <c r="M452" s="147"/>
      <c r="N452" s="147"/>
      <c r="O452" s="94"/>
      <c r="P452" s="95"/>
      <c r="Q452" s="95"/>
      <c r="R452" s="95"/>
    </row>
    <row r="453" s="47" customFormat="1" spans="1:18">
      <c r="A453" s="70">
        <v>800031</v>
      </c>
      <c r="B453" s="92" t="s">
        <v>615</v>
      </c>
      <c r="C453" s="70">
        <v>0</v>
      </c>
      <c r="D453" s="70">
        <v>80</v>
      </c>
      <c r="E453" s="71" t="s">
        <v>616</v>
      </c>
      <c r="F453" s="146" t="s">
        <v>602</v>
      </c>
      <c r="G453" s="147"/>
      <c r="H453" s="147"/>
      <c r="I453" s="148">
        <v>80</v>
      </c>
      <c r="J453" s="70"/>
      <c r="K453" s="147"/>
      <c r="L453" s="147"/>
      <c r="M453" s="147"/>
      <c r="N453" s="147"/>
      <c r="O453" s="94"/>
      <c r="P453" s="95"/>
      <c r="Q453" s="95"/>
      <c r="R453" s="95"/>
    </row>
    <row r="454" s="47" customFormat="1" spans="1:18">
      <c r="A454" s="70">
        <v>800032</v>
      </c>
      <c r="B454" s="92" t="s">
        <v>206</v>
      </c>
      <c r="C454" s="70">
        <v>0</v>
      </c>
      <c r="D454" s="70">
        <v>80</v>
      </c>
      <c r="E454" s="71" t="s">
        <v>207</v>
      </c>
      <c r="F454" s="146" t="s">
        <v>601</v>
      </c>
      <c r="G454" s="147"/>
      <c r="H454" s="147"/>
      <c r="I454" s="148">
        <v>170</v>
      </c>
      <c r="J454" s="70"/>
      <c r="K454" s="147"/>
      <c r="L454" s="147"/>
      <c r="M454" s="147"/>
      <c r="N454" s="147"/>
      <c r="O454" s="94"/>
      <c r="P454" s="95"/>
      <c r="Q454" s="95"/>
      <c r="R454" s="95"/>
    </row>
    <row r="455" s="47" customFormat="1" spans="1:18">
      <c r="A455" s="70">
        <v>800033</v>
      </c>
      <c r="B455" s="92" t="s">
        <v>617</v>
      </c>
      <c r="C455" s="70">
        <v>0</v>
      </c>
      <c r="D455" s="70">
        <v>80</v>
      </c>
      <c r="E455" s="71" t="s">
        <v>618</v>
      </c>
      <c r="F455" s="146" t="s">
        <v>602</v>
      </c>
      <c r="G455" s="147"/>
      <c r="H455" s="147"/>
      <c r="I455" s="148">
        <v>90</v>
      </c>
      <c r="J455" s="70"/>
      <c r="K455" s="147"/>
      <c r="L455" s="147"/>
      <c r="M455" s="147"/>
      <c r="N455" s="147"/>
      <c r="O455" s="94"/>
      <c r="P455" s="95"/>
      <c r="Q455" s="95"/>
      <c r="R455" s="95"/>
    </row>
    <row r="456" s="47" customFormat="1" spans="1:18">
      <c r="A456" s="70">
        <v>800034</v>
      </c>
      <c r="B456" s="92" t="s">
        <v>619</v>
      </c>
      <c r="C456" s="70">
        <v>0</v>
      </c>
      <c r="D456" s="70">
        <v>80</v>
      </c>
      <c r="E456" s="71" t="s">
        <v>620</v>
      </c>
      <c r="F456" s="146" t="s">
        <v>602</v>
      </c>
      <c r="G456" s="147"/>
      <c r="H456" s="147"/>
      <c r="I456" s="148">
        <v>100</v>
      </c>
      <c r="J456" s="70"/>
      <c r="K456" s="147"/>
      <c r="L456" s="147"/>
      <c r="M456" s="147"/>
      <c r="N456" s="147"/>
      <c r="O456" s="94"/>
      <c r="P456" s="95"/>
      <c r="Q456" s="95"/>
      <c r="R456" s="95"/>
    </row>
    <row r="457" s="47" customFormat="1" spans="1:18">
      <c r="A457" s="70">
        <v>800035</v>
      </c>
      <c r="B457" s="92" t="s">
        <v>208</v>
      </c>
      <c r="C457" s="70">
        <v>0</v>
      </c>
      <c r="D457" s="70">
        <v>80</v>
      </c>
      <c r="E457" s="71" t="s">
        <v>209</v>
      </c>
      <c r="F457" s="146" t="s">
        <v>600</v>
      </c>
      <c r="G457" s="147"/>
      <c r="H457" s="147"/>
      <c r="I457" s="148">
        <v>400</v>
      </c>
      <c r="J457" s="70"/>
      <c r="K457" s="147"/>
      <c r="L457" s="147"/>
      <c r="M457" s="147"/>
      <c r="N457" s="147"/>
      <c r="O457" s="94"/>
      <c r="P457" s="95"/>
      <c r="Q457" s="95"/>
      <c r="R457" s="95"/>
    </row>
    <row r="458" s="47" customFormat="1" spans="1:18">
      <c r="A458" s="70">
        <v>800036</v>
      </c>
      <c r="B458" s="92" t="s">
        <v>621</v>
      </c>
      <c r="C458" s="70">
        <v>0</v>
      </c>
      <c r="D458" s="70">
        <v>80</v>
      </c>
      <c r="E458" s="71" t="s">
        <v>622</v>
      </c>
      <c r="F458" s="146" t="s">
        <v>601</v>
      </c>
      <c r="G458" s="147"/>
      <c r="H458" s="147"/>
      <c r="I458" s="148">
        <v>180</v>
      </c>
      <c r="J458" s="70"/>
      <c r="K458" s="147"/>
      <c r="L458" s="147"/>
      <c r="M458" s="147"/>
      <c r="N458" s="147"/>
      <c r="O458" s="94"/>
      <c r="P458" s="95"/>
      <c r="Q458" s="95"/>
      <c r="R458" s="95"/>
    </row>
    <row r="459" s="47" customFormat="1" spans="1:18">
      <c r="A459" s="70">
        <v>800037</v>
      </c>
      <c r="B459" s="92" t="s">
        <v>623</v>
      </c>
      <c r="C459" s="70">
        <v>0</v>
      </c>
      <c r="D459" s="70">
        <v>80</v>
      </c>
      <c r="E459" s="71" t="s">
        <v>624</v>
      </c>
      <c r="F459" s="146" t="s">
        <v>604</v>
      </c>
      <c r="G459" s="147"/>
      <c r="H459" s="147"/>
      <c r="I459" s="148">
        <v>320</v>
      </c>
      <c r="J459" s="70"/>
      <c r="K459" s="147"/>
      <c r="L459" s="147"/>
      <c r="M459" s="147"/>
      <c r="N459" s="147"/>
      <c r="O459" s="94"/>
      <c r="P459" s="95"/>
      <c r="Q459" s="95"/>
      <c r="R459" s="95"/>
    </row>
    <row r="460" s="47" customFormat="1" spans="1:18">
      <c r="A460" s="70">
        <v>800038</v>
      </c>
      <c r="B460" s="92" t="s">
        <v>625</v>
      </c>
      <c r="C460" s="70">
        <v>0</v>
      </c>
      <c r="D460" s="70">
        <v>80</v>
      </c>
      <c r="E460" s="71" t="s">
        <v>626</v>
      </c>
      <c r="F460" s="146" t="s">
        <v>601</v>
      </c>
      <c r="G460" s="147"/>
      <c r="H460" s="147"/>
      <c r="I460" s="148">
        <v>190</v>
      </c>
      <c r="J460" s="70"/>
      <c r="K460" s="147"/>
      <c r="L460" s="147"/>
      <c r="M460" s="147"/>
      <c r="N460" s="147"/>
      <c r="O460" s="94"/>
      <c r="P460" s="95"/>
      <c r="Q460" s="95"/>
      <c r="R460" s="95"/>
    </row>
    <row r="461" s="47" customFormat="1" spans="1:18">
      <c r="A461" s="70">
        <v>800039</v>
      </c>
      <c r="B461" s="92" t="s">
        <v>627</v>
      </c>
      <c r="C461" s="70">
        <v>0</v>
      </c>
      <c r="D461" s="70">
        <v>80</v>
      </c>
      <c r="E461" s="71" t="s">
        <v>628</v>
      </c>
      <c r="F461" s="146" t="s">
        <v>629</v>
      </c>
      <c r="G461" s="147"/>
      <c r="H461" s="147"/>
      <c r="I461" s="148">
        <v>430</v>
      </c>
      <c r="J461" s="70"/>
      <c r="K461" s="147"/>
      <c r="L461" s="147"/>
      <c r="M461" s="147"/>
      <c r="N461" s="147"/>
      <c r="O461" s="94"/>
      <c r="P461" s="95"/>
      <c r="Q461" s="95"/>
      <c r="R461" s="95"/>
    </row>
    <row r="462" s="47" customFormat="1" spans="1:18">
      <c r="A462" s="70">
        <v>800040</v>
      </c>
      <c r="B462" s="92" t="s">
        <v>630</v>
      </c>
      <c r="C462" s="70">
        <v>0</v>
      </c>
      <c r="D462" s="70">
        <v>80</v>
      </c>
      <c r="E462" s="71" t="s">
        <v>631</v>
      </c>
      <c r="F462" s="146" t="s">
        <v>632</v>
      </c>
      <c r="G462" s="95"/>
      <c r="H462" s="70"/>
      <c r="I462" s="148">
        <v>590</v>
      </c>
      <c r="J462" s="70"/>
      <c r="K462" s="70"/>
      <c r="L462" s="70"/>
      <c r="M462" s="70"/>
      <c r="N462" s="70"/>
      <c r="O462" s="94"/>
      <c r="P462" s="70"/>
      <c r="Q462" s="95"/>
      <c r="R462" s="95"/>
    </row>
    <row r="463" s="47" customFormat="1" spans="1:18">
      <c r="A463" s="70">
        <v>800041</v>
      </c>
      <c r="B463" s="92" t="s">
        <v>633</v>
      </c>
      <c r="C463" s="70">
        <v>0</v>
      </c>
      <c r="D463" s="70">
        <v>80</v>
      </c>
      <c r="E463" s="71" t="s">
        <v>634</v>
      </c>
      <c r="F463" s="146" t="s">
        <v>632</v>
      </c>
      <c r="G463" s="95"/>
      <c r="H463" s="70"/>
      <c r="I463" s="148">
        <v>600</v>
      </c>
      <c r="J463" s="70"/>
      <c r="K463" s="70"/>
      <c r="L463" s="70"/>
      <c r="M463" s="70"/>
      <c r="N463" s="70"/>
      <c r="O463" s="94"/>
      <c r="P463" s="70"/>
      <c r="Q463" s="95"/>
      <c r="R463" s="95"/>
    </row>
    <row r="464" s="47" customFormat="1" spans="1:18">
      <c r="A464" s="70">
        <v>800042</v>
      </c>
      <c r="B464" s="92" t="s">
        <v>635</v>
      </c>
      <c r="C464" s="70">
        <v>0</v>
      </c>
      <c r="D464" s="70">
        <v>80</v>
      </c>
      <c r="E464" s="71" t="s">
        <v>636</v>
      </c>
      <c r="F464" s="146" t="s">
        <v>632</v>
      </c>
      <c r="G464" s="95"/>
      <c r="H464" s="70"/>
      <c r="I464" s="148">
        <v>610</v>
      </c>
      <c r="J464" s="70"/>
      <c r="K464" s="70"/>
      <c r="L464" s="70"/>
      <c r="M464" s="70"/>
      <c r="N464" s="70"/>
      <c r="O464" s="94"/>
      <c r="P464" s="70"/>
      <c r="Q464" s="95"/>
      <c r="R464" s="95"/>
    </row>
    <row r="465" s="47" customFormat="1" spans="1:18">
      <c r="A465" s="70">
        <v>800043</v>
      </c>
      <c r="B465" s="92" t="s">
        <v>247</v>
      </c>
      <c r="C465" s="70">
        <v>0</v>
      </c>
      <c r="D465" s="70">
        <v>80</v>
      </c>
      <c r="E465" s="71" t="s">
        <v>248</v>
      </c>
      <c r="F465" s="146" t="s">
        <v>632</v>
      </c>
      <c r="G465" s="95"/>
      <c r="H465" s="70"/>
      <c r="I465" s="148">
        <v>620</v>
      </c>
      <c r="J465" s="70"/>
      <c r="K465" s="70"/>
      <c r="L465" s="70"/>
      <c r="M465" s="70"/>
      <c r="N465" s="70"/>
      <c r="O465" s="94"/>
      <c r="P465" s="70"/>
      <c r="Q465" s="95"/>
      <c r="R465" s="95"/>
    </row>
    <row r="466" s="47" customFormat="1" spans="1:18">
      <c r="A466" s="70">
        <v>800044</v>
      </c>
      <c r="B466" s="92" t="s">
        <v>637</v>
      </c>
      <c r="C466" s="70">
        <v>0</v>
      </c>
      <c r="D466" s="70">
        <v>80</v>
      </c>
      <c r="E466" s="71" t="s">
        <v>638</v>
      </c>
      <c r="F466" s="146" t="s">
        <v>632</v>
      </c>
      <c r="G466" s="95"/>
      <c r="H466" s="70"/>
      <c r="I466" s="148">
        <v>630</v>
      </c>
      <c r="J466" s="70"/>
      <c r="K466" s="70"/>
      <c r="L466" s="70"/>
      <c r="M466" s="70"/>
      <c r="N466" s="70"/>
      <c r="O466" s="94"/>
      <c r="P466" s="70"/>
      <c r="Q466" s="95"/>
      <c r="R466" s="95"/>
    </row>
    <row r="467" s="47" customFormat="1" spans="1:18">
      <c r="A467" s="70">
        <v>800045</v>
      </c>
      <c r="B467" s="92" t="s">
        <v>639</v>
      </c>
      <c r="C467" s="70">
        <v>0</v>
      </c>
      <c r="D467" s="70">
        <v>80</v>
      </c>
      <c r="E467" s="71" t="s">
        <v>640</v>
      </c>
      <c r="F467" s="146" t="s">
        <v>632</v>
      </c>
      <c r="G467" s="95"/>
      <c r="H467" s="70"/>
      <c r="I467" s="148">
        <v>640</v>
      </c>
      <c r="J467" s="70"/>
      <c r="K467" s="70"/>
      <c r="L467" s="70"/>
      <c r="M467" s="70"/>
      <c r="N467" s="70"/>
      <c r="O467" s="94"/>
      <c r="P467" s="70"/>
      <c r="Q467" s="95"/>
      <c r="R467" s="95"/>
    </row>
    <row r="468" s="47" customFormat="1" spans="1:18">
      <c r="A468" s="70">
        <v>800046</v>
      </c>
      <c r="B468" s="92" t="s">
        <v>242</v>
      </c>
      <c r="C468" s="70">
        <v>0</v>
      </c>
      <c r="D468" s="70">
        <v>80</v>
      </c>
      <c r="E468" s="71" t="s">
        <v>641</v>
      </c>
      <c r="F468" s="146" t="s">
        <v>632</v>
      </c>
      <c r="G468" s="95"/>
      <c r="H468" s="70"/>
      <c r="I468" s="148">
        <v>650</v>
      </c>
      <c r="J468" s="70"/>
      <c r="K468" s="70"/>
      <c r="L468" s="70"/>
      <c r="M468" s="70"/>
      <c r="N468" s="70"/>
      <c r="O468" s="94"/>
      <c r="P468" s="95"/>
      <c r="Q468" s="95"/>
      <c r="R468" s="95"/>
    </row>
    <row r="469" s="47" customFormat="1" spans="1:18">
      <c r="A469" s="70">
        <v>800047</v>
      </c>
      <c r="B469" s="92" t="s">
        <v>642</v>
      </c>
      <c r="C469" s="70">
        <v>0</v>
      </c>
      <c r="D469" s="70">
        <v>80</v>
      </c>
      <c r="E469" s="71" t="s">
        <v>643</v>
      </c>
      <c r="F469" s="146" t="s">
        <v>632</v>
      </c>
      <c r="G469" s="95"/>
      <c r="H469" s="70"/>
      <c r="I469" s="148">
        <v>660</v>
      </c>
      <c r="J469" s="70"/>
      <c r="K469" s="70"/>
      <c r="L469" s="70"/>
      <c r="M469" s="70"/>
      <c r="N469" s="70"/>
      <c r="O469" s="94"/>
      <c r="P469" s="95"/>
      <c r="Q469" s="95"/>
      <c r="R469" s="95"/>
    </row>
    <row r="470" s="47" customFormat="1" spans="1:18">
      <c r="A470" s="70">
        <v>800048</v>
      </c>
      <c r="B470" s="92" t="s">
        <v>244</v>
      </c>
      <c r="C470" s="70">
        <v>0</v>
      </c>
      <c r="D470" s="70">
        <v>80</v>
      </c>
      <c r="E470" s="71" t="s">
        <v>245</v>
      </c>
      <c r="F470" s="146" t="s">
        <v>632</v>
      </c>
      <c r="G470" s="95"/>
      <c r="H470" s="70"/>
      <c r="I470" s="148">
        <v>670</v>
      </c>
      <c r="J470" s="70"/>
      <c r="K470" s="70"/>
      <c r="L470" s="70"/>
      <c r="M470" s="70"/>
      <c r="N470" s="70"/>
      <c r="O470" s="94"/>
      <c r="P470" s="95"/>
      <c r="Q470" s="95"/>
      <c r="R470" s="95"/>
    </row>
    <row r="471" s="47" customFormat="1" spans="1:18">
      <c r="A471" s="70">
        <v>800049</v>
      </c>
      <c r="B471" s="92" t="s">
        <v>249</v>
      </c>
      <c r="C471" s="70">
        <v>0</v>
      </c>
      <c r="D471" s="70">
        <v>80</v>
      </c>
      <c r="E471" s="71" t="s">
        <v>250</v>
      </c>
      <c r="F471" s="146" t="s">
        <v>644</v>
      </c>
      <c r="G471" s="95"/>
      <c r="H471" s="70"/>
      <c r="I471" s="148">
        <v>530</v>
      </c>
      <c r="J471" s="70"/>
      <c r="K471" s="70"/>
      <c r="L471" s="70"/>
      <c r="M471" s="70"/>
      <c r="N471" s="70"/>
      <c r="O471" s="94"/>
      <c r="P471" s="95"/>
      <c r="Q471" s="95"/>
      <c r="R471" s="95"/>
    </row>
    <row r="472" s="47" customFormat="1" spans="1:18">
      <c r="A472" s="70">
        <v>800050</v>
      </c>
      <c r="B472" s="92" t="s">
        <v>645</v>
      </c>
      <c r="C472" s="70">
        <v>0</v>
      </c>
      <c r="D472" s="70">
        <v>80</v>
      </c>
      <c r="E472" s="71" t="s">
        <v>646</v>
      </c>
      <c r="F472" s="146" t="s">
        <v>644</v>
      </c>
      <c r="G472" s="95"/>
      <c r="H472" s="147"/>
      <c r="I472" s="148">
        <v>540</v>
      </c>
      <c r="J472" s="70"/>
      <c r="K472" s="70"/>
      <c r="L472" s="70"/>
      <c r="M472" s="70"/>
      <c r="N472" s="70"/>
      <c r="O472" s="94"/>
      <c r="P472" s="95"/>
      <c r="Q472" s="95"/>
      <c r="R472" s="95"/>
    </row>
    <row r="473" s="47" customFormat="1" spans="1:18">
      <c r="A473" s="70">
        <v>800051</v>
      </c>
      <c r="B473" s="92" t="s">
        <v>647</v>
      </c>
      <c r="C473" s="70">
        <v>0</v>
      </c>
      <c r="D473" s="70">
        <v>80</v>
      </c>
      <c r="E473" s="71" t="s">
        <v>648</v>
      </c>
      <c r="F473" s="146" t="s">
        <v>644</v>
      </c>
      <c r="G473" s="95"/>
      <c r="H473" s="70"/>
      <c r="I473" s="148">
        <v>550</v>
      </c>
      <c r="J473" s="70"/>
      <c r="K473" s="70"/>
      <c r="L473" s="70"/>
      <c r="M473" s="70"/>
      <c r="N473" s="70"/>
      <c r="O473" s="94"/>
      <c r="P473" s="95"/>
      <c r="Q473" s="95"/>
      <c r="R473" s="95"/>
    </row>
    <row r="474" s="47" customFormat="1" spans="1:18">
      <c r="A474" s="70">
        <v>800052</v>
      </c>
      <c r="B474" s="92" t="s">
        <v>252</v>
      </c>
      <c r="C474" s="70">
        <v>0</v>
      </c>
      <c r="D474" s="70">
        <v>80</v>
      </c>
      <c r="E474" s="71" t="s">
        <v>253</v>
      </c>
      <c r="F474" s="146" t="s">
        <v>644</v>
      </c>
      <c r="G474" s="95"/>
      <c r="H474" s="70"/>
      <c r="I474" s="148">
        <v>560</v>
      </c>
      <c r="J474" s="70"/>
      <c r="K474" s="70"/>
      <c r="L474" s="70"/>
      <c r="M474" s="70"/>
      <c r="N474" s="70"/>
      <c r="O474" s="94"/>
      <c r="P474" s="95"/>
      <c r="Q474" s="95"/>
      <c r="R474" s="95"/>
    </row>
    <row r="475" s="47" customFormat="1" spans="1:18">
      <c r="A475" s="70">
        <v>800053</v>
      </c>
      <c r="B475" s="92" t="s">
        <v>649</v>
      </c>
      <c r="C475" s="70">
        <v>0</v>
      </c>
      <c r="D475" s="70">
        <v>80</v>
      </c>
      <c r="E475" s="71" t="s">
        <v>650</v>
      </c>
      <c r="F475" s="146" t="s">
        <v>644</v>
      </c>
      <c r="G475" s="95"/>
      <c r="H475" s="70"/>
      <c r="I475" s="148">
        <v>570</v>
      </c>
      <c r="J475" s="70"/>
      <c r="K475" s="70"/>
      <c r="L475" s="70"/>
      <c r="M475" s="70"/>
      <c r="N475" s="70"/>
      <c r="O475" s="94"/>
      <c r="P475" s="95"/>
      <c r="Q475" s="95"/>
      <c r="R475" s="95"/>
    </row>
    <row r="476" s="47" customFormat="1" spans="1:18">
      <c r="A476" s="70">
        <v>800054</v>
      </c>
      <c r="B476" s="147" t="s">
        <v>651</v>
      </c>
      <c r="C476" s="70">
        <v>0</v>
      </c>
      <c r="D476" s="70">
        <v>80</v>
      </c>
      <c r="E476" s="71" t="s">
        <v>652</v>
      </c>
      <c r="F476" s="146" t="s">
        <v>644</v>
      </c>
      <c r="G476" s="95"/>
      <c r="H476" s="70"/>
      <c r="I476" s="148">
        <v>580</v>
      </c>
      <c r="J476" s="70"/>
      <c r="K476" s="70"/>
      <c r="L476" s="70"/>
      <c r="M476" s="70"/>
      <c r="N476" s="70"/>
      <c r="O476" s="94"/>
      <c r="P476" s="95"/>
      <c r="Q476" s="95"/>
      <c r="R476" s="95"/>
    </row>
    <row r="477" spans="1:18">
      <c r="A477" s="70">
        <v>800055</v>
      </c>
      <c r="B477" s="70" t="s">
        <v>653</v>
      </c>
      <c r="C477" s="70">
        <v>0</v>
      </c>
      <c r="D477" s="70">
        <v>80</v>
      </c>
      <c r="E477" s="70" t="s">
        <v>654</v>
      </c>
      <c r="F477" s="146" t="s">
        <v>600</v>
      </c>
      <c r="G477" s="70"/>
      <c r="H477" s="70"/>
      <c r="I477" s="148">
        <v>410</v>
      </c>
      <c r="J477" s="70"/>
      <c r="K477" s="121"/>
      <c r="L477" s="121"/>
      <c r="M477" s="121"/>
      <c r="N477" s="121"/>
      <c r="O477" s="93"/>
      <c r="P477" s="96"/>
      <c r="Q477" s="96"/>
      <c r="R477" s="96"/>
    </row>
    <row r="478" spans="1:18">
      <c r="A478" s="70">
        <v>800056</v>
      </c>
      <c r="B478" s="70" t="s">
        <v>655</v>
      </c>
      <c r="C478" s="70">
        <v>0</v>
      </c>
      <c r="D478" s="70">
        <v>80</v>
      </c>
      <c r="E478" s="70" t="s">
        <v>656</v>
      </c>
      <c r="F478" s="146" t="s">
        <v>604</v>
      </c>
      <c r="G478" s="70"/>
      <c r="H478" s="70"/>
      <c r="I478" s="148">
        <v>330</v>
      </c>
      <c r="J478" s="70"/>
      <c r="K478" s="121"/>
      <c r="L478" s="121"/>
      <c r="M478" s="121"/>
      <c r="N478" s="121"/>
      <c r="O478" s="93"/>
      <c r="P478" s="96"/>
      <c r="Q478" s="96"/>
      <c r="R478" s="96"/>
    </row>
    <row r="479" spans="1:18">
      <c r="A479" s="70">
        <v>800057</v>
      </c>
      <c r="B479" s="70" t="s">
        <v>657</v>
      </c>
      <c r="C479" s="70">
        <v>0</v>
      </c>
      <c r="D479" s="70">
        <v>80</v>
      </c>
      <c r="E479" s="70" t="s">
        <v>658</v>
      </c>
      <c r="F479" s="146" t="s">
        <v>601</v>
      </c>
      <c r="G479" s="70"/>
      <c r="H479" s="70"/>
      <c r="I479" s="148">
        <v>200</v>
      </c>
      <c r="J479" s="70"/>
      <c r="K479" s="96"/>
      <c r="L479" s="96"/>
      <c r="M479" s="96"/>
      <c r="N479" s="96"/>
      <c r="O479" s="109"/>
      <c r="P479" s="64"/>
      <c r="Q479" s="96"/>
      <c r="R479" s="96"/>
    </row>
    <row r="480" spans="1:18">
      <c r="A480" s="70">
        <v>800058</v>
      </c>
      <c r="B480" s="70" t="s">
        <v>659</v>
      </c>
      <c r="C480" s="70">
        <v>0</v>
      </c>
      <c r="D480" s="70">
        <v>80</v>
      </c>
      <c r="E480" s="107" t="s">
        <v>660</v>
      </c>
      <c r="F480" s="146" t="s">
        <v>602</v>
      </c>
      <c r="G480" s="70"/>
      <c r="H480" s="70"/>
      <c r="I480" s="148">
        <v>110</v>
      </c>
      <c r="J480" s="70"/>
      <c r="K480" s="96"/>
      <c r="L480" s="96"/>
      <c r="M480" s="96"/>
      <c r="N480" s="96"/>
      <c r="O480" s="109"/>
      <c r="P480" s="64"/>
      <c r="Q480" s="96"/>
      <c r="R480" s="96"/>
    </row>
    <row r="481" spans="1:18">
      <c r="A481" s="70">
        <v>800059</v>
      </c>
      <c r="B481" s="70" t="s">
        <v>150</v>
      </c>
      <c r="C481" s="70">
        <v>0</v>
      </c>
      <c r="D481" s="70">
        <v>80</v>
      </c>
      <c r="E481" s="107" t="s">
        <v>151</v>
      </c>
      <c r="F481" s="146" t="s">
        <v>601</v>
      </c>
      <c r="G481" s="70"/>
      <c r="H481" s="70"/>
      <c r="I481" s="148">
        <v>210</v>
      </c>
      <c r="J481" s="70"/>
      <c r="K481" s="96"/>
      <c r="L481" s="96"/>
      <c r="M481" s="96"/>
      <c r="N481" s="96"/>
      <c r="O481" s="109"/>
      <c r="P481" s="64"/>
      <c r="Q481" s="96"/>
      <c r="R481" s="96"/>
    </row>
    <row r="482" spans="1:18">
      <c r="A482" s="70">
        <v>800060</v>
      </c>
      <c r="B482" s="70" t="s">
        <v>661</v>
      </c>
      <c r="C482" s="70">
        <v>0</v>
      </c>
      <c r="D482" s="70">
        <v>80</v>
      </c>
      <c r="E482" s="107" t="s">
        <v>662</v>
      </c>
      <c r="F482" s="146" t="s">
        <v>601</v>
      </c>
      <c r="G482" s="70"/>
      <c r="H482" s="70"/>
      <c r="I482" s="148">
        <v>220</v>
      </c>
      <c r="J482" s="70"/>
      <c r="K482" s="96"/>
      <c r="L482" s="96"/>
      <c r="M482" s="96"/>
      <c r="N482" s="96"/>
      <c r="O482" s="109"/>
      <c r="P482" s="64"/>
      <c r="Q482" s="96"/>
      <c r="R482" s="96"/>
    </row>
    <row r="483" s="46" customFormat="1" spans="1:18">
      <c r="A483" s="69">
        <v>800061</v>
      </c>
      <c r="B483" s="69" t="s">
        <v>663</v>
      </c>
      <c r="C483" s="69">
        <v>0</v>
      </c>
      <c r="D483" s="69">
        <v>80</v>
      </c>
      <c r="E483" s="149" t="s">
        <v>664</v>
      </c>
      <c r="F483" s="146" t="s">
        <v>600</v>
      </c>
      <c r="G483" s="69"/>
      <c r="H483" s="69"/>
      <c r="I483" s="148">
        <v>420</v>
      </c>
      <c r="J483" s="70"/>
      <c r="K483" s="87"/>
      <c r="L483" s="87"/>
      <c r="M483" s="87"/>
      <c r="N483" s="87"/>
      <c r="O483" s="160"/>
      <c r="P483" s="69"/>
      <c r="Q483" s="87"/>
      <c r="R483" s="87"/>
    </row>
    <row r="484" s="46" customFormat="1" spans="1:18">
      <c r="A484" s="69">
        <v>800062</v>
      </c>
      <c r="B484" s="69" t="s">
        <v>665</v>
      </c>
      <c r="C484" s="69">
        <v>0</v>
      </c>
      <c r="D484" s="69">
        <v>80</v>
      </c>
      <c r="E484" s="149" t="s">
        <v>666</v>
      </c>
      <c r="F484" s="146" t="s">
        <v>601</v>
      </c>
      <c r="G484" s="69"/>
      <c r="H484" s="69"/>
      <c r="I484" s="148">
        <v>230</v>
      </c>
      <c r="J484" s="70"/>
      <c r="K484" s="87"/>
      <c r="L484" s="87"/>
      <c r="M484" s="87"/>
      <c r="N484" s="87"/>
      <c r="O484" s="160"/>
      <c r="P484" s="69"/>
      <c r="Q484" s="87"/>
      <c r="R484" s="87"/>
    </row>
    <row r="485" s="46" customFormat="1" spans="1:18">
      <c r="A485" s="69">
        <v>800063</v>
      </c>
      <c r="B485" s="69" t="s">
        <v>667</v>
      </c>
      <c r="C485" s="69">
        <v>0</v>
      </c>
      <c r="D485" s="69">
        <v>80</v>
      </c>
      <c r="E485" s="149" t="s">
        <v>668</v>
      </c>
      <c r="F485" s="146" t="s">
        <v>602</v>
      </c>
      <c r="G485" s="69"/>
      <c r="H485" s="69"/>
      <c r="I485" s="148">
        <v>130</v>
      </c>
      <c r="J485" s="70"/>
      <c r="K485" s="87"/>
      <c r="L485" s="87"/>
      <c r="M485" s="87"/>
      <c r="N485" s="87"/>
      <c r="O485" s="160"/>
      <c r="P485" s="69"/>
      <c r="Q485" s="87"/>
      <c r="R485" s="87"/>
    </row>
    <row r="486" s="46" customFormat="1" spans="1:18">
      <c r="A486" s="69">
        <v>800064</v>
      </c>
      <c r="B486" s="69" t="s">
        <v>669</v>
      </c>
      <c r="C486" s="69">
        <v>0</v>
      </c>
      <c r="D486" s="69">
        <v>80</v>
      </c>
      <c r="E486" s="149" t="s">
        <v>670</v>
      </c>
      <c r="F486" s="146" t="s">
        <v>601</v>
      </c>
      <c r="G486" s="69"/>
      <c r="H486" s="69"/>
      <c r="I486" s="148">
        <v>240</v>
      </c>
      <c r="J486" s="70"/>
      <c r="K486" s="87"/>
      <c r="L486" s="87"/>
      <c r="M486" s="87"/>
      <c r="N486" s="87"/>
      <c r="O486" s="160"/>
      <c r="P486" s="69"/>
      <c r="Q486" s="87"/>
      <c r="R486" s="87"/>
    </row>
    <row r="487" s="46" customFormat="1" spans="1:18">
      <c r="A487" s="148">
        <v>800065</v>
      </c>
      <c r="B487" s="148" t="s">
        <v>671</v>
      </c>
      <c r="C487" s="148">
        <v>0</v>
      </c>
      <c r="D487" s="148">
        <v>80</v>
      </c>
      <c r="E487" s="148" t="s">
        <v>672</v>
      </c>
      <c r="F487" s="146" t="s">
        <v>602</v>
      </c>
      <c r="G487" s="69"/>
      <c r="H487" s="69"/>
      <c r="I487" s="148">
        <v>140</v>
      </c>
      <c r="J487" s="70"/>
      <c r="K487" s="87"/>
      <c r="L487" s="87"/>
      <c r="M487" s="87"/>
      <c r="N487" s="87"/>
      <c r="O487" s="160"/>
      <c r="P487" s="69"/>
      <c r="Q487" s="87"/>
      <c r="R487" s="87"/>
    </row>
    <row r="488" s="46" customFormat="1" spans="1:18">
      <c r="A488" s="148">
        <v>800066</v>
      </c>
      <c r="B488" s="148" t="s">
        <v>673</v>
      </c>
      <c r="C488" s="148">
        <v>0</v>
      </c>
      <c r="D488" s="148">
        <v>80</v>
      </c>
      <c r="E488" s="71" t="s">
        <v>674</v>
      </c>
      <c r="F488" s="146" t="s">
        <v>602</v>
      </c>
      <c r="G488" s="69"/>
      <c r="H488" s="69"/>
      <c r="I488" s="148">
        <v>290</v>
      </c>
      <c r="J488" s="70"/>
      <c r="K488" s="87"/>
      <c r="L488" s="87"/>
      <c r="M488" s="87"/>
      <c r="N488" s="87"/>
      <c r="O488" s="160"/>
      <c r="P488" s="69"/>
      <c r="Q488" s="87"/>
      <c r="R488" s="87"/>
    </row>
    <row r="489" s="46" customFormat="1" spans="1:18">
      <c r="A489" s="148">
        <v>800067</v>
      </c>
      <c r="B489" s="150" t="s">
        <v>675</v>
      </c>
      <c r="C489" s="148">
        <v>0</v>
      </c>
      <c r="D489" s="148">
        <v>80</v>
      </c>
      <c r="E489" s="71" t="s">
        <v>676</v>
      </c>
      <c r="F489" s="146" t="s">
        <v>602</v>
      </c>
      <c r="G489" s="69"/>
      <c r="H489" s="69"/>
      <c r="I489" s="148">
        <v>120</v>
      </c>
      <c r="J489" s="70"/>
      <c r="K489" s="87"/>
      <c r="L489" s="87"/>
      <c r="M489" s="87"/>
      <c r="N489" s="87"/>
      <c r="O489" s="160"/>
      <c r="P489" s="69"/>
      <c r="Q489" s="87"/>
      <c r="R489" s="87"/>
    </row>
    <row r="490" s="46" customFormat="1" spans="1:18">
      <c r="A490" s="148">
        <v>800068</v>
      </c>
      <c r="B490" s="150" t="s">
        <v>677</v>
      </c>
      <c r="C490" s="148">
        <v>0</v>
      </c>
      <c r="D490" s="148">
        <v>80</v>
      </c>
      <c r="E490" s="71" t="s">
        <v>678</v>
      </c>
      <c r="F490" s="146" t="s">
        <v>602</v>
      </c>
      <c r="G490" s="69"/>
      <c r="H490" s="69"/>
      <c r="I490" s="148">
        <v>119</v>
      </c>
      <c r="J490" s="70"/>
      <c r="K490" s="87"/>
      <c r="L490" s="87"/>
      <c r="M490" s="87"/>
      <c r="N490" s="87"/>
      <c r="O490" s="160"/>
      <c r="P490" s="69"/>
      <c r="Q490" s="87"/>
      <c r="R490" s="87"/>
    </row>
    <row r="491" s="46" customFormat="1" spans="1:18">
      <c r="A491" s="148">
        <v>800069</v>
      </c>
      <c r="B491" s="150" t="s">
        <v>679</v>
      </c>
      <c r="C491" s="148">
        <v>0</v>
      </c>
      <c r="D491" s="148">
        <v>80</v>
      </c>
      <c r="E491" s="71" t="s">
        <v>680</v>
      </c>
      <c r="F491" s="146" t="s">
        <v>602</v>
      </c>
      <c r="G491" s="69"/>
      <c r="H491" s="69"/>
      <c r="I491" s="148">
        <v>159</v>
      </c>
      <c r="J491" s="70"/>
      <c r="K491" s="87"/>
      <c r="L491" s="87"/>
      <c r="M491" s="87"/>
      <c r="N491" s="87"/>
      <c r="O491" s="160"/>
      <c r="P491" s="69"/>
      <c r="Q491" s="87"/>
      <c r="R491" s="87"/>
    </row>
    <row r="492" s="46" customFormat="1" spans="1:18">
      <c r="A492" s="148">
        <v>800070</v>
      </c>
      <c r="B492" s="150" t="s">
        <v>681</v>
      </c>
      <c r="C492" s="148">
        <v>0</v>
      </c>
      <c r="D492" s="148">
        <v>80</v>
      </c>
      <c r="E492" s="71" t="s">
        <v>682</v>
      </c>
      <c r="F492" s="146" t="s">
        <v>602</v>
      </c>
      <c r="G492" s="69"/>
      <c r="H492" s="69"/>
      <c r="I492" s="148">
        <v>158</v>
      </c>
      <c r="J492" s="70"/>
      <c r="K492" s="87"/>
      <c r="L492" s="87"/>
      <c r="M492" s="87"/>
      <c r="N492" s="87"/>
      <c r="O492" s="160"/>
      <c r="P492" s="69"/>
      <c r="Q492" s="87"/>
      <c r="R492" s="87"/>
    </row>
    <row r="493" s="46" customFormat="1" spans="1:18">
      <c r="A493" s="148">
        <v>800071</v>
      </c>
      <c r="B493" s="150" t="s">
        <v>683</v>
      </c>
      <c r="C493" s="148">
        <v>0</v>
      </c>
      <c r="D493" s="148">
        <v>80</v>
      </c>
      <c r="E493" s="71" t="s">
        <v>684</v>
      </c>
      <c r="F493" s="146" t="s">
        <v>602</v>
      </c>
      <c r="G493" s="69"/>
      <c r="H493" s="69"/>
      <c r="I493" s="148">
        <v>157</v>
      </c>
      <c r="J493" s="70"/>
      <c r="K493" s="87"/>
      <c r="L493" s="87"/>
      <c r="M493" s="87"/>
      <c r="N493" s="87"/>
      <c r="O493" s="160"/>
      <c r="P493" s="69"/>
      <c r="Q493" s="87"/>
      <c r="R493" s="87"/>
    </row>
    <row r="494" s="46" customFormat="1" spans="1:18">
      <c r="A494" s="148">
        <v>800072</v>
      </c>
      <c r="B494" s="150" t="s">
        <v>685</v>
      </c>
      <c r="C494" s="148">
        <v>0</v>
      </c>
      <c r="D494" s="148">
        <v>80</v>
      </c>
      <c r="E494" s="71" t="s">
        <v>686</v>
      </c>
      <c r="F494" s="146" t="s">
        <v>602</v>
      </c>
      <c r="G494" s="69"/>
      <c r="H494" s="69"/>
      <c r="I494" s="148">
        <v>118</v>
      </c>
      <c r="J494" s="70"/>
      <c r="K494" s="87"/>
      <c r="L494" s="87"/>
      <c r="M494" s="87"/>
      <c r="N494" s="87"/>
      <c r="O494" s="160"/>
      <c r="P494" s="69"/>
      <c r="Q494" s="87"/>
      <c r="R494" s="87"/>
    </row>
    <row r="495" s="53" customFormat="1" spans="1:18">
      <c r="A495" s="151">
        <v>800073</v>
      </c>
      <c r="B495" s="152" t="s">
        <v>687</v>
      </c>
      <c r="C495" s="151">
        <v>0</v>
      </c>
      <c r="D495" s="151">
        <v>80</v>
      </c>
      <c r="E495" s="90" t="s">
        <v>688</v>
      </c>
      <c r="F495" s="91" t="s">
        <v>602</v>
      </c>
      <c r="G495" s="90"/>
      <c r="H495" s="90"/>
      <c r="I495" s="151">
        <v>156</v>
      </c>
      <c r="J495" s="90"/>
      <c r="K495" s="161"/>
      <c r="L495" s="161"/>
      <c r="M495" s="161"/>
      <c r="N495" s="161"/>
      <c r="O495" s="162"/>
      <c r="P495" s="90"/>
      <c r="Q495" s="161"/>
      <c r="R495" s="161"/>
    </row>
    <row r="496" s="53" customFormat="1" spans="1:18">
      <c r="A496" s="151">
        <v>800074</v>
      </c>
      <c r="B496" s="152" t="s">
        <v>689</v>
      </c>
      <c r="C496" s="151">
        <v>0</v>
      </c>
      <c r="D496" s="151">
        <v>80</v>
      </c>
      <c r="E496" s="90" t="s">
        <v>690</v>
      </c>
      <c r="F496" s="91" t="s">
        <v>602</v>
      </c>
      <c r="G496" s="90"/>
      <c r="H496" s="90"/>
      <c r="I496" s="151">
        <v>280</v>
      </c>
      <c r="J496" s="90"/>
      <c r="K496" s="161"/>
      <c r="L496" s="161"/>
      <c r="M496" s="161"/>
      <c r="N496" s="161"/>
      <c r="O496" s="162"/>
      <c r="P496" s="90"/>
      <c r="Q496" s="161"/>
      <c r="R496" s="161"/>
    </row>
    <row r="497" s="54" customFormat="1" spans="1:18">
      <c r="A497" s="151">
        <v>800075</v>
      </c>
      <c r="B497" s="153" t="s">
        <v>691</v>
      </c>
      <c r="C497" s="154">
        <v>0</v>
      </c>
      <c r="D497" s="154">
        <v>80</v>
      </c>
      <c r="E497" s="155" t="s">
        <v>692</v>
      </c>
      <c r="F497" s="156" t="s">
        <v>602</v>
      </c>
      <c r="G497" s="155"/>
      <c r="H497" s="155"/>
      <c r="I497" s="154">
        <v>69</v>
      </c>
      <c r="J497" s="155"/>
      <c r="K497" s="163"/>
      <c r="L497" s="163"/>
      <c r="M497" s="163"/>
      <c r="N497" s="163"/>
      <c r="O497" s="164"/>
      <c r="P497" s="155"/>
      <c r="Q497" s="163"/>
      <c r="R497" s="163"/>
    </row>
    <row r="498" s="54" customFormat="1" spans="1:18">
      <c r="A498" s="151">
        <v>800076</v>
      </c>
      <c r="B498" s="153" t="s">
        <v>693</v>
      </c>
      <c r="C498" s="154">
        <v>0</v>
      </c>
      <c r="D498" s="154">
        <v>80</v>
      </c>
      <c r="E498" s="155" t="s">
        <v>694</v>
      </c>
      <c r="F498" s="156" t="s">
        <v>602</v>
      </c>
      <c r="G498" s="155"/>
      <c r="H498" s="155"/>
      <c r="I498" s="154">
        <v>117</v>
      </c>
      <c r="J498" s="155"/>
      <c r="K498" s="163"/>
      <c r="L498" s="163"/>
      <c r="M498" s="163"/>
      <c r="N498" s="163"/>
      <c r="O498" s="164"/>
      <c r="P498" s="155"/>
      <c r="Q498" s="163"/>
      <c r="R498" s="163"/>
    </row>
    <row r="499" spans="1:18">
      <c r="A499" s="70">
        <v>900001</v>
      </c>
      <c r="B499" s="70" t="s">
        <v>113</v>
      </c>
      <c r="C499" s="70">
        <v>0</v>
      </c>
      <c r="D499" s="70">
        <v>90</v>
      </c>
      <c r="E499" s="70" t="s">
        <v>564</v>
      </c>
      <c r="F499" s="146" t="s">
        <v>330</v>
      </c>
      <c r="G499" s="70"/>
      <c r="H499" s="70"/>
      <c r="I499" s="70">
        <v>1</v>
      </c>
      <c r="J499" s="121"/>
      <c r="K499" s="96"/>
      <c r="L499" s="96"/>
      <c r="M499" s="96"/>
      <c r="N499" s="96"/>
      <c r="O499" s="109"/>
      <c r="P499" s="64"/>
      <c r="Q499" s="96"/>
      <c r="R499" s="96"/>
    </row>
    <row r="500" spans="1:18">
      <c r="A500" s="70">
        <v>900002</v>
      </c>
      <c r="B500" s="70" t="s">
        <v>695</v>
      </c>
      <c r="C500" s="70">
        <v>0</v>
      </c>
      <c r="D500" s="70">
        <v>90</v>
      </c>
      <c r="E500" s="70" t="s">
        <v>575</v>
      </c>
      <c r="F500" s="146" t="s">
        <v>330</v>
      </c>
      <c r="G500" s="70"/>
      <c r="H500" s="70"/>
      <c r="I500" s="70">
        <v>2</v>
      </c>
      <c r="J500" s="121"/>
      <c r="K500" s="96"/>
      <c r="L500" s="96"/>
      <c r="M500" s="96"/>
      <c r="N500" s="96"/>
      <c r="O500" s="109"/>
      <c r="P500" s="64"/>
      <c r="Q500" s="96"/>
      <c r="R500" s="96"/>
    </row>
    <row r="501" spans="1:18">
      <c r="A501" s="70">
        <v>900003</v>
      </c>
      <c r="B501" s="70" t="s">
        <v>118</v>
      </c>
      <c r="C501" s="70">
        <v>0</v>
      </c>
      <c r="D501" s="70">
        <v>90</v>
      </c>
      <c r="E501" s="70" t="s">
        <v>561</v>
      </c>
      <c r="F501" s="146" t="s">
        <v>330</v>
      </c>
      <c r="G501" s="70"/>
      <c r="H501" s="70"/>
      <c r="I501" s="70">
        <v>3</v>
      </c>
      <c r="J501" s="70"/>
      <c r="K501" s="96"/>
      <c r="L501" s="96"/>
      <c r="M501" s="96"/>
      <c r="N501" s="96"/>
      <c r="O501" s="67"/>
      <c r="P501" s="64"/>
      <c r="Q501" s="96"/>
      <c r="R501" s="96"/>
    </row>
    <row r="502" spans="1:18">
      <c r="A502" s="70">
        <v>900004</v>
      </c>
      <c r="B502" s="70" t="s">
        <v>463</v>
      </c>
      <c r="C502" s="70">
        <v>0</v>
      </c>
      <c r="D502" s="70">
        <v>90</v>
      </c>
      <c r="E502" s="70" t="s">
        <v>464</v>
      </c>
      <c r="F502" s="146" t="s">
        <v>696</v>
      </c>
      <c r="G502" s="70"/>
      <c r="H502" s="70"/>
      <c r="I502" s="70">
        <v>4</v>
      </c>
      <c r="J502" s="70"/>
      <c r="K502" s="96"/>
      <c r="L502" s="96"/>
      <c r="M502" s="96"/>
      <c r="N502" s="96"/>
      <c r="O502" s="67"/>
      <c r="P502" s="64"/>
      <c r="Q502" s="96"/>
      <c r="R502" s="96"/>
    </row>
    <row r="503" spans="1:18">
      <c r="A503" s="70">
        <v>900005</v>
      </c>
      <c r="B503" s="70" t="s">
        <v>697</v>
      </c>
      <c r="C503" s="70">
        <v>0</v>
      </c>
      <c r="D503" s="70">
        <v>90</v>
      </c>
      <c r="E503" s="70" t="s">
        <v>698</v>
      </c>
      <c r="F503" s="146" t="s">
        <v>570</v>
      </c>
      <c r="G503" s="70"/>
      <c r="H503" s="70"/>
      <c r="I503" s="70">
        <v>5</v>
      </c>
      <c r="J503" s="70"/>
      <c r="K503" s="96"/>
      <c r="L503" s="96"/>
      <c r="M503" s="96"/>
      <c r="N503" s="96"/>
      <c r="O503" s="67"/>
      <c r="P503" s="64"/>
      <c r="Q503" s="96"/>
      <c r="R503" s="96"/>
    </row>
    <row r="504" spans="1:18">
      <c r="A504" s="70">
        <v>900006</v>
      </c>
      <c r="B504" s="70" t="s">
        <v>185</v>
      </c>
      <c r="C504" s="70">
        <v>0</v>
      </c>
      <c r="D504" s="70">
        <v>90</v>
      </c>
      <c r="E504" s="70" t="s">
        <v>699</v>
      </c>
      <c r="F504" s="146" t="s">
        <v>330</v>
      </c>
      <c r="G504" s="70"/>
      <c r="H504" s="70"/>
      <c r="I504" s="70">
        <v>6</v>
      </c>
      <c r="J504" s="70"/>
      <c r="K504" s="96"/>
      <c r="L504" s="96"/>
      <c r="M504" s="96"/>
      <c r="N504" s="96"/>
      <c r="O504" s="67"/>
      <c r="P504" s="64"/>
      <c r="Q504" s="96"/>
      <c r="R504" s="96"/>
    </row>
    <row r="505" spans="1:18">
      <c r="A505" s="70">
        <v>900007</v>
      </c>
      <c r="B505" s="70" t="s">
        <v>198</v>
      </c>
      <c r="C505" s="70">
        <v>0</v>
      </c>
      <c r="D505" s="70">
        <v>90</v>
      </c>
      <c r="E505" s="70" t="s">
        <v>700</v>
      </c>
      <c r="F505" s="146" t="s">
        <v>330</v>
      </c>
      <c r="G505" s="70"/>
      <c r="H505" s="70"/>
      <c r="I505" s="70">
        <v>7</v>
      </c>
      <c r="J505" s="70"/>
      <c r="K505" s="96"/>
      <c r="L505" s="96"/>
      <c r="M505" s="96"/>
      <c r="N505" s="96"/>
      <c r="O505" s="67"/>
      <c r="P505" s="64"/>
      <c r="Q505" s="96"/>
      <c r="R505" s="96"/>
    </row>
    <row r="506" spans="1:18">
      <c r="A506" s="70">
        <v>1000001</v>
      </c>
      <c r="B506" s="70" t="s">
        <v>619</v>
      </c>
      <c r="C506" s="70">
        <v>0</v>
      </c>
      <c r="D506" s="70">
        <v>100</v>
      </c>
      <c r="E506" s="70" t="s">
        <v>620</v>
      </c>
      <c r="F506" s="146" t="s">
        <v>701</v>
      </c>
      <c r="G506" s="70"/>
      <c r="H506" s="70"/>
      <c r="I506" s="70">
        <v>4</v>
      </c>
      <c r="J506" s="70"/>
      <c r="K506" s="96"/>
      <c r="L506" s="96"/>
      <c r="M506" s="96"/>
      <c r="N506" s="96"/>
      <c r="O506" s="109"/>
      <c r="P506" s="64"/>
      <c r="Q506" s="96"/>
      <c r="R506" s="96"/>
    </row>
    <row r="507" spans="1:18">
      <c r="A507" s="70">
        <v>1000002</v>
      </c>
      <c r="B507" s="70" t="s">
        <v>623</v>
      </c>
      <c r="C507" s="70">
        <v>0</v>
      </c>
      <c r="D507" s="70">
        <v>100</v>
      </c>
      <c r="E507" s="70" t="s">
        <v>624</v>
      </c>
      <c r="F507" s="146" t="s">
        <v>701</v>
      </c>
      <c r="G507" s="70"/>
      <c r="H507" s="70"/>
      <c r="I507" s="70">
        <v>5</v>
      </c>
      <c r="J507" s="70"/>
      <c r="K507" s="96"/>
      <c r="L507" s="96"/>
      <c r="M507" s="96"/>
      <c r="N507" s="96"/>
      <c r="O507" s="109"/>
      <c r="P507" s="64"/>
      <c r="Q507" s="96"/>
      <c r="R507" s="96"/>
    </row>
    <row r="508" spans="1:18">
      <c r="A508" s="70">
        <v>1000003</v>
      </c>
      <c r="B508" s="70" t="s">
        <v>161</v>
      </c>
      <c r="C508" s="70">
        <v>0</v>
      </c>
      <c r="D508" s="70">
        <v>100</v>
      </c>
      <c r="E508" s="70" t="s">
        <v>162</v>
      </c>
      <c r="F508" s="146" t="s">
        <v>702</v>
      </c>
      <c r="G508" s="70"/>
      <c r="H508" s="70"/>
      <c r="I508" s="70">
        <v>6</v>
      </c>
      <c r="J508" s="96"/>
      <c r="K508" s="96"/>
      <c r="L508" s="96"/>
      <c r="M508" s="96"/>
      <c r="N508" s="96"/>
      <c r="O508" s="109"/>
      <c r="P508" s="64"/>
      <c r="Q508" s="96"/>
      <c r="R508" s="96"/>
    </row>
    <row r="509" spans="1:18">
      <c r="A509" s="70">
        <v>1000004</v>
      </c>
      <c r="B509" s="70" t="s">
        <v>703</v>
      </c>
      <c r="C509" s="70">
        <v>0</v>
      </c>
      <c r="D509" s="70">
        <v>100</v>
      </c>
      <c r="E509" s="70" t="s">
        <v>610</v>
      </c>
      <c r="F509" s="146" t="s">
        <v>702</v>
      </c>
      <c r="G509" s="70"/>
      <c r="H509" s="70"/>
      <c r="I509" s="70">
        <v>7</v>
      </c>
      <c r="J509" s="96"/>
      <c r="K509" s="96"/>
      <c r="L509" s="96"/>
      <c r="M509" s="96"/>
      <c r="N509" s="96"/>
      <c r="O509" s="109"/>
      <c r="P509" s="64"/>
      <c r="Q509" s="96"/>
      <c r="R509" s="96"/>
    </row>
    <row r="510" spans="1:18">
      <c r="A510" s="70">
        <v>1000005</v>
      </c>
      <c r="B510" s="157" t="s">
        <v>155</v>
      </c>
      <c r="C510" s="158">
        <v>0</v>
      </c>
      <c r="D510" s="158">
        <v>100</v>
      </c>
      <c r="E510" s="158" t="s">
        <v>156</v>
      </c>
      <c r="F510" s="159" t="s">
        <v>702</v>
      </c>
      <c r="G510" s="70"/>
      <c r="H510" s="70"/>
      <c r="I510" s="108">
        <v>8</v>
      </c>
      <c r="J510" s="96"/>
      <c r="K510" s="96"/>
      <c r="L510" s="96"/>
      <c r="M510" s="96"/>
      <c r="N510" s="96"/>
      <c r="O510" s="109"/>
      <c r="P510" s="64"/>
      <c r="Q510" s="96"/>
      <c r="R510" s="96"/>
    </row>
    <row r="511" spans="1:18">
      <c r="A511" s="70">
        <v>1000006</v>
      </c>
      <c r="B511" s="108" t="s">
        <v>704</v>
      </c>
      <c r="C511" s="70">
        <v>0</v>
      </c>
      <c r="D511" s="70">
        <v>100</v>
      </c>
      <c r="E511" s="65" t="s">
        <v>705</v>
      </c>
      <c r="F511" s="146" t="s">
        <v>706</v>
      </c>
      <c r="G511" s="70"/>
      <c r="H511" s="70"/>
      <c r="I511" s="108">
        <v>9</v>
      </c>
      <c r="J511" s="96"/>
      <c r="K511" s="96"/>
      <c r="L511" s="96"/>
      <c r="M511" s="96"/>
      <c r="N511" s="96"/>
      <c r="O511" s="109"/>
      <c r="P511" s="64"/>
      <c r="Q511" s="96"/>
      <c r="R511" s="96"/>
    </row>
    <row r="512" spans="1:18">
      <c r="A512" s="70">
        <v>1000007</v>
      </c>
      <c r="B512" s="108" t="s">
        <v>707</v>
      </c>
      <c r="C512" s="70">
        <v>0</v>
      </c>
      <c r="D512" s="70">
        <v>100</v>
      </c>
      <c r="E512" s="65" t="s">
        <v>345</v>
      </c>
      <c r="F512" s="146" t="s">
        <v>706</v>
      </c>
      <c r="G512" s="70"/>
      <c r="H512" s="70"/>
      <c r="I512" s="108">
        <v>10</v>
      </c>
      <c r="J512" s="96"/>
      <c r="K512" s="96"/>
      <c r="L512" s="96"/>
      <c r="M512" s="96"/>
      <c r="N512" s="96"/>
      <c r="O512" s="109"/>
      <c r="P512" s="64"/>
      <c r="Q512" s="96"/>
      <c r="R512" s="96"/>
    </row>
    <row r="513" spans="1:18">
      <c r="A513" s="108">
        <v>1000008</v>
      </c>
      <c r="B513" s="108" t="s">
        <v>708</v>
      </c>
      <c r="C513" s="108">
        <v>0</v>
      </c>
      <c r="D513" s="108">
        <v>100</v>
      </c>
      <c r="E513" s="165" t="s">
        <v>709</v>
      </c>
      <c r="F513" s="166" t="s">
        <v>706</v>
      </c>
      <c r="G513" s="108"/>
      <c r="H513" s="108"/>
      <c r="I513" s="108">
        <v>12</v>
      </c>
      <c r="J513" s="96"/>
      <c r="K513" s="96"/>
      <c r="L513" s="96"/>
      <c r="M513" s="96"/>
      <c r="N513" s="96"/>
      <c r="O513" s="109"/>
      <c r="P513" s="64"/>
      <c r="Q513" s="96"/>
      <c r="R513" s="96"/>
    </row>
    <row r="514" spans="1:18">
      <c r="A514" s="108">
        <v>1000009</v>
      </c>
      <c r="B514" s="108" t="s">
        <v>710</v>
      </c>
      <c r="C514" s="108">
        <v>0</v>
      </c>
      <c r="D514" s="108">
        <v>100</v>
      </c>
      <c r="E514" s="165" t="s">
        <v>341</v>
      </c>
      <c r="F514" s="166" t="s">
        <v>706</v>
      </c>
      <c r="G514" s="108"/>
      <c r="H514" s="108"/>
      <c r="I514" s="108">
        <v>11</v>
      </c>
      <c r="J514" s="96"/>
      <c r="K514" s="96"/>
      <c r="L514" s="96"/>
      <c r="M514" s="96"/>
      <c r="N514" s="96"/>
      <c r="O514" s="109"/>
      <c r="P514" s="64"/>
      <c r="Q514" s="96"/>
      <c r="R514" s="96"/>
    </row>
    <row r="515" spans="1:18">
      <c r="A515" s="108">
        <v>1000010</v>
      </c>
      <c r="B515" s="108" t="s">
        <v>109</v>
      </c>
      <c r="C515" s="108">
        <v>0</v>
      </c>
      <c r="D515" s="108">
        <v>100</v>
      </c>
      <c r="E515" s="108" t="s">
        <v>711</v>
      </c>
      <c r="F515" s="166" t="s">
        <v>712</v>
      </c>
      <c r="G515" s="108"/>
      <c r="H515" s="108"/>
      <c r="I515" s="108">
        <v>13</v>
      </c>
      <c r="J515" s="96"/>
      <c r="K515" s="96"/>
      <c r="L515" s="96"/>
      <c r="M515" s="96"/>
      <c r="N515" s="96"/>
      <c r="O515" s="109"/>
      <c r="P515" s="64"/>
      <c r="Q515" s="96"/>
      <c r="R515" s="96"/>
    </row>
    <row r="516" spans="1:18">
      <c r="A516" s="108">
        <v>1000011</v>
      </c>
      <c r="B516" s="108" t="s">
        <v>115</v>
      </c>
      <c r="C516" s="108">
        <v>0</v>
      </c>
      <c r="D516" s="108">
        <v>100</v>
      </c>
      <c r="E516" s="108" t="s">
        <v>116</v>
      </c>
      <c r="F516" s="166" t="s">
        <v>713</v>
      </c>
      <c r="G516" s="108"/>
      <c r="H516" s="108">
        <v>5</v>
      </c>
      <c r="I516" s="108">
        <v>14</v>
      </c>
      <c r="J516" s="96"/>
      <c r="K516" s="96"/>
      <c r="L516" s="96"/>
      <c r="M516" s="96"/>
      <c r="N516" s="96"/>
      <c r="O516" s="109"/>
      <c r="P516" s="64"/>
      <c r="Q516" s="96"/>
      <c r="R516" s="96"/>
    </row>
    <row r="517" spans="1:18">
      <c r="A517" s="108">
        <v>1000012</v>
      </c>
      <c r="B517" s="108" t="s">
        <v>714</v>
      </c>
      <c r="C517" s="108">
        <v>0</v>
      </c>
      <c r="D517" s="108">
        <v>100</v>
      </c>
      <c r="E517" s="108" t="s">
        <v>235</v>
      </c>
      <c r="F517" s="166" t="s">
        <v>715</v>
      </c>
      <c r="G517" s="108"/>
      <c r="H517" s="108">
        <v>10</v>
      </c>
      <c r="I517" s="108">
        <v>15</v>
      </c>
      <c r="J517" s="96"/>
      <c r="K517" s="96"/>
      <c r="L517" s="96"/>
      <c r="M517" s="96"/>
      <c r="N517" s="96"/>
      <c r="O517" s="109"/>
      <c r="P517" s="64"/>
      <c r="Q517" s="96"/>
      <c r="R517" s="96"/>
    </row>
    <row r="518" s="47" customFormat="1" spans="1:18">
      <c r="A518" s="108">
        <v>1000013</v>
      </c>
      <c r="B518" s="108" t="s">
        <v>716</v>
      </c>
      <c r="C518" s="108">
        <v>0</v>
      </c>
      <c r="D518" s="108">
        <v>100</v>
      </c>
      <c r="E518" s="108" t="s">
        <v>717</v>
      </c>
      <c r="F518" s="166" t="s">
        <v>718</v>
      </c>
      <c r="G518" s="108"/>
      <c r="H518" s="108">
        <v>4</v>
      </c>
      <c r="I518" s="108">
        <v>16</v>
      </c>
      <c r="J518" s="70"/>
      <c r="K518" s="96">
        <v>70</v>
      </c>
      <c r="L518" s="70"/>
      <c r="M518" s="70"/>
      <c r="N518" s="70"/>
      <c r="O518" s="94"/>
      <c r="P518" s="70"/>
      <c r="Q518" s="95"/>
      <c r="R518" s="95"/>
    </row>
    <row r="519" s="47" customFormat="1" spans="1:18">
      <c r="A519" s="108">
        <v>1000014</v>
      </c>
      <c r="B519" s="108" t="s">
        <v>719</v>
      </c>
      <c r="C519" s="108">
        <v>0</v>
      </c>
      <c r="D519" s="108">
        <v>100</v>
      </c>
      <c r="E519" s="108" t="s">
        <v>720</v>
      </c>
      <c r="F519" s="166" t="s">
        <v>718</v>
      </c>
      <c r="G519" s="108"/>
      <c r="H519" s="108">
        <v>4</v>
      </c>
      <c r="I519" s="108">
        <v>17</v>
      </c>
      <c r="J519" s="70"/>
      <c r="K519" s="96">
        <v>70</v>
      </c>
      <c r="L519" s="70"/>
      <c r="M519" s="70"/>
      <c r="N519" s="70"/>
      <c r="O519" s="94"/>
      <c r="P519" s="70"/>
      <c r="Q519" s="95"/>
      <c r="R519" s="95"/>
    </row>
    <row r="520" s="47" customFormat="1" spans="1:18">
      <c r="A520" s="108">
        <v>1000015</v>
      </c>
      <c r="B520" s="108" t="s">
        <v>721</v>
      </c>
      <c r="C520" s="108">
        <v>0</v>
      </c>
      <c r="D520" s="108">
        <v>100</v>
      </c>
      <c r="E520" s="108" t="s">
        <v>722</v>
      </c>
      <c r="F520" s="166" t="s">
        <v>718</v>
      </c>
      <c r="G520" s="108"/>
      <c r="H520" s="108">
        <v>4</v>
      </c>
      <c r="I520" s="108">
        <v>18</v>
      </c>
      <c r="J520" s="70"/>
      <c r="K520" s="96">
        <v>70</v>
      </c>
      <c r="L520" s="70"/>
      <c r="M520" s="70"/>
      <c r="N520" s="70"/>
      <c r="O520" s="94"/>
      <c r="P520" s="70"/>
      <c r="Q520" s="95"/>
      <c r="R520" s="95"/>
    </row>
    <row r="521" s="47" customFormat="1" spans="1:18">
      <c r="A521" s="108">
        <v>1000016</v>
      </c>
      <c r="B521" s="108" t="s">
        <v>723</v>
      </c>
      <c r="C521" s="108">
        <v>0</v>
      </c>
      <c r="D521" s="108">
        <v>100</v>
      </c>
      <c r="E521" s="108" t="s">
        <v>724</v>
      </c>
      <c r="F521" s="166" t="s">
        <v>718</v>
      </c>
      <c r="G521" s="108"/>
      <c r="H521" s="108">
        <v>4</v>
      </c>
      <c r="I521" s="108">
        <v>19</v>
      </c>
      <c r="J521" s="70"/>
      <c r="K521" s="96">
        <v>70</v>
      </c>
      <c r="L521" s="70"/>
      <c r="M521" s="70"/>
      <c r="N521" s="70"/>
      <c r="O521" s="94"/>
      <c r="P521" s="70"/>
      <c r="Q521" s="95"/>
      <c r="R521" s="95"/>
    </row>
    <row r="522" s="47" customFormat="1" spans="1:18">
      <c r="A522" s="108">
        <v>1000017</v>
      </c>
      <c r="B522" s="108" t="s">
        <v>725</v>
      </c>
      <c r="C522" s="108">
        <v>0</v>
      </c>
      <c r="D522" s="108">
        <v>100</v>
      </c>
      <c r="E522" s="108" t="s">
        <v>726</v>
      </c>
      <c r="F522" s="166" t="s">
        <v>718</v>
      </c>
      <c r="G522" s="108"/>
      <c r="H522" s="108">
        <v>4</v>
      </c>
      <c r="I522" s="108">
        <v>20</v>
      </c>
      <c r="J522" s="70"/>
      <c r="K522" s="96">
        <v>70</v>
      </c>
      <c r="L522" s="70"/>
      <c r="M522" s="70"/>
      <c r="N522" s="70"/>
      <c r="O522" s="94"/>
      <c r="P522" s="70"/>
      <c r="Q522" s="95"/>
      <c r="R522" s="95"/>
    </row>
    <row r="523" s="47" customFormat="1" spans="1:18">
      <c r="A523" s="108">
        <v>1000018</v>
      </c>
      <c r="B523" s="108" t="s">
        <v>727</v>
      </c>
      <c r="C523" s="108">
        <v>0</v>
      </c>
      <c r="D523" s="108">
        <v>100</v>
      </c>
      <c r="E523" s="108" t="s">
        <v>728</v>
      </c>
      <c r="F523" s="146" t="s">
        <v>729</v>
      </c>
      <c r="G523" s="108"/>
      <c r="H523" s="108">
        <v>1</v>
      </c>
      <c r="I523" s="108">
        <v>1</v>
      </c>
      <c r="J523" s="70"/>
      <c r="K523" s="96"/>
      <c r="L523" s="70"/>
      <c r="M523" s="70"/>
      <c r="N523" s="70"/>
      <c r="O523" s="94"/>
      <c r="P523" s="70"/>
      <c r="Q523" s="95"/>
      <c r="R523" s="95"/>
    </row>
    <row r="524" s="47" customFormat="1" spans="1:18">
      <c r="A524" s="108">
        <v>1000019</v>
      </c>
      <c r="B524" s="108" t="s">
        <v>730</v>
      </c>
      <c r="C524" s="108">
        <v>0</v>
      </c>
      <c r="D524" s="108">
        <v>100</v>
      </c>
      <c r="E524" s="108" t="s">
        <v>731</v>
      </c>
      <c r="F524" s="146" t="s">
        <v>729</v>
      </c>
      <c r="G524" s="108"/>
      <c r="H524" s="108">
        <v>1</v>
      </c>
      <c r="I524" s="108">
        <v>2</v>
      </c>
      <c r="J524" s="70"/>
      <c r="K524" s="96"/>
      <c r="L524" s="70"/>
      <c r="M524" s="70"/>
      <c r="N524" s="70"/>
      <c r="O524" s="94"/>
      <c r="P524" s="70"/>
      <c r="Q524" s="95"/>
      <c r="R524" s="95"/>
    </row>
    <row r="525" s="47" customFormat="1" spans="1:18">
      <c r="A525" s="108">
        <v>1000020</v>
      </c>
      <c r="B525" s="108" t="s">
        <v>732</v>
      </c>
      <c r="C525" s="108">
        <v>0</v>
      </c>
      <c r="D525" s="108">
        <v>100</v>
      </c>
      <c r="E525" s="108" t="s">
        <v>733</v>
      </c>
      <c r="F525" s="146" t="s">
        <v>729</v>
      </c>
      <c r="G525" s="108"/>
      <c r="H525" s="108">
        <v>1</v>
      </c>
      <c r="I525" s="108">
        <v>3</v>
      </c>
      <c r="J525" s="70"/>
      <c r="K525" s="96"/>
      <c r="L525" s="70"/>
      <c r="M525" s="70"/>
      <c r="N525" s="70"/>
      <c r="O525" s="94"/>
      <c r="P525" s="70"/>
      <c r="Q525" s="95"/>
      <c r="R525" s="95"/>
    </row>
    <row r="526" s="47" customFormat="1" spans="1:18">
      <c r="A526" s="70">
        <v>1100001</v>
      </c>
      <c r="B526" s="92" t="s">
        <v>57</v>
      </c>
      <c r="C526" s="70">
        <v>0</v>
      </c>
      <c r="D526" s="70">
        <v>110</v>
      </c>
      <c r="E526" s="71" t="s">
        <v>121</v>
      </c>
      <c r="F526" s="146" t="s">
        <v>48</v>
      </c>
      <c r="G526" s="147"/>
      <c r="H526" s="70"/>
      <c r="I526" s="70">
        <v>13</v>
      </c>
      <c r="J526" s="70"/>
      <c r="K526" s="70"/>
      <c r="L526" s="70"/>
      <c r="M526" s="70"/>
      <c r="N526" s="70"/>
      <c r="O526" s="94"/>
      <c r="P526" s="70"/>
      <c r="Q526" s="95"/>
      <c r="R526" s="95"/>
    </row>
    <row r="527" s="46" customFormat="1" spans="1:18">
      <c r="A527" s="69">
        <v>1200001</v>
      </c>
      <c r="B527" s="167" t="s">
        <v>734</v>
      </c>
      <c r="C527" s="87">
        <v>0</v>
      </c>
      <c r="D527" s="87">
        <v>50</v>
      </c>
      <c r="E527" s="168" t="s">
        <v>735</v>
      </c>
      <c r="F527" s="169" t="s">
        <v>736</v>
      </c>
      <c r="G527" s="87"/>
      <c r="H527" s="87">
        <v>1</v>
      </c>
      <c r="I527" s="87">
        <v>1</v>
      </c>
      <c r="J527" s="87"/>
      <c r="K527" s="87"/>
      <c r="L527" s="87"/>
      <c r="M527" s="87"/>
      <c r="N527" s="87"/>
      <c r="O527" s="160" t="s">
        <v>41</v>
      </c>
      <c r="P527" s="69"/>
      <c r="Q527" s="87"/>
      <c r="R527" s="87"/>
    </row>
    <row r="528" s="46" customFormat="1" spans="1:18">
      <c r="A528" s="69">
        <v>1200002</v>
      </c>
      <c r="B528" s="167" t="s">
        <v>737</v>
      </c>
      <c r="C528" s="87">
        <v>0</v>
      </c>
      <c r="D528" s="87">
        <v>50</v>
      </c>
      <c r="E528" s="168" t="s">
        <v>738</v>
      </c>
      <c r="F528" s="169" t="s">
        <v>736</v>
      </c>
      <c r="G528" s="87"/>
      <c r="H528" s="87">
        <v>1</v>
      </c>
      <c r="I528" s="87">
        <v>2</v>
      </c>
      <c r="J528" s="87"/>
      <c r="K528" s="87"/>
      <c r="L528" s="87"/>
      <c r="M528" s="87"/>
      <c r="N528" s="87"/>
      <c r="O528" s="160" t="s">
        <v>41</v>
      </c>
      <c r="P528" s="69"/>
      <c r="Q528" s="87"/>
      <c r="R528" s="87"/>
    </row>
    <row r="529" s="46" customFormat="1" spans="1:18">
      <c r="A529" s="69">
        <v>1200003</v>
      </c>
      <c r="B529" s="167" t="s">
        <v>739</v>
      </c>
      <c r="C529" s="87">
        <v>0</v>
      </c>
      <c r="D529" s="87">
        <v>50</v>
      </c>
      <c r="E529" s="168" t="s">
        <v>740</v>
      </c>
      <c r="F529" s="169" t="s">
        <v>736</v>
      </c>
      <c r="G529" s="87"/>
      <c r="H529" s="87">
        <v>1</v>
      </c>
      <c r="I529" s="87">
        <v>3</v>
      </c>
      <c r="J529" s="87"/>
      <c r="K529" s="87"/>
      <c r="L529" s="87"/>
      <c r="M529" s="87"/>
      <c r="N529" s="87"/>
      <c r="O529" s="160" t="s">
        <v>41</v>
      </c>
      <c r="P529" s="69"/>
      <c r="Q529" s="87"/>
      <c r="R529" s="87"/>
    </row>
    <row r="530" s="46" customFormat="1" spans="1:18">
      <c r="A530" s="69">
        <v>1200004</v>
      </c>
      <c r="B530" s="167" t="s">
        <v>741</v>
      </c>
      <c r="C530" s="87">
        <v>0</v>
      </c>
      <c r="D530" s="87">
        <v>50</v>
      </c>
      <c r="E530" s="168" t="s">
        <v>742</v>
      </c>
      <c r="F530" s="169" t="s">
        <v>736</v>
      </c>
      <c r="G530" s="87"/>
      <c r="H530" s="87">
        <v>1</v>
      </c>
      <c r="I530" s="87">
        <v>4</v>
      </c>
      <c r="J530" s="87"/>
      <c r="K530" s="87"/>
      <c r="L530" s="87"/>
      <c r="M530" s="87"/>
      <c r="N530" s="87"/>
      <c r="O530" s="160" t="s">
        <v>41</v>
      </c>
      <c r="P530" s="69"/>
      <c r="Q530" s="87"/>
      <c r="R530" s="87"/>
    </row>
    <row r="531" s="46" customFormat="1" spans="1:18">
      <c r="A531" s="69">
        <v>1200005</v>
      </c>
      <c r="B531" s="167" t="s">
        <v>743</v>
      </c>
      <c r="C531" s="87">
        <v>0</v>
      </c>
      <c r="D531" s="87">
        <v>50</v>
      </c>
      <c r="E531" s="168" t="s">
        <v>744</v>
      </c>
      <c r="F531" s="169" t="s">
        <v>736</v>
      </c>
      <c r="G531" s="87"/>
      <c r="H531" s="87">
        <v>1</v>
      </c>
      <c r="I531" s="87">
        <v>5</v>
      </c>
      <c r="J531" s="87"/>
      <c r="K531" s="87"/>
      <c r="L531" s="87"/>
      <c r="M531" s="87"/>
      <c r="N531" s="87"/>
      <c r="O531" s="160" t="s">
        <v>41</v>
      </c>
      <c r="P531" s="69"/>
      <c r="Q531" s="87"/>
      <c r="R531" s="87"/>
    </row>
    <row r="532" s="46" customFormat="1" spans="1:18">
      <c r="A532" s="69">
        <v>1200006</v>
      </c>
      <c r="B532" s="167" t="s">
        <v>745</v>
      </c>
      <c r="C532" s="87">
        <v>0</v>
      </c>
      <c r="D532" s="87">
        <v>50</v>
      </c>
      <c r="E532" s="168" t="s">
        <v>746</v>
      </c>
      <c r="F532" s="169" t="s">
        <v>736</v>
      </c>
      <c r="G532" s="87"/>
      <c r="H532" s="87">
        <v>1</v>
      </c>
      <c r="I532" s="87">
        <v>6</v>
      </c>
      <c r="J532" s="87"/>
      <c r="K532" s="87"/>
      <c r="L532" s="87"/>
      <c r="M532" s="87"/>
      <c r="N532" s="87"/>
      <c r="O532" s="160" t="s">
        <v>41</v>
      </c>
      <c r="P532" s="69"/>
      <c r="Q532" s="87"/>
      <c r="R532" s="87"/>
    </row>
    <row r="533" s="46" customFormat="1" spans="1:18">
      <c r="A533" s="69">
        <v>1200007</v>
      </c>
      <c r="B533" s="167" t="s">
        <v>747</v>
      </c>
      <c r="C533" s="87">
        <v>0</v>
      </c>
      <c r="D533" s="87">
        <v>50</v>
      </c>
      <c r="E533" s="168" t="s">
        <v>748</v>
      </c>
      <c r="F533" s="169" t="s">
        <v>736</v>
      </c>
      <c r="G533" s="87"/>
      <c r="H533" s="87">
        <v>1</v>
      </c>
      <c r="I533" s="87">
        <v>7</v>
      </c>
      <c r="J533" s="87"/>
      <c r="K533" s="87"/>
      <c r="L533" s="87"/>
      <c r="M533" s="87"/>
      <c r="N533" s="87"/>
      <c r="O533" s="160" t="s">
        <v>41</v>
      </c>
      <c r="P533" s="69"/>
      <c r="Q533" s="87"/>
      <c r="R533" s="87"/>
    </row>
    <row r="534" s="46" customFormat="1" spans="1:18">
      <c r="A534" s="69">
        <v>1200008</v>
      </c>
      <c r="B534" s="167" t="s">
        <v>749</v>
      </c>
      <c r="C534" s="87">
        <v>0</v>
      </c>
      <c r="D534" s="87">
        <v>50</v>
      </c>
      <c r="E534" s="168" t="s">
        <v>750</v>
      </c>
      <c r="F534" s="169" t="s">
        <v>736</v>
      </c>
      <c r="G534" s="87"/>
      <c r="H534" s="87">
        <v>1</v>
      </c>
      <c r="I534" s="87">
        <v>8</v>
      </c>
      <c r="J534" s="87"/>
      <c r="K534" s="87"/>
      <c r="L534" s="87"/>
      <c r="M534" s="87"/>
      <c r="N534" s="87"/>
      <c r="O534" s="160" t="s">
        <v>41</v>
      </c>
      <c r="P534" s="69"/>
      <c r="Q534" s="87"/>
      <c r="R534" s="87"/>
    </row>
    <row r="535" s="46" customFormat="1" spans="1:18">
      <c r="A535" s="69">
        <v>1200009</v>
      </c>
      <c r="B535" s="167" t="s">
        <v>751</v>
      </c>
      <c r="C535" s="87">
        <v>0</v>
      </c>
      <c r="D535" s="87">
        <v>50</v>
      </c>
      <c r="E535" s="168" t="s">
        <v>752</v>
      </c>
      <c r="F535" s="169" t="s">
        <v>736</v>
      </c>
      <c r="G535" s="87"/>
      <c r="H535" s="87">
        <v>1</v>
      </c>
      <c r="I535" s="87">
        <v>9</v>
      </c>
      <c r="J535" s="87"/>
      <c r="K535" s="87"/>
      <c r="L535" s="87"/>
      <c r="M535" s="87"/>
      <c r="N535" s="87"/>
      <c r="O535" s="160" t="s">
        <v>41</v>
      </c>
      <c r="P535" s="69"/>
      <c r="Q535" s="87"/>
      <c r="R535" s="87"/>
    </row>
    <row r="536" s="46" customFormat="1" spans="1:18">
      <c r="A536" s="69">
        <v>1200010</v>
      </c>
      <c r="B536" s="167" t="s">
        <v>753</v>
      </c>
      <c r="C536" s="87">
        <v>0</v>
      </c>
      <c r="D536" s="87">
        <v>50</v>
      </c>
      <c r="E536" s="168" t="s">
        <v>754</v>
      </c>
      <c r="F536" s="169" t="s">
        <v>736</v>
      </c>
      <c r="G536" s="87"/>
      <c r="H536" s="87">
        <v>1</v>
      </c>
      <c r="I536" s="87">
        <v>10</v>
      </c>
      <c r="J536" s="87"/>
      <c r="K536" s="87"/>
      <c r="L536" s="87"/>
      <c r="M536" s="87"/>
      <c r="N536" s="87"/>
      <c r="O536" s="160" t="s">
        <v>41</v>
      </c>
      <c r="P536" s="69"/>
      <c r="Q536" s="87"/>
      <c r="R536" s="87"/>
    </row>
    <row r="537" s="48" customFormat="1" spans="1:18">
      <c r="A537" s="69">
        <v>1200011</v>
      </c>
      <c r="B537" s="170" t="s">
        <v>755</v>
      </c>
      <c r="C537" s="124">
        <v>0</v>
      </c>
      <c r="D537" s="124">
        <v>50</v>
      </c>
      <c r="E537" s="171" t="s">
        <v>756</v>
      </c>
      <c r="F537" s="172" t="s">
        <v>736</v>
      </c>
      <c r="G537" s="124"/>
      <c r="H537" s="124">
        <v>1</v>
      </c>
      <c r="I537" s="87">
        <v>11</v>
      </c>
      <c r="J537" s="124"/>
      <c r="K537" s="124"/>
      <c r="L537" s="124"/>
      <c r="M537" s="124"/>
      <c r="N537" s="124"/>
      <c r="O537" s="181" t="s">
        <v>41</v>
      </c>
      <c r="P537" s="115"/>
      <c r="Q537" s="124"/>
      <c r="R537" s="124"/>
    </row>
    <row r="538" s="48" customFormat="1" spans="1:18">
      <c r="A538" s="69">
        <v>1200012</v>
      </c>
      <c r="B538" s="170" t="s">
        <v>757</v>
      </c>
      <c r="C538" s="124">
        <v>0</v>
      </c>
      <c r="D538" s="124">
        <v>50</v>
      </c>
      <c r="E538" s="171" t="s">
        <v>758</v>
      </c>
      <c r="F538" s="172" t="s">
        <v>736</v>
      </c>
      <c r="G538" s="124"/>
      <c r="H538" s="124">
        <v>1</v>
      </c>
      <c r="I538" s="87">
        <v>12</v>
      </c>
      <c r="J538" s="124"/>
      <c r="K538" s="124"/>
      <c r="L538" s="124"/>
      <c r="M538" s="124"/>
      <c r="N538" s="124"/>
      <c r="O538" s="181" t="s">
        <v>41</v>
      </c>
      <c r="P538" s="115"/>
      <c r="Q538" s="124"/>
      <c r="R538" s="124"/>
    </row>
    <row r="539" s="48" customFormat="1" spans="1:18">
      <c r="A539" s="69">
        <v>1200013</v>
      </c>
      <c r="B539" s="170" t="s">
        <v>759</v>
      </c>
      <c r="C539" s="124">
        <v>0</v>
      </c>
      <c r="D539" s="124">
        <v>50</v>
      </c>
      <c r="E539" s="171" t="s">
        <v>760</v>
      </c>
      <c r="F539" s="172" t="s">
        <v>736</v>
      </c>
      <c r="G539" s="124"/>
      <c r="H539" s="124">
        <v>1</v>
      </c>
      <c r="I539" s="87">
        <v>13</v>
      </c>
      <c r="J539" s="124"/>
      <c r="K539" s="124"/>
      <c r="L539" s="124"/>
      <c r="M539" s="124"/>
      <c r="N539" s="124"/>
      <c r="O539" s="181" t="s">
        <v>41</v>
      </c>
      <c r="P539" s="115"/>
      <c r="Q539" s="124"/>
      <c r="R539" s="124"/>
    </row>
    <row r="540" s="48" customFormat="1" spans="1:18">
      <c r="A540" s="69">
        <v>1200014</v>
      </c>
      <c r="B540" s="170" t="s">
        <v>761</v>
      </c>
      <c r="C540" s="124">
        <v>0</v>
      </c>
      <c r="D540" s="124">
        <v>50</v>
      </c>
      <c r="E540" s="171" t="s">
        <v>762</v>
      </c>
      <c r="F540" s="172" t="s">
        <v>736</v>
      </c>
      <c r="G540" s="124"/>
      <c r="H540" s="124">
        <v>1</v>
      </c>
      <c r="I540" s="87">
        <v>14</v>
      </c>
      <c r="J540" s="124"/>
      <c r="K540" s="124"/>
      <c r="L540" s="124"/>
      <c r="M540" s="124"/>
      <c r="N540" s="124"/>
      <c r="O540" s="181" t="s">
        <v>41</v>
      </c>
      <c r="P540" s="115"/>
      <c r="Q540" s="124"/>
      <c r="R540" s="124"/>
    </row>
    <row r="541" s="48" customFormat="1" spans="1:18">
      <c r="A541" s="69">
        <v>1200015</v>
      </c>
      <c r="B541" s="170" t="s">
        <v>763</v>
      </c>
      <c r="C541" s="124">
        <v>0</v>
      </c>
      <c r="D541" s="124">
        <v>50</v>
      </c>
      <c r="E541" s="171" t="s">
        <v>764</v>
      </c>
      <c r="F541" s="172" t="s">
        <v>736</v>
      </c>
      <c r="G541" s="124"/>
      <c r="H541" s="124">
        <v>1</v>
      </c>
      <c r="I541" s="87">
        <v>15</v>
      </c>
      <c r="J541" s="124"/>
      <c r="K541" s="124"/>
      <c r="L541" s="124"/>
      <c r="M541" s="124"/>
      <c r="N541" s="124"/>
      <c r="O541" s="181" t="s">
        <v>41</v>
      </c>
      <c r="P541" s="115"/>
      <c r="Q541" s="124"/>
      <c r="R541" s="124"/>
    </row>
    <row r="542" s="48" customFormat="1" spans="1:18">
      <c r="A542" s="69">
        <v>1200016</v>
      </c>
      <c r="B542" s="170" t="s">
        <v>765</v>
      </c>
      <c r="C542" s="124">
        <v>0</v>
      </c>
      <c r="D542" s="124">
        <v>50</v>
      </c>
      <c r="E542" s="171" t="s">
        <v>766</v>
      </c>
      <c r="F542" s="172" t="s">
        <v>736</v>
      </c>
      <c r="G542" s="124"/>
      <c r="H542" s="124">
        <v>1</v>
      </c>
      <c r="I542" s="87">
        <v>16</v>
      </c>
      <c r="J542" s="124"/>
      <c r="K542" s="124"/>
      <c r="L542" s="124"/>
      <c r="M542" s="124"/>
      <c r="N542" s="124"/>
      <c r="O542" s="181" t="s">
        <v>41</v>
      </c>
      <c r="P542" s="115"/>
      <c r="Q542" s="124"/>
      <c r="R542" s="124"/>
    </row>
    <row r="543" s="48" customFormat="1" spans="1:18">
      <c r="A543" s="69">
        <v>1200017</v>
      </c>
      <c r="B543" s="170" t="s">
        <v>767</v>
      </c>
      <c r="C543" s="124">
        <v>0</v>
      </c>
      <c r="D543" s="124">
        <v>50</v>
      </c>
      <c r="E543" s="171" t="s">
        <v>768</v>
      </c>
      <c r="F543" s="172" t="s">
        <v>736</v>
      </c>
      <c r="G543" s="124"/>
      <c r="H543" s="124">
        <v>1</v>
      </c>
      <c r="I543" s="87">
        <v>17</v>
      </c>
      <c r="J543" s="124"/>
      <c r="K543" s="124"/>
      <c r="L543" s="124"/>
      <c r="M543" s="124"/>
      <c r="N543" s="124"/>
      <c r="O543" s="181" t="s">
        <v>41</v>
      </c>
      <c r="P543" s="115"/>
      <c r="Q543" s="124"/>
      <c r="R543" s="124"/>
    </row>
    <row r="544" s="55" customFormat="1" spans="1:18">
      <c r="A544" s="173">
        <v>1200018</v>
      </c>
      <c r="B544" s="174" t="s">
        <v>769</v>
      </c>
      <c r="C544" s="175">
        <v>0</v>
      </c>
      <c r="D544" s="175">
        <v>50</v>
      </c>
      <c r="E544" s="176" t="s">
        <v>770</v>
      </c>
      <c r="F544" s="177" t="s">
        <v>736</v>
      </c>
      <c r="G544" s="175"/>
      <c r="H544" s="175">
        <v>1</v>
      </c>
      <c r="I544" s="175">
        <v>18</v>
      </c>
      <c r="J544" s="175"/>
      <c r="K544" s="175"/>
      <c r="L544" s="175"/>
      <c r="M544" s="175"/>
      <c r="N544" s="175"/>
      <c r="O544" s="182" t="s">
        <v>41</v>
      </c>
      <c r="P544" s="173"/>
      <c r="Q544" s="175"/>
      <c r="R544" s="175"/>
    </row>
    <row r="545" s="48" customFormat="1" spans="1:18">
      <c r="A545" s="69">
        <v>1200019</v>
      </c>
      <c r="B545" s="178" t="s">
        <v>771</v>
      </c>
      <c r="C545" s="124">
        <v>0</v>
      </c>
      <c r="D545" s="124">
        <v>50</v>
      </c>
      <c r="E545" s="171" t="s">
        <v>772</v>
      </c>
      <c r="F545" s="172" t="s">
        <v>736</v>
      </c>
      <c r="G545" s="124"/>
      <c r="H545" s="124">
        <v>1</v>
      </c>
      <c r="I545" s="87">
        <v>19</v>
      </c>
      <c r="J545" s="124"/>
      <c r="K545" s="124"/>
      <c r="L545" s="124"/>
      <c r="M545" s="124"/>
      <c r="N545" s="124"/>
      <c r="O545" s="181" t="s">
        <v>41</v>
      </c>
      <c r="P545" s="115"/>
      <c r="Q545" s="124"/>
      <c r="R545" s="124"/>
    </row>
    <row r="546" s="48" customFormat="1" spans="1:18">
      <c r="A546" s="69">
        <v>1200020</v>
      </c>
      <c r="B546" s="178" t="s">
        <v>773</v>
      </c>
      <c r="C546" s="124">
        <v>0</v>
      </c>
      <c r="D546" s="124">
        <v>50</v>
      </c>
      <c r="E546" s="171" t="s">
        <v>774</v>
      </c>
      <c r="F546" s="172" t="s">
        <v>736</v>
      </c>
      <c r="G546" s="124"/>
      <c r="H546" s="124">
        <v>1</v>
      </c>
      <c r="I546" s="87">
        <v>20</v>
      </c>
      <c r="J546" s="124"/>
      <c r="K546" s="124"/>
      <c r="L546" s="124"/>
      <c r="M546" s="124"/>
      <c r="N546" s="124"/>
      <c r="O546" s="181" t="s">
        <v>41</v>
      </c>
      <c r="P546" s="115"/>
      <c r="Q546" s="124"/>
      <c r="R546" s="124"/>
    </row>
    <row r="547" s="48" customFormat="1" spans="1:18">
      <c r="A547" s="69">
        <v>1200021</v>
      </c>
      <c r="B547" s="178" t="s">
        <v>775</v>
      </c>
      <c r="C547" s="124">
        <v>0</v>
      </c>
      <c r="D547" s="124">
        <v>50</v>
      </c>
      <c r="E547" s="171" t="s">
        <v>776</v>
      </c>
      <c r="F547" s="172" t="s">
        <v>736</v>
      </c>
      <c r="G547" s="124"/>
      <c r="H547" s="124">
        <v>1</v>
      </c>
      <c r="I547" s="87">
        <v>21</v>
      </c>
      <c r="J547" s="124"/>
      <c r="K547" s="124"/>
      <c r="L547" s="124"/>
      <c r="M547" s="124"/>
      <c r="N547" s="124"/>
      <c r="O547" s="181" t="s">
        <v>41</v>
      </c>
      <c r="P547" s="115"/>
      <c r="Q547" s="124"/>
      <c r="R547" s="124"/>
    </row>
    <row r="548" s="48" customFormat="1" spans="1:18">
      <c r="A548" s="69">
        <v>1200022</v>
      </c>
      <c r="B548" s="178" t="s">
        <v>777</v>
      </c>
      <c r="C548" s="124">
        <v>0</v>
      </c>
      <c r="D548" s="124">
        <v>50</v>
      </c>
      <c r="E548" s="171" t="s">
        <v>778</v>
      </c>
      <c r="F548" s="172" t="s">
        <v>736</v>
      </c>
      <c r="G548" s="124"/>
      <c r="H548" s="124">
        <v>1</v>
      </c>
      <c r="I548" s="87">
        <v>22</v>
      </c>
      <c r="J548" s="124"/>
      <c r="K548" s="124"/>
      <c r="L548" s="124"/>
      <c r="M548" s="124"/>
      <c r="N548" s="124"/>
      <c r="O548" s="181" t="s">
        <v>41</v>
      </c>
      <c r="P548" s="115"/>
      <c r="Q548" s="124"/>
      <c r="R548" s="124"/>
    </row>
    <row r="549" s="48" customFormat="1" spans="1:18">
      <c r="A549" s="69">
        <v>1200023</v>
      </c>
      <c r="B549" s="178" t="s">
        <v>779</v>
      </c>
      <c r="C549" s="124">
        <v>0</v>
      </c>
      <c r="D549" s="124">
        <v>50</v>
      </c>
      <c r="E549" s="171" t="s">
        <v>780</v>
      </c>
      <c r="F549" s="172" t="s">
        <v>736</v>
      </c>
      <c r="G549" s="124"/>
      <c r="H549" s="124">
        <v>1</v>
      </c>
      <c r="I549" s="87">
        <v>23</v>
      </c>
      <c r="J549" s="124"/>
      <c r="K549" s="124"/>
      <c r="L549" s="124"/>
      <c r="M549" s="124"/>
      <c r="N549" s="124"/>
      <c r="O549" s="181" t="s">
        <v>41</v>
      </c>
      <c r="P549" s="115"/>
      <c r="Q549" s="124"/>
      <c r="R549" s="124"/>
    </row>
    <row r="550" s="48" customFormat="1" spans="1:18">
      <c r="A550" s="69">
        <v>1200024</v>
      </c>
      <c r="B550" s="178" t="s">
        <v>781</v>
      </c>
      <c r="C550" s="124">
        <v>0</v>
      </c>
      <c r="D550" s="124">
        <v>50</v>
      </c>
      <c r="E550" s="171" t="s">
        <v>782</v>
      </c>
      <c r="F550" s="172" t="s">
        <v>736</v>
      </c>
      <c r="G550" s="124"/>
      <c r="H550" s="124">
        <v>1</v>
      </c>
      <c r="I550" s="87">
        <v>24</v>
      </c>
      <c r="J550" s="124"/>
      <c r="K550" s="124"/>
      <c r="L550" s="124"/>
      <c r="M550" s="124"/>
      <c r="N550" s="124"/>
      <c r="O550" s="181" t="s">
        <v>41</v>
      </c>
      <c r="P550" s="115"/>
      <c r="Q550" s="124"/>
      <c r="R550" s="124"/>
    </row>
    <row r="551" s="48" customFormat="1" spans="1:18">
      <c r="A551" s="69">
        <v>1200025</v>
      </c>
      <c r="B551" s="178" t="s">
        <v>783</v>
      </c>
      <c r="C551" s="124">
        <v>0</v>
      </c>
      <c r="D551" s="124">
        <v>50</v>
      </c>
      <c r="E551" s="171" t="s">
        <v>784</v>
      </c>
      <c r="F551" s="172" t="s">
        <v>736</v>
      </c>
      <c r="G551" s="124"/>
      <c r="H551" s="124">
        <v>1</v>
      </c>
      <c r="I551" s="87">
        <v>25</v>
      </c>
      <c r="J551" s="124"/>
      <c r="K551" s="124"/>
      <c r="L551" s="124"/>
      <c r="M551" s="124"/>
      <c r="N551" s="124"/>
      <c r="O551" s="181" t="s">
        <v>41</v>
      </c>
      <c r="P551" s="115"/>
      <c r="Q551" s="124"/>
      <c r="R551" s="124"/>
    </row>
    <row r="552" s="48" customFormat="1" spans="1:18">
      <c r="A552" s="69">
        <v>1200026</v>
      </c>
      <c r="B552" s="178" t="s">
        <v>785</v>
      </c>
      <c r="C552" s="124">
        <v>0</v>
      </c>
      <c r="D552" s="124">
        <v>50</v>
      </c>
      <c r="E552" s="171" t="s">
        <v>786</v>
      </c>
      <c r="F552" s="172" t="s">
        <v>736</v>
      </c>
      <c r="G552" s="124"/>
      <c r="H552" s="124">
        <v>1</v>
      </c>
      <c r="I552" s="87">
        <v>26</v>
      </c>
      <c r="J552" s="124"/>
      <c r="K552" s="124"/>
      <c r="L552" s="124"/>
      <c r="M552" s="124"/>
      <c r="N552" s="124"/>
      <c r="O552" s="181" t="s">
        <v>41</v>
      </c>
      <c r="P552" s="115"/>
      <c r="Q552" s="124"/>
      <c r="R552" s="124"/>
    </row>
    <row r="553" s="48" customFormat="1" spans="1:18">
      <c r="A553" s="69">
        <v>1200027</v>
      </c>
      <c r="B553" s="178" t="s">
        <v>787</v>
      </c>
      <c r="C553" s="124">
        <v>0</v>
      </c>
      <c r="D553" s="124">
        <v>50</v>
      </c>
      <c r="E553" s="171" t="s">
        <v>788</v>
      </c>
      <c r="F553" s="172" t="s">
        <v>736</v>
      </c>
      <c r="G553" s="124"/>
      <c r="H553" s="124">
        <v>1</v>
      </c>
      <c r="I553" s="87">
        <v>27</v>
      </c>
      <c r="J553" s="124"/>
      <c r="K553" s="124"/>
      <c r="L553" s="124"/>
      <c r="M553" s="124"/>
      <c r="N553" s="124"/>
      <c r="O553" s="181" t="s">
        <v>41</v>
      </c>
      <c r="P553" s="115"/>
      <c r="Q553" s="124"/>
      <c r="R553" s="124"/>
    </row>
    <row r="554" s="48" customFormat="1" spans="1:18">
      <c r="A554" s="69">
        <v>1200028</v>
      </c>
      <c r="B554" s="178" t="s">
        <v>789</v>
      </c>
      <c r="C554" s="124">
        <v>0</v>
      </c>
      <c r="D554" s="124">
        <v>50</v>
      </c>
      <c r="E554" s="171" t="s">
        <v>790</v>
      </c>
      <c r="F554" s="172" t="s">
        <v>736</v>
      </c>
      <c r="G554" s="124"/>
      <c r="H554" s="124">
        <v>1</v>
      </c>
      <c r="I554" s="87">
        <v>28</v>
      </c>
      <c r="J554" s="124"/>
      <c r="K554" s="124"/>
      <c r="L554" s="124"/>
      <c r="M554" s="124"/>
      <c r="N554" s="124"/>
      <c r="O554" s="181" t="s">
        <v>41</v>
      </c>
      <c r="P554" s="115"/>
      <c r="Q554" s="124"/>
      <c r="R554" s="124"/>
    </row>
    <row r="555" s="48" customFormat="1" spans="1:18">
      <c r="A555" s="69">
        <v>1200029</v>
      </c>
      <c r="B555" s="178" t="s">
        <v>791</v>
      </c>
      <c r="C555" s="124">
        <v>0</v>
      </c>
      <c r="D555" s="124">
        <v>50</v>
      </c>
      <c r="E555" s="171" t="s">
        <v>792</v>
      </c>
      <c r="F555" s="172" t="s">
        <v>736</v>
      </c>
      <c r="G555" s="124"/>
      <c r="H555" s="124">
        <v>1</v>
      </c>
      <c r="I555" s="87">
        <v>29</v>
      </c>
      <c r="J555" s="124"/>
      <c r="K555" s="124"/>
      <c r="L555" s="124"/>
      <c r="M555" s="124"/>
      <c r="N555" s="124"/>
      <c r="O555" s="181" t="s">
        <v>41</v>
      </c>
      <c r="P555" s="115"/>
      <c r="Q555" s="124"/>
      <c r="R555" s="124"/>
    </row>
    <row r="556" s="48" customFormat="1" spans="1:18">
      <c r="A556" s="69">
        <v>1200030</v>
      </c>
      <c r="B556" s="178" t="s">
        <v>793</v>
      </c>
      <c r="C556" s="124">
        <v>0</v>
      </c>
      <c r="D556" s="124">
        <v>50</v>
      </c>
      <c r="E556" s="171" t="s">
        <v>794</v>
      </c>
      <c r="F556" s="172" t="s">
        <v>736</v>
      </c>
      <c r="G556" s="124"/>
      <c r="H556" s="124">
        <v>1</v>
      </c>
      <c r="I556" s="87">
        <v>30</v>
      </c>
      <c r="J556" s="124"/>
      <c r="K556" s="124"/>
      <c r="L556" s="124"/>
      <c r="M556" s="124"/>
      <c r="N556" s="124"/>
      <c r="O556" s="181" t="s">
        <v>41</v>
      </c>
      <c r="P556" s="115"/>
      <c r="Q556" s="124"/>
      <c r="R556" s="124"/>
    </row>
    <row r="557" s="48" customFormat="1" spans="1:18">
      <c r="A557" s="69">
        <v>1200031</v>
      </c>
      <c r="B557" s="178" t="s">
        <v>795</v>
      </c>
      <c r="C557" s="124">
        <v>0</v>
      </c>
      <c r="D557" s="124">
        <v>50</v>
      </c>
      <c r="E557" s="171" t="s">
        <v>796</v>
      </c>
      <c r="F557" s="172" t="s">
        <v>736</v>
      </c>
      <c r="G557" s="124"/>
      <c r="H557" s="124">
        <v>1</v>
      </c>
      <c r="I557" s="87">
        <v>31</v>
      </c>
      <c r="J557" s="124"/>
      <c r="K557" s="124"/>
      <c r="L557" s="124"/>
      <c r="M557" s="124"/>
      <c r="N557" s="124"/>
      <c r="O557" s="181" t="s">
        <v>41</v>
      </c>
      <c r="P557" s="115"/>
      <c r="Q557" s="124"/>
      <c r="R557" s="124"/>
    </row>
    <row r="558" s="48" customFormat="1" spans="1:18">
      <c r="A558" s="69">
        <v>1200032</v>
      </c>
      <c r="B558" s="178" t="s">
        <v>797</v>
      </c>
      <c r="C558" s="124">
        <v>0</v>
      </c>
      <c r="D558" s="124">
        <v>50</v>
      </c>
      <c r="E558" s="171" t="s">
        <v>798</v>
      </c>
      <c r="F558" s="172" t="s">
        <v>736</v>
      </c>
      <c r="G558" s="124"/>
      <c r="H558" s="124">
        <v>1</v>
      </c>
      <c r="I558" s="87">
        <v>32</v>
      </c>
      <c r="J558" s="124"/>
      <c r="K558" s="124"/>
      <c r="L558" s="124"/>
      <c r="M558" s="124"/>
      <c r="N558" s="124"/>
      <c r="O558" s="181" t="s">
        <v>41</v>
      </c>
      <c r="P558" s="115"/>
      <c r="Q558" s="124"/>
      <c r="R558" s="124"/>
    </row>
    <row r="559" s="48" customFormat="1" spans="1:18">
      <c r="A559" s="69">
        <v>1200033</v>
      </c>
      <c r="B559" s="178" t="s">
        <v>799</v>
      </c>
      <c r="C559" s="124">
        <v>0</v>
      </c>
      <c r="D559" s="124">
        <v>50</v>
      </c>
      <c r="E559" s="171" t="s">
        <v>800</v>
      </c>
      <c r="F559" s="172" t="s">
        <v>736</v>
      </c>
      <c r="G559" s="124"/>
      <c r="H559" s="124">
        <v>1</v>
      </c>
      <c r="I559" s="87">
        <v>33</v>
      </c>
      <c r="J559" s="124"/>
      <c r="K559" s="124"/>
      <c r="L559" s="124"/>
      <c r="M559" s="124"/>
      <c r="N559" s="124"/>
      <c r="O559" s="181" t="s">
        <v>41</v>
      </c>
      <c r="P559" s="115"/>
      <c r="Q559" s="124"/>
      <c r="R559" s="124"/>
    </row>
    <row r="560" s="48" customFormat="1" spans="1:18">
      <c r="A560" s="69">
        <v>1200034</v>
      </c>
      <c r="B560" s="178" t="s">
        <v>801</v>
      </c>
      <c r="C560" s="124">
        <v>0</v>
      </c>
      <c r="D560" s="124">
        <v>50</v>
      </c>
      <c r="E560" s="171" t="s">
        <v>802</v>
      </c>
      <c r="F560" s="172" t="s">
        <v>736</v>
      </c>
      <c r="G560" s="124"/>
      <c r="H560" s="124">
        <v>1</v>
      </c>
      <c r="I560" s="87">
        <v>34</v>
      </c>
      <c r="J560" s="124"/>
      <c r="K560" s="124"/>
      <c r="L560" s="124"/>
      <c r="M560" s="124"/>
      <c r="N560" s="124"/>
      <c r="O560" s="181" t="s">
        <v>41</v>
      </c>
      <c r="P560" s="115"/>
      <c r="Q560" s="124"/>
      <c r="R560" s="124"/>
    </row>
    <row r="561" s="48" customFormat="1" spans="1:18">
      <c r="A561" s="69">
        <v>1200035</v>
      </c>
      <c r="B561" s="178" t="s">
        <v>803</v>
      </c>
      <c r="C561" s="124">
        <v>0</v>
      </c>
      <c r="D561" s="124">
        <v>50</v>
      </c>
      <c r="E561" s="171" t="s">
        <v>804</v>
      </c>
      <c r="F561" s="172" t="s">
        <v>736</v>
      </c>
      <c r="G561" s="124"/>
      <c r="H561" s="124">
        <v>1</v>
      </c>
      <c r="I561" s="87">
        <v>35</v>
      </c>
      <c r="J561" s="124"/>
      <c r="K561" s="124"/>
      <c r="L561" s="124"/>
      <c r="M561" s="124"/>
      <c r="N561" s="124"/>
      <c r="O561" s="181" t="s">
        <v>41</v>
      </c>
      <c r="P561" s="115"/>
      <c r="Q561" s="124"/>
      <c r="R561" s="124"/>
    </row>
    <row r="562" s="48" customFormat="1" spans="1:18">
      <c r="A562" s="69">
        <v>1200036</v>
      </c>
      <c r="B562" s="178" t="s">
        <v>805</v>
      </c>
      <c r="C562" s="124">
        <v>0</v>
      </c>
      <c r="D562" s="124">
        <v>50</v>
      </c>
      <c r="E562" s="171" t="s">
        <v>806</v>
      </c>
      <c r="F562" s="172" t="s">
        <v>736</v>
      </c>
      <c r="G562" s="124"/>
      <c r="H562" s="124">
        <v>1</v>
      </c>
      <c r="I562" s="87">
        <v>36</v>
      </c>
      <c r="J562" s="124"/>
      <c r="K562" s="124"/>
      <c r="L562" s="124"/>
      <c r="M562" s="124"/>
      <c r="N562" s="124"/>
      <c r="O562" s="181" t="s">
        <v>41</v>
      </c>
      <c r="P562" s="115"/>
      <c r="Q562" s="124"/>
      <c r="R562" s="124"/>
    </row>
    <row r="563" s="48" customFormat="1" spans="1:18">
      <c r="A563" s="69">
        <v>1200037</v>
      </c>
      <c r="B563" s="178" t="s">
        <v>807</v>
      </c>
      <c r="C563" s="124">
        <v>0</v>
      </c>
      <c r="D563" s="124">
        <v>50</v>
      </c>
      <c r="E563" s="171" t="s">
        <v>808</v>
      </c>
      <c r="F563" s="172" t="s">
        <v>736</v>
      </c>
      <c r="G563" s="124"/>
      <c r="H563" s="124">
        <v>1</v>
      </c>
      <c r="I563" s="87">
        <v>37</v>
      </c>
      <c r="J563" s="124"/>
      <c r="K563" s="124"/>
      <c r="L563" s="124"/>
      <c r="M563" s="124"/>
      <c r="N563" s="124"/>
      <c r="O563" s="181" t="s">
        <v>41</v>
      </c>
      <c r="P563" s="115"/>
      <c r="Q563" s="124"/>
      <c r="R563" s="124"/>
    </row>
    <row r="564" s="48" customFormat="1" spans="1:18">
      <c r="A564" s="69">
        <v>1200038</v>
      </c>
      <c r="B564" s="178" t="s">
        <v>809</v>
      </c>
      <c r="C564" s="124">
        <v>0</v>
      </c>
      <c r="D564" s="124">
        <v>50</v>
      </c>
      <c r="E564" s="171" t="s">
        <v>810</v>
      </c>
      <c r="F564" s="172" t="s">
        <v>736</v>
      </c>
      <c r="G564" s="124"/>
      <c r="H564" s="124">
        <v>1</v>
      </c>
      <c r="I564" s="87">
        <v>38</v>
      </c>
      <c r="J564" s="124"/>
      <c r="K564" s="124"/>
      <c r="L564" s="124"/>
      <c r="M564" s="124"/>
      <c r="N564" s="124"/>
      <c r="O564" s="181" t="s">
        <v>41</v>
      </c>
      <c r="P564" s="115"/>
      <c r="Q564" s="124"/>
      <c r="R564" s="124"/>
    </row>
    <row r="565" s="48" customFormat="1" spans="1:18">
      <c r="A565" s="69">
        <v>1200039</v>
      </c>
      <c r="B565" s="178" t="s">
        <v>811</v>
      </c>
      <c r="C565" s="124">
        <v>0</v>
      </c>
      <c r="D565" s="124">
        <v>50</v>
      </c>
      <c r="E565" s="171" t="s">
        <v>812</v>
      </c>
      <c r="F565" s="172" t="s">
        <v>736</v>
      </c>
      <c r="G565" s="124"/>
      <c r="H565" s="124">
        <v>1</v>
      </c>
      <c r="I565" s="87">
        <v>39</v>
      </c>
      <c r="J565" s="124"/>
      <c r="K565" s="124"/>
      <c r="L565" s="124"/>
      <c r="M565" s="124"/>
      <c r="N565" s="124"/>
      <c r="O565" s="181" t="s">
        <v>41</v>
      </c>
      <c r="P565" s="115"/>
      <c r="Q565" s="124"/>
      <c r="R565" s="124"/>
    </row>
    <row r="566" s="48" customFormat="1" spans="1:18">
      <c r="A566" s="69">
        <v>1200040</v>
      </c>
      <c r="B566" s="178" t="s">
        <v>813</v>
      </c>
      <c r="C566" s="124">
        <v>0</v>
      </c>
      <c r="D566" s="124">
        <v>50</v>
      </c>
      <c r="E566" s="171" t="s">
        <v>814</v>
      </c>
      <c r="F566" s="172" t="s">
        <v>736</v>
      </c>
      <c r="G566" s="124"/>
      <c r="H566" s="124">
        <v>1</v>
      </c>
      <c r="I566" s="87">
        <v>40</v>
      </c>
      <c r="J566" s="124"/>
      <c r="K566" s="124"/>
      <c r="L566" s="124"/>
      <c r="M566" s="124"/>
      <c r="N566" s="124"/>
      <c r="O566" s="181" t="s">
        <v>41</v>
      </c>
      <c r="P566" s="115"/>
      <c r="Q566" s="124"/>
      <c r="R566" s="124"/>
    </row>
    <row r="567" s="48" customFormat="1" spans="1:18">
      <c r="A567" s="69">
        <v>1200041</v>
      </c>
      <c r="B567" s="178" t="s">
        <v>815</v>
      </c>
      <c r="C567" s="124">
        <v>0</v>
      </c>
      <c r="D567" s="124">
        <v>50</v>
      </c>
      <c r="E567" s="171" t="s">
        <v>816</v>
      </c>
      <c r="F567" s="172" t="s">
        <v>736</v>
      </c>
      <c r="G567" s="124"/>
      <c r="H567" s="124">
        <v>1</v>
      </c>
      <c r="I567" s="87">
        <v>41</v>
      </c>
      <c r="J567" s="124"/>
      <c r="K567" s="124"/>
      <c r="L567" s="124"/>
      <c r="M567" s="124"/>
      <c r="N567" s="124"/>
      <c r="O567" s="181" t="s">
        <v>41</v>
      </c>
      <c r="P567" s="115"/>
      <c r="Q567" s="124"/>
      <c r="R567" s="124"/>
    </row>
    <row r="568" s="48" customFormat="1" spans="1:18">
      <c r="A568" s="69">
        <v>1200042</v>
      </c>
      <c r="B568" s="178" t="s">
        <v>817</v>
      </c>
      <c r="C568" s="124">
        <v>0</v>
      </c>
      <c r="D568" s="124">
        <v>50</v>
      </c>
      <c r="E568" s="171" t="s">
        <v>818</v>
      </c>
      <c r="F568" s="172" t="s">
        <v>736</v>
      </c>
      <c r="G568" s="124"/>
      <c r="H568" s="124">
        <v>1</v>
      </c>
      <c r="I568" s="87">
        <v>42</v>
      </c>
      <c r="J568" s="124"/>
      <c r="K568" s="124"/>
      <c r="L568" s="124"/>
      <c r="M568" s="124"/>
      <c r="N568" s="124"/>
      <c r="O568" s="181" t="s">
        <v>41</v>
      </c>
      <c r="P568" s="115"/>
      <c r="Q568" s="124"/>
      <c r="R568" s="124"/>
    </row>
    <row r="569" s="48" customFormat="1" spans="1:18">
      <c r="A569" s="69">
        <v>1200043</v>
      </c>
      <c r="B569" s="178" t="s">
        <v>819</v>
      </c>
      <c r="C569" s="124">
        <v>0</v>
      </c>
      <c r="D569" s="124">
        <v>50</v>
      </c>
      <c r="E569" s="171" t="s">
        <v>820</v>
      </c>
      <c r="F569" s="172" t="s">
        <v>736</v>
      </c>
      <c r="G569" s="124"/>
      <c r="H569" s="124">
        <v>1</v>
      </c>
      <c r="I569" s="87">
        <v>43</v>
      </c>
      <c r="J569" s="124"/>
      <c r="K569" s="124"/>
      <c r="L569" s="124"/>
      <c r="M569" s="124"/>
      <c r="N569" s="124"/>
      <c r="O569" s="181" t="s">
        <v>41</v>
      </c>
      <c r="P569" s="115"/>
      <c r="Q569" s="124"/>
      <c r="R569" s="124"/>
    </row>
    <row r="570" s="55" customFormat="1" spans="1:18">
      <c r="A570" s="173">
        <v>1200044</v>
      </c>
      <c r="B570" s="174" t="s">
        <v>821</v>
      </c>
      <c r="C570" s="175">
        <v>0</v>
      </c>
      <c r="D570" s="175">
        <v>50</v>
      </c>
      <c r="E570" s="176" t="s">
        <v>822</v>
      </c>
      <c r="F570" s="177" t="s">
        <v>736</v>
      </c>
      <c r="G570" s="175"/>
      <c r="H570" s="175">
        <v>1</v>
      </c>
      <c r="I570" s="175">
        <v>44</v>
      </c>
      <c r="J570" s="175"/>
      <c r="K570" s="175"/>
      <c r="L570" s="175"/>
      <c r="M570" s="175"/>
      <c r="N570" s="175"/>
      <c r="O570" s="182" t="s">
        <v>41</v>
      </c>
      <c r="P570" s="173"/>
      <c r="Q570" s="175"/>
      <c r="R570" s="175"/>
    </row>
    <row r="571" s="55" customFormat="1" spans="1:18">
      <c r="A571" s="173">
        <v>1200045</v>
      </c>
      <c r="B571" s="174" t="s">
        <v>823</v>
      </c>
      <c r="C571" s="175">
        <v>0</v>
      </c>
      <c r="D571" s="175">
        <v>50</v>
      </c>
      <c r="E571" s="176" t="s">
        <v>824</v>
      </c>
      <c r="F571" s="177" t="s">
        <v>736</v>
      </c>
      <c r="G571" s="175"/>
      <c r="H571" s="175">
        <v>1</v>
      </c>
      <c r="I571" s="175">
        <v>45</v>
      </c>
      <c r="J571" s="175"/>
      <c r="K571" s="175"/>
      <c r="L571" s="175"/>
      <c r="M571" s="175"/>
      <c r="N571" s="175"/>
      <c r="O571" s="182" t="s">
        <v>41</v>
      </c>
      <c r="P571" s="173"/>
      <c r="Q571" s="175"/>
      <c r="R571" s="175"/>
    </row>
    <row r="572" s="53" customFormat="1" spans="1:18">
      <c r="A572" s="90">
        <v>1200046</v>
      </c>
      <c r="B572" s="53" t="s">
        <v>825</v>
      </c>
      <c r="C572" s="161">
        <v>0</v>
      </c>
      <c r="D572" s="161">
        <v>50</v>
      </c>
      <c r="E572" s="179" t="s">
        <v>826</v>
      </c>
      <c r="F572" s="91" t="s">
        <v>736</v>
      </c>
      <c r="G572" s="161"/>
      <c r="H572" s="161">
        <v>1</v>
      </c>
      <c r="I572" s="175">
        <v>46</v>
      </c>
      <c r="J572" s="161"/>
      <c r="K572" s="161"/>
      <c r="L572" s="161"/>
      <c r="M572" s="161"/>
      <c r="N572" s="161"/>
      <c r="O572" s="162" t="s">
        <v>41</v>
      </c>
      <c r="P572" s="90"/>
      <c r="Q572" s="161"/>
      <c r="R572" s="161"/>
    </row>
    <row r="573" s="53" customFormat="1" spans="1:18">
      <c r="A573" s="90">
        <v>1200047</v>
      </c>
      <c r="B573" s="53" t="s">
        <v>827</v>
      </c>
      <c r="C573" s="161">
        <v>0</v>
      </c>
      <c r="D573" s="161">
        <v>50</v>
      </c>
      <c r="E573" s="179" t="s">
        <v>828</v>
      </c>
      <c r="F573" s="91" t="s">
        <v>736</v>
      </c>
      <c r="G573" s="161"/>
      <c r="H573" s="161">
        <v>1</v>
      </c>
      <c r="I573" s="175">
        <v>47</v>
      </c>
      <c r="J573" s="161"/>
      <c r="K573" s="161"/>
      <c r="L573" s="161"/>
      <c r="M573" s="161"/>
      <c r="N573" s="161"/>
      <c r="O573" s="162" t="s">
        <v>41</v>
      </c>
      <c r="P573" s="90"/>
      <c r="Q573" s="161"/>
      <c r="R573" s="161"/>
    </row>
    <row r="574" s="53" customFormat="1" spans="1:18">
      <c r="A574" s="90">
        <v>1200048</v>
      </c>
      <c r="B574" s="180" t="s">
        <v>829</v>
      </c>
      <c r="C574" s="161">
        <v>0</v>
      </c>
      <c r="D574" s="161">
        <v>50</v>
      </c>
      <c r="E574" s="179" t="s">
        <v>830</v>
      </c>
      <c r="F574" s="91" t="s">
        <v>736</v>
      </c>
      <c r="G574" s="161"/>
      <c r="H574" s="161">
        <v>1</v>
      </c>
      <c r="I574" s="175">
        <v>48</v>
      </c>
      <c r="J574" s="161"/>
      <c r="K574" s="161"/>
      <c r="L574" s="161"/>
      <c r="M574" s="161"/>
      <c r="N574" s="161"/>
      <c r="O574" s="162" t="s">
        <v>41</v>
      </c>
      <c r="P574" s="90"/>
      <c r="Q574" s="161"/>
      <c r="R574" s="161"/>
    </row>
    <row r="575" s="53" customFormat="1" spans="1:18">
      <c r="A575" s="90">
        <v>1200049</v>
      </c>
      <c r="B575" s="180" t="s">
        <v>831</v>
      </c>
      <c r="C575" s="161">
        <v>0</v>
      </c>
      <c r="D575" s="161">
        <v>50</v>
      </c>
      <c r="E575" s="179" t="s">
        <v>832</v>
      </c>
      <c r="F575" s="91" t="s">
        <v>736</v>
      </c>
      <c r="G575" s="161"/>
      <c r="H575" s="161">
        <v>1</v>
      </c>
      <c r="I575" s="175">
        <v>49</v>
      </c>
      <c r="J575" s="161"/>
      <c r="K575" s="161"/>
      <c r="L575" s="161"/>
      <c r="M575" s="161"/>
      <c r="N575" s="161"/>
      <c r="O575" s="162" t="s">
        <v>41</v>
      </c>
      <c r="P575" s="90"/>
      <c r="Q575" s="161"/>
      <c r="R575" s="161"/>
    </row>
    <row r="576" s="53" customFormat="1" spans="1:18">
      <c r="A576" s="90">
        <v>1200050</v>
      </c>
      <c r="B576" s="180" t="s">
        <v>833</v>
      </c>
      <c r="C576" s="161">
        <v>0</v>
      </c>
      <c r="D576" s="161">
        <v>50</v>
      </c>
      <c r="E576" s="179" t="s">
        <v>834</v>
      </c>
      <c r="F576" s="91" t="s">
        <v>736</v>
      </c>
      <c r="G576" s="161"/>
      <c r="H576" s="161">
        <v>1</v>
      </c>
      <c r="I576" s="175">
        <v>50</v>
      </c>
      <c r="J576" s="161"/>
      <c r="K576" s="161"/>
      <c r="L576" s="161"/>
      <c r="M576" s="161"/>
      <c r="N576" s="161"/>
      <c r="O576" s="162" t="s">
        <v>41</v>
      </c>
      <c r="P576" s="90"/>
      <c r="Q576" s="161"/>
      <c r="R576" s="161"/>
    </row>
    <row r="577" s="53" customFormat="1" spans="1:18">
      <c r="A577" s="90">
        <v>1200051</v>
      </c>
      <c r="B577" s="180" t="s">
        <v>835</v>
      </c>
      <c r="C577" s="161">
        <v>0</v>
      </c>
      <c r="D577" s="161">
        <v>50</v>
      </c>
      <c r="E577" s="179" t="s">
        <v>836</v>
      </c>
      <c r="F577" s="91" t="s">
        <v>736</v>
      </c>
      <c r="G577" s="161"/>
      <c r="H577" s="161">
        <v>1</v>
      </c>
      <c r="I577" s="175">
        <v>51</v>
      </c>
      <c r="J577" s="161"/>
      <c r="K577" s="161"/>
      <c r="L577" s="161"/>
      <c r="M577" s="161"/>
      <c r="N577" s="161"/>
      <c r="O577" s="162" t="s">
        <v>41</v>
      </c>
      <c r="P577" s="90"/>
      <c r="Q577" s="161"/>
      <c r="R577" s="161"/>
    </row>
    <row r="578" s="53" customFormat="1" spans="1:18">
      <c r="A578" s="90">
        <v>1200052</v>
      </c>
      <c r="B578" s="180" t="s">
        <v>837</v>
      </c>
      <c r="C578" s="161">
        <v>0</v>
      </c>
      <c r="D578" s="161">
        <v>50</v>
      </c>
      <c r="E578" s="179" t="s">
        <v>838</v>
      </c>
      <c r="F578" s="91" t="s">
        <v>736</v>
      </c>
      <c r="G578" s="161"/>
      <c r="H578" s="161">
        <v>1</v>
      </c>
      <c r="I578" s="175">
        <v>52</v>
      </c>
      <c r="J578" s="161"/>
      <c r="K578" s="161"/>
      <c r="L578" s="161"/>
      <c r="M578" s="161"/>
      <c r="N578" s="161"/>
      <c r="O578" s="162" t="s">
        <v>41</v>
      </c>
      <c r="P578" s="90"/>
      <c r="Q578" s="161"/>
      <c r="R578" s="161"/>
    </row>
    <row r="579" spans="1:18">
      <c r="A579" s="183">
        <v>1300001</v>
      </c>
      <c r="B579" s="183" t="s">
        <v>839</v>
      </c>
      <c r="C579" s="183">
        <v>0</v>
      </c>
      <c r="D579" s="183">
        <v>122</v>
      </c>
      <c r="E579" s="183" t="s">
        <v>840</v>
      </c>
      <c r="F579" s="184" t="s">
        <v>841</v>
      </c>
      <c r="G579" s="185"/>
      <c r="H579" s="185">
        <v>1</v>
      </c>
      <c r="I579" s="185">
        <v>1</v>
      </c>
      <c r="J579" s="185"/>
      <c r="K579" s="185"/>
      <c r="L579" s="185"/>
      <c r="M579" s="185"/>
      <c r="N579" s="185"/>
      <c r="O579" s="185"/>
      <c r="P579" s="185"/>
      <c r="Q579" s="185">
        <v>450</v>
      </c>
      <c r="R579" s="185"/>
    </row>
    <row r="580" spans="1:18">
      <c r="A580" s="183">
        <v>1300002</v>
      </c>
      <c r="B580" s="183" t="s">
        <v>842</v>
      </c>
      <c r="C580" s="183">
        <v>0</v>
      </c>
      <c r="D580" s="183">
        <v>122</v>
      </c>
      <c r="E580" s="183" t="s">
        <v>843</v>
      </c>
      <c r="F580" s="184" t="s">
        <v>841</v>
      </c>
      <c r="G580" s="185"/>
      <c r="H580" s="185">
        <v>1</v>
      </c>
      <c r="I580" s="185">
        <v>2</v>
      </c>
      <c r="J580" s="185"/>
      <c r="K580" s="185"/>
      <c r="L580" s="185"/>
      <c r="M580" s="185"/>
      <c r="N580" s="185"/>
      <c r="O580" s="185"/>
      <c r="P580" s="185"/>
      <c r="Q580" s="185">
        <v>300</v>
      </c>
      <c r="R580" s="185"/>
    </row>
    <row r="581" spans="1:18">
      <c r="A581" s="183">
        <v>1300003</v>
      </c>
      <c r="B581" s="183" t="s">
        <v>844</v>
      </c>
      <c r="C581" s="183">
        <v>0</v>
      </c>
      <c r="D581" s="183">
        <v>122</v>
      </c>
      <c r="E581" s="183" t="s">
        <v>845</v>
      </c>
      <c r="F581" s="184" t="s">
        <v>841</v>
      </c>
      <c r="G581" s="185"/>
      <c r="H581" s="185">
        <v>1</v>
      </c>
      <c r="I581" s="185">
        <v>3</v>
      </c>
      <c r="J581" s="185"/>
      <c r="K581" s="185"/>
      <c r="L581" s="185"/>
      <c r="M581" s="185"/>
      <c r="N581" s="185"/>
      <c r="O581" s="185"/>
      <c r="P581" s="185"/>
      <c r="Q581" s="185">
        <v>450</v>
      </c>
      <c r="R581" s="185"/>
    </row>
    <row r="582" spans="1:18">
      <c r="A582" s="183">
        <v>1300004</v>
      </c>
      <c r="B582" s="183" t="s">
        <v>846</v>
      </c>
      <c r="C582" s="183">
        <v>0</v>
      </c>
      <c r="D582" s="183">
        <v>122</v>
      </c>
      <c r="E582" s="183" t="s">
        <v>847</v>
      </c>
      <c r="F582" s="184" t="s">
        <v>841</v>
      </c>
      <c r="G582" s="185"/>
      <c r="H582" s="185">
        <v>1</v>
      </c>
      <c r="I582" s="185">
        <v>4</v>
      </c>
      <c r="J582" s="185"/>
      <c r="K582" s="185"/>
      <c r="L582" s="185"/>
      <c r="M582" s="185"/>
      <c r="N582" s="185"/>
      <c r="O582" s="185"/>
      <c r="P582" s="185"/>
      <c r="Q582" s="185">
        <v>200</v>
      </c>
      <c r="R582" s="185"/>
    </row>
    <row r="583" spans="1:18">
      <c r="A583" s="183">
        <v>1300005</v>
      </c>
      <c r="B583" s="183" t="s">
        <v>848</v>
      </c>
      <c r="C583" s="183">
        <v>0</v>
      </c>
      <c r="D583" s="183">
        <v>122</v>
      </c>
      <c r="E583" s="183" t="s">
        <v>849</v>
      </c>
      <c r="F583" s="184" t="s">
        <v>841</v>
      </c>
      <c r="G583" s="185"/>
      <c r="H583" s="185">
        <v>1</v>
      </c>
      <c r="I583" s="185">
        <v>5</v>
      </c>
      <c r="J583" s="185"/>
      <c r="K583" s="185"/>
      <c r="L583" s="185"/>
      <c r="M583" s="185"/>
      <c r="N583" s="185"/>
      <c r="O583" s="185"/>
      <c r="P583" s="185"/>
      <c r="Q583" s="185">
        <v>300</v>
      </c>
      <c r="R583" s="185"/>
    </row>
    <row r="584" spans="1:18">
      <c r="A584" s="183">
        <v>1300006</v>
      </c>
      <c r="B584" s="183" t="s">
        <v>850</v>
      </c>
      <c r="C584" s="183">
        <v>0</v>
      </c>
      <c r="D584" s="183">
        <v>122</v>
      </c>
      <c r="E584" s="183" t="s">
        <v>851</v>
      </c>
      <c r="F584" s="184" t="s">
        <v>841</v>
      </c>
      <c r="G584" s="185"/>
      <c r="H584" s="185">
        <v>1</v>
      </c>
      <c r="I584" s="185">
        <v>6</v>
      </c>
      <c r="J584" s="185"/>
      <c r="K584" s="185"/>
      <c r="L584" s="185"/>
      <c r="M584" s="185"/>
      <c r="N584" s="185"/>
      <c r="O584" s="185"/>
      <c r="P584" s="185"/>
      <c r="Q584" s="185">
        <v>450</v>
      </c>
      <c r="R584" s="185"/>
    </row>
    <row r="585" spans="1:18">
      <c r="A585" s="183">
        <v>1300007</v>
      </c>
      <c r="B585" s="183" t="s">
        <v>852</v>
      </c>
      <c r="C585" s="183">
        <v>0</v>
      </c>
      <c r="D585" s="183">
        <v>122</v>
      </c>
      <c r="E585" s="183" t="s">
        <v>853</v>
      </c>
      <c r="F585" s="184" t="s">
        <v>841</v>
      </c>
      <c r="G585" s="185"/>
      <c r="H585" s="185">
        <v>1</v>
      </c>
      <c r="I585" s="185">
        <v>7</v>
      </c>
      <c r="J585" s="185"/>
      <c r="K585" s="185"/>
      <c r="L585" s="185"/>
      <c r="M585" s="185"/>
      <c r="N585" s="185"/>
      <c r="O585" s="185"/>
      <c r="P585" s="185"/>
      <c r="Q585" s="185">
        <v>300</v>
      </c>
      <c r="R585" s="185"/>
    </row>
    <row r="586" spans="1:18">
      <c r="A586" s="183">
        <v>1300008</v>
      </c>
      <c r="B586" s="183" t="s">
        <v>854</v>
      </c>
      <c r="C586" s="183">
        <v>0</v>
      </c>
      <c r="D586" s="183">
        <v>122</v>
      </c>
      <c r="E586" s="183" t="s">
        <v>855</v>
      </c>
      <c r="F586" s="184" t="s">
        <v>841</v>
      </c>
      <c r="G586" s="185"/>
      <c r="H586" s="185">
        <v>1</v>
      </c>
      <c r="I586" s="185">
        <v>8</v>
      </c>
      <c r="J586" s="185"/>
      <c r="K586" s="185"/>
      <c r="L586" s="185"/>
      <c r="M586" s="185"/>
      <c r="N586" s="185"/>
      <c r="O586" s="185"/>
      <c r="P586" s="185"/>
      <c r="Q586" s="185">
        <v>450</v>
      </c>
      <c r="R586" s="185"/>
    </row>
    <row r="587" spans="1:18">
      <c r="A587" s="183">
        <v>1300009</v>
      </c>
      <c r="B587" s="183" t="s">
        <v>856</v>
      </c>
      <c r="C587" s="183">
        <v>0</v>
      </c>
      <c r="D587" s="183">
        <v>122</v>
      </c>
      <c r="E587" s="183" t="s">
        <v>857</v>
      </c>
      <c r="F587" s="184" t="s">
        <v>841</v>
      </c>
      <c r="G587" s="185"/>
      <c r="H587" s="185">
        <v>1</v>
      </c>
      <c r="I587" s="185">
        <v>9</v>
      </c>
      <c r="J587" s="185"/>
      <c r="K587" s="185"/>
      <c r="L587" s="185"/>
      <c r="M587" s="185"/>
      <c r="N587" s="185"/>
      <c r="O587" s="185"/>
      <c r="P587" s="185"/>
      <c r="Q587" s="185">
        <v>450</v>
      </c>
      <c r="R587" s="185"/>
    </row>
    <row r="588" spans="1:18">
      <c r="A588" s="183">
        <v>1300010</v>
      </c>
      <c r="B588" s="183" t="s">
        <v>858</v>
      </c>
      <c r="C588" s="183">
        <v>0</v>
      </c>
      <c r="D588" s="183">
        <v>122</v>
      </c>
      <c r="E588" s="183" t="s">
        <v>859</v>
      </c>
      <c r="F588" s="184" t="s">
        <v>841</v>
      </c>
      <c r="G588" s="185"/>
      <c r="H588" s="185">
        <v>1</v>
      </c>
      <c r="I588" s="185">
        <v>10</v>
      </c>
      <c r="J588" s="185"/>
      <c r="K588" s="185"/>
      <c r="L588" s="185"/>
      <c r="M588" s="185"/>
      <c r="N588" s="185"/>
      <c r="O588" s="185"/>
      <c r="P588" s="185"/>
      <c r="Q588" s="185">
        <v>300</v>
      </c>
      <c r="R588" s="185"/>
    </row>
    <row r="589" spans="1:18">
      <c r="A589" s="183">
        <v>1300011</v>
      </c>
      <c r="B589" s="183" t="s">
        <v>860</v>
      </c>
      <c r="C589" s="183">
        <v>0</v>
      </c>
      <c r="D589" s="183">
        <v>122</v>
      </c>
      <c r="E589" s="183" t="s">
        <v>861</v>
      </c>
      <c r="F589" s="184" t="s">
        <v>841</v>
      </c>
      <c r="G589" s="185"/>
      <c r="H589" s="185">
        <v>1</v>
      </c>
      <c r="I589" s="185">
        <v>11</v>
      </c>
      <c r="J589" s="185"/>
      <c r="K589" s="185"/>
      <c r="L589" s="185"/>
      <c r="M589" s="185"/>
      <c r="N589" s="185"/>
      <c r="O589" s="185"/>
      <c r="P589" s="185"/>
      <c r="Q589" s="185">
        <v>200</v>
      </c>
      <c r="R589" s="185"/>
    </row>
    <row r="590" spans="1:18">
      <c r="A590" s="183">
        <v>1300012</v>
      </c>
      <c r="B590" s="183" t="s">
        <v>862</v>
      </c>
      <c r="C590" s="183">
        <v>0</v>
      </c>
      <c r="D590" s="183">
        <v>122</v>
      </c>
      <c r="E590" s="183" t="s">
        <v>863</v>
      </c>
      <c r="F590" s="184" t="s">
        <v>841</v>
      </c>
      <c r="G590" s="185"/>
      <c r="H590" s="185">
        <v>1</v>
      </c>
      <c r="I590" s="185">
        <v>12</v>
      </c>
      <c r="J590" s="185"/>
      <c r="K590" s="185"/>
      <c r="L590" s="185"/>
      <c r="M590" s="185"/>
      <c r="N590" s="185"/>
      <c r="O590" s="185"/>
      <c r="P590" s="185"/>
      <c r="Q590" s="185">
        <v>200</v>
      </c>
      <c r="R590" s="185"/>
    </row>
    <row r="591" spans="1:18">
      <c r="A591" s="183">
        <v>1300013</v>
      </c>
      <c r="B591" s="183" t="s">
        <v>864</v>
      </c>
      <c r="C591" s="183">
        <v>0</v>
      </c>
      <c r="D591" s="183">
        <v>122</v>
      </c>
      <c r="E591" s="183" t="s">
        <v>865</v>
      </c>
      <c r="F591" s="184" t="s">
        <v>866</v>
      </c>
      <c r="G591" s="185"/>
      <c r="H591" s="185">
        <v>1</v>
      </c>
      <c r="I591" s="185">
        <v>13</v>
      </c>
      <c r="J591" s="185"/>
      <c r="K591" s="185"/>
      <c r="L591" s="185"/>
      <c r="M591" s="185"/>
      <c r="N591" s="185"/>
      <c r="O591" s="185"/>
      <c r="P591" s="185"/>
      <c r="Q591" s="185">
        <v>50</v>
      </c>
      <c r="R591" s="185"/>
    </row>
    <row r="592" spans="1:18">
      <c r="A592" s="183">
        <v>1300014</v>
      </c>
      <c r="B592" s="183" t="s">
        <v>232</v>
      </c>
      <c r="C592" s="183">
        <v>0</v>
      </c>
      <c r="D592" s="183">
        <v>122</v>
      </c>
      <c r="E592" s="183" t="s">
        <v>867</v>
      </c>
      <c r="F592" s="184" t="s">
        <v>866</v>
      </c>
      <c r="G592" s="185"/>
      <c r="H592" s="185">
        <v>1</v>
      </c>
      <c r="I592" s="185">
        <v>14</v>
      </c>
      <c r="J592" s="185"/>
      <c r="K592" s="185"/>
      <c r="L592" s="185"/>
      <c r="M592" s="185"/>
      <c r="N592" s="185"/>
      <c r="O592" s="185"/>
      <c r="P592" s="185"/>
      <c r="Q592" s="185">
        <v>50</v>
      </c>
      <c r="R592" s="185"/>
    </row>
    <row r="593" spans="1:18">
      <c r="A593" s="183">
        <v>1300015</v>
      </c>
      <c r="B593" s="183" t="s">
        <v>868</v>
      </c>
      <c r="C593" s="183">
        <v>0</v>
      </c>
      <c r="D593" s="183">
        <v>122</v>
      </c>
      <c r="E593" s="183" t="s">
        <v>869</v>
      </c>
      <c r="F593" s="184" t="s">
        <v>866</v>
      </c>
      <c r="G593" s="185"/>
      <c r="H593" s="185">
        <v>1</v>
      </c>
      <c r="I593" s="185">
        <v>15</v>
      </c>
      <c r="J593" s="185"/>
      <c r="K593" s="185"/>
      <c r="L593" s="185"/>
      <c r="M593" s="185"/>
      <c r="N593" s="185"/>
      <c r="O593" s="185"/>
      <c r="P593" s="185"/>
      <c r="Q593" s="185">
        <v>100</v>
      </c>
      <c r="R593" s="185"/>
    </row>
    <row r="594" spans="1:18">
      <c r="A594" s="183">
        <v>1300016</v>
      </c>
      <c r="B594" s="183" t="s">
        <v>870</v>
      </c>
      <c r="C594" s="183">
        <v>0</v>
      </c>
      <c r="D594" s="183">
        <v>122</v>
      </c>
      <c r="E594" s="183" t="s">
        <v>871</v>
      </c>
      <c r="F594" s="184" t="s">
        <v>866</v>
      </c>
      <c r="G594" s="185"/>
      <c r="H594" s="185">
        <v>1</v>
      </c>
      <c r="I594" s="185">
        <v>16</v>
      </c>
      <c r="J594" s="185"/>
      <c r="K594" s="185"/>
      <c r="L594" s="185"/>
      <c r="M594" s="185"/>
      <c r="N594" s="185"/>
      <c r="O594" s="185"/>
      <c r="P594" s="185"/>
      <c r="Q594" s="185">
        <v>50</v>
      </c>
      <c r="R594" s="185"/>
    </row>
    <row r="595" spans="1:18">
      <c r="A595" s="183">
        <v>1300017</v>
      </c>
      <c r="B595" s="183" t="s">
        <v>872</v>
      </c>
      <c r="C595" s="183">
        <v>0</v>
      </c>
      <c r="D595" s="183">
        <v>122</v>
      </c>
      <c r="E595" s="183" t="s">
        <v>873</v>
      </c>
      <c r="F595" s="184" t="s">
        <v>866</v>
      </c>
      <c r="G595" s="185"/>
      <c r="H595" s="185">
        <v>1</v>
      </c>
      <c r="I595" s="185">
        <v>17</v>
      </c>
      <c r="J595" s="185"/>
      <c r="K595" s="185"/>
      <c r="L595" s="185"/>
      <c r="M595" s="185"/>
      <c r="N595" s="185"/>
      <c r="O595" s="185"/>
      <c r="P595" s="185"/>
      <c r="Q595" s="185">
        <v>150</v>
      </c>
      <c r="R595" s="185"/>
    </row>
    <row r="596" spans="1:18">
      <c r="A596" s="183">
        <v>1300018</v>
      </c>
      <c r="B596" s="183" t="s">
        <v>874</v>
      </c>
      <c r="C596" s="183">
        <v>0</v>
      </c>
      <c r="D596" s="183">
        <v>122</v>
      </c>
      <c r="E596" s="183" t="s">
        <v>875</v>
      </c>
      <c r="F596" s="184" t="s">
        <v>866</v>
      </c>
      <c r="G596" s="185"/>
      <c r="H596" s="185">
        <v>1</v>
      </c>
      <c r="I596" s="185">
        <v>18</v>
      </c>
      <c r="J596" s="185"/>
      <c r="K596" s="185"/>
      <c r="L596" s="185"/>
      <c r="M596" s="185"/>
      <c r="N596" s="185"/>
      <c r="O596" s="185"/>
      <c r="P596" s="185"/>
      <c r="Q596" s="185">
        <v>100</v>
      </c>
      <c r="R596" s="185"/>
    </row>
    <row r="597" spans="1:18">
      <c r="A597" s="183">
        <v>1300019</v>
      </c>
      <c r="B597" s="183" t="s">
        <v>229</v>
      </c>
      <c r="C597" s="183">
        <v>0</v>
      </c>
      <c r="D597" s="183">
        <v>122</v>
      </c>
      <c r="E597" s="183" t="s">
        <v>876</v>
      </c>
      <c r="F597" s="184" t="s">
        <v>866</v>
      </c>
      <c r="G597" s="185"/>
      <c r="H597" s="185">
        <v>1</v>
      </c>
      <c r="I597" s="185">
        <v>19</v>
      </c>
      <c r="J597" s="185"/>
      <c r="K597" s="185"/>
      <c r="L597" s="185"/>
      <c r="M597" s="185"/>
      <c r="N597" s="185"/>
      <c r="O597" s="185"/>
      <c r="P597" s="185"/>
      <c r="Q597" s="185">
        <v>60</v>
      </c>
      <c r="R597" s="185"/>
    </row>
    <row r="598" spans="1:18">
      <c r="A598" s="183">
        <v>1300020</v>
      </c>
      <c r="B598" s="183" t="s">
        <v>877</v>
      </c>
      <c r="C598" s="183">
        <v>0</v>
      </c>
      <c r="D598" s="183">
        <v>122</v>
      </c>
      <c r="E598" s="183" t="s">
        <v>878</v>
      </c>
      <c r="F598" s="184" t="s">
        <v>866</v>
      </c>
      <c r="G598" s="185"/>
      <c r="H598" s="185">
        <v>1</v>
      </c>
      <c r="I598" s="185">
        <v>20</v>
      </c>
      <c r="J598" s="185"/>
      <c r="K598" s="185"/>
      <c r="L598" s="185"/>
      <c r="M598" s="185"/>
      <c r="N598" s="185"/>
      <c r="O598" s="185"/>
      <c r="P598" s="185"/>
      <c r="Q598" s="185">
        <v>60</v>
      </c>
      <c r="R598" s="185"/>
    </row>
    <row r="599" spans="1:18">
      <c r="A599" s="183">
        <v>1300021</v>
      </c>
      <c r="B599" s="183" t="s">
        <v>879</v>
      </c>
      <c r="C599" s="183">
        <v>0</v>
      </c>
      <c r="D599" s="183">
        <v>122</v>
      </c>
      <c r="E599" s="183" t="s">
        <v>880</v>
      </c>
      <c r="F599" s="186" t="s">
        <v>881</v>
      </c>
      <c r="G599" s="185"/>
      <c r="H599" s="185">
        <v>1</v>
      </c>
      <c r="I599" s="185">
        <v>21</v>
      </c>
      <c r="J599" s="185"/>
      <c r="K599" s="185"/>
      <c r="L599" s="185"/>
      <c r="M599" s="185"/>
      <c r="N599" s="185"/>
      <c r="O599" s="185"/>
      <c r="P599" s="185"/>
      <c r="Q599" s="185">
        <v>100</v>
      </c>
      <c r="R599" s="185"/>
    </row>
    <row r="600" ht="15" spans="1:18">
      <c r="A600" s="96">
        <v>1310001</v>
      </c>
      <c r="B600" s="96" t="s">
        <v>198</v>
      </c>
      <c r="C600" s="96">
        <v>0</v>
      </c>
      <c r="D600" s="96">
        <v>121</v>
      </c>
      <c r="E600" s="96" t="s">
        <v>882</v>
      </c>
      <c r="F600" s="109" t="s">
        <v>883</v>
      </c>
      <c r="G600" s="96"/>
      <c r="H600" s="96">
        <v>5</v>
      </c>
      <c r="I600" s="96">
        <v>5</v>
      </c>
      <c r="J600" s="96"/>
      <c r="K600" s="96"/>
      <c r="L600" s="96"/>
      <c r="M600" s="96"/>
      <c r="N600" s="96"/>
      <c r="O600" s="96"/>
      <c r="P600" s="96"/>
      <c r="Q600" s="96"/>
      <c r="R600" s="96"/>
    </row>
    <row r="601" ht="15" spans="1:18">
      <c r="A601" s="96">
        <v>1310002</v>
      </c>
      <c r="B601" s="96" t="s">
        <v>237</v>
      </c>
      <c r="C601" s="96">
        <v>0</v>
      </c>
      <c r="D601" s="96">
        <v>121</v>
      </c>
      <c r="E601" s="96" t="s">
        <v>238</v>
      </c>
      <c r="F601" s="109" t="s">
        <v>884</v>
      </c>
      <c r="G601" s="96"/>
      <c r="H601" s="96">
        <v>3</v>
      </c>
      <c r="I601" s="96">
        <v>4</v>
      </c>
      <c r="J601" s="96"/>
      <c r="K601" s="96"/>
      <c r="L601" s="96"/>
      <c r="M601" s="96"/>
      <c r="N601" s="96"/>
      <c r="O601" s="96"/>
      <c r="P601" s="96"/>
      <c r="Q601" s="96"/>
      <c r="R601" s="96"/>
    </row>
    <row r="602" ht="15" spans="1:18">
      <c r="A602" s="96">
        <v>1310003</v>
      </c>
      <c r="B602" s="96" t="s">
        <v>714</v>
      </c>
      <c r="C602" s="96">
        <v>0</v>
      </c>
      <c r="D602" s="96">
        <v>121</v>
      </c>
      <c r="E602" s="96" t="s">
        <v>235</v>
      </c>
      <c r="F602" s="109" t="s">
        <v>885</v>
      </c>
      <c r="G602" s="96"/>
      <c r="H602" s="96">
        <v>5</v>
      </c>
      <c r="I602" s="96">
        <v>6</v>
      </c>
      <c r="J602" s="96"/>
      <c r="K602" s="96"/>
      <c r="L602" s="96"/>
      <c r="M602" s="96"/>
      <c r="N602" s="96"/>
      <c r="O602" s="96"/>
      <c r="P602" s="96"/>
      <c r="Q602" s="96"/>
      <c r="R602" s="96"/>
    </row>
    <row r="603" ht="15" spans="1:18">
      <c r="A603" s="96">
        <v>1310004</v>
      </c>
      <c r="B603" s="96" t="s">
        <v>113</v>
      </c>
      <c r="C603" s="96">
        <v>0</v>
      </c>
      <c r="D603" s="96">
        <v>121</v>
      </c>
      <c r="E603" s="187" t="s">
        <v>108</v>
      </c>
      <c r="F603" s="65" t="s">
        <v>886</v>
      </c>
      <c r="G603" s="96"/>
      <c r="H603" s="96">
        <v>20</v>
      </c>
      <c r="I603" s="96">
        <v>7</v>
      </c>
      <c r="J603" s="96"/>
      <c r="K603" s="96"/>
      <c r="L603" s="96"/>
      <c r="M603" s="96"/>
      <c r="N603" s="96"/>
      <c r="O603" s="96"/>
      <c r="P603" s="96"/>
      <c r="Q603" s="96"/>
      <c r="R603" s="96"/>
    </row>
    <row r="604" ht="15" spans="1:18">
      <c r="A604" s="96">
        <v>1310005</v>
      </c>
      <c r="B604" s="96" t="s">
        <v>478</v>
      </c>
      <c r="C604" s="96">
        <v>0</v>
      </c>
      <c r="D604" s="96">
        <v>121</v>
      </c>
      <c r="E604" s="187" t="s">
        <v>887</v>
      </c>
      <c r="F604" s="65" t="s">
        <v>886</v>
      </c>
      <c r="G604" s="96"/>
      <c r="H604" s="96">
        <v>20</v>
      </c>
      <c r="I604" s="96">
        <v>8</v>
      </c>
      <c r="J604" s="96"/>
      <c r="K604" s="96"/>
      <c r="L604" s="96"/>
      <c r="M604" s="96"/>
      <c r="N604" s="96"/>
      <c r="O604" s="96"/>
      <c r="P604" s="96"/>
      <c r="Q604" s="96"/>
      <c r="R604" s="96"/>
    </row>
    <row r="605" ht="15" spans="1:18">
      <c r="A605" s="96">
        <v>1310006</v>
      </c>
      <c r="B605" s="96" t="s">
        <v>118</v>
      </c>
      <c r="C605" s="96">
        <v>0</v>
      </c>
      <c r="D605" s="96">
        <v>121</v>
      </c>
      <c r="E605" s="187" t="s">
        <v>119</v>
      </c>
      <c r="F605" s="65" t="s">
        <v>888</v>
      </c>
      <c r="G605" s="96"/>
      <c r="H605" s="96">
        <v>5</v>
      </c>
      <c r="I605" s="96">
        <v>9</v>
      </c>
      <c r="J605" s="96"/>
      <c r="K605" s="96"/>
      <c r="L605" s="96"/>
      <c r="M605" s="96"/>
      <c r="N605" s="96"/>
      <c r="O605" s="96"/>
      <c r="P605" s="96"/>
      <c r="Q605" s="96"/>
      <c r="R605" s="96"/>
    </row>
    <row r="606" spans="1:18">
      <c r="A606" s="96">
        <v>1310007</v>
      </c>
      <c r="B606" s="96" t="s">
        <v>889</v>
      </c>
      <c r="C606" s="96">
        <v>0</v>
      </c>
      <c r="D606" s="96">
        <v>121</v>
      </c>
      <c r="E606" s="187" t="s">
        <v>890</v>
      </c>
      <c r="F606" s="65" t="s">
        <v>891</v>
      </c>
      <c r="G606" s="96"/>
      <c r="H606" s="96">
        <v>5</v>
      </c>
      <c r="I606" s="96">
        <v>10</v>
      </c>
      <c r="J606" s="96"/>
      <c r="K606" s="96"/>
      <c r="L606" s="96"/>
      <c r="M606" s="96"/>
      <c r="N606" s="96"/>
      <c r="O606" s="109"/>
      <c r="P606" s="64"/>
      <c r="Q606" s="96"/>
      <c r="R606" s="96"/>
    </row>
    <row r="607" spans="1:18">
      <c r="A607" s="96">
        <v>1310008</v>
      </c>
      <c r="B607" s="96" t="s">
        <v>892</v>
      </c>
      <c r="C607" s="96">
        <v>0</v>
      </c>
      <c r="D607" s="96">
        <v>121</v>
      </c>
      <c r="E607" s="187" t="s">
        <v>893</v>
      </c>
      <c r="F607" s="65" t="s">
        <v>894</v>
      </c>
      <c r="G607" s="96"/>
      <c r="H607" s="96">
        <v>10</v>
      </c>
      <c r="I607" s="96">
        <v>11</v>
      </c>
      <c r="J607" s="96"/>
      <c r="K607" s="96"/>
      <c r="L607" s="96"/>
      <c r="M607" s="96"/>
      <c r="N607" s="96"/>
      <c r="O607" s="109"/>
      <c r="P607" s="64"/>
      <c r="Q607" s="96"/>
      <c r="R607" s="96"/>
    </row>
    <row r="608" spans="1:18">
      <c r="A608" s="187">
        <v>1310009</v>
      </c>
      <c r="B608" s="96" t="s">
        <v>892</v>
      </c>
      <c r="C608" s="96">
        <v>0</v>
      </c>
      <c r="D608" s="96">
        <v>121</v>
      </c>
      <c r="E608" s="187" t="s">
        <v>893</v>
      </c>
      <c r="F608" s="65" t="s">
        <v>894</v>
      </c>
      <c r="G608" s="96"/>
      <c r="H608" s="96">
        <v>10</v>
      </c>
      <c r="I608" s="96">
        <v>12</v>
      </c>
      <c r="J608" s="96"/>
      <c r="K608" s="96"/>
      <c r="L608" s="96"/>
      <c r="M608" s="96"/>
      <c r="N608" s="96"/>
      <c r="O608" s="109"/>
      <c r="P608" s="64"/>
      <c r="Q608" s="96"/>
      <c r="R608" s="96"/>
    </row>
    <row r="609" spans="1:18">
      <c r="A609" s="96">
        <v>1310010</v>
      </c>
      <c r="B609" s="108" t="s">
        <v>727</v>
      </c>
      <c r="C609" s="187">
        <v>0</v>
      </c>
      <c r="D609" s="187">
        <v>121</v>
      </c>
      <c r="E609" s="108" t="s">
        <v>728</v>
      </c>
      <c r="F609" s="65" t="s">
        <v>895</v>
      </c>
      <c r="G609" s="187"/>
      <c r="H609" s="96">
        <v>1</v>
      </c>
      <c r="I609" s="96">
        <v>1</v>
      </c>
      <c r="J609" s="96"/>
      <c r="K609" s="96"/>
      <c r="L609" s="96"/>
      <c r="M609" s="96"/>
      <c r="N609" s="96"/>
      <c r="O609" s="109"/>
      <c r="P609" s="64"/>
      <c r="Q609" s="96"/>
      <c r="R609" s="96"/>
    </row>
    <row r="610" spans="1:18">
      <c r="A610" s="187">
        <v>1310011</v>
      </c>
      <c r="B610" s="108" t="s">
        <v>730</v>
      </c>
      <c r="C610" s="187">
        <v>0</v>
      </c>
      <c r="D610" s="187">
        <v>121</v>
      </c>
      <c r="E610" s="108" t="s">
        <v>731</v>
      </c>
      <c r="F610" s="65" t="s">
        <v>895</v>
      </c>
      <c r="G610" s="187"/>
      <c r="H610" s="96">
        <v>1</v>
      </c>
      <c r="I610" s="96">
        <v>2</v>
      </c>
      <c r="J610" s="96"/>
      <c r="K610" s="96"/>
      <c r="L610" s="96"/>
      <c r="M610" s="96"/>
      <c r="N610" s="96"/>
      <c r="O610" s="109"/>
      <c r="P610" s="64"/>
      <c r="Q610" s="96"/>
      <c r="R610" s="96"/>
    </row>
    <row r="611" spans="1:18">
      <c r="A611" s="96">
        <v>1310012</v>
      </c>
      <c r="B611" s="108" t="s">
        <v>732</v>
      </c>
      <c r="C611" s="187">
        <v>0</v>
      </c>
      <c r="D611" s="187">
        <v>121</v>
      </c>
      <c r="E611" s="108" t="s">
        <v>733</v>
      </c>
      <c r="F611" s="65" t="s">
        <v>895</v>
      </c>
      <c r="G611" s="187"/>
      <c r="H611" s="96">
        <v>1</v>
      </c>
      <c r="I611" s="96">
        <v>3</v>
      </c>
      <c r="J611" s="96"/>
      <c r="K611" s="96"/>
      <c r="L611" s="96"/>
      <c r="M611" s="96"/>
      <c r="N611" s="96"/>
      <c r="O611" s="109"/>
      <c r="P611" s="64"/>
      <c r="Q611" s="96"/>
      <c r="R611" s="96"/>
    </row>
    <row r="612" s="56" customFormat="1" ht="15" spans="1:18">
      <c r="A612" s="188">
        <v>1400001</v>
      </c>
      <c r="B612" s="188" t="s">
        <v>285</v>
      </c>
      <c r="C612" s="188">
        <v>0</v>
      </c>
      <c r="D612" s="188">
        <v>130</v>
      </c>
      <c r="E612" s="189" t="s">
        <v>286</v>
      </c>
      <c r="F612" s="190" t="s">
        <v>896</v>
      </c>
      <c r="G612" s="188"/>
      <c r="H612" s="188"/>
      <c r="I612" s="188">
        <v>1</v>
      </c>
      <c r="J612" s="188"/>
      <c r="K612" s="188"/>
      <c r="L612" s="188"/>
      <c r="M612" s="188"/>
      <c r="N612" s="188"/>
      <c r="O612" s="188"/>
      <c r="P612" s="188"/>
      <c r="Q612" s="188"/>
      <c r="R612" s="188"/>
    </row>
    <row r="613" s="56" customFormat="1" ht="15" spans="1:18">
      <c r="A613" s="188">
        <v>1400002</v>
      </c>
      <c r="B613" s="188" t="s">
        <v>655</v>
      </c>
      <c r="C613" s="188">
        <v>0</v>
      </c>
      <c r="D613" s="188">
        <v>130</v>
      </c>
      <c r="E613" s="189" t="s">
        <v>656</v>
      </c>
      <c r="F613" s="190" t="s">
        <v>896</v>
      </c>
      <c r="G613" s="188"/>
      <c r="H613" s="188"/>
      <c r="I613" s="188">
        <v>2</v>
      </c>
      <c r="J613" s="188"/>
      <c r="K613" s="188"/>
      <c r="L613" s="188"/>
      <c r="M613" s="188"/>
      <c r="N613" s="188"/>
      <c r="O613" s="188"/>
      <c r="P613" s="188"/>
      <c r="Q613" s="188"/>
      <c r="R613" s="188"/>
    </row>
    <row r="614" s="56" customFormat="1" ht="15" spans="1:18">
      <c r="A614" s="188">
        <v>1400003</v>
      </c>
      <c r="B614" s="188" t="s">
        <v>161</v>
      </c>
      <c r="C614" s="188">
        <v>0</v>
      </c>
      <c r="D614" s="188">
        <v>130</v>
      </c>
      <c r="E614" s="189" t="s">
        <v>162</v>
      </c>
      <c r="F614" s="190" t="s">
        <v>896</v>
      </c>
      <c r="G614" s="188"/>
      <c r="H614" s="188"/>
      <c r="I614" s="188">
        <v>3</v>
      </c>
      <c r="J614" s="188"/>
      <c r="K614" s="188"/>
      <c r="L614" s="188"/>
      <c r="M614" s="188"/>
      <c r="N614" s="188"/>
      <c r="O614" s="188"/>
      <c r="P614" s="188"/>
      <c r="Q614" s="188"/>
      <c r="R614" s="188"/>
    </row>
    <row r="615" s="56" customFormat="1" ht="15" spans="1:18">
      <c r="A615" s="188">
        <v>1400004</v>
      </c>
      <c r="B615" s="188" t="s">
        <v>293</v>
      </c>
      <c r="C615" s="188">
        <v>0</v>
      </c>
      <c r="D615" s="188">
        <v>130</v>
      </c>
      <c r="E615" s="189" t="s">
        <v>294</v>
      </c>
      <c r="F615" s="190" t="s">
        <v>896</v>
      </c>
      <c r="G615" s="188"/>
      <c r="H615" s="188"/>
      <c r="I615" s="188">
        <v>4</v>
      </c>
      <c r="J615" s="188"/>
      <c r="K615" s="188"/>
      <c r="L615" s="188"/>
      <c r="M615" s="188"/>
      <c r="N615" s="188"/>
      <c r="O615" s="188"/>
      <c r="P615" s="188"/>
      <c r="Q615" s="188"/>
      <c r="R615" s="188"/>
    </row>
    <row r="616" s="56" customFormat="1" ht="15" spans="1:18">
      <c r="A616" s="188">
        <v>1400005</v>
      </c>
      <c r="B616" s="188" t="s">
        <v>155</v>
      </c>
      <c r="C616" s="188">
        <v>0</v>
      </c>
      <c r="D616" s="188">
        <v>130</v>
      </c>
      <c r="E616" s="189" t="s">
        <v>156</v>
      </c>
      <c r="F616" s="190" t="s">
        <v>896</v>
      </c>
      <c r="G616" s="188"/>
      <c r="H616" s="188"/>
      <c r="I616" s="188">
        <v>5</v>
      </c>
      <c r="J616" s="188"/>
      <c r="K616" s="188"/>
      <c r="L616" s="188"/>
      <c r="M616" s="188"/>
      <c r="N616" s="188"/>
      <c r="O616" s="188"/>
      <c r="P616" s="188"/>
      <c r="Q616" s="188"/>
      <c r="R616" s="188"/>
    </row>
    <row r="617" s="56" customFormat="1" ht="15" spans="1:18">
      <c r="A617" s="188">
        <v>1400006</v>
      </c>
      <c r="B617" s="188" t="s">
        <v>607</v>
      </c>
      <c r="C617" s="188">
        <v>0</v>
      </c>
      <c r="D617" s="188">
        <v>130</v>
      </c>
      <c r="E617" s="189" t="s">
        <v>608</v>
      </c>
      <c r="F617" s="190" t="s">
        <v>896</v>
      </c>
      <c r="G617" s="188"/>
      <c r="H617" s="188"/>
      <c r="I617" s="188">
        <v>6</v>
      </c>
      <c r="J617" s="188"/>
      <c r="K617" s="188"/>
      <c r="L617" s="188"/>
      <c r="M617" s="188"/>
      <c r="N617" s="188"/>
      <c r="O617" s="188"/>
      <c r="P617" s="188"/>
      <c r="Q617" s="188"/>
      <c r="R617" s="188"/>
    </row>
    <row r="618" s="56" customFormat="1" ht="15" spans="1:18">
      <c r="A618" s="188">
        <v>1400007</v>
      </c>
      <c r="B618" s="188" t="s">
        <v>288</v>
      </c>
      <c r="C618" s="188">
        <v>0</v>
      </c>
      <c r="D618" s="188">
        <v>130</v>
      </c>
      <c r="E618" s="189" t="s">
        <v>289</v>
      </c>
      <c r="F618" s="190" t="s">
        <v>896</v>
      </c>
      <c r="G618" s="188"/>
      <c r="H618" s="188"/>
      <c r="I618" s="188">
        <v>7</v>
      </c>
      <c r="J618" s="188"/>
      <c r="K618" s="188"/>
      <c r="L618" s="188"/>
      <c r="M618" s="188"/>
      <c r="N618" s="188"/>
      <c r="O618" s="188"/>
      <c r="P618" s="188"/>
      <c r="Q618" s="188"/>
      <c r="R618" s="188"/>
    </row>
    <row r="619" s="56" customFormat="1" ht="15" spans="1:18">
      <c r="A619" s="188">
        <v>1400008</v>
      </c>
      <c r="B619" s="188" t="s">
        <v>347</v>
      </c>
      <c r="C619" s="188">
        <v>0</v>
      </c>
      <c r="D619" s="188">
        <v>130</v>
      </c>
      <c r="E619" s="189" t="s">
        <v>348</v>
      </c>
      <c r="F619" s="190" t="s">
        <v>896</v>
      </c>
      <c r="G619" s="188"/>
      <c r="H619" s="188"/>
      <c r="I619" s="188">
        <v>8</v>
      </c>
      <c r="J619" s="188"/>
      <c r="K619" s="188"/>
      <c r="L619" s="188"/>
      <c r="M619" s="188"/>
      <c r="N619" s="188"/>
      <c r="O619" s="188"/>
      <c r="P619" s="188"/>
      <c r="Q619" s="188"/>
      <c r="R619" s="188"/>
    </row>
    <row r="620" s="56" customFormat="1" ht="15" spans="1:18">
      <c r="A620" s="188">
        <v>1400009</v>
      </c>
      <c r="B620" s="188" t="s">
        <v>157</v>
      </c>
      <c r="C620" s="188">
        <v>0</v>
      </c>
      <c r="D620" s="188">
        <v>130</v>
      </c>
      <c r="E620" s="189" t="s">
        <v>158</v>
      </c>
      <c r="F620" s="190" t="s">
        <v>896</v>
      </c>
      <c r="G620" s="188"/>
      <c r="H620" s="188"/>
      <c r="I620" s="188">
        <v>9</v>
      </c>
      <c r="J620" s="188"/>
      <c r="K620" s="188"/>
      <c r="L620" s="188"/>
      <c r="M620" s="188"/>
      <c r="N620" s="188"/>
      <c r="O620" s="188"/>
      <c r="P620" s="188"/>
      <c r="Q620" s="188"/>
      <c r="R620" s="188"/>
    </row>
    <row r="621" ht="15" spans="1:15">
      <c r="A621" s="57">
        <v>1500001</v>
      </c>
      <c r="B621" s="57" t="s">
        <v>157</v>
      </c>
      <c r="C621" s="57">
        <v>0</v>
      </c>
      <c r="D621" s="57">
        <v>140</v>
      </c>
      <c r="E621" s="191" t="s">
        <v>158</v>
      </c>
      <c r="F621" s="192" t="s">
        <v>897</v>
      </c>
      <c r="H621" s="58">
        <v>1</v>
      </c>
      <c r="I621" s="58">
        <v>1</v>
      </c>
      <c r="O621" s="202" t="s">
        <v>37</v>
      </c>
    </row>
    <row r="622" s="57" customFormat="1" spans="1:16">
      <c r="A622" s="57">
        <v>1500002</v>
      </c>
      <c r="B622" s="57" t="s">
        <v>285</v>
      </c>
      <c r="C622" s="57">
        <v>0</v>
      </c>
      <c r="D622" s="57">
        <v>140</v>
      </c>
      <c r="E622" s="191" t="s">
        <v>286</v>
      </c>
      <c r="F622" s="192" t="s">
        <v>897</v>
      </c>
      <c r="H622" s="57">
        <v>1</v>
      </c>
      <c r="I622" s="57">
        <v>2</v>
      </c>
      <c r="O622" s="203" t="s">
        <v>37</v>
      </c>
      <c r="P622" s="204"/>
    </row>
    <row r="623" s="57" customFormat="1" spans="1:16">
      <c r="A623" s="57">
        <v>1500003</v>
      </c>
      <c r="B623" s="57" t="s">
        <v>665</v>
      </c>
      <c r="C623" s="57">
        <v>0</v>
      </c>
      <c r="D623" s="57">
        <v>140</v>
      </c>
      <c r="E623" s="191" t="s">
        <v>666</v>
      </c>
      <c r="F623" s="192" t="s">
        <v>897</v>
      </c>
      <c r="H623" s="57">
        <v>1</v>
      </c>
      <c r="I623" s="57">
        <v>3</v>
      </c>
      <c r="O623" s="203" t="s">
        <v>37</v>
      </c>
      <c r="P623" s="204"/>
    </row>
    <row r="624" ht="15" spans="1:15">
      <c r="A624" s="58">
        <v>1500004</v>
      </c>
      <c r="B624" s="193" t="s">
        <v>147</v>
      </c>
      <c r="C624" s="58">
        <v>0</v>
      </c>
      <c r="D624" s="58">
        <v>140</v>
      </c>
      <c r="E624" s="106" t="s">
        <v>148</v>
      </c>
      <c r="F624" s="60" t="s">
        <v>898</v>
      </c>
      <c r="H624" s="58">
        <v>1</v>
      </c>
      <c r="I624" s="58">
        <v>4</v>
      </c>
      <c r="O624" s="202" t="s">
        <v>37</v>
      </c>
    </row>
    <row r="625" ht="15" spans="1:15">
      <c r="A625" s="58">
        <v>1500005</v>
      </c>
      <c r="B625" s="193" t="s">
        <v>899</v>
      </c>
      <c r="C625" s="58">
        <v>0</v>
      </c>
      <c r="D625" s="58">
        <v>140</v>
      </c>
      <c r="E625" s="106" t="s">
        <v>658</v>
      </c>
      <c r="F625" s="60" t="s">
        <v>900</v>
      </c>
      <c r="H625" s="58">
        <v>1</v>
      </c>
      <c r="I625" s="58">
        <v>5</v>
      </c>
      <c r="O625" s="202" t="s">
        <v>37</v>
      </c>
    </row>
    <row r="626" ht="15" spans="1:15">
      <c r="A626" s="58">
        <v>1500006</v>
      </c>
      <c r="B626" s="193" t="s">
        <v>185</v>
      </c>
      <c r="C626" s="58">
        <v>0</v>
      </c>
      <c r="D626" s="58">
        <v>140</v>
      </c>
      <c r="E626" s="106" t="s">
        <v>699</v>
      </c>
      <c r="F626" s="60" t="s">
        <v>901</v>
      </c>
      <c r="H626" s="58">
        <v>1</v>
      </c>
      <c r="I626" s="58">
        <v>7</v>
      </c>
      <c r="O626" s="202" t="s">
        <v>41</v>
      </c>
    </row>
    <row r="627" ht="15" spans="1:15">
      <c r="A627" s="58">
        <v>1500007</v>
      </c>
      <c r="B627" s="193" t="s">
        <v>109</v>
      </c>
      <c r="C627" s="58">
        <v>0</v>
      </c>
      <c r="D627" s="58">
        <v>140</v>
      </c>
      <c r="E627" s="106" t="s">
        <v>110</v>
      </c>
      <c r="F627" s="60" t="s">
        <v>902</v>
      </c>
      <c r="H627" s="58">
        <v>5</v>
      </c>
      <c r="I627" s="58">
        <v>8</v>
      </c>
      <c r="O627" s="202" t="s">
        <v>29</v>
      </c>
    </row>
    <row r="628" ht="15" spans="1:15">
      <c r="A628" s="58">
        <v>1500008</v>
      </c>
      <c r="B628" s="193" t="s">
        <v>903</v>
      </c>
      <c r="C628" s="58">
        <v>0</v>
      </c>
      <c r="D628" s="58">
        <v>140</v>
      </c>
      <c r="E628" s="106" t="s">
        <v>904</v>
      </c>
      <c r="F628" s="60" t="s">
        <v>905</v>
      </c>
      <c r="I628" s="58">
        <v>6</v>
      </c>
      <c r="O628" s="202"/>
    </row>
    <row r="629" s="48" customFormat="1" spans="1:16">
      <c r="A629" s="48">
        <v>1600001</v>
      </c>
      <c r="B629" s="194" t="s">
        <v>906</v>
      </c>
      <c r="C629" s="48">
        <v>0</v>
      </c>
      <c r="D629" s="48">
        <v>150</v>
      </c>
      <c r="E629" s="195" t="s">
        <v>189</v>
      </c>
      <c r="F629" s="196" t="s">
        <v>907</v>
      </c>
      <c r="H629" s="48">
        <v>10</v>
      </c>
      <c r="I629" s="48">
        <v>1</v>
      </c>
      <c r="O629" s="64" t="s">
        <v>41</v>
      </c>
      <c r="P629" s="205"/>
    </row>
    <row r="630" s="48" customFormat="1" spans="1:16">
      <c r="A630" s="48">
        <v>1600002</v>
      </c>
      <c r="B630" s="194" t="s">
        <v>908</v>
      </c>
      <c r="C630" s="48">
        <v>0</v>
      </c>
      <c r="D630" s="48">
        <v>150</v>
      </c>
      <c r="E630" s="195" t="s">
        <v>550</v>
      </c>
      <c r="F630" s="196" t="s">
        <v>909</v>
      </c>
      <c r="H630" s="48">
        <v>5</v>
      </c>
      <c r="I630" s="48">
        <v>2</v>
      </c>
      <c r="O630" s="64" t="s">
        <v>41</v>
      </c>
      <c r="P630" s="205"/>
    </row>
    <row r="631" s="48" customFormat="1" spans="1:16">
      <c r="A631" s="48">
        <v>1600003</v>
      </c>
      <c r="B631" s="194" t="s">
        <v>910</v>
      </c>
      <c r="C631" s="48">
        <v>0</v>
      </c>
      <c r="D631" s="48">
        <v>150</v>
      </c>
      <c r="E631" s="195" t="s">
        <v>552</v>
      </c>
      <c r="F631" s="196" t="s">
        <v>911</v>
      </c>
      <c r="H631" s="48">
        <v>5</v>
      </c>
      <c r="I631" s="48">
        <v>3</v>
      </c>
      <c r="O631" s="64" t="s">
        <v>41</v>
      </c>
      <c r="P631" s="205"/>
    </row>
    <row r="632" s="48" customFormat="1" spans="1:16">
      <c r="A632" s="48">
        <v>1600004</v>
      </c>
      <c r="B632" s="194" t="s">
        <v>912</v>
      </c>
      <c r="C632" s="48">
        <v>0</v>
      </c>
      <c r="D632" s="48">
        <v>150</v>
      </c>
      <c r="E632" s="195" t="s">
        <v>913</v>
      </c>
      <c r="F632" s="196" t="s">
        <v>914</v>
      </c>
      <c r="H632" s="48">
        <v>50</v>
      </c>
      <c r="I632" s="48">
        <v>4</v>
      </c>
      <c r="O632" s="206" t="s">
        <v>41</v>
      </c>
      <c r="P632" s="205"/>
    </row>
    <row r="633" s="48" customFormat="1" spans="1:16">
      <c r="A633" s="48">
        <v>1600005</v>
      </c>
      <c r="B633" s="194" t="s">
        <v>915</v>
      </c>
      <c r="C633" s="194">
        <v>0</v>
      </c>
      <c r="D633" s="194">
        <v>150</v>
      </c>
      <c r="E633" s="197" t="s">
        <v>916</v>
      </c>
      <c r="F633" s="198" t="s">
        <v>917</v>
      </c>
      <c r="G633" s="194"/>
      <c r="H633" s="194">
        <v>50</v>
      </c>
      <c r="I633" s="194">
        <v>12</v>
      </c>
      <c r="J633" s="194"/>
      <c r="K633" s="194"/>
      <c r="L633" s="194"/>
      <c r="M633" s="194"/>
      <c r="N633" s="194"/>
      <c r="O633" s="187" t="s">
        <v>41</v>
      </c>
      <c r="P633" s="205"/>
    </row>
    <row r="634" s="48" customFormat="1" spans="1:16">
      <c r="A634" s="48">
        <v>1600006</v>
      </c>
      <c r="B634" s="194" t="s">
        <v>918</v>
      </c>
      <c r="C634" s="194">
        <v>0</v>
      </c>
      <c r="D634" s="194">
        <v>150</v>
      </c>
      <c r="E634" s="197" t="s">
        <v>919</v>
      </c>
      <c r="F634" s="198" t="s">
        <v>917</v>
      </c>
      <c r="G634" s="194"/>
      <c r="H634" s="194">
        <v>50</v>
      </c>
      <c r="I634" s="194">
        <v>13</v>
      </c>
      <c r="J634" s="194"/>
      <c r="K634" s="194"/>
      <c r="L634" s="194"/>
      <c r="M634" s="194"/>
      <c r="N634" s="194"/>
      <c r="O634" s="187" t="s">
        <v>41</v>
      </c>
      <c r="P634" s="205"/>
    </row>
    <row r="635" s="48" customFormat="1" spans="1:16">
      <c r="A635" s="48">
        <v>1600007</v>
      </c>
      <c r="B635" s="194" t="s">
        <v>920</v>
      </c>
      <c r="C635" s="194">
        <v>0</v>
      </c>
      <c r="D635" s="194">
        <v>150</v>
      </c>
      <c r="E635" s="197" t="s">
        <v>921</v>
      </c>
      <c r="F635" s="198" t="s">
        <v>917</v>
      </c>
      <c r="G635" s="194"/>
      <c r="H635" s="194">
        <v>50</v>
      </c>
      <c r="I635" s="194">
        <v>14</v>
      </c>
      <c r="J635" s="194"/>
      <c r="K635" s="194"/>
      <c r="L635" s="194"/>
      <c r="M635" s="194"/>
      <c r="N635" s="194"/>
      <c r="O635" s="187" t="s">
        <v>41</v>
      </c>
      <c r="P635" s="205"/>
    </row>
    <row r="636" s="48" customFormat="1" spans="1:16">
      <c r="A636" s="48">
        <v>1600008</v>
      </c>
      <c r="B636" s="194" t="s">
        <v>922</v>
      </c>
      <c r="C636" s="194">
        <v>0</v>
      </c>
      <c r="D636" s="194">
        <v>150</v>
      </c>
      <c r="E636" s="197" t="s">
        <v>923</v>
      </c>
      <c r="F636" s="198" t="s">
        <v>917</v>
      </c>
      <c r="G636" s="194"/>
      <c r="H636" s="194">
        <v>50</v>
      </c>
      <c r="I636" s="194">
        <v>15</v>
      </c>
      <c r="J636" s="194"/>
      <c r="K636" s="194"/>
      <c r="L636" s="194"/>
      <c r="M636" s="194"/>
      <c r="N636" s="194"/>
      <c r="O636" s="187" t="s">
        <v>41</v>
      </c>
      <c r="P636" s="205"/>
    </row>
    <row r="637" s="46" customFormat="1" spans="1:16">
      <c r="A637" s="46">
        <v>1700001</v>
      </c>
      <c r="B637" s="199" t="s">
        <v>188</v>
      </c>
      <c r="C637" s="46">
        <v>0</v>
      </c>
      <c r="D637" s="46">
        <v>151</v>
      </c>
      <c r="E637" s="167" t="s">
        <v>924</v>
      </c>
      <c r="F637" s="200" t="s">
        <v>925</v>
      </c>
      <c r="H637" s="201">
        <v>1</v>
      </c>
      <c r="I637" s="46">
        <v>1</v>
      </c>
      <c r="O637" s="207"/>
      <c r="P637" s="208"/>
    </row>
    <row r="638" s="46" customFormat="1" spans="1:16">
      <c r="A638" s="46">
        <v>1700002</v>
      </c>
      <c r="B638" s="199" t="s">
        <v>118</v>
      </c>
      <c r="C638" s="46">
        <v>0</v>
      </c>
      <c r="D638" s="46">
        <v>151</v>
      </c>
      <c r="E638" s="167" t="s">
        <v>119</v>
      </c>
      <c r="F638" s="200" t="s">
        <v>925</v>
      </c>
      <c r="H638" s="201">
        <v>1</v>
      </c>
      <c r="I638" s="46">
        <v>2</v>
      </c>
      <c r="O638" s="207"/>
      <c r="P638" s="208"/>
    </row>
    <row r="639" s="46" customFormat="1" spans="1:16">
      <c r="A639" s="46">
        <v>1700003</v>
      </c>
      <c r="B639" s="199" t="s">
        <v>115</v>
      </c>
      <c r="C639" s="46">
        <v>0</v>
      </c>
      <c r="D639" s="46">
        <v>151</v>
      </c>
      <c r="E639" s="167" t="s">
        <v>116</v>
      </c>
      <c r="F639" s="200" t="s">
        <v>926</v>
      </c>
      <c r="H639" s="201">
        <v>1</v>
      </c>
      <c r="I639" s="46">
        <v>4</v>
      </c>
      <c r="O639" s="207"/>
      <c r="P639" s="208"/>
    </row>
    <row r="640" s="46" customFormat="1" spans="1:16">
      <c r="A640" s="46">
        <v>1700004</v>
      </c>
      <c r="B640" s="199" t="s">
        <v>892</v>
      </c>
      <c r="C640" s="46">
        <v>0</v>
      </c>
      <c r="D640" s="46">
        <v>151</v>
      </c>
      <c r="E640" s="167" t="s">
        <v>927</v>
      </c>
      <c r="F640" s="200" t="s">
        <v>928</v>
      </c>
      <c r="H640" s="201">
        <v>1</v>
      </c>
      <c r="I640" s="46">
        <v>6</v>
      </c>
      <c r="O640" s="207"/>
      <c r="P640" s="208"/>
    </row>
    <row r="641" s="46" customFormat="1" spans="1:16">
      <c r="A641" s="46">
        <v>1700005</v>
      </c>
      <c r="B641" s="199" t="s">
        <v>185</v>
      </c>
      <c r="C641" s="46">
        <v>0</v>
      </c>
      <c r="D641" s="46">
        <v>151</v>
      </c>
      <c r="E641" s="167" t="s">
        <v>929</v>
      </c>
      <c r="F641" s="200" t="s">
        <v>926</v>
      </c>
      <c r="H641" s="201">
        <v>2</v>
      </c>
      <c r="I641" s="46">
        <v>3</v>
      </c>
      <c r="O641" s="207"/>
      <c r="P641" s="208"/>
    </row>
    <row r="642" s="46" customFormat="1" spans="1:16">
      <c r="A642" s="46">
        <v>1700006</v>
      </c>
      <c r="B642" s="199" t="s">
        <v>224</v>
      </c>
      <c r="C642" s="46">
        <v>0</v>
      </c>
      <c r="D642" s="46">
        <v>151</v>
      </c>
      <c r="E642" s="167" t="s">
        <v>225</v>
      </c>
      <c r="F642" s="200" t="s">
        <v>930</v>
      </c>
      <c r="H642" s="201">
        <v>1</v>
      </c>
      <c r="I642" s="46">
        <v>5</v>
      </c>
      <c r="O642" s="207"/>
      <c r="P642" s="208"/>
    </row>
    <row r="643" s="47" customFormat="1" spans="1:16">
      <c r="A643" s="47">
        <v>1800001</v>
      </c>
      <c r="B643" s="209" t="s">
        <v>188</v>
      </c>
      <c r="C643" s="47">
        <v>0</v>
      </c>
      <c r="D643" s="47">
        <v>152</v>
      </c>
      <c r="E643" s="106" t="s">
        <v>924</v>
      </c>
      <c r="F643" s="210" t="s">
        <v>931</v>
      </c>
      <c r="H643" s="211">
        <v>2</v>
      </c>
      <c r="I643" s="47">
        <v>1</v>
      </c>
      <c r="O643" s="206" t="s">
        <v>41</v>
      </c>
      <c r="P643" s="220"/>
    </row>
    <row r="644" s="47" customFormat="1" spans="1:16">
      <c r="A644" s="47">
        <v>1800002</v>
      </c>
      <c r="B644" s="209" t="s">
        <v>118</v>
      </c>
      <c r="C644" s="47">
        <v>0</v>
      </c>
      <c r="D644" s="47">
        <v>152</v>
      </c>
      <c r="E644" s="106" t="s">
        <v>119</v>
      </c>
      <c r="F644" s="210" t="s">
        <v>931</v>
      </c>
      <c r="H644" s="211">
        <v>2</v>
      </c>
      <c r="I644" s="47">
        <v>2</v>
      </c>
      <c r="O644" s="206" t="s">
        <v>41</v>
      </c>
      <c r="P644" s="220"/>
    </row>
    <row r="645" s="47" customFormat="1" spans="1:16">
      <c r="A645" s="47">
        <v>1800003</v>
      </c>
      <c r="B645" s="209" t="s">
        <v>115</v>
      </c>
      <c r="C645" s="47">
        <v>0</v>
      </c>
      <c r="D645" s="47">
        <v>152</v>
      </c>
      <c r="E645" s="106" t="s">
        <v>116</v>
      </c>
      <c r="F645" s="210" t="s">
        <v>932</v>
      </c>
      <c r="H645" s="211">
        <v>2</v>
      </c>
      <c r="I645" s="47">
        <v>3</v>
      </c>
      <c r="O645" s="206" t="s">
        <v>41</v>
      </c>
      <c r="P645" s="220"/>
    </row>
    <row r="646" s="47" customFormat="1" spans="1:16">
      <c r="A646" s="47">
        <v>1800004</v>
      </c>
      <c r="B646" s="209" t="s">
        <v>892</v>
      </c>
      <c r="C646" s="47">
        <v>0</v>
      </c>
      <c r="D646" s="47">
        <v>152</v>
      </c>
      <c r="E646" s="106" t="s">
        <v>933</v>
      </c>
      <c r="F646" s="210" t="s">
        <v>934</v>
      </c>
      <c r="H646" s="211">
        <v>2</v>
      </c>
      <c r="I646" s="47">
        <v>4</v>
      </c>
      <c r="O646" s="206" t="s">
        <v>41</v>
      </c>
      <c r="P646" s="220"/>
    </row>
    <row r="647" s="47" customFormat="1" spans="1:16">
      <c r="A647" s="47">
        <v>1800005</v>
      </c>
      <c r="B647" s="209" t="s">
        <v>185</v>
      </c>
      <c r="C647" s="47">
        <v>0</v>
      </c>
      <c r="D647" s="47">
        <v>152</v>
      </c>
      <c r="E647" s="106" t="s">
        <v>929</v>
      </c>
      <c r="F647" s="210" t="s">
        <v>935</v>
      </c>
      <c r="H647" s="211">
        <v>2</v>
      </c>
      <c r="I647" s="47">
        <v>5</v>
      </c>
      <c r="O647" s="206" t="s">
        <v>41</v>
      </c>
      <c r="P647" s="220"/>
    </row>
    <row r="648" s="47" customFormat="1" spans="1:16">
      <c r="A648" s="47">
        <v>1800006</v>
      </c>
      <c r="B648" s="209" t="s">
        <v>224</v>
      </c>
      <c r="C648" s="47">
        <v>0</v>
      </c>
      <c r="D648" s="47">
        <v>152</v>
      </c>
      <c r="E648" s="106" t="s">
        <v>225</v>
      </c>
      <c r="F648" s="210" t="s">
        <v>934</v>
      </c>
      <c r="H648" s="211">
        <v>1</v>
      </c>
      <c r="I648" s="47">
        <v>6</v>
      </c>
      <c r="O648" s="206" t="s">
        <v>41</v>
      </c>
      <c r="P648" s="220"/>
    </row>
    <row r="649" spans="1:15">
      <c r="A649" s="47">
        <v>1800007</v>
      </c>
      <c r="B649" s="193" t="s">
        <v>113</v>
      </c>
      <c r="C649" s="47">
        <v>0</v>
      </c>
      <c r="D649" s="47">
        <v>152</v>
      </c>
      <c r="E649" s="106" t="s">
        <v>466</v>
      </c>
      <c r="F649" s="210" t="s">
        <v>936</v>
      </c>
      <c r="H649" s="58">
        <v>999</v>
      </c>
      <c r="I649" s="47">
        <v>7</v>
      </c>
      <c r="O649" s="206" t="s">
        <v>41</v>
      </c>
    </row>
    <row r="650" spans="1:15">
      <c r="A650" s="47">
        <v>1800008</v>
      </c>
      <c r="B650" s="193" t="s">
        <v>478</v>
      </c>
      <c r="C650" s="47">
        <v>0</v>
      </c>
      <c r="D650" s="47">
        <v>152</v>
      </c>
      <c r="E650" s="106" t="s">
        <v>937</v>
      </c>
      <c r="F650" s="210" t="s">
        <v>936</v>
      </c>
      <c r="H650" s="58">
        <v>999</v>
      </c>
      <c r="I650" s="47">
        <v>8</v>
      </c>
      <c r="O650" s="206" t="s">
        <v>41</v>
      </c>
    </row>
    <row r="651" spans="1:15">
      <c r="A651" s="47">
        <v>1800009</v>
      </c>
      <c r="B651" s="193" t="s">
        <v>903</v>
      </c>
      <c r="C651" s="47">
        <v>0</v>
      </c>
      <c r="D651" s="47">
        <v>152</v>
      </c>
      <c r="E651" s="106" t="s">
        <v>904</v>
      </c>
      <c r="F651" s="210" t="s">
        <v>938</v>
      </c>
      <c r="H651" s="58">
        <v>5</v>
      </c>
      <c r="I651" s="58">
        <v>9</v>
      </c>
      <c r="O651" s="206" t="s">
        <v>41</v>
      </c>
    </row>
    <row r="652" ht="15" spans="1:15">
      <c r="A652" s="47">
        <v>1800010</v>
      </c>
      <c r="B652" s="58" t="s">
        <v>237</v>
      </c>
      <c r="C652" s="58">
        <v>0</v>
      </c>
      <c r="D652" s="47">
        <v>152</v>
      </c>
      <c r="E652" s="106" t="s">
        <v>939</v>
      </c>
      <c r="F652" s="210" t="s">
        <v>940</v>
      </c>
      <c r="H652" s="58">
        <v>1</v>
      </c>
      <c r="I652" s="58">
        <v>10</v>
      </c>
      <c r="O652" s="61" t="s">
        <v>29</v>
      </c>
    </row>
    <row r="653" spans="1:15">
      <c r="A653" s="47">
        <v>1800011</v>
      </c>
      <c r="B653" s="193" t="s">
        <v>239</v>
      </c>
      <c r="C653" s="58">
        <v>0</v>
      </c>
      <c r="D653" s="47">
        <v>152</v>
      </c>
      <c r="E653" s="212" t="s">
        <v>240</v>
      </c>
      <c r="F653" s="210" t="s">
        <v>931</v>
      </c>
      <c r="H653" s="58">
        <v>5</v>
      </c>
      <c r="I653" s="58">
        <v>11</v>
      </c>
      <c r="O653" s="206" t="s">
        <v>41</v>
      </c>
    </row>
    <row r="654" spans="1:15">
      <c r="A654" s="47">
        <v>1800012</v>
      </c>
      <c r="B654" s="58" t="s">
        <v>941</v>
      </c>
      <c r="C654" s="58">
        <v>0</v>
      </c>
      <c r="D654" s="47">
        <v>152</v>
      </c>
      <c r="E654" s="212" t="s">
        <v>942</v>
      </c>
      <c r="F654" s="210" t="s">
        <v>943</v>
      </c>
      <c r="H654" s="58">
        <v>1</v>
      </c>
      <c r="I654" s="58">
        <v>5</v>
      </c>
      <c r="O654" s="206" t="s">
        <v>37</v>
      </c>
    </row>
    <row r="655" spans="1:15">
      <c r="A655" s="58">
        <v>1900001</v>
      </c>
      <c r="B655" s="213" t="s">
        <v>944</v>
      </c>
      <c r="C655" s="58">
        <v>0</v>
      </c>
      <c r="D655" s="58">
        <v>160</v>
      </c>
      <c r="E655" s="59" t="s">
        <v>945</v>
      </c>
      <c r="F655" s="210" t="s">
        <v>946</v>
      </c>
      <c r="H655" s="58">
        <v>10</v>
      </c>
      <c r="I655" s="58">
        <v>1</v>
      </c>
      <c r="O655" s="206" t="s">
        <v>37</v>
      </c>
    </row>
    <row r="656" spans="1:15">
      <c r="A656" s="47">
        <v>1900002</v>
      </c>
      <c r="B656" s="213" t="s">
        <v>947</v>
      </c>
      <c r="C656" s="58">
        <v>0</v>
      </c>
      <c r="D656" s="58">
        <v>160</v>
      </c>
      <c r="E656" s="59" t="s">
        <v>948</v>
      </c>
      <c r="F656" s="210" t="s">
        <v>946</v>
      </c>
      <c r="H656" s="58">
        <v>10</v>
      </c>
      <c r="I656" s="58">
        <v>2</v>
      </c>
      <c r="O656" s="206" t="s">
        <v>37</v>
      </c>
    </row>
    <row r="657" spans="1:15">
      <c r="A657" s="58">
        <v>1900003</v>
      </c>
      <c r="B657" s="213" t="s">
        <v>949</v>
      </c>
      <c r="C657" s="58">
        <v>0</v>
      </c>
      <c r="D657" s="58">
        <v>160</v>
      </c>
      <c r="E657" s="59" t="s">
        <v>950</v>
      </c>
      <c r="F657" s="210" t="s">
        <v>946</v>
      </c>
      <c r="H657" s="58">
        <v>10</v>
      </c>
      <c r="I657" s="58">
        <v>3</v>
      </c>
      <c r="O657" s="206" t="s">
        <v>37</v>
      </c>
    </row>
    <row r="658" spans="1:15">
      <c r="A658" s="47">
        <v>1900004</v>
      </c>
      <c r="B658" s="213" t="s">
        <v>951</v>
      </c>
      <c r="C658" s="58">
        <v>0</v>
      </c>
      <c r="D658" s="58">
        <v>160</v>
      </c>
      <c r="E658" s="59" t="s">
        <v>952</v>
      </c>
      <c r="F658" s="210" t="s">
        <v>946</v>
      </c>
      <c r="H658" s="58">
        <v>10</v>
      </c>
      <c r="I658" s="58">
        <v>4</v>
      </c>
      <c r="O658" s="206" t="s">
        <v>37</v>
      </c>
    </row>
    <row r="659" spans="1:15">
      <c r="A659" s="58">
        <v>1900005</v>
      </c>
      <c r="B659" s="193" t="s">
        <v>892</v>
      </c>
      <c r="C659" s="58">
        <v>0</v>
      </c>
      <c r="D659" s="58">
        <v>160</v>
      </c>
      <c r="E659" s="59" t="s">
        <v>953</v>
      </c>
      <c r="F659" s="210" t="s">
        <v>954</v>
      </c>
      <c r="H659" s="58">
        <v>1</v>
      </c>
      <c r="I659" s="58">
        <v>6</v>
      </c>
      <c r="O659" s="206" t="s">
        <v>37</v>
      </c>
    </row>
    <row r="660" spans="1:15">
      <c r="A660" s="47">
        <v>1900006</v>
      </c>
      <c r="B660" s="193" t="s">
        <v>903</v>
      </c>
      <c r="D660" s="58">
        <v>160</v>
      </c>
      <c r="E660" s="59" t="s">
        <v>904</v>
      </c>
      <c r="F660" s="210" t="s">
        <v>955</v>
      </c>
      <c r="H660" s="58">
        <v>300</v>
      </c>
      <c r="I660" s="58">
        <v>7</v>
      </c>
      <c r="O660" s="206" t="s">
        <v>37</v>
      </c>
    </row>
    <row r="661" spans="1:15">
      <c r="A661" s="58">
        <v>1900007</v>
      </c>
      <c r="B661" s="193" t="s">
        <v>118</v>
      </c>
      <c r="D661" s="58">
        <v>160</v>
      </c>
      <c r="E661" s="59" t="s">
        <v>451</v>
      </c>
      <c r="F661" s="210" t="s">
        <v>956</v>
      </c>
      <c r="H661" s="58">
        <v>99</v>
      </c>
      <c r="I661" s="58">
        <v>8</v>
      </c>
      <c r="O661" s="206" t="s">
        <v>37</v>
      </c>
    </row>
    <row r="662" spans="1:16">
      <c r="A662" s="47">
        <v>1900008</v>
      </c>
      <c r="B662" s="193" t="s">
        <v>957</v>
      </c>
      <c r="D662" s="58">
        <v>160</v>
      </c>
      <c r="E662" s="59" t="s">
        <v>116</v>
      </c>
      <c r="F662" s="210" t="s">
        <v>956</v>
      </c>
      <c r="H662" s="58">
        <v>99</v>
      </c>
      <c r="I662" s="58">
        <v>9</v>
      </c>
      <c r="J662" s="61"/>
      <c r="K662" s="39"/>
      <c r="O662" s="206" t="s">
        <v>37</v>
      </c>
      <c r="P662" s="58"/>
    </row>
    <row r="663" s="47" customFormat="1" spans="1:16">
      <c r="A663" s="47">
        <v>2000001</v>
      </c>
      <c r="B663" s="214" t="s">
        <v>958</v>
      </c>
      <c r="C663" s="47">
        <v>0</v>
      </c>
      <c r="D663" s="47">
        <v>161</v>
      </c>
      <c r="E663" s="106" t="s">
        <v>959</v>
      </c>
      <c r="F663" s="210" t="s">
        <v>146</v>
      </c>
      <c r="H663" s="211">
        <v>5</v>
      </c>
      <c r="I663" s="47">
        <v>1</v>
      </c>
      <c r="O663" s="206" t="s">
        <v>41</v>
      </c>
      <c r="P663" s="220"/>
    </row>
    <row r="664" s="47" customFormat="1" spans="1:16">
      <c r="A664" s="47">
        <v>2000002</v>
      </c>
      <c r="B664" s="214" t="s">
        <v>960</v>
      </c>
      <c r="C664" s="47">
        <v>0</v>
      </c>
      <c r="D664" s="47">
        <v>161</v>
      </c>
      <c r="E664" s="106" t="s">
        <v>961</v>
      </c>
      <c r="F664" s="210" t="s">
        <v>146</v>
      </c>
      <c r="H664" s="211">
        <v>5</v>
      </c>
      <c r="I664" s="47">
        <v>2</v>
      </c>
      <c r="O664" s="206" t="s">
        <v>41</v>
      </c>
      <c r="P664" s="220"/>
    </row>
    <row r="665" s="47" customFormat="1" spans="1:16">
      <c r="A665" s="47">
        <v>2000003</v>
      </c>
      <c r="B665" s="214" t="s">
        <v>962</v>
      </c>
      <c r="C665" s="47">
        <v>0</v>
      </c>
      <c r="D665" s="47">
        <v>161</v>
      </c>
      <c r="E665" s="106" t="s">
        <v>963</v>
      </c>
      <c r="F665" s="210" t="s">
        <v>556</v>
      </c>
      <c r="H665" s="211">
        <v>2</v>
      </c>
      <c r="I665" s="47">
        <v>3</v>
      </c>
      <c r="O665" s="206" t="s">
        <v>41</v>
      </c>
      <c r="P665" s="220"/>
    </row>
    <row r="666" s="47" customFormat="1" spans="1:16">
      <c r="A666" s="47">
        <v>2000004</v>
      </c>
      <c r="B666" s="214" t="s">
        <v>964</v>
      </c>
      <c r="C666" s="47">
        <v>0</v>
      </c>
      <c r="D666" s="47">
        <v>161</v>
      </c>
      <c r="E666" s="106" t="s">
        <v>965</v>
      </c>
      <c r="F666" s="210" t="s">
        <v>556</v>
      </c>
      <c r="H666" s="211">
        <v>2</v>
      </c>
      <c r="I666" s="47">
        <v>4</v>
      </c>
      <c r="O666" s="206" t="s">
        <v>41</v>
      </c>
      <c r="P666" s="220"/>
    </row>
    <row r="667" s="47" customFormat="1" spans="1:16">
      <c r="A667" s="47">
        <v>2000005</v>
      </c>
      <c r="B667" s="215" t="s">
        <v>966</v>
      </c>
      <c r="C667" s="47">
        <v>0</v>
      </c>
      <c r="D667" s="47">
        <v>161</v>
      </c>
      <c r="E667" s="106" t="s">
        <v>967</v>
      </c>
      <c r="F667" s="210" t="s">
        <v>99</v>
      </c>
      <c r="H667" s="211">
        <v>999</v>
      </c>
      <c r="I667" s="47">
        <v>5</v>
      </c>
      <c r="O667" s="206" t="s">
        <v>41</v>
      </c>
      <c r="P667" s="220"/>
    </row>
    <row r="668" s="47" customFormat="1" spans="1:16">
      <c r="A668" s="47">
        <v>2000006</v>
      </c>
      <c r="B668" s="214" t="s">
        <v>968</v>
      </c>
      <c r="C668" s="47">
        <v>0</v>
      </c>
      <c r="D668" s="47">
        <v>161</v>
      </c>
      <c r="E668" s="106" t="s">
        <v>969</v>
      </c>
      <c r="F668" s="210" t="s">
        <v>48</v>
      </c>
      <c r="H668" s="211">
        <v>99</v>
      </c>
      <c r="I668" s="47">
        <v>6</v>
      </c>
      <c r="O668" s="206" t="s">
        <v>41</v>
      </c>
      <c r="P668" s="220"/>
    </row>
    <row r="669" spans="1:15">
      <c r="A669" s="47">
        <v>2000007</v>
      </c>
      <c r="B669" s="214" t="s">
        <v>970</v>
      </c>
      <c r="C669" s="47">
        <v>0</v>
      </c>
      <c r="D669" s="47">
        <v>161</v>
      </c>
      <c r="E669" s="106" t="s">
        <v>971</v>
      </c>
      <c r="F669" s="210" t="s">
        <v>111</v>
      </c>
      <c r="H669" s="58">
        <v>999</v>
      </c>
      <c r="I669" s="47">
        <v>7</v>
      </c>
      <c r="O669" s="206" t="s">
        <v>41</v>
      </c>
    </row>
    <row r="670" spans="1:15">
      <c r="A670" s="47">
        <v>2000008</v>
      </c>
      <c r="B670" s="214" t="s">
        <v>972</v>
      </c>
      <c r="C670" s="47">
        <v>0</v>
      </c>
      <c r="D670" s="47">
        <v>161</v>
      </c>
      <c r="E670" s="106" t="s">
        <v>973</v>
      </c>
      <c r="F670" s="210" t="s">
        <v>99</v>
      </c>
      <c r="H670" s="58">
        <v>999</v>
      </c>
      <c r="I670" s="47">
        <v>8</v>
      </c>
      <c r="O670" s="206" t="s">
        <v>41</v>
      </c>
    </row>
    <row r="671" spans="1:15">
      <c r="A671" s="47">
        <v>2000009</v>
      </c>
      <c r="B671" s="193" t="s">
        <v>478</v>
      </c>
      <c r="C671" s="47">
        <v>0</v>
      </c>
      <c r="D671" s="47">
        <v>161</v>
      </c>
      <c r="E671" s="106" t="s">
        <v>937</v>
      </c>
      <c r="F671" s="210" t="s">
        <v>48</v>
      </c>
      <c r="H671" s="58">
        <v>99</v>
      </c>
      <c r="I671" s="58">
        <v>9</v>
      </c>
      <c r="O671" s="206" t="s">
        <v>41</v>
      </c>
    </row>
    <row r="672" s="58" customFormat="1" spans="1:15">
      <c r="A672" s="47">
        <v>2100001</v>
      </c>
      <c r="B672" s="216" t="s">
        <v>974</v>
      </c>
      <c r="C672" s="217">
        <v>0</v>
      </c>
      <c r="D672" s="217">
        <v>170</v>
      </c>
      <c r="E672" s="218" t="s">
        <v>975</v>
      </c>
      <c r="F672" s="219" t="s">
        <v>976</v>
      </c>
      <c r="G672" s="217"/>
      <c r="H672" s="217">
        <v>30</v>
      </c>
      <c r="I672" s="217">
        <v>1</v>
      </c>
      <c r="J672" s="216"/>
      <c r="K672" s="216"/>
      <c r="L672" s="217"/>
      <c r="M672" s="217"/>
      <c r="N672" s="217"/>
      <c r="O672" s="221" t="s">
        <v>29</v>
      </c>
    </row>
    <row r="673" spans="1:15">
      <c r="A673" s="47">
        <v>2100002</v>
      </c>
      <c r="B673" s="216" t="s">
        <v>977</v>
      </c>
      <c r="C673" s="217">
        <v>0</v>
      </c>
      <c r="D673" s="217">
        <v>170</v>
      </c>
      <c r="E673" s="218" t="s">
        <v>978</v>
      </c>
      <c r="F673" s="219" t="s">
        <v>979</v>
      </c>
      <c r="G673" s="217"/>
      <c r="H673" s="217">
        <v>10</v>
      </c>
      <c r="I673" s="217">
        <v>2</v>
      </c>
      <c r="J673" s="216"/>
      <c r="K673" s="216"/>
      <c r="L673" s="217"/>
      <c r="M673" s="217"/>
      <c r="N673" s="217"/>
      <c r="O673" s="221" t="s">
        <v>29</v>
      </c>
    </row>
    <row r="674" spans="1:15">
      <c r="A674" s="47">
        <v>2100003</v>
      </c>
      <c r="B674" s="216" t="s">
        <v>966</v>
      </c>
      <c r="C674" s="217">
        <v>0</v>
      </c>
      <c r="D674" s="217">
        <v>170</v>
      </c>
      <c r="E674" s="218" t="s">
        <v>980</v>
      </c>
      <c r="F674" s="219" t="s">
        <v>981</v>
      </c>
      <c r="G674" s="217"/>
      <c r="H674" s="217">
        <v>20</v>
      </c>
      <c r="I674" s="217">
        <v>3</v>
      </c>
      <c r="J674" s="216"/>
      <c r="K674" s="216"/>
      <c r="L674" s="217"/>
      <c r="M674" s="217"/>
      <c r="N674" s="217"/>
      <c r="O674" s="221" t="s">
        <v>29</v>
      </c>
    </row>
    <row r="675" spans="1:15">
      <c r="A675" s="47">
        <v>2100004</v>
      </c>
      <c r="B675" s="216" t="s">
        <v>968</v>
      </c>
      <c r="C675" s="217">
        <v>0</v>
      </c>
      <c r="D675" s="217">
        <v>170</v>
      </c>
      <c r="E675" s="218" t="s">
        <v>982</v>
      </c>
      <c r="F675" s="219" t="s">
        <v>983</v>
      </c>
      <c r="G675" s="217"/>
      <c r="H675" s="217">
        <v>99</v>
      </c>
      <c r="I675" s="217">
        <v>4</v>
      </c>
      <c r="J675" s="216"/>
      <c r="K675" s="216"/>
      <c r="L675" s="217"/>
      <c r="M675" s="217"/>
      <c r="N675" s="217"/>
      <c r="O675" s="221" t="s">
        <v>29</v>
      </c>
    </row>
    <row r="676" spans="1:15">
      <c r="A676" s="47">
        <v>2100005</v>
      </c>
      <c r="B676" s="216" t="s">
        <v>970</v>
      </c>
      <c r="C676" s="217">
        <v>0</v>
      </c>
      <c r="D676" s="217">
        <v>170</v>
      </c>
      <c r="E676" s="218" t="s">
        <v>984</v>
      </c>
      <c r="F676" s="219" t="s">
        <v>985</v>
      </c>
      <c r="G676" s="217"/>
      <c r="H676" s="217">
        <v>50</v>
      </c>
      <c r="I676" s="217">
        <v>5</v>
      </c>
      <c r="J676" s="216"/>
      <c r="K676" s="216"/>
      <c r="L676" s="217"/>
      <c r="M676" s="217"/>
      <c r="N676" s="217"/>
      <c r="O676" s="221" t="s">
        <v>29</v>
      </c>
    </row>
    <row r="677" spans="1:15">
      <c r="A677" s="47">
        <v>2100006</v>
      </c>
      <c r="B677" s="216" t="s">
        <v>986</v>
      </c>
      <c r="C677" s="217">
        <v>0</v>
      </c>
      <c r="D677" s="217">
        <v>170</v>
      </c>
      <c r="E677" s="218" t="s">
        <v>987</v>
      </c>
      <c r="F677" s="219" t="s">
        <v>981</v>
      </c>
      <c r="G677" s="217"/>
      <c r="H677" s="217">
        <v>10</v>
      </c>
      <c r="I677" s="217">
        <v>6</v>
      </c>
      <c r="J677" s="216"/>
      <c r="K677" s="216"/>
      <c r="L677" s="217"/>
      <c r="M677" s="217"/>
      <c r="N677" s="217"/>
      <c r="O677" s="221" t="s">
        <v>29</v>
      </c>
    </row>
    <row r="678" spans="1:15">
      <c r="A678" s="47">
        <v>2100007</v>
      </c>
      <c r="B678" s="216" t="s">
        <v>988</v>
      </c>
      <c r="C678" s="217">
        <v>0</v>
      </c>
      <c r="D678" s="217">
        <v>170</v>
      </c>
      <c r="E678" s="218" t="s">
        <v>989</v>
      </c>
      <c r="F678" s="219" t="s">
        <v>990</v>
      </c>
      <c r="G678" s="217"/>
      <c r="H678" s="217">
        <v>100</v>
      </c>
      <c r="I678" s="217">
        <v>7</v>
      </c>
      <c r="J678" s="216"/>
      <c r="K678" s="216"/>
      <c r="L678" s="217"/>
      <c r="M678" s="217"/>
      <c r="N678" s="217"/>
      <c r="O678" s="221" t="s">
        <v>29</v>
      </c>
    </row>
    <row r="679" spans="1:15">
      <c r="A679" s="47">
        <v>2100008</v>
      </c>
      <c r="B679" s="216" t="s">
        <v>991</v>
      </c>
      <c r="C679" s="217">
        <v>0</v>
      </c>
      <c r="D679" s="217">
        <v>170</v>
      </c>
      <c r="E679" s="218" t="s">
        <v>992</v>
      </c>
      <c r="F679" s="219" t="s">
        <v>981</v>
      </c>
      <c r="G679" s="217"/>
      <c r="H679" s="217">
        <v>20</v>
      </c>
      <c r="I679" s="217">
        <v>8</v>
      </c>
      <c r="J679" s="216"/>
      <c r="K679" s="216"/>
      <c r="L679" s="217"/>
      <c r="M679" s="217"/>
      <c r="N679" s="217"/>
      <c r="O679" s="221" t="s">
        <v>29</v>
      </c>
    </row>
    <row r="680" spans="1:15">
      <c r="A680" s="47">
        <v>2100009</v>
      </c>
      <c r="B680" s="217" t="s">
        <v>993</v>
      </c>
      <c r="C680" s="217">
        <v>0</v>
      </c>
      <c r="D680" s="217">
        <v>170</v>
      </c>
      <c r="E680" s="218" t="s">
        <v>994</v>
      </c>
      <c r="F680" s="219" t="s">
        <v>995</v>
      </c>
      <c r="G680" s="217"/>
      <c r="H680" s="217">
        <v>1</v>
      </c>
      <c r="I680" s="217">
        <v>9</v>
      </c>
      <c r="J680" s="217"/>
      <c r="K680" s="217"/>
      <c r="L680" s="217"/>
      <c r="M680" s="217"/>
      <c r="N680" s="217"/>
      <c r="O680" s="221" t="s">
        <v>29</v>
      </c>
    </row>
    <row r="681" spans="1:15">
      <c r="A681" s="47">
        <v>2100010</v>
      </c>
      <c r="B681" s="217" t="s">
        <v>996</v>
      </c>
      <c r="C681" s="217">
        <v>0</v>
      </c>
      <c r="D681" s="217">
        <v>170</v>
      </c>
      <c r="E681" s="218" t="s">
        <v>997</v>
      </c>
      <c r="F681" s="219" t="s">
        <v>995</v>
      </c>
      <c r="G681" s="217"/>
      <c r="H681" s="217">
        <v>1</v>
      </c>
      <c r="I681" s="217">
        <v>10</v>
      </c>
      <c r="J681" s="217"/>
      <c r="K681" s="217"/>
      <c r="L681" s="217"/>
      <c r="M681" s="217"/>
      <c r="N681" s="217"/>
      <c r="O681" s="221" t="s">
        <v>29</v>
      </c>
    </row>
    <row r="682" spans="1:15">
      <c r="A682" s="47">
        <v>2100011</v>
      </c>
      <c r="B682" s="217" t="s">
        <v>998</v>
      </c>
      <c r="C682" s="217">
        <v>0</v>
      </c>
      <c r="D682" s="217">
        <v>170</v>
      </c>
      <c r="E682" s="218" t="s">
        <v>999</v>
      </c>
      <c r="F682" s="219" t="s">
        <v>995</v>
      </c>
      <c r="G682" s="217"/>
      <c r="H682" s="217">
        <v>1</v>
      </c>
      <c r="I682" s="217">
        <v>11</v>
      </c>
      <c r="J682" s="217"/>
      <c r="K682" s="217"/>
      <c r="L682" s="217"/>
      <c r="M682" s="217"/>
      <c r="N682" s="217"/>
      <c r="O682" s="221" t="s">
        <v>29</v>
      </c>
    </row>
    <row r="683" spans="1:15">
      <c r="A683" s="47">
        <v>2100012</v>
      </c>
      <c r="B683" s="217" t="s">
        <v>1000</v>
      </c>
      <c r="C683" s="217">
        <v>0</v>
      </c>
      <c r="D683" s="217">
        <v>170</v>
      </c>
      <c r="E683" s="218" t="s">
        <v>1001</v>
      </c>
      <c r="F683" s="219" t="s">
        <v>995</v>
      </c>
      <c r="G683" s="217"/>
      <c r="H683" s="217">
        <v>1</v>
      </c>
      <c r="I683" s="217">
        <v>12</v>
      </c>
      <c r="J683" s="217"/>
      <c r="K683" s="217"/>
      <c r="L683" s="217"/>
      <c r="M683" s="217"/>
      <c r="N683" s="217"/>
      <c r="O683" s="221" t="s">
        <v>29</v>
      </c>
    </row>
    <row r="684" spans="1:15">
      <c r="A684" s="47">
        <v>2100013</v>
      </c>
      <c r="B684" s="217" t="s">
        <v>1002</v>
      </c>
      <c r="C684" s="217">
        <v>0</v>
      </c>
      <c r="D684" s="217">
        <v>170</v>
      </c>
      <c r="E684" s="218" t="s">
        <v>1003</v>
      </c>
      <c r="F684" s="219" t="s">
        <v>995</v>
      </c>
      <c r="G684" s="217"/>
      <c r="H684" s="217">
        <v>1</v>
      </c>
      <c r="I684" s="217">
        <v>13</v>
      </c>
      <c r="J684" s="217"/>
      <c r="K684" s="217"/>
      <c r="L684" s="217"/>
      <c r="M684" s="217"/>
      <c r="N684" s="217"/>
      <c r="O684" s="221" t="s">
        <v>29</v>
      </c>
    </row>
    <row r="685" spans="1:15">
      <c r="A685" s="47">
        <v>2100014</v>
      </c>
      <c r="B685" s="217" t="s">
        <v>1004</v>
      </c>
      <c r="C685" s="217">
        <v>0</v>
      </c>
      <c r="D685" s="217">
        <v>170</v>
      </c>
      <c r="E685" s="218" t="s">
        <v>1005</v>
      </c>
      <c r="F685" s="219" t="s">
        <v>995</v>
      </c>
      <c r="G685" s="217"/>
      <c r="H685" s="217">
        <v>1</v>
      </c>
      <c r="I685" s="217">
        <v>14</v>
      </c>
      <c r="J685" s="217"/>
      <c r="K685" s="217"/>
      <c r="L685" s="217"/>
      <c r="M685" s="217"/>
      <c r="N685" s="217"/>
      <c r="O685" s="221" t="s">
        <v>29</v>
      </c>
    </row>
    <row r="686" spans="1:15">
      <c r="A686" s="47">
        <v>2100015</v>
      </c>
      <c r="B686" s="217" t="s">
        <v>1006</v>
      </c>
      <c r="C686" s="217">
        <v>0</v>
      </c>
      <c r="D686" s="217">
        <v>170</v>
      </c>
      <c r="E686" s="218" t="s">
        <v>1007</v>
      </c>
      <c r="F686" s="219" t="s">
        <v>995</v>
      </c>
      <c r="G686" s="217"/>
      <c r="H686" s="217">
        <v>1</v>
      </c>
      <c r="I686" s="217">
        <v>15</v>
      </c>
      <c r="J686" s="217"/>
      <c r="K686" s="217"/>
      <c r="L686" s="217"/>
      <c r="M686" s="217"/>
      <c r="N686" s="217"/>
      <c r="O686" s="221" t="s">
        <v>29</v>
      </c>
    </row>
    <row r="687" spans="1:15">
      <c r="A687" s="47">
        <v>2100016</v>
      </c>
      <c r="B687" s="217" t="s">
        <v>1008</v>
      </c>
      <c r="C687" s="217">
        <v>0</v>
      </c>
      <c r="D687" s="217">
        <v>170</v>
      </c>
      <c r="E687" s="218" t="s">
        <v>1009</v>
      </c>
      <c r="F687" s="219" t="s">
        <v>995</v>
      </c>
      <c r="G687" s="217"/>
      <c r="H687" s="217">
        <v>1</v>
      </c>
      <c r="I687" s="217">
        <v>16</v>
      </c>
      <c r="J687" s="217"/>
      <c r="K687" s="217"/>
      <c r="L687" s="217"/>
      <c r="M687" s="217"/>
      <c r="N687" s="217"/>
      <c r="O687" s="221" t="s">
        <v>29</v>
      </c>
    </row>
    <row r="688" spans="1:15">
      <c r="A688" s="47">
        <v>2100017</v>
      </c>
      <c r="B688" s="217" t="s">
        <v>1010</v>
      </c>
      <c r="C688" s="217">
        <v>0</v>
      </c>
      <c r="D688" s="217">
        <v>170</v>
      </c>
      <c r="E688" s="218" t="s">
        <v>1011</v>
      </c>
      <c r="F688" s="219" t="s">
        <v>995</v>
      </c>
      <c r="G688" s="217"/>
      <c r="H688" s="217">
        <v>1</v>
      </c>
      <c r="I688" s="217">
        <v>17</v>
      </c>
      <c r="J688" s="217"/>
      <c r="K688" s="217"/>
      <c r="L688" s="217"/>
      <c r="M688" s="217"/>
      <c r="N688" s="217"/>
      <c r="O688" s="221" t="s">
        <v>29</v>
      </c>
    </row>
    <row r="689" spans="1:15">
      <c r="A689" s="47">
        <v>2100018</v>
      </c>
      <c r="B689" s="217" t="s">
        <v>1012</v>
      </c>
      <c r="C689" s="217">
        <v>0</v>
      </c>
      <c r="D689" s="217">
        <v>170</v>
      </c>
      <c r="E689" s="218" t="s">
        <v>1013</v>
      </c>
      <c r="F689" s="219" t="s">
        <v>995</v>
      </c>
      <c r="G689" s="217"/>
      <c r="H689" s="217">
        <v>1</v>
      </c>
      <c r="I689" s="217">
        <v>18</v>
      </c>
      <c r="J689" s="217"/>
      <c r="K689" s="217"/>
      <c r="L689" s="217"/>
      <c r="M689" s="217"/>
      <c r="N689" s="217"/>
      <c r="O689" s="221" t="s">
        <v>29</v>
      </c>
    </row>
    <row r="690" spans="1:15">
      <c r="A690" s="47">
        <v>2100019</v>
      </c>
      <c r="B690" s="217" t="s">
        <v>1014</v>
      </c>
      <c r="C690" s="217">
        <v>0</v>
      </c>
      <c r="D690" s="217">
        <v>170</v>
      </c>
      <c r="E690" s="218" t="s">
        <v>1015</v>
      </c>
      <c r="F690" s="219" t="s">
        <v>995</v>
      </c>
      <c r="G690" s="217"/>
      <c r="H690" s="217">
        <v>1</v>
      </c>
      <c r="I690" s="217">
        <v>19</v>
      </c>
      <c r="J690" s="217"/>
      <c r="K690" s="217"/>
      <c r="L690" s="217"/>
      <c r="M690" s="217"/>
      <c r="N690" s="217"/>
      <c r="O690" s="221" t="s">
        <v>29</v>
      </c>
    </row>
    <row r="691" spans="1:15">
      <c r="A691" s="47">
        <v>2100020</v>
      </c>
      <c r="B691" s="217" t="s">
        <v>1016</v>
      </c>
      <c r="C691" s="217">
        <v>0</v>
      </c>
      <c r="D691" s="217">
        <v>170</v>
      </c>
      <c r="E691" s="218" t="s">
        <v>1017</v>
      </c>
      <c r="F691" s="219" t="s">
        <v>995</v>
      </c>
      <c r="G691" s="217"/>
      <c r="H691" s="217">
        <v>1</v>
      </c>
      <c r="I691" s="217">
        <v>20</v>
      </c>
      <c r="J691" s="217"/>
      <c r="K691" s="217"/>
      <c r="L691" s="217"/>
      <c r="M691" s="217"/>
      <c r="N691" s="217"/>
      <c r="O691" s="221" t="s">
        <v>29</v>
      </c>
    </row>
    <row r="692" spans="1:15">
      <c r="A692" s="47">
        <v>2100021</v>
      </c>
      <c r="B692" s="217" t="s">
        <v>1018</v>
      </c>
      <c r="C692" s="217">
        <v>0</v>
      </c>
      <c r="D692" s="217">
        <v>170</v>
      </c>
      <c r="E692" s="218" t="s">
        <v>1019</v>
      </c>
      <c r="F692" s="219" t="s">
        <v>995</v>
      </c>
      <c r="G692" s="217"/>
      <c r="H692" s="217">
        <v>1</v>
      </c>
      <c r="I692" s="217">
        <v>21</v>
      </c>
      <c r="J692" s="217"/>
      <c r="K692" s="217"/>
      <c r="L692" s="217"/>
      <c r="M692" s="217"/>
      <c r="N692" s="217"/>
      <c r="O692" s="221" t="s">
        <v>29</v>
      </c>
    </row>
    <row r="693" spans="1:15">
      <c r="A693" s="47">
        <v>2100022</v>
      </c>
      <c r="B693" s="217" t="s">
        <v>1020</v>
      </c>
      <c r="C693" s="217">
        <v>0</v>
      </c>
      <c r="D693" s="217">
        <v>170</v>
      </c>
      <c r="E693" s="218" t="s">
        <v>1021</v>
      </c>
      <c r="F693" s="219" t="s">
        <v>995</v>
      </c>
      <c r="G693" s="217"/>
      <c r="H693" s="217">
        <v>1</v>
      </c>
      <c r="I693" s="217">
        <v>22</v>
      </c>
      <c r="J693" s="217"/>
      <c r="K693" s="217"/>
      <c r="L693" s="217"/>
      <c r="M693" s="217"/>
      <c r="N693" s="217"/>
      <c r="O693" s="221" t="s">
        <v>29</v>
      </c>
    </row>
    <row r="694" spans="1:15">
      <c r="A694" s="47">
        <v>2100023</v>
      </c>
      <c r="B694" s="217" t="s">
        <v>1022</v>
      </c>
      <c r="C694" s="217">
        <v>0</v>
      </c>
      <c r="D694" s="217">
        <v>170</v>
      </c>
      <c r="E694" s="218" t="s">
        <v>1023</v>
      </c>
      <c r="F694" s="219" t="s">
        <v>995</v>
      </c>
      <c r="G694" s="217"/>
      <c r="H694" s="217">
        <v>1</v>
      </c>
      <c r="I694" s="217">
        <v>23</v>
      </c>
      <c r="J694" s="217"/>
      <c r="K694" s="217"/>
      <c r="L694" s="217"/>
      <c r="M694" s="217"/>
      <c r="N694" s="217"/>
      <c r="O694" s="221" t="s">
        <v>29</v>
      </c>
    </row>
    <row r="695" spans="1:15">
      <c r="A695" s="47">
        <v>2100024</v>
      </c>
      <c r="B695" s="217" t="s">
        <v>1024</v>
      </c>
      <c r="C695" s="217">
        <v>0</v>
      </c>
      <c r="D695" s="217">
        <v>170</v>
      </c>
      <c r="E695" s="218" t="s">
        <v>1025</v>
      </c>
      <c r="F695" s="219" t="s">
        <v>995</v>
      </c>
      <c r="G695" s="217"/>
      <c r="H695" s="217">
        <v>1</v>
      </c>
      <c r="I695" s="217">
        <v>24</v>
      </c>
      <c r="J695" s="217"/>
      <c r="K695" s="217"/>
      <c r="L695" s="217"/>
      <c r="M695" s="217"/>
      <c r="N695" s="217"/>
      <c r="O695" s="221" t="s">
        <v>29</v>
      </c>
    </row>
    <row r="696" spans="1:15">
      <c r="A696" s="58">
        <v>2200001</v>
      </c>
      <c r="B696" s="66" t="s">
        <v>191</v>
      </c>
      <c r="C696" s="58">
        <v>0</v>
      </c>
      <c r="D696" s="58">
        <v>180</v>
      </c>
      <c r="E696" s="59" t="s">
        <v>1026</v>
      </c>
      <c r="F696" s="210" t="s">
        <v>1027</v>
      </c>
      <c r="H696" s="58">
        <v>20</v>
      </c>
      <c r="I696" s="58">
        <v>1</v>
      </c>
      <c r="L696" s="66"/>
      <c r="O696" s="206" t="s">
        <v>29</v>
      </c>
    </row>
    <row r="697" spans="1:15">
      <c r="A697" s="58">
        <v>2200002</v>
      </c>
      <c r="B697" s="66" t="s">
        <v>194</v>
      </c>
      <c r="C697" s="58">
        <v>0</v>
      </c>
      <c r="D697" s="58">
        <v>180</v>
      </c>
      <c r="E697" s="59" t="s">
        <v>1028</v>
      </c>
      <c r="F697" s="210" t="s">
        <v>1027</v>
      </c>
      <c r="H697" s="58">
        <v>20</v>
      </c>
      <c r="I697" s="58">
        <v>2</v>
      </c>
      <c r="L697" s="66"/>
      <c r="O697" s="206" t="s">
        <v>29</v>
      </c>
    </row>
    <row r="698" spans="1:15">
      <c r="A698" s="58">
        <v>2200003</v>
      </c>
      <c r="B698" s="66" t="s">
        <v>196</v>
      </c>
      <c r="C698" s="58">
        <v>0</v>
      </c>
      <c r="D698" s="58">
        <v>180</v>
      </c>
      <c r="E698" s="59" t="s">
        <v>1029</v>
      </c>
      <c r="F698" s="210" t="s">
        <v>1027</v>
      </c>
      <c r="H698" s="58">
        <v>20</v>
      </c>
      <c r="I698" s="58">
        <v>3</v>
      </c>
      <c r="L698" s="66"/>
      <c r="O698" s="206" t="s">
        <v>29</v>
      </c>
    </row>
    <row r="699" spans="1:15">
      <c r="A699" s="58">
        <v>2200004</v>
      </c>
      <c r="B699" s="66" t="s">
        <v>212</v>
      </c>
      <c r="C699" s="58">
        <v>0</v>
      </c>
      <c r="D699" s="58">
        <v>180</v>
      </c>
      <c r="E699" s="59" t="s">
        <v>213</v>
      </c>
      <c r="F699" s="210" t="s">
        <v>1030</v>
      </c>
      <c r="H699" s="58">
        <v>20</v>
      </c>
      <c r="I699" s="58">
        <v>4</v>
      </c>
      <c r="L699" s="66"/>
      <c r="O699" s="206" t="s">
        <v>29</v>
      </c>
    </row>
    <row r="700" spans="1:15">
      <c r="A700" s="58">
        <v>2200005</v>
      </c>
      <c r="B700" s="66" t="s">
        <v>215</v>
      </c>
      <c r="C700" s="58">
        <v>0</v>
      </c>
      <c r="D700" s="58">
        <v>180</v>
      </c>
      <c r="E700" s="59" t="s">
        <v>216</v>
      </c>
      <c r="F700" s="210" t="s">
        <v>1030</v>
      </c>
      <c r="H700" s="58">
        <v>20</v>
      </c>
      <c r="I700" s="58">
        <v>5</v>
      </c>
      <c r="L700" s="66"/>
      <c r="O700" s="206" t="s">
        <v>29</v>
      </c>
    </row>
    <row r="701" spans="1:15">
      <c r="A701" s="58">
        <v>2200006</v>
      </c>
      <c r="B701" s="66" t="s">
        <v>217</v>
      </c>
      <c r="C701" s="58">
        <v>0</v>
      </c>
      <c r="D701" s="58">
        <v>180</v>
      </c>
      <c r="E701" s="59" t="s">
        <v>1031</v>
      </c>
      <c r="F701" s="210" t="s">
        <v>1032</v>
      </c>
      <c r="H701" s="58">
        <v>10</v>
      </c>
      <c r="I701" s="58">
        <v>6</v>
      </c>
      <c r="L701" s="66"/>
      <c r="O701" s="206" t="s">
        <v>29</v>
      </c>
    </row>
    <row r="702" spans="1:15">
      <c r="A702" s="58">
        <v>2200007</v>
      </c>
      <c r="B702" s="66" t="s">
        <v>220</v>
      </c>
      <c r="C702" s="58">
        <v>0</v>
      </c>
      <c r="D702" s="58">
        <v>180</v>
      </c>
      <c r="E702" s="59" t="s">
        <v>1033</v>
      </c>
      <c r="F702" s="210" t="s">
        <v>1032</v>
      </c>
      <c r="H702" s="58">
        <v>10</v>
      </c>
      <c r="I702" s="58">
        <v>7</v>
      </c>
      <c r="L702" s="66"/>
      <c r="O702" s="206" t="s">
        <v>29</v>
      </c>
    </row>
    <row r="703" spans="1:15">
      <c r="A703" s="58">
        <v>2200008</v>
      </c>
      <c r="B703" s="66" t="s">
        <v>222</v>
      </c>
      <c r="C703" s="58">
        <v>0</v>
      </c>
      <c r="D703" s="58">
        <v>180</v>
      </c>
      <c r="E703" s="59" t="s">
        <v>1034</v>
      </c>
      <c r="F703" s="210" t="s">
        <v>1032</v>
      </c>
      <c r="H703" s="58">
        <v>10</v>
      </c>
      <c r="I703" s="58">
        <v>8</v>
      </c>
      <c r="L703" s="66"/>
      <c r="O703" s="206" t="s">
        <v>29</v>
      </c>
    </row>
    <row r="704" spans="1:15">
      <c r="A704" s="58">
        <v>2200009</v>
      </c>
      <c r="B704" s="66" t="s">
        <v>595</v>
      </c>
      <c r="C704" s="58">
        <v>0</v>
      </c>
      <c r="D704" s="58">
        <v>180</v>
      </c>
      <c r="E704" s="59" t="s">
        <v>1035</v>
      </c>
      <c r="F704" s="210" t="s">
        <v>1036</v>
      </c>
      <c r="H704" s="58">
        <v>2</v>
      </c>
      <c r="I704" s="58">
        <v>9</v>
      </c>
      <c r="L704" s="66"/>
      <c r="O704" s="206" t="s">
        <v>29</v>
      </c>
    </row>
    <row r="705" spans="1:15">
      <c r="A705" s="58">
        <v>2200010</v>
      </c>
      <c r="B705" s="66" t="s">
        <v>598</v>
      </c>
      <c r="C705" s="58">
        <v>0</v>
      </c>
      <c r="D705" s="58">
        <v>180</v>
      </c>
      <c r="E705" s="59" t="s">
        <v>1037</v>
      </c>
      <c r="F705" s="210" t="s">
        <v>1036</v>
      </c>
      <c r="H705" s="58">
        <v>2</v>
      </c>
      <c r="I705" s="58">
        <v>10</v>
      </c>
      <c r="L705" s="66"/>
      <c r="O705" s="206" t="s">
        <v>29</v>
      </c>
    </row>
    <row r="706" spans="1:15">
      <c r="A706" s="58">
        <v>2200011</v>
      </c>
      <c r="B706" s="66" t="s">
        <v>1038</v>
      </c>
      <c r="C706" s="58">
        <v>0</v>
      </c>
      <c r="D706" s="58">
        <v>180</v>
      </c>
      <c r="E706" s="59" t="s">
        <v>1039</v>
      </c>
      <c r="F706" s="210" t="s">
        <v>1040</v>
      </c>
      <c r="H706" s="58">
        <v>1</v>
      </c>
      <c r="I706" s="58">
        <v>11</v>
      </c>
      <c r="L706" s="66"/>
      <c r="O706" s="206" t="s">
        <v>29</v>
      </c>
    </row>
    <row r="707" spans="1:15">
      <c r="A707" s="58">
        <v>2200012</v>
      </c>
      <c r="B707" s="58" t="s">
        <v>1041</v>
      </c>
      <c r="C707" s="58">
        <v>0</v>
      </c>
      <c r="D707" s="58">
        <v>180</v>
      </c>
      <c r="E707" s="59" t="s">
        <v>1042</v>
      </c>
      <c r="F707" s="210" t="s">
        <v>1043</v>
      </c>
      <c r="H707" s="58">
        <v>3</v>
      </c>
      <c r="I707" s="58">
        <v>12</v>
      </c>
      <c r="O707" s="206" t="s">
        <v>29</v>
      </c>
    </row>
    <row r="708" spans="1:15">
      <c r="A708" s="58">
        <v>2200013</v>
      </c>
      <c r="B708" s="222" t="s">
        <v>1044</v>
      </c>
      <c r="C708" s="58">
        <v>0</v>
      </c>
      <c r="D708" s="58">
        <v>180</v>
      </c>
      <c r="E708" s="59" t="s">
        <v>550</v>
      </c>
      <c r="F708" s="210" t="s">
        <v>1045</v>
      </c>
      <c r="H708" s="58">
        <v>2</v>
      </c>
      <c r="I708" s="58">
        <v>13</v>
      </c>
      <c r="L708" s="222"/>
      <c r="O708" s="206" t="s">
        <v>29</v>
      </c>
    </row>
    <row r="709" spans="1:15">
      <c r="A709" s="58">
        <v>2200014</v>
      </c>
      <c r="B709" s="58" t="s">
        <v>1046</v>
      </c>
      <c r="C709" s="58">
        <v>0</v>
      </c>
      <c r="D709" s="58">
        <v>180</v>
      </c>
      <c r="E709" s="59" t="s">
        <v>1047</v>
      </c>
      <c r="F709" s="210" t="s">
        <v>1048</v>
      </c>
      <c r="H709" s="58">
        <v>1</v>
      </c>
      <c r="I709" s="58">
        <v>14</v>
      </c>
      <c r="O709" s="206" t="s">
        <v>29</v>
      </c>
    </row>
    <row r="710" spans="1:15">
      <c r="A710" s="58">
        <v>2200015</v>
      </c>
      <c r="B710" s="58" t="s">
        <v>892</v>
      </c>
      <c r="C710" s="58">
        <v>0</v>
      </c>
      <c r="D710" s="58">
        <v>180</v>
      </c>
      <c r="E710" s="59" t="s">
        <v>933</v>
      </c>
      <c r="F710" s="210" t="s">
        <v>1049</v>
      </c>
      <c r="H710" s="58">
        <v>1</v>
      </c>
      <c r="I710" s="58">
        <v>15</v>
      </c>
      <c r="O710" s="206" t="s">
        <v>29</v>
      </c>
    </row>
  </sheetData>
  <conditionalFormatting sqref="B3">
    <cfRule type="duplicateValues" dxfId="0" priority="1"/>
    <cfRule type="duplicateValues" dxfId="1" priority="2"/>
    <cfRule type="duplicateValues" dxfId="1" priority="3"/>
    <cfRule type="duplicateValues" priority="4"/>
  </conditionalFormatting>
  <conditionalFormatting sqref="B4">
    <cfRule type="duplicateValues" priority="12"/>
    <cfRule type="duplicateValues" dxfId="0" priority="9"/>
    <cfRule type="duplicateValues" dxfId="1" priority="10"/>
    <cfRule type="duplicateValues" dxfId="1" priority="11"/>
  </conditionalFormatting>
  <conditionalFormatting sqref="B5">
    <cfRule type="duplicateValues" priority="8"/>
    <cfRule type="duplicateValues" dxfId="0" priority="5"/>
    <cfRule type="duplicateValues" dxfId="1" priority="6"/>
    <cfRule type="duplicateValues" dxfId="1" priority="7"/>
  </conditionalFormatting>
  <conditionalFormatting sqref="B20">
    <cfRule type="duplicateValues" priority="163"/>
  </conditionalFormatting>
  <conditionalFormatting sqref="B21">
    <cfRule type="duplicateValues" priority="162"/>
  </conditionalFormatting>
  <conditionalFormatting sqref="B22">
    <cfRule type="duplicateValues" priority="161"/>
  </conditionalFormatting>
  <conditionalFormatting sqref="B23">
    <cfRule type="duplicateValues" priority="160"/>
  </conditionalFormatting>
  <conditionalFormatting sqref="B24">
    <cfRule type="duplicateValues" priority="159"/>
  </conditionalFormatting>
  <conditionalFormatting sqref="B25">
    <cfRule type="duplicateValues" dxfId="0" priority="13"/>
    <cfRule type="duplicateValues" dxfId="1" priority="14"/>
    <cfRule type="duplicateValues" dxfId="1" priority="15"/>
    <cfRule type="duplicateValues" priority="16"/>
  </conditionalFormatting>
  <conditionalFormatting sqref="B29">
    <cfRule type="duplicateValues" priority="157"/>
  </conditionalFormatting>
  <conditionalFormatting sqref="A37">
    <cfRule type="duplicateValues" dxfId="2" priority="23"/>
  </conditionalFormatting>
  <conditionalFormatting sqref="A38">
    <cfRule type="duplicateValues" dxfId="2" priority="22"/>
  </conditionalFormatting>
  <conditionalFormatting sqref="A39">
    <cfRule type="duplicateValues" dxfId="2" priority="19"/>
  </conditionalFormatting>
  <conditionalFormatting sqref="A40">
    <cfRule type="duplicateValues" dxfId="2" priority="17"/>
  </conditionalFormatting>
  <conditionalFormatting sqref="A70">
    <cfRule type="duplicateValues" dxfId="2" priority="150"/>
  </conditionalFormatting>
  <conditionalFormatting sqref="A87">
    <cfRule type="duplicateValues" dxfId="2" priority="18"/>
  </conditionalFormatting>
  <conditionalFormatting sqref="E232">
    <cfRule type="duplicateValues" dxfId="2" priority="170"/>
  </conditionalFormatting>
  <conditionalFormatting sqref="B319">
    <cfRule type="duplicateValues" priority="190"/>
  </conditionalFormatting>
  <conditionalFormatting sqref="B320">
    <cfRule type="duplicateValues" priority="129"/>
  </conditionalFormatting>
  <conditionalFormatting sqref="A488">
    <cfRule type="duplicateValues" dxfId="2" priority="136"/>
  </conditionalFormatting>
  <conditionalFormatting sqref="A490">
    <cfRule type="duplicateValues" dxfId="2" priority="133"/>
  </conditionalFormatting>
  <conditionalFormatting sqref="A491">
    <cfRule type="duplicateValues" dxfId="2" priority="95"/>
  </conditionalFormatting>
  <conditionalFormatting sqref="A492">
    <cfRule type="duplicateValues" dxfId="2" priority="94"/>
  </conditionalFormatting>
  <conditionalFormatting sqref="A494">
    <cfRule type="duplicateValues" dxfId="2" priority="87"/>
  </conditionalFormatting>
  <conditionalFormatting sqref="A565">
    <cfRule type="duplicateValues" dxfId="2" priority="139"/>
  </conditionalFormatting>
  <conditionalFormatting sqref="A577">
    <cfRule type="duplicateValues" dxfId="2" priority="46"/>
  </conditionalFormatting>
  <conditionalFormatting sqref="A578">
    <cfRule type="duplicateValues" dxfId="2" priority="31"/>
  </conditionalFormatting>
  <conditionalFormatting sqref="B655">
    <cfRule type="duplicateValues" priority="61"/>
  </conditionalFormatting>
  <conditionalFormatting sqref="B656">
    <cfRule type="duplicateValues" priority="60"/>
  </conditionalFormatting>
  <conditionalFormatting sqref="B657">
    <cfRule type="duplicateValues" priority="59"/>
  </conditionalFormatting>
  <conditionalFormatting sqref="B658">
    <cfRule type="duplicateValues" priority="58"/>
  </conditionalFormatting>
  <conditionalFormatting sqref="B667">
    <cfRule type="duplicateValues" priority="53"/>
  </conditionalFormatting>
  <conditionalFormatting sqref="B701">
    <cfRule type="duplicateValues" priority="42"/>
  </conditionalFormatting>
  <conditionalFormatting sqref="L701">
    <cfRule type="duplicateValues" priority="36"/>
  </conditionalFormatting>
  <conditionalFormatting sqref="B702">
    <cfRule type="duplicateValues" priority="40"/>
  </conditionalFormatting>
  <conditionalFormatting sqref="L702">
    <cfRule type="duplicateValues" priority="35"/>
  </conditionalFormatting>
  <conditionalFormatting sqref="B703">
    <cfRule type="duplicateValues" priority="39"/>
  </conditionalFormatting>
  <conditionalFormatting sqref="L703">
    <cfRule type="duplicateValues" priority="34"/>
  </conditionalFormatting>
  <conditionalFormatting sqref="B704">
    <cfRule type="duplicateValues" priority="38"/>
  </conditionalFormatting>
  <conditionalFormatting sqref="L704">
    <cfRule type="duplicateValues" priority="33"/>
  </conditionalFormatting>
  <conditionalFormatting sqref="B705">
    <cfRule type="duplicateValues" priority="37"/>
  </conditionalFormatting>
  <conditionalFormatting sqref="L705">
    <cfRule type="duplicateValues" priority="32"/>
  </conditionalFormatting>
  <conditionalFormatting sqref="B706">
    <cfRule type="duplicateValues" priority="26"/>
  </conditionalFormatting>
  <conditionalFormatting sqref="L706">
    <cfRule type="duplicateValues" priority="25"/>
  </conditionalFormatting>
  <conditionalFormatting sqref="A571:A576">
    <cfRule type="duplicateValues" dxfId="2" priority="88"/>
  </conditionalFormatting>
  <conditionalFormatting sqref="A637:A642">
    <cfRule type="duplicateValues" dxfId="2" priority="173"/>
  </conditionalFormatting>
  <conditionalFormatting sqref="A643:A654">
    <cfRule type="duplicateValues" dxfId="2" priority="147"/>
  </conditionalFormatting>
  <conditionalFormatting sqref="A663:A671">
    <cfRule type="duplicateValues" dxfId="2" priority="56"/>
  </conditionalFormatting>
  <conditionalFormatting sqref="A672:A695">
    <cfRule type="duplicateValues" dxfId="2" priority="45"/>
  </conditionalFormatting>
  <conditionalFormatting sqref="A696:A710">
    <cfRule type="duplicateValues" dxfId="2" priority="44"/>
  </conditionalFormatting>
  <conditionalFormatting sqref="B66:B67">
    <cfRule type="duplicateValues" priority="164"/>
  </conditionalFormatting>
  <conditionalFormatting sqref="B321:B421">
    <cfRule type="duplicateValues" priority="200"/>
  </conditionalFormatting>
  <conditionalFormatting sqref="B663:B664">
    <cfRule type="duplicateValues" priority="55"/>
  </conditionalFormatting>
  <conditionalFormatting sqref="B665:B666">
    <cfRule type="duplicateValues" priority="54"/>
  </conditionalFormatting>
  <conditionalFormatting sqref="B668:B670">
    <cfRule type="duplicateValues" priority="52"/>
  </conditionalFormatting>
  <conditionalFormatting sqref="A88:A487 A579:A628 A499:A564 A489 A71:A86 A1:A36 A41:A69 A659 A657 A661 A711:A1048576 A655">
    <cfRule type="duplicateValues" dxfId="2" priority="158"/>
  </conditionalFormatting>
  <conditionalFormatting sqref="A493 A495 A497">
    <cfRule type="duplicateValues" dxfId="2" priority="90"/>
  </conditionalFormatting>
  <conditionalFormatting sqref="A496 A498">
    <cfRule type="duplicateValues" dxfId="2" priority="51"/>
  </conditionalFormatting>
  <conditionalFormatting sqref="A566 A570 A568">
    <cfRule type="duplicateValues" dxfId="2" priority="178"/>
  </conditionalFormatting>
  <conditionalFormatting sqref="A567 A569">
    <cfRule type="duplicateValues" dxfId="2" priority="135"/>
  </conditionalFormatting>
  <conditionalFormatting sqref="A629 A631:A632 A634:A635">
    <cfRule type="duplicateValues" dxfId="2" priority="248"/>
  </conditionalFormatting>
  <conditionalFormatting sqref="A630 A633 A636">
    <cfRule type="duplicateValues" dxfId="2" priority="250"/>
  </conditionalFormatting>
  <conditionalFormatting sqref="A658 A656 A660 A662">
    <cfRule type="duplicateValues" dxfId="2" priority="89"/>
  </conditionalFormatting>
  <pageMargins left="0.7" right="0.7" top="0.75" bottom="0.75" header="0.3" footer="0.3"/>
  <pageSetup paperSize="9" orientation="portrait" horizontalDpi="200" verticalDpi="30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F234"/>
  <sheetViews>
    <sheetView workbookViewId="0">
      <pane ySplit="1" topLeftCell="A41" activePane="bottomLeft" state="frozen"/>
      <selection/>
      <selection pane="bottomLeft" activeCell="B49" sqref="B49"/>
    </sheetView>
  </sheetViews>
  <sheetFormatPr defaultColWidth="9" defaultRowHeight="15" outlineLevelCol="5"/>
  <cols>
    <col min="3" max="3" width="13.5714285714286" customWidth="1"/>
    <col min="4" max="4" width="15.8571428571429" customWidth="1"/>
    <col min="5" max="5" width="13" style="11" customWidth="1"/>
  </cols>
  <sheetData>
    <row r="1" spans="1:6">
      <c r="A1" s="11" t="s">
        <v>1050</v>
      </c>
      <c r="B1" s="11" t="s">
        <v>79</v>
      </c>
      <c r="C1" s="11" t="s">
        <v>88</v>
      </c>
      <c r="D1" s="11" t="s">
        <v>89</v>
      </c>
      <c r="E1" s="28" t="s">
        <v>1051</v>
      </c>
      <c r="F1" s="28" t="s">
        <v>1052</v>
      </c>
    </row>
    <row r="2" spans="1:5">
      <c r="A2" s="11">
        <v>1</v>
      </c>
      <c r="B2" s="11">
        <v>620001</v>
      </c>
      <c r="C2" s="11">
        <v>1</v>
      </c>
      <c r="D2" s="11">
        <v>19</v>
      </c>
      <c r="E2" s="28"/>
    </row>
    <row r="3" spans="1:4">
      <c r="A3" s="11">
        <v>2</v>
      </c>
      <c r="B3" s="11">
        <v>620002</v>
      </c>
      <c r="C3" s="11">
        <v>1</v>
      </c>
      <c r="D3" s="11">
        <v>19</v>
      </c>
    </row>
    <row r="4" spans="1:4">
      <c r="A4" s="11">
        <v>3</v>
      </c>
      <c r="B4" s="11">
        <v>620003</v>
      </c>
      <c r="C4" s="11">
        <v>1</v>
      </c>
      <c r="D4" s="11">
        <v>19</v>
      </c>
    </row>
    <row r="5" spans="1:4">
      <c r="A5" s="11">
        <v>4</v>
      </c>
      <c r="B5" s="11">
        <v>620004</v>
      </c>
      <c r="C5" s="11">
        <v>1</v>
      </c>
      <c r="D5" s="11">
        <v>19</v>
      </c>
    </row>
    <row r="6" spans="1:4">
      <c r="A6" s="11">
        <v>5</v>
      </c>
      <c r="B6" s="11">
        <v>620005</v>
      </c>
      <c r="C6" s="11">
        <v>1</v>
      </c>
      <c r="D6" s="11">
        <v>19</v>
      </c>
    </row>
    <row r="7" spans="1:4">
      <c r="A7" s="11">
        <v>6</v>
      </c>
      <c r="B7" s="11">
        <v>620006</v>
      </c>
      <c r="C7" s="11">
        <v>1</v>
      </c>
      <c r="D7" s="11">
        <v>19</v>
      </c>
    </row>
    <row r="8" spans="1:4">
      <c r="A8" s="11">
        <v>7</v>
      </c>
      <c r="B8" s="11">
        <v>620007</v>
      </c>
      <c r="C8" s="11">
        <v>1</v>
      </c>
      <c r="D8" s="11">
        <v>19</v>
      </c>
    </row>
    <row r="9" spans="1:4">
      <c r="A9" s="11">
        <v>8</v>
      </c>
      <c r="B9" s="11">
        <v>620008</v>
      </c>
      <c r="C9" s="11">
        <v>1</v>
      </c>
      <c r="D9" s="11">
        <v>19</v>
      </c>
    </row>
    <row r="10" spans="1:4">
      <c r="A10" s="11">
        <v>9</v>
      </c>
      <c r="B10" s="11">
        <v>620009</v>
      </c>
      <c r="C10" s="11">
        <v>20</v>
      </c>
      <c r="D10" s="11">
        <v>39</v>
      </c>
    </row>
    <row r="11" spans="1:4">
      <c r="A11" s="11">
        <v>10</v>
      </c>
      <c r="B11" s="11">
        <v>620010</v>
      </c>
      <c r="C11" s="11">
        <v>20</v>
      </c>
      <c r="D11" s="11">
        <v>39</v>
      </c>
    </row>
    <row r="12" spans="1:4">
      <c r="A12" s="11">
        <v>11</v>
      </c>
      <c r="B12" s="11">
        <v>620011</v>
      </c>
      <c r="C12" s="11">
        <v>20</v>
      </c>
      <c r="D12" s="11">
        <v>39</v>
      </c>
    </row>
    <row r="13" spans="1:4">
      <c r="A13" s="11">
        <v>12</v>
      </c>
      <c r="B13" s="11">
        <v>620012</v>
      </c>
      <c r="C13" s="11">
        <v>20</v>
      </c>
      <c r="D13" s="11">
        <v>39</v>
      </c>
    </row>
    <row r="14" spans="1:4">
      <c r="A14" s="11">
        <v>13</v>
      </c>
      <c r="B14" s="11">
        <v>620013</v>
      </c>
      <c r="C14" s="11">
        <v>20</v>
      </c>
      <c r="D14" s="11">
        <v>39</v>
      </c>
    </row>
    <row r="15" spans="1:4">
      <c r="A15" s="11">
        <v>14</v>
      </c>
      <c r="B15" s="11">
        <v>620014</v>
      </c>
      <c r="C15" s="11">
        <v>20</v>
      </c>
      <c r="D15" s="11">
        <v>39</v>
      </c>
    </row>
    <row r="16" spans="1:4">
      <c r="A16" s="11">
        <v>15</v>
      </c>
      <c r="B16" s="11">
        <v>620015</v>
      </c>
      <c r="C16" s="11">
        <v>20</v>
      </c>
      <c r="D16" s="11">
        <v>39</v>
      </c>
    </row>
    <row r="17" spans="1:4">
      <c r="A17" s="11">
        <v>16</v>
      </c>
      <c r="B17" s="11">
        <v>620016</v>
      </c>
      <c r="C17" s="11">
        <v>20</v>
      </c>
      <c r="D17" s="11">
        <v>39</v>
      </c>
    </row>
    <row r="18" spans="1:4">
      <c r="A18" s="11">
        <v>17</v>
      </c>
      <c r="B18" s="11">
        <v>620017</v>
      </c>
      <c r="C18" s="11">
        <v>40</v>
      </c>
      <c r="D18" s="11">
        <v>59</v>
      </c>
    </row>
    <row r="19" spans="1:4">
      <c r="A19" s="11">
        <v>18</v>
      </c>
      <c r="B19" s="11">
        <v>620018</v>
      </c>
      <c r="C19" s="11">
        <v>40</v>
      </c>
      <c r="D19" s="11">
        <v>59</v>
      </c>
    </row>
    <row r="20" spans="1:4">
      <c r="A20" s="11">
        <v>19</v>
      </c>
      <c r="B20" s="11">
        <v>620019</v>
      </c>
      <c r="C20" s="11">
        <v>40</v>
      </c>
      <c r="D20" s="11">
        <v>59</v>
      </c>
    </row>
    <row r="21" spans="1:4">
      <c r="A21" s="11">
        <v>20</v>
      </c>
      <c r="B21" s="11">
        <v>620020</v>
      </c>
      <c r="C21" s="11">
        <v>40</v>
      </c>
      <c r="D21" s="11">
        <v>59</v>
      </c>
    </row>
    <row r="22" spans="1:4">
      <c r="A22" s="11">
        <v>21</v>
      </c>
      <c r="B22" s="11">
        <v>620021</v>
      </c>
      <c r="C22" s="11">
        <v>40</v>
      </c>
      <c r="D22" s="11">
        <v>59</v>
      </c>
    </row>
    <row r="23" spans="1:4">
      <c r="A23" s="11">
        <v>22</v>
      </c>
      <c r="B23" s="11">
        <v>620022</v>
      </c>
      <c r="C23" s="11">
        <v>40</v>
      </c>
      <c r="D23" s="11">
        <v>59</v>
      </c>
    </row>
    <row r="24" spans="1:4">
      <c r="A24" s="11">
        <v>23</v>
      </c>
      <c r="B24" s="11">
        <v>620023</v>
      </c>
      <c r="C24" s="11">
        <v>40</v>
      </c>
      <c r="D24" s="11">
        <v>59</v>
      </c>
    </row>
    <row r="25" spans="1:4">
      <c r="A25" s="11">
        <v>24</v>
      </c>
      <c r="B25" s="11">
        <v>620024</v>
      </c>
      <c r="C25" s="11">
        <v>40</v>
      </c>
      <c r="D25" s="11">
        <v>59</v>
      </c>
    </row>
    <row r="26" spans="1:4">
      <c r="A26" s="11">
        <v>25</v>
      </c>
      <c r="B26" s="11">
        <v>620025</v>
      </c>
      <c r="C26" s="11">
        <v>60</v>
      </c>
      <c r="D26" s="11">
        <v>79</v>
      </c>
    </row>
    <row r="27" spans="1:4">
      <c r="A27" s="11">
        <v>26</v>
      </c>
      <c r="B27" s="11">
        <v>620026</v>
      </c>
      <c r="C27" s="11">
        <v>60</v>
      </c>
      <c r="D27" s="11">
        <v>79</v>
      </c>
    </row>
    <row r="28" spans="1:4">
      <c r="A28" s="11">
        <v>27</v>
      </c>
      <c r="B28" s="11">
        <v>620027</v>
      </c>
      <c r="C28" s="11">
        <v>60</v>
      </c>
      <c r="D28" s="11">
        <v>79</v>
      </c>
    </row>
    <row r="29" spans="1:4">
      <c r="A29" s="11">
        <v>28</v>
      </c>
      <c r="B29" s="11">
        <v>620028</v>
      </c>
      <c r="C29" s="11">
        <v>60</v>
      </c>
      <c r="D29" s="11">
        <v>79</v>
      </c>
    </row>
    <row r="30" spans="1:4">
      <c r="A30" s="11">
        <v>29</v>
      </c>
      <c r="B30" s="11">
        <v>620029</v>
      </c>
      <c r="C30" s="11">
        <v>60</v>
      </c>
      <c r="D30" s="11">
        <v>79</v>
      </c>
    </row>
    <row r="31" spans="1:4">
      <c r="A31" s="11">
        <v>30</v>
      </c>
      <c r="B31" s="11">
        <v>620030</v>
      </c>
      <c r="C31" s="11">
        <v>60</v>
      </c>
      <c r="D31" s="11">
        <v>79</v>
      </c>
    </row>
    <row r="32" spans="1:4">
      <c r="A32" s="11">
        <v>31</v>
      </c>
      <c r="B32" s="11">
        <v>620031</v>
      </c>
      <c r="C32" s="11">
        <v>60</v>
      </c>
      <c r="D32" s="11">
        <v>79</v>
      </c>
    </row>
    <row r="33" spans="1:4">
      <c r="A33" s="11">
        <v>32</v>
      </c>
      <c r="B33" s="11">
        <v>620032</v>
      </c>
      <c r="C33" s="11">
        <v>60</v>
      </c>
      <c r="D33" s="11">
        <v>79</v>
      </c>
    </row>
    <row r="34" spans="1:4">
      <c r="A34" s="11">
        <v>33</v>
      </c>
      <c r="B34" s="11">
        <v>620033</v>
      </c>
      <c r="C34" s="11">
        <v>80</v>
      </c>
      <c r="D34" s="11">
        <v>99</v>
      </c>
    </row>
    <row r="35" spans="1:4">
      <c r="A35" s="11">
        <v>34</v>
      </c>
      <c r="B35" s="11">
        <v>620034</v>
      </c>
      <c r="C35" s="11">
        <v>80</v>
      </c>
      <c r="D35" s="11">
        <v>99</v>
      </c>
    </row>
    <row r="36" spans="1:4">
      <c r="A36" s="11">
        <v>35</v>
      </c>
      <c r="B36" s="11">
        <v>620035</v>
      </c>
      <c r="C36" s="11">
        <v>80</v>
      </c>
      <c r="D36" s="11">
        <v>99</v>
      </c>
    </row>
    <row r="37" spans="1:4">
      <c r="A37" s="11">
        <v>36</v>
      </c>
      <c r="B37" s="11">
        <v>620036</v>
      </c>
      <c r="C37" s="11">
        <v>80</v>
      </c>
      <c r="D37" s="11">
        <v>99</v>
      </c>
    </row>
    <row r="38" spans="1:4">
      <c r="A38" s="11">
        <v>37</v>
      </c>
      <c r="B38" s="11">
        <v>620037</v>
      </c>
      <c r="C38" s="11">
        <v>80</v>
      </c>
      <c r="D38" s="11">
        <v>99</v>
      </c>
    </row>
    <row r="39" spans="1:4">
      <c r="A39" s="11">
        <v>38</v>
      </c>
      <c r="B39" s="11">
        <v>620038</v>
      </c>
      <c r="C39" s="11">
        <v>80</v>
      </c>
      <c r="D39" s="11">
        <v>99</v>
      </c>
    </row>
    <row r="40" spans="1:4">
      <c r="A40" s="11">
        <v>39</v>
      </c>
      <c r="B40" s="11">
        <v>620039</v>
      </c>
      <c r="C40" s="11">
        <v>80</v>
      </c>
      <c r="D40" s="11">
        <v>99</v>
      </c>
    </row>
    <row r="41" spans="1:4">
      <c r="A41" s="11">
        <v>40</v>
      </c>
      <c r="B41" s="11">
        <v>620040</v>
      </c>
      <c r="C41" s="11">
        <v>80</v>
      </c>
      <c r="D41" s="11">
        <v>99</v>
      </c>
    </row>
    <row r="42" spans="1:4">
      <c r="A42" s="11">
        <v>41</v>
      </c>
      <c r="B42" s="11">
        <v>620041</v>
      </c>
      <c r="C42" s="11">
        <v>100</v>
      </c>
      <c r="D42" s="11">
        <v>119</v>
      </c>
    </row>
    <row r="43" spans="1:4">
      <c r="A43" s="11">
        <v>42</v>
      </c>
      <c r="B43" s="11">
        <v>620042</v>
      </c>
      <c r="C43" s="11">
        <v>100</v>
      </c>
      <c r="D43" s="11">
        <v>119</v>
      </c>
    </row>
    <row r="44" spans="1:4">
      <c r="A44" s="11">
        <v>43</v>
      </c>
      <c r="B44" s="11">
        <v>620043</v>
      </c>
      <c r="C44" s="11">
        <v>100</v>
      </c>
      <c r="D44" s="11">
        <v>119</v>
      </c>
    </row>
    <row r="45" spans="1:4">
      <c r="A45" s="11">
        <v>44</v>
      </c>
      <c r="B45" s="11">
        <v>620044</v>
      </c>
      <c r="C45" s="11">
        <v>100</v>
      </c>
      <c r="D45" s="11">
        <v>119</v>
      </c>
    </row>
    <row r="46" spans="1:4">
      <c r="A46" s="11">
        <v>45</v>
      </c>
      <c r="B46" s="11">
        <v>620045</v>
      </c>
      <c r="C46" s="11">
        <v>100</v>
      </c>
      <c r="D46" s="11">
        <v>119</v>
      </c>
    </row>
    <row r="47" spans="1:4">
      <c r="A47" s="11">
        <v>46</v>
      </c>
      <c r="B47" s="11">
        <v>620046</v>
      </c>
      <c r="C47" s="11">
        <v>100</v>
      </c>
      <c r="D47" s="11">
        <v>119</v>
      </c>
    </row>
    <row r="48" spans="1:4">
      <c r="A48" s="11">
        <v>47</v>
      </c>
      <c r="B48" s="11">
        <v>620047</v>
      </c>
      <c r="C48" s="11">
        <v>100</v>
      </c>
      <c r="D48" s="11">
        <v>119</v>
      </c>
    </row>
    <row r="49" spans="1:4">
      <c r="A49" s="11">
        <v>48</v>
      </c>
      <c r="B49" s="11">
        <v>620048</v>
      </c>
      <c r="C49" s="11">
        <v>100</v>
      </c>
      <c r="D49" s="11">
        <v>119</v>
      </c>
    </row>
    <row r="50" spans="1:4">
      <c r="A50" s="11">
        <v>49</v>
      </c>
      <c r="B50" s="11">
        <v>620049</v>
      </c>
      <c r="C50" s="11">
        <v>120</v>
      </c>
      <c r="D50" s="11">
        <v>139</v>
      </c>
    </row>
    <row r="51" spans="1:4">
      <c r="A51" s="11">
        <v>50</v>
      </c>
      <c r="B51" s="11">
        <v>620050</v>
      </c>
      <c r="C51" s="11">
        <v>120</v>
      </c>
      <c r="D51" s="11">
        <v>139</v>
      </c>
    </row>
    <row r="52" spans="1:4">
      <c r="A52" s="11">
        <v>51</v>
      </c>
      <c r="B52" s="11">
        <v>620051</v>
      </c>
      <c r="C52" s="11">
        <v>120</v>
      </c>
      <c r="D52" s="11">
        <v>139</v>
      </c>
    </row>
    <row r="53" spans="1:4">
      <c r="A53" s="11">
        <v>52</v>
      </c>
      <c r="B53" s="11">
        <v>620052</v>
      </c>
      <c r="C53" s="11">
        <v>120</v>
      </c>
      <c r="D53" s="11">
        <v>139</v>
      </c>
    </row>
    <row r="54" spans="1:4">
      <c r="A54" s="11">
        <v>53</v>
      </c>
      <c r="B54" s="11">
        <v>620053</v>
      </c>
      <c r="C54" s="11">
        <v>120</v>
      </c>
      <c r="D54" s="11">
        <v>139</v>
      </c>
    </row>
    <row r="55" spans="1:4">
      <c r="A55" s="11">
        <v>54</v>
      </c>
      <c r="B55" s="11">
        <v>620054</v>
      </c>
      <c r="C55" s="11">
        <v>120</v>
      </c>
      <c r="D55" s="11">
        <v>139</v>
      </c>
    </row>
    <row r="56" spans="1:4">
      <c r="A56" s="11">
        <v>55</v>
      </c>
      <c r="B56" s="11">
        <v>620055</v>
      </c>
      <c r="C56" s="11">
        <v>120</v>
      </c>
      <c r="D56" s="11">
        <v>139</v>
      </c>
    </row>
    <row r="57" spans="1:4">
      <c r="A57" s="11">
        <v>56</v>
      </c>
      <c r="B57" s="11">
        <v>620056</v>
      </c>
      <c r="C57" s="11">
        <v>120</v>
      </c>
      <c r="D57" s="11">
        <v>139</v>
      </c>
    </row>
    <row r="58" spans="1:4">
      <c r="A58" s="11">
        <v>57</v>
      </c>
      <c r="B58" s="11">
        <v>620057</v>
      </c>
      <c r="C58" s="11">
        <v>140</v>
      </c>
      <c r="D58" s="11">
        <v>159</v>
      </c>
    </row>
    <row r="59" spans="1:4">
      <c r="A59" s="11">
        <v>58</v>
      </c>
      <c r="B59" s="11">
        <v>620058</v>
      </c>
      <c r="C59" s="11">
        <v>140</v>
      </c>
      <c r="D59" s="11">
        <v>159</v>
      </c>
    </row>
    <row r="60" spans="1:4">
      <c r="A60" s="11">
        <v>59</v>
      </c>
      <c r="B60" s="11">
        <v>620059</v>
      </c>
      <c r="C60" s="11">
        <v>140</v>
      </c>
      <c r="D60" s="11">
        <v>159</v>
      </c>
    </row>
    <row r="61" spans="1:4">
      <c r="A61" s="11">
        <v>60</v>
      </c>
      <c r="B61" s="11">
        <v>620060</v>
      </c>
      <c r="C61" s="11">
        <v>140</v>
      </c>
      <c r="D61" s="11">
        <v>159</v>
      </c>
    </row>
    <row r="62" spans="1:4">
      <c r="A62" s="11">
        <v>61</v>
      </c>
      <c r="B62" s="11">
        <v>620061</v>
      </c>
      <c r="C62" s="11">
        <v>140</v>
      </c>
      <c r="D62" s="11">
        <v>159</v>
      </c>
    </row>
    <row r="63" spans="1:4">
      <c r="A63" s="11">
        <v>62</v>
      </c>
      <c r="B63" s="11">
        <v>620062</v>
      </c>
      <c r="C63" s="11">
        <v>140</v>
      </c>
      <c r="D63" s="11">
        <v>159</v>
      </c>
    </row>
    <row r="64" spans="1:4">
      <c r="A64" s="11">
        <v>63</v>
      </c>
      <c r="B64" s="11">
        <v>620063</v>
      </c>
      <c r="C64" s="11">
        <v>140</v>
      </c>
      <c r="D64" s="11">
        <v>159</v>
      </c>
    </row>
    <row r="65" spans="1:4">
      <c r="A65" s="11">
        <v>64</v>
      </c>
      <c r="B65" s="11">
        <v>620064</v>
      </c>
      <c r="C65" s="11">
        <v>140</v>
      </c>
      <c r="D65" s="11">
        <v>159</v>
      </c>
    </row>
    <row r="66" spans="1:4">
      <c r="A66" s="11">
        <v>65</v>
      </c>
      <c r="B66" s="11">
        <v>620065</v>
      </c>
      <c r="C66" s="11">
        <v>160</v>
      </c>
      <c r="D66" s="11">
        <v>179</v>
      </c>
    </row>
    <row r="67" spans="1:4">
      <c r="A67" s="11">
        <v>66</v>
      </c>
      <c r="B67" s="11">
        <v>620066</v>
      </c>
      <c r="C67" s="11">
        <v>160</v>
      </c>
      <c r="D67" s="11">
        <v>179</v>
      </c>
    </row>
    <row r="68" spans="1:4">
      <c r="A68" s="11">
        <v>67</v>
      </c>
      <c r="B68" s="11">
        <v>620067</v>
      </c>
      <c r="C68" s="11">
        <v>160</v>
      </c>
      <c r="D68" s="11">
        <v>179</v>
      </c>
    </row>
    <row r="69" spans="1:4">
      <c r="A69" s="11">
        <v>68</v>
      </c>
      <c r="B69" s="11">
        <v>620068</v>
      </c>
      <c r="C69" s="11">
        <v>160</v>
      </c>
      <c r="D69" s="11">
        <v>179</v>
      </c>
    </row>
    <row r="70" spans="1:4">
      <c r="A70" s="11">
        <v>69</v>
      </c>
      <c r="B70" s="11">
        <v>620069</v>
      </c>
      <c r="C70" s="11">
        <v>160</v>
      </c>
      <c r="D70" s="11">
        <v>179</v>
      </c>
    </row>
    <row r="71" spans="1:4">
      <c r="A71" s="11">
        <v>70</v>
      </c>
      <c r="B71" s="11">
        <v>620070</v>
      </c>
      <c r="C71" s="11">
        <v>160</v>
      </c>
      <c r="D71" s="11">
        <v>179</v>
      </c>
    </row>
    <row r="72" spans="1:4">
      <c r="A72" s="11">
        <v>71</v>
      </c>
      <c r="B72" s="11">
        <v>620071</v>
      </c>
      <c r="C72" s="11">
        <v>160</v>
      </c>
      <c r="D72" s="11">
        <v>179</v>
      </c>
    </row>
    <row r="73" spans="1:4">
      <c r="A73" s="11">
        <v>72</v>
      </c>
      <c r="B73" s="11">
        <v>620072</v>
      </c>
      <c r="C73" s="11">
        <v>160</v>
      </c>
      <c r="D73" s="11">
        <v>179</v>
      </c>
    </row>
    <row r="74" spans="1:4">
      <c r="A74" s="11">
        <v>73</v>
      </c>
      <c r="B74" s="11">
        <v>620073</v>
      </c>
      <c r="C74" s="11">
        <v>180</v>
      </c>
      <c r="D74" s="11">
        <v>999</v>
      </c>
    </row>
    <row r="75" spans="1:4">
      <c r="A75" s="11">
        <v>74</v>
      </c>
      <c r="B75" s="11">
        <v>620074</v>
      </c>
      <c r="C75" s="11">
        <v>180</v>
      </c>
      <c r="D75" s="11">
        <v>999</v>
      </c>
    </row>
    <row r="76" spans="1:4">
      <c r="A76" s="11">
        <v>75</v>
      </c>
      <c r="B76" s="11">
        <v>620075</v>
      </c>
      <c r="C76" s="11">
        <v>180</v>
      </c>
      <c r="D76" s="11">
        <v>999</v>
      </c>
    </row>
    <row r="77" spans="1:4">
      <c r="A77" s="11">
        <v>76</v>
      </c>
      <c r="B77" s="11">
        <v>620076</v>
      </c>
      <c r="C77" s="11">
        <v>180</v>
      </c>
      <c r="D77" s="11">
        <v>999</v>
      </c>
    </row>
    <row r="78" spans="1:4">
      <c r="A78" s="11">
        <v>77</v>
      </c>
      <c r="B78" s="11">
        <v>620077</v>
      </c>
      <c r="C78" s="11">
        <v>180</v>
      </c>
      <c r="D78" s="11">
        <v>999</v>
      </c>
    </row>
    <row r="79" spans="1:4">
      <c r="A79" s="11">
        <v>78</v>
      </c>
      <c r="B79" s="11">
        <v>620078</v>
      </c>
      <c r="C79" s="11">
        <v>180</v>
      </c>
      <c r="D79" s="11">
        <v>999</v>
      </c>
    </row>
    <row r="80" spans="1:4">
      <c r="A80" s="11">
        <v>79</v>
      </c>
      <c r="B80" s="11">
        <v>620079</v>
      </c>
      <c r="C80" s="11">
        <v>180</v>
      </c>
      <c r="D80" s="11">
        <v>999</v>
      </c>
    </row>
    <row r="81" spans="1:4">
      <c r="A81" s="11">
        <v>80</v>
      </c>
      <c r="B81" s="11">
        <v>620080</v>
      </c>
      <c r="C81" s="11">
        <v>180</v>
      </c>
      <c r="D81" s="11">
        <v>999</v>
      </c>
    </row>
    <row r="82" s="40" customFormat="1" ht="16.5" spans="1:6">
      <c r="A82" s="12">
        <v>81</v>
      </c>
      <c r="B82" s="12">
        <v>620081</v>
      </c>
      <c r="C82" s="12">
        <v>70</v>
      </c>
      <c r="D82" s="12">
        <v>999</v>
      </c>
      <c r="E82" s="41" t="s">
        <v>1053</v>
      </c>
      <c r="F82" s="42" t="s">
        <v>1054</v>
      </c>
    </row>
    <row r="83" s="40" customFormat="1" ht="16.5" spans="1:6">
      <c r="A83" s="12">
        <v>82</v>
      </c>
      <c r="B83" s="12">
        <v>620082</v>
      </c>
      <c r="C83" s="12">
        <v>70</v>
      </c>
      <c r="D83" s="12">
        <v>999</v>
      </c>
      <c r="E83" s="41" t="s">
        <v>1055</v>
      </c>
      <c r="F83" s="42" t="s">
        <v>1056</v>
      </c>
    </row>
    <row r="84" s="40" customFormat="1" ht="16.5" spans="1:6">
      <c r="A84" s="12">
        <v>83</v>
      </c>
      <c r="B84" s="12">
        <v>620083</v>
      </c>
      <c r="C84" s="12">
        <v>70</v>
      </c>
      <c r="D84" s="12">
        <v>999</v>
      </c>
      <c r="E84" s="41" t="s">
        <v>1057</v>
      </c>
      <c r="F84" s="42" t="s">
        <v>1058</v>
      </c>
    </row>
    <row r="85" ht="16.5" spans="1:4">
      <c r="A85" s="43">
        <v>84</v>
      </c>
      <c r="B85" s="43">
        <v>600001</v>
      </c>
      <c r="C85" s="43">
        <v>1</v>
      </c>
      <c r="D85" s="43">
        <v>100</v>
      </c>
    </row>
    <row r="86" ht="16.5" spans="1:4">
      <c r="A86" s="43">
        <v>85</v>
      </c>
      <c r="B86" s="43">
        <v>600002</v>
      </c>
      <c r="C86" s="43">
        <v>1</v>
      </c>
      <c r="D86" s="43">
        <v>100</v>
      </c>
    </row>
    <row r="87" ht="16.5" spans="1:4">
      <c r="A87" s="43">
        <v>86</v>
      </c>
      <c r="B87" s="43">
        <v>600003</v>
      </c>
      <c r="C87" s="43">
        <v>1</v>
      </c>
      <c r="D87" s="43">
        <v>100</v>
      </c>
    </row>
    <row r="88" ht="16.5" spans="1:4">
      <c r="A88" s="43">
        <v>87</v>
      </c>
      <c r="B88" s="43">
        <v>600004</v>
      </c>
      <c r="C88" s="43">
        <v>1</v>
      </c>
      <c r="D88" s="43">
        <v>100</v>
      </c>
    </row>
    <row r="89" ht="16.5" spans="1:4">
      <c r="A89" s="43">
        <v>88</v>
      </c>
      <c r="B89" s="43">
        <v>600005</v>
      </c>
      <c r="C89" s="43">
        <v>1</v>
      </c>
      <c r="D89" s="43">
        <v>100</v>
      </c>
    </row>
    <row r="90" ht="16.5" spans="1:4">
      <c r="A90" s="43">
        <v>89</v>
      </c>
      <c r="B90" s="43">
        <v>600006</v>
      </c>
      <c r="C90" s="43">
        <v>1</v>
      </c>
      <c r="D90" s="43">
        <v>100</v>
      </c>
    </row>
    <row r="91" ht="16.5" spans="1:4">
      <c r="A91" s="43">
        <v>90</v>
      </c>
      <c r="B91" s="43">
        <v>600007</v>
      </c>
      <c r="C91" s="43">
        <v>1</v>
      </c>
      <c r="D91" s="43">
        <v>100</v>
      </c>
    </row>
    <row r="92" ht="16.5" spans="1:4">
      <c r="A92" s="43">
        <v>91</v>
      </c>
      <c r="B92" s="43">
        <v>600008</v>
      </c>
      <c r="C92" s="43">
        <v>1</v>
      </c>
      <c r="D92" s="43">
        <v>100</v>
      </c>
    </row>
    <row r="93" ht="16.5" spans="1:4">
      <c r="A93" s="43">
        <v>92</v>
      </c>
      <c r="B93" s="43">
        <v>600009</v>
      </c>
      <c r="C93" s="43">
        <v>1</v>
      </c>
      <c r="D93" s="43">
        <v>100</v>
      </c>
    </row>
    <row r="94" ht="16.5" spans="1:4">
      <c r="A94" s="43">
        <v>93</v>
      </c>
      <c r="B94" s="43">
        <v>600010</v>
      </c>
      <c r="C94" s="43">
        <v>1</v>
      </c>
      <c r="D94" s="43">
        <v>100</v>
      </c>
    </row>
    <row r="95" ht="16.5" spans="1:4">
      <c r="A95" s="43">
        <v>94</v>
      </c>
      <c r="B95" s="43">
        <v>600011</v>
      </c>
      <c r="C95" s="43">
        <v>1</v>
      </c>
      <c r="D95" s="43">
        <v>100</v>
      </c>
    </row>
    <row r="96" ht="16.5" spans="1:4">
      <c r="A96" s="43">
        <v>95</v>
      </c>
      <c r="B96" s="43">
        <v>600012</v>
      </c>
      <c r="C96" s="43">
        <v>1</v>
      </c>
      <c r="D96" s="43">
        <v>100</v>
      </c>
    </row>
    <row r="97" ht="16.5" spans="1:4">
      <c r="A97" s="43">
        <v>96</v>
      </c>
      <c r="B97" s="43">
        <v>600013</v>
      </c>
      <c r="C97" s="43">
        <v>1</v>
      </c>
      <c r="D97" s="43">
        <v>100</v>
      </c>
    </row>
    <row r="98" ht="16.5" spans="1:4">
      <c r="A98" s="43">
        <v>97</v>
      </c>
      <c r="B98" s="43">
        <v>600014</v>
      </c>
      <c r="C98" s="43">
        <v>1</v>
      </c>
      <c r="D98" s="43">
        <v>100</v>
      </c>
    </row>
    <row r="99" ht="16.5" spans="1:4">
      <c r="A99" s="43">
        <v>98</v>
      </c>
      <c r="B99" s="43">
        <v>600015</v>
      </c>
      <c r="C99" s="43">
        <v>1</v>
      </c>
      <c r="D99" s="43">
        <v>100</v>
      </c>
    </row>
    <row r="100" ht="16.5" spans="1:4">
      <c r="A100" s="43">
        <v>99</v>
      </c>
      <c r="B100" s="43">
        <v>600016</v>
      </c>
      <c r="C100" s="43">
        <v>1</v>
      </c>
      <c r="D100" s="43">
        <v>100</v>
      </c>
    </row>
    <row r="101" ht="16.5" spans="1:4">
      <c r="A101" s="43">
        <v>100</v>
      </c>
      <c r="B101" s="43">
        <v>600017</v>
      </c>
      <c r="C101" s="43">
        <v>1</v>
      </c>
      <c r="D101" s="43">
        <v>100</v>
      </c>
    </row>
    <row r="102" ht="16.5" spans="1:4">
      <c r="A102" s="43">
        <v>101</v>
      </c>
      <c r="B102" s="43">
        <v>600018</v>
      </c>
      <c r="C102" s="43">
        <v>1</v>
      </c>
      <c r="D102" s="43">
        <v>100</v>
      </c>
    </row>
    <row r="103" ht="16.5" spans="1:4">
      <c r="A103" s="43">
        <v>102</v>
      </c>
      <c r="B103" s="43">
        <v>600019</v>
      </c>
      <c r="C103" s="43">
        <v>1</v>
      </c>
      <c r="D103" s="43">
        <v>100</v>
      </c>
    </row>
    <row r="104" ht="16.5" spans="1:4">
      <c r="A104" s="43">
        <v>103</v>
      </c>
      <c r="B104" s="43">
        <v>600020</v>
      </c>
      <c r="C104" s="43">
        <v>1</v>
      </c>
      <c r="D104" s="43">
        <v>100</v>
      </c>
    </row>
    <row r="105" ht="16.5" spans="1:4">
      <c r="A105" s="43">
        <v>104</v>
      </c>
      <c r="B105" s="43">
        <v>600021</v>
      </c>
      <c r="C105" s="43">
        <v>1</v>
      </c>
      <c r="D105" s="43">
        <v>100</v>
      </c>
    </row>
    <row r="106" ht="16.5" spans="1:4">
      <c r="A106" s="43">
        <v>105</v>
      </c>
      <c r="B106" s="43">
        <v>600022</v>
      </c>
      <c r="C106" s="43">
        <v>1</v>
      </c>
      <c r="D106" s="43">
        <v>100</v>
      </c>
    </row>
    <row r="107" ht="16.5" spans="1:4">
      <c r="A107" s="43">
        <v>106</v>
      </c>
      <c r="B107" s="43">
        <v>600023</v>
      </c>
      <c r="C107" s="43">
        <v>1</v>
      </c>
      <c r="D107" s="43">
        <v>100</v>
      </c>
    </row>
    <row r="108" ht="16.5" spans="1:4">
      <c r="A108" s="43">
        <v>107</v>
      </c>
      <c r="B108" s="43">
        <v>600024</v>
      </c>
      <c r="C108" s="43">
        <v>1</v>
      </c>
      <c r="D108" s="43">
        <v>100</v>
      </c>
    </row>
    <row r="109" ht="16.5" spans="1:4">
      <c r="A109" s="43">
        <v>108</v>
      </c>
      <c r="B109" s="43">
        <v>600025</v>
      </c>
      <c r="C109" s="43">
        <v>1</v>
      </c>
      <c r="D109" s="43">
        <v>100</v>
      </c>
    </row>
    <row r="110" ht="16.5" spans="1:4">
      <c r="A110" s="43">
        <v>109</v>
      </c>
      <c r="B110" s="43">
        <v>600026</v>
      </c>
      <c r="C110" s="43">
        <v>1</v>
      </c>
      <c r="D110" s="43">
        <v>100</v>
      </c>
    </row>
    <row r="111" ht="16.5" spans="1:4">
      <c r="A111" s="43">
        <v>110</v>
      </c>
      <c r="B111" s="43">
        <v>600027</v>
      </c>
      <c r="C111" s="43">
        <v>1</v>
      </c>
      <c r="D111" s="43">
        <v>100</v>
      </c>
    </row>
    <row r="112" ht="16.5" spans="1:4">
      <c r="A112" s="43">
        <v>111</v>
      </c>
      <c r="B112" s="43">
        <v>600028</v>
      </c>
      <c r="C112" s="43">
        <v>1</v>
      </c>
      <c r="D112" s="43">
        <v>100</v>
      </c>
    </row>
    <row r="113" ht="16.5" spans="1:4">
      <c r="A113" s="43">
        <v>112</v>
      </c>
      <c r="B113" s="43">
        <v>600029</v>
      </c>
      <c r="C113" s="43">
        <v>1</v>
      </c>
      <c r="D113" s="43">
        <v>100</v>
      </c>
    </row>
    <row r="114" ht="16.5" spans="1:4">
      <c r="A114" s="43">
        <v>113</v>
      </c>
      <c r="B114" s="43">
        <v>600030</v>
      </c>
      <c r="C114" s="43">
        <v>1</v>
      </c>
      <c r="D114" s="43">
        <v>100</v>
      </c>
    </row>
    <row r="115" ht="16.5" spans="1:4">
      <c r="A115" s="43">
        <v>114</v>
      </c>
      <c r="B115" s="43">
        <v>600031</v>
      </c>
      <c r="C115" s="43">
        <v>1</v>
      </c>
      <c r="D115" s="43">
        <v>100</v>
      </c>
    </row>
    <row r="116" ht="16.5" spans="1:4">
      <c r="A116" s="43">
        <v>115</v>
      </c>
      <c r="B116" s="43">
        <v>600032</v>
      </c>
      <c r="C116" s="43">
        <v>1</v>
      </c>
      <c r="D116" s="43">
        <v>100</v>
      </c>
    </row>
    <row r="117" ht="16.5" spans="1:4">
      <c r="A117" s="43">
        <v>116</v>
      </c>
      <c r="B117" s="43">
        <v>600033</v>
      </c>
      <c r="C117" s="43">
        <v>1</v>
      </c>
      <c r="D117" s="43">
        <v>100</v>
      </c>
    </row>
    <row r="118" ht="16.5" spans="1:4">
      <c r="A118" s="43">
        <v>117</v>
      </c>
      <c r="B118" s="43">
        <v>600034</v>
      </c>
      <c r="C118" s="43">
        <v>1</v>
      </c>
      <c r="D118" s="43">
        <v>100</v>
      </c>
    </row>
    <row r="119" ht="16.5" spans="1:4">
      <c r="A119" s="43">
        <v>118</v>
      </c>
      <c r="B119" s="43">
        <v>600035</v>
      </c>
      <c r="C119" s="43">
        <v>1</v>
      </c>
      <c r="D119" s="43">
        <v>100</v>
      </c>
    </row>
    <row r="120" ht="16.5" spans="1:4">
      <c r="A120" s="43">
        <v>119</v>
      </c>
      <c r="B120" s="43">
        <v>600036</v>
      </c>
      <c r="C120" s="43">
        <v>1</v>
      </c>
      <c r="D120" s="43">
        <v>100</v>
      </c>
    </row>
    <row r="121" ht="16.5" spans="1:4">
      <c r="A121" s="43">
        <v>120</v>
      </c>
      <c r="B121" s="43">
        <v>600037</v>
      </c>
      <c r="C121" s="43">
        <v>1</v>
      </c>
      <c r="D121" s="43">
        <v>100</v>
      </c>
    </row>
    <row r="122" ht="16.5" spans="1:4">
      <c r="A122" s="43">
        <v>121</v>
      </c>
      <c r="B122" s="43">
        <v>600038</v>
      </c>
      <c r="C122" s="43">
        <v>1</v>
      </c>
      <c r="D122" s="43">
        <v>100</v>
      </c>
    </row>
    <row r="123" ht="16.5" spans="1:4">
      <c r="A123" s="43">
        <v>122</v>
      </c>
      <c r="B123" s="43">
        <v>600039</v>
      </c>
      <c r="C123" s="43">
        <v>1</v>
      </c>
      <c r="D123" s="43">
        <v>100</v>
      </c>
    </row>
    <row r="124" ht="16.5" spans="1:4">
      <c r="A124" s="43">
        <v>123</v>
      </c>
      <c r="B124" s="43">
        <v>600040</v>
      </c>
      <c r="C124" s="43">
        <v>1</v>
      </c>
      <c r="D124" s="43">
        <v>100</v>
      </c>
    </row>
    <row r="125" ht="16.5" spans="1:4">
      <c r="A125" s="43">
        <v>124</v>
      </c>
      <c r="B125" s="43">
        <v>600041</v>
      </c>
      <c r="C125" s="43">
        <v>1</v>
      </c>
      <c r="D125" s="43">
        <v>100</v>
      </c>
    </row>
    <row r="126" ht="16.5" spans="1:4">
      <c r="A126" s="43">
        <v>125</v>
      </c>
      <c r="B126" s="43">
        <v>600042</v>
      </c>
      <c r="C126" s="43">
        <v>1</v>
      </c>
      <c r="D126" s="43">
        <v>100</v>
      </c>
    </row>
    <row r="127" ht="16.5" spans="1:4">
      <c r="A127" s="43">
        <v>126</v>
      </c>
      <c r="B127" s="43">
        <v>600043</v>
      </c>
      <c r="C127" s="43">
        <v>1</v>
      </c>
      <c r="D127" s="43">
        <v>100</v>
      </c>
    </row>
    <row r="128" ht="16.5" spans="1:4">
      <c r="A128" s="43">
        <v>127</v>
      </c>
      <c r="B128" s="43">
        <v>600044</v>
      </c>
      <c r="C128" s="43">
        <v>1</v>
      </c>
      <c r="D128" s="43">
        <v>100</v>
      </c>
    </row>
    <row r="129" ht="16.5" spans="1:4">
      <c r="A129" s="43">
        <v>128</v>
      </c>
      <c r="B129" s="43">
        <v>610001</v>
      </c>
      <c r="C129" s="43">
        <v>1</v>
      </c>
      <c r="D129" s="43">
        <v>100</v>
      </c>
    </row>
    <row r="130" ht="16.5" spans="1:4">
      <c r="A130" s="43">
        <v>129</v>
      </c>
      <c r="B130" s="43">
        <v>610002</v>
      </c>
      <c r="C130" s="43">
        <v>1</v>
      </c>
      <c r="D130" s="43">
        <v>100</v>
      </c>
    </row>
    <row r="131" ht="16.5" spans="1:4">
      <c r="A131" s="43">
        <v>130</v>
      </c>
      <c r="B131" s="43">
        <v>610003</v>
      </c>
      <c r="C131" s="43">
        <v>1</v>
      </c>
      <c r="D131" s="43">
        <v>100</v>
      </c>
    </row>
    <row r="132" ht="16.5" spans="1:4">
      <c r="A132" s="43">
        <v>131</v>
      </c>
      <c r="B132" s="43">
        <v>610004</v>
      </c>
      <c r="C132" s="43">
        <v>1</v>
      </c>
      <c r="D132" s="43">
        <v>100</v>
      </c>
    </row>
    <row r="133" ht="16.5" spans="1:4">
      <c r="A133" s="43">
        <v>132</v>
      </c>
      <c r="B133" s="43">
        <v>610005</v>
      </c>
      <c r="C133" s="43">
        <v>1</v>
      </c>
      <c r="D133" s="43">
        <v>100</v>
      </c>
    </row>
    <row r="134" ht="16.5" spans="1:4">
      <c r="A134" s="43">
        <v>133</v>
      </c>
      <c r="B134" s="43">
        <v>610006</v>
      </c>
      <c r="C134" s="43">
        <v>1</v>
      </c>
      <c r="D134" s="43">
        <v>100</v>
      </c>
    </row>
    <row r="135" ht="16.5" spans="1:4">
      <c r="A135" s="43">
        <v>134</v>
      </c>
      <c r="B135" s="44">
        <v>630001</v>
      </c>
      <c r="C135" s="44">
        <v>101</v>
      </c>
      <c r="D135" s="44">
        <v>150</v>
      </c>
    </row>
    <row r="136" ht="16.5" spans="1:4">
      <c r="A136" s="43">
        <v>135</v>
      </c>
      <c r="B136" s="44">
        <v>630002</v>
      </c>
      <c r="C136" s="44">
        <v>101</v>
      </c>
      <c r="D136" s="44">
        <v>150</v>
      </c>
    </row>
    <row r="137" ht="16.5" spans="1:4">
      <c r="A137" s="43">
        <v>136</v>
      </c>
      <c r="B137" s="44">
        <v>630003</v>
      </c>
      <c r="C137" s="44">
        <v>101</v>
      </c>
      <c r="D137" s="44">
        <v>150</v>
      </c>
    </row>
    <row r="138" ht="16.5" spans="1:4">
      <c r="A138" s="43">
        <v>137</v>
      </c>
      <c r="B138" s="44">
        <v>630004</v>
      </c>
      <c r="C138" s="44">
        <v>101</v>
      </c>
      <c r="D138" s="44">
        <v>150</v>
      </c>
    </row>
    <row r="139" ht="16.5" spans="1:4">
      <c r="A139" s="43">
        <v>138</v>
      </c>
      <c r="B139" s="44">
        <v>630005</v>
      </c>
      <c r="C139" s="44">
        <v>101</v>
      </c>
      <c r="D139" s="44">
        <v>150</v>
      </c>
    </row>
    <row r="140" ht="16.5" spans="1:4">
      <c r="A140" s="43">
        <v>139</v>
      </c>
      <c r="B140" s="44">
        <v>630006</v>
      </c>
      <c r="C140" s="44">
        <v>101</v>
      </c>
      <c r="D140" s="44">
        <v>150</v>
      </c>
    </row>
    <row r="141" ht="16.5" spans="1:4">
      <c r="A141" s="43">
        <v>140</v>
      </c>
      <c r="B141" s="44">
        <v>630007</v>
      </c>
      <c r="C141" s="44">
        <v>101</v>
      </c>
      <c r="D141" s="44">
        <v>150</v>
      </c>
    </row>
    <row r="142" ht="16.5" spans="1:4">
      <c r="A142" s="43">
        <v>141</v>
      </c>
      <c r="B142" s="44">
        <v>630008</v>
      </c>
      <c r="C142" s="44">
        <v>101</v>
      </c>
      <c r="D142" s="44">
        <v>150</v>
      </c>
    </row>
    <row r="143" ht="16.5" spans="1:4">
      <c r="A143" s="43">
        <v>142</v>
      </c>
      <c r="B143" s="44">
        <v>630009</v>
      </c>
      <c r="C143" s="44">
        <v>101</v>
      </c>
      <c r="D143" s="44">
        <v>150</v>
      </c>
    </row>
    <row r="144" ht="16.5" spans="1:4">
      <c r="A144" s="43">
        <v>143</v>
      </c>
      <c r="B144" s="44">
        <v>630010</v>
      </c>
      <c r="C144" s="44">
        <v>101</v>
      </c>
      <c r="D144" s="44">
        <v>150</v>
      </c>
    </row>
    <row r="145" ht="16.5" spans="1:4">
      <c r="A145" s="43">
        <v>144</v>
      </c>
      <c r="B145" s="44">
        <v>630011</v>
      </c>
      <c r="C145" s="44">
        <v>101</v>
      </c>
      <c r="D145" s="44">
        <v>150</v>
      </c>
    </row>
    <row r="146" ht="16.5" spans="1:4">
      <c r="A146" s="43">
        <v>145</v>
      </c>
      <c r="B146" s="44">
        <v>630012</v>
      </c>
      <c r="C146" s="44">
        <v>101</v>
      </c>
      <c r="D146" s="44">
        <v>150</v>
      </c>
    </row>
    <row r="147" ht="16.5" spans="1:4">
      <c r="A147" s="43">
        <v>146</v>
      </c>
      <c r="B147" s="44">
        <v>630013</v>
      </c>
      <c r="C147" s="44">
        <v>101</v>
      </c>
      <c r="D147" s="44">
        <v>150</v>
      </c>
    </row>
    <row r="148" ht="16.5" spans="1:4">
      <c r="A148" s="43">
        <v>147</v>
      </c>
      <c r="B148" s="44">
        <v>630014</v>
      </c>
      <c r="C148" s="44">
        <v>101</v>
      </c>
      <c r="D148" s="44">
        <v>150</v>
      </c>
    </row>
    <row r="149" ht="16.5" spans="1:4">
      <c r="A149" s="43">
        <v>148</v>
      </c>
      <c r="B149" s="44">
        <v>630015</v>
      </c>
      <c r="C149" s="44">
        <v>101</v>
      </c>
      <c r="D149" s="44">
        <v>150</v>
      </c>
    </row>
    <row r="150" ht="16.5" spans="1:4">
      <c r="A150" s="43">
        <v>149</v>
      </c>
      <c r="B150" s="44">
        <v>630016</v>
      </c>
      <c r="C150" s="44">
        <v>101</v>
      </c>
      <c r="D150" s="44">
        <v>150</v>
      </c>
    </row>
    <row r="151" ht="16.5" spans="1:4">
      <c r="A151" s="43">
        <v>150</v>
      </c>
      <c r="B151" s="44">
        <v>630017</v>
      </c>
      <c r="C151" s="44">
        <v>101</v>
      </c>
      <c r="D151" s="44">
        <v>150</v>
      </c>
    </row>
    <row r="152" ht="16.5" spans="1:4">
      <c r="A152" s="43">
        <v>151</v>
      </c>
      <c r="B152" s="44">
        <v>630018</v>
      </c>
      <c r="C152" s="44">
        <v>101</v>
      </c>
      <c r="D152" s="44">
        <v>150</v>
      </c>
    </row>
    <row r="153" ht="16.5" spans="1:4">
      <c r="A153" s="43">
        <v>152</v>
      </c>
      <c r="B153" s="44">
        <v>630019</v>
      </c>
      <c r="C153" s="44">
        <v>101</v>
      </c>
      <c r="D153" s="44">
        <v>150</v>
      </c>
    </row>
    <row r="154" ht="16.5" spans="1:4">
      <c r="A154" s="43">
        <v>153</v>
      </c>
      <c r="B154" s="44">
        <v>630020</v>
      </c>
      <c r="C154" s="44">
        <v>101</v>
      </c>
      <c r="D154" s="44">
        <v>150</v>
      </c>
    </row>
    <row r="155" ht="16.5" spans="1:4">
      <c r="A155" s="43">
        <v>154</v>
      </c>
      <c r="B155" s="44">
        <v>630021</v>
      </c>
      <c r="C155" s="44">
        <v>101</v>
      </c>
      <c r="D155" s="44">
        <v>150</v>
      </c>
    </row>
    <row r="156" ht="16.5" spans="1:4">
      <c r="A156" s="43">
        <v>155</v>
      </c>
      <c r="B156" s="44">
        <v>630022</v>
      </c>
      <c r="C156" s="44">
        <v>101</v>
      </c>
      <c r="D156" s="44">
        <v>150</v>
      </c>
    </row>
    <row r="157" ht="16.5" spans="1:4">
      <c r="A157" s="43">
        <v>156</v>
      </c>
      <c r="B157" s="44">
        <v>630023</v>
      </c>
      <c r="C157" s="44">
        <v>101</v>
      </c>
      <c r="D157" s="44">
        <v>150</v>
      </c>
    </row>
    <row r="158" ht="16.5" spans="1:4">
      <c r="A158" s="43">
        <v>157</v>
      </c>
      <c r="B158" s="44">
        <v>630024</v>
      </c>
      <c r="C158" s="44">
        <v>101</v>
      </c>
      <c r="D158" s="44">
        <v>150</v>
      </c>
    </row>
    <row r="159" ht="16.5" spans="1:4">
      <c r="A159" s="43">
        <v>158</v>
      </c>
      <c r="B159" s="44">
        <v>630025</v>
      </c>
      <c r="C159" s="44">
        <v>101</v>
      </c>
      <c r="D159" s="44">
        <v>150</v>
      </c>
    </row>
    <row r="160" ht="16.5" spans="1:4">
      <c r="A160" s="43">
        <v>159</v>
      </c>
      <c r="B160" s="44">
        <v>630026</v>
      </c>
      <c r="C160" s="44">
        <v>101</v>
      </c>
      <c r="D160" s="44">
        <v>150</v>
      </c>
    </row>
    <row r="161" ht="16.5" spans="1:4">
      <c r="A161" s="43">
        <v>160</v>
      </c>
      <c r="B161" s="44">
        <v>630027</v>
      </c>
      <c r="C161" s="44">
        <v>101</v>
      </c>
      <c r="D161" s="44">
        <v>150</v>
      </c>
    </row>
    <row r="162" ht="16.5" spans="1:4">
      <c r="A162" s="43">
        <v>161</v>
      </c>
      <c r="B162" s="44">
        <v>630028</v>
      </c>
      <c r="C162" s="44">
        <v>101</v>
      </c>
      <c r="D162" s="44">
        <v>150</v>
      </c>
    </row>
    <row r="163" ht="16.5" spans="1:4">
      <c r="A163" s="43">
        <v>162</v>
      </c>
      <c r="B163" s="44">
        <v>630029</v>
      </c>
      <c r="C163" s="44">
        <v>101</v>
      </c>
      <c r="D163" s="44">
        <v>150</v>
      </c>
    </row>
    <row r="164" ht="16.5" spans="1:4">
      <c r="A164" s="43">
        <v>163</v>
      </c>
      <c r="B164" s="44">
        <v>630030</v>
      </c>
      <c r="C164" s="44">
        <v>101</v>
      </c>
      <c r="D164" s="44">
        <v>150</v>
      </c>
    </row>
    <row r="165" ht="16.5" spans="1:4">
      <c r="A165" s="43">
        <v>164</v>
      </c>
      <c r="B165" s="44">
        <v>630031</v>
      </c>
      <c r="C165" s="44">
        <v>101</v>
      </c>
      <c r="D165" s="44">
        <v>150</v>
      </c>
    </row>
    <row r="166" ht="16.5" spans="1:4">
      <c r="A166" s="43">
        <v>165</v>
      </c>
      <c r="B166" s="44">
        <v>630032</v>
      </c>
      <c r="C166" s="44">
        <v>101</v>
      </c>
      <c r="D166" s="44">
        <v>150</v>
      </c>
    </row>
    <row r="167" ht="16.5" spans="1:4">
      <c r="A167" s="43">
        <v>166</v>
      </c>
      <c r="B167" s="44">
        <v>630033</v>
      </c>
      <c r="C167" s="44">
        <v>101</v>
      </c>
      <c r="D167" s="44">
        <v>150</v>
      </c>
    </row>
    <row r="168" ht="16.5" spans="1:4">
      <c r="A168" s="43">
        <v>167</v>
      </c>
      <c r="B168" s="44">
        <v>630034</v>
      </c>
      <c r="C168" s="44">
        <v>101</v>
      </c>
      <c r="D168" s="44">
        <v>150</v>
      </c>
    </row>
    <row r="169" ht="16.5" spans="1:4">
      <c r="A169" s="43">
        <v>168</v>
      </c>
      <c r="B169" s="44">
        <v>630035</v>
      </c>
      <c r="C169" s="44">
        <v>101</v>
      </c>
      <c r="D169" s="44">
        <v>150</v>
      </c>
    </row>
    <row r="170" ht="16.5" spans="1:4">
      <c r="A170" s="43">
        <v>169</v>
      </c>
      <c r="B170" s="44">
        <v>630036</v>
      </c>
      <c r="C170" s="44">
        <v>101</v>
      </c>
      <c r="D170" s="44">
        <v>150</v>
      </c>
    </row>
    <row r="171" ht="16.5" spans="1:4">
      <c r="A171" s="43">
        <v>170</v>
      </c>
      <c r="B171" s="44">
        <v>630037</v>
      </c>
      <c r="C171" s="44">
        <v>101</v>
      </c>
      <c r="D171" s="44">
        <v>150</v>
      </c>
    </row>
    <row r="172" ht="16.5" spans="1:4">
      <c r="A172" s="43">
        <v>171</v>
      </c>
      <c r="B172" s="44">
        <v>630038</v>
      </c>
      <c r="C172" s="44">
        <v>101</v>
      </c>
      <c r="D172" s="44">
        <v>150</v>
      </c>
    </row>
    <row r="173" ht="16.5" spans="1:4">
      <c r="A173" s="43">
        <v>172</v>
      </c>
      <c r="B173" s="44">
        <v>630039</v>
      </c>
      <c r="C173" s="44">
        <v>101</v>
      </c>
      <c r="D173" s="44">
        <v>150</v>
      </c>
    </row>
    <row r="174" ht="16.5" spans="1:4">
      <c r="A174" s="43">
        <v>173</v>
      </c>
      <c r="B174" s="44">
        <v>630040</v>
      </c>
      <c r="C174" s="44">
        <v>101</v>
      </c>
      <c r="D174" s="44">
        <v>150</v>
      </c>
    </row>
    <row r="175" ht="16.5" spans="1:4">
      <c r="A175" s="43">
        <v>174</v>
      </c>
      <c r="B175" s="44">
        <v>630041</v>
      </c>
      <c r="C175" s="44">
        <v>101</v>
      </c>
      <c r="D175" s="44">
        <v>150</v>
      </c>
    </row>
    <row r="176" ht="16.5" spans="1:4">
      <c r="A176" s="43">
        <v>175</v>
      </c>
      <c r="B176" s="44">
        <v>630042</v>
      </c>
      <c r="C176" s="44">
        <v>101</v>
      </c>
      <c r="D176" s="44">
        <v>150</v>
      </c>
    </row>
    <row r="177" ht="16.5" spans="1:4">
      <c r="A177" s="43">
        <v>176</v>
      </c>
      <c r="B177" s="44">
        <v>630043</v>
      </c>
      <c r="C177" s="44">
        <v>101</v>
      </c>
      <c r="D177" s="44">
        <v>150</v>
      </c>
    </row>
    <row r="178" ht="16.5" spans="1:4">
      <c r="A178" s="43">
        <v>177</v>
      </c>
      <c r="B178" s="44">
        <v>630044</v>
      </c>
      <c r="C178" s="44">
        <v>101</v>
      </c>
      <c r="D178" s="44">
        <v>150</v>
      </c>
    </row>
    <row r="179" ht="16.5" spans="1:4">
      <c r="A179" s="43">
        <v>178</v>
      </c>
      <c r="B179" s="44">
        <v>630045</v>
      </c>
      <c r="C179" s="44">
        <v>101</v>
      </c>
      <c r="D179" s="44">
        <v>150</v>
      </c>
    </row>
    <row r="180" ht="16.5" spans="1:4">
      <c r="A180" s="43">
        <v>179</v>
      </c>
      <c r="B180" s="44">
        <v>630046</v>
      </c>
      <c r="C180" s="44">
        <v>101</v>
      </c>
      <c r="D180" s="44">
        <v>150</v>
      </c>
    </row>
    <row r="181" ht="16.5" spans="1:4">
      <c r="A181" s="43">
        <v>180</v>
      </c>
      <c r="B181" s="44">
        <v>630047</v>
      </c>
      <c r="C181" s="44">
        <v>101</v>
      </c>
      <c r="D181" s="44">
        <v>150</v>
      </c>
    </row>
    <row r="182" ht="16.5" spans="1:4">
      <c r="A182" s="43">
        <v>181</v>
      </c>
      <c r="B182" s="44">
        <v>630048</v>
      </c>
      <c r="C182" s="44">
        <v>101</v>
      </c>
      <c r="D182" s="44">
        <v>150</v>
      </c>
    </row>
    <row r="183" ht="16.5" spans="1:4">
      <c r="A183" s="43">
        <v>182</v>
      </c>
      <c r="B183" s="44">
        <v>630049</v>
      </c>
      <c r="C183" s="44">
        <v>101</v>
      </c>
      <c r="D183" s="44">
        <v>150</v>
      </c>
    </row>
    <row r="184" ht="16.5" spans="1:4">
      <c r="A184" s="43">
        <v>183</v>
      </c>
      <c r="B184" s="44">
        <v>630050</v>
      </c>
      <c r="C184" s="44">
        <v>101</v>
      </c>
      <c r="D184" s="44">
        <v>150</v>
      </c>
    </row>
    <row r="185" ht="16.5" spans="1:4">
      <c r="A185" s="43">
        <v>184</v>
      </c>
      <c r="B185" s="45">
        <v>640001</v>
      </c>
      <c r="C185" s="45">
        <v>151</v>
      </c>
      <c r="D185" s="45">
        <v>200</v>
      </c>
    </row>
    <row r="186" ht="16.5" spans="1:4">
      <c r="A186" s="43">
        <v>185</v>
      </c>
      <c r="B186" s="45">
        <v>640002</v>
      </c>
      <c r="C186" s="45">
        <v>151</v>
      </c>
      <c r="D186" s="45">
        <v>200</v>
      </c>
    </row>
    <row r="187" ht="16.5" spans="1:4">
      <c r="A187" s="43">
        <v>186</v>
      </c>
      <c r="B187" s="45">
        <v>640003</v>
      </c>
      <c r="C187" s="45">
        <v>151</v>
      </c>
      <c r="D187" s="45">
        <v>200</v>
      </c>
    </row>
    <row r="188" ht="16.5" spans="1:4">
      <c r="A188" s="43">
        <v>187</v>
      </c>
      <c r="B188" s="45">
        <v>640004</v>
      </c>
      <c r="C188" s="45">
        <v>151</v>
      </c>
      <c r="D188" s="45">
        <v>200</v>
      </c>
    </row>
    <row r="189" ht="16.5" spans="1:4">
      <c r="A189" s="43">
        <v>188</v>
      </c>
      <c r="B189" s="45">
        <v>640005</v>
      </c>
      <c r="C189" s="45">
        <v>151</v>
      </c>
      <c r="D189" s="45">
        <v>200</v>
      </c>
    </row>
    <row r="190" ht="16.5" spans="1:4">
      <c r="A190" s="43">
        <v>189</v>
      </c>
      <c r="B190" s="45">
        <v>640006</v>
      </c>
      <c r="C190" s="45">
        <v>151</v>
      </c>
      <c r="D190" s="45">
        <v>200</v>
      </c>
    </row>
    <row r="191" ht="16.5" spans="1:4">
      <c r="A191" s="43">
        <v>190</v>
      </c>
      <c r="B191" s="45">
        <v>640007</v>
      </c>
      <c r="C191" s="45">
        <v>151</v>
      </c>
      <c r="D191" s="45">
        <v>200</v>
      </c>
    </row>
    <row r="192" ht="16.5" spans="1:4">
      <c r="A192" s="43">
        <v>191</v>
      </c>
      <c r="B192" s="45">
        <v>640008</v>
      </c>
      <c r="C192" s="45">
        <v>151</v>
      </c>
      <c r="D192" s="45">
        <v>200</v>
      </c>
    </row>
    <row r="193" ht="16.5" spans="1:4">
      <c r="A193" s="43">
        <v>192</v>
      </c>
      <c r="B193" s="45">
        <v>640009</v>
      </c>
      <c r="C193" s="45">
        <v>151</v>
      </c>
      <c r="D193" s="45">
        <v>200</v>
      </c>
    </row>
    <row r="194" ht="16.5" spans="1:4">
      <c r="A194" s="43">
        <v>193</v>
      </c>
      <c r="B194" s="45">
        <v>640010</v>
      </c>
      <c r="C194" s="45">
        <v>151</v>
      </c>
      <c r="D194" s="45">
        <v>200</v>
      </c>
    </row>
    <row r="195" ht="16.5" spans="1:4">
      <c r="A195" s="43">
        <v>194</v>
      </c>
      <c r="B195" s="45">
        <v>640011</v>
      </c>
      <c r="C195" s="45">
        <v>151</v>
      </c>
      <c r="D195" s="45">
        <v>200</v>
      </c>
    </row>
    <row r="196" ht="16.5" spans="1:4">
      <c r="A196" s="43">
        <v>195</v>
      </c>
      <c r="B196" s="45">
        <v>640012</v>
      </c>
      <c r="C196" s="45">
        <v>151</v>
      </c>
      <c r="D196" s="45">
        <v>200</v>
      </c>
    </row>
    <row r="197" ht="16.5" spans="1:4">
      <c r="A197" s="43">
        <v>196</v>
      </c>
      <c r="B197" s="45">
        <v>640013</v>
      </c>
      <c r="C197" s="45">
        <v>151</v>
      </c>
      <c r="D197" s="45">
        <v>200</v>
      </c>
    </row>
    <row r="198" ht="16.5" spans="1:4">
      <c r="A198" s="43">
        <v>197</v>
      </c>
      <c r="B198" s="45">
        <v>640014</v>
      </c>
      <c r="C198" s="45">
        <v>151</v>
      </c>
      <c r="D198" s="45">
        <v>200</v>
      </c>
    </row>
    <row r="199" ht="16.5" spans="1:4">
      <c r="A199" s="43">
        <v>198</v>
      </c>
      <c r="B199" s="45">
        <v>640015</v>
      </c>
      <c r="C199" s="45">
        <v>151</v>
      </c>
      <c r="D199" s="45">
        <v>200</v>
      </c>
    </row>
    <row r="200" ht="16.5" spans="1:4">
      <c r="A200" s="43">
        <v>199</v>
      </c>
      <c r="B200" s="45">
        <v>640016</v>
      </c>
      <c r="C200" s="45">
        <v>151</v>
      </c>
      <c r="D200" s="45">
        <v>200</v>
      </c>
    </row>
    <row r="201" ht="16.5" spans="1:4">
      <c r="A201" s="43">
        <v>200</v>
      </c>
      <c r="B201" s="45">
        <v>640017</v>
      </c>
      <c r="C201" s="45">
        <v>151</v>
      </c>
      <c r="D201" s="45">
        <v>200</v>
      </c>
    </row>
    <row r="202" ht="16.5" spans="1:4">
      <c r="A202" s="43">
        <v>201</v>
      </c>
      <c r="B202" s="45">
        <v>640018</v>
      </c>
      <c r="C202" s="45">
        <v>151</v>
      </c>
      <c r="D202" s="45">
        <v>200</v>
      </c>
    </row>
    <row r="203" ht="16.5" spans="1:4">
      <c r="A203" s="43">
        <v>202</v>
      </c>
      <c r="B203" s="45">
        <v>640019</v>
      </c>
      <c r="C203" s="45">
        <v>151</v>
      </c>
      <c r="D203" s="45">
        <v>200</v>
      </c>
    </row>
    <row r="204" ht="16.5" spans="1:4">
      <c r="A204" s="43">
        <v>203</v>
      </c>
      <c r="B204" s="45">
        <v>640020</v>
      </c>
      <c r="C204" s="45">
        <v>151</v>
      </c>
      <c r="D204" s="45">
        <v>200</v>
      </c>
    </row>
    <row r="205" ht="16.5" spans="1:4">
      <c r="A205" s="43">
        <v>204</v>
      </c>
      <c r="B205" s="45">
        <v>640021</v>
      </c>
      <c r="C205" s="45">
        <v>151</v>
      </c>
      <c r="D205" s="45">
        <v>200</v>
      </c>
    </row>
    <row r="206" ht="16.5" spans="1:4">
      <c r="A206" s="43">
        <v>205</v>
      </c>
      <c r="B206" s="45">
        <v>640022</v>
      </c>
      <c r="C206" s="45">
        <v>151</v>
      </c>
      <c r="D206" s="45">
        <v>200</v>
      </c>
    </row>
    <row r="207" ht="16.5" spans="1:4">
      <c r="A207" s="43">
        <v>206</v>
      </c>
      <c r="B207" s="45">
        <v>640023</v>
      </c>
      <c r="C207" s="45">
        <v>151</v>
      </c>
      <c r="D207" s="45">
        <v>200</v>
      </c>
    </row>
    <row r="208" ht="16.5" spans="1:4">
      <c r="A208" s="43">
        <v>207</v>
      </c>
      <c r="B208" s="45">
        <v>640024</v>
      </c>
      <c r="C208" s="45">
        <v>151</v>
      </c>
      <c r="D208" s="45">
        <v>200</v>
      </c>
    </row>
    <row r="209" ht="16.5" spans="1:4">
      <c r="A209" s="43">
        <v>208</v>
      </c>
      <c r="B209" s="45">
        <v>640025</v>
      </c>
      <c r="C209" s="45">
        <v>151</v>
      </c>
      <c r="D209" s="45">
        <v>200</v>
      </c>
    </row>
    <row r="210" ht="16.5" spans="1:4">
      <c r="A210" s="43">
        <v>209</v>
      </c>
      <c r="B210" s="45">
        <v>640026</v>
      </c>
      <c r="C210" s="45">
        <v>151</v>
      </c>
      <c r="D210" s="45">
        <v>200</v>
      </c>
    </row>
    <row r="211" ht="16.5" spans="1:4">
      <c r="A211" s="43">
        <v>210</v>
      </c>
      <c r="B211" s="45">
        <v>640027</v>
      </c>
      <c r="C211" s="45">
        <v>151</v>
      </c>
      <c r="D211" s="45">
        <v>200</v>
      </c>
    </row>
    <row r="212" ht="16.5" spans="1:4">
      <c r="A212" s="43">
        <v>211</v>
      </c>
      <c r="B212" s="45">
        <v>640028</v>
      </c>
      <c r="C212" s="45">
        <v>151</v>
      </c>
      <c r="D212" s="45">
        <v>200</v>
      </c>
    </row>
    <row r="213" ht="16.5" spans="1:4">
      <c r="A213" s="43">
        <v>212</v>
      </c>
      <c r="B213" s="45">
        <v>640029</v>
      </c>
      <c r="C213" s="45">
        <v>151</v>
      </c>
      <c r="D213" s="45">
        <v>200</v>
      </c>
    </row>
    <row r="214" ht="16.5" spans="1:4">
      <c r="A214" s="43">
        <v>213</v>
      </c>
      <c r="B214" s="45">
        <v>640030</v>
      </c>
      <c r="C214" s="45">
        <v>151</v>
      </c>
      <c r="D214" s="45">
        <v>200</v>
      </c>
    </row>
    <row r="215" ht="16.5" spans="1:4">
      <c r="A215" s="43">
        <v>214</v>
      </c>
      <c r="B215" s="45">
        <v>640031</v>
      </c>
      <c r="C215" s="45">
        <v>151</v>
      </c>
      <c r="D215" s="45">
        <v>200</v>
      </c>
    </row>
    <row r="216" ht="16.5" spans="1:4">
      <c r="A216" s="43">
        <v>215</v>
      </c>
      <c r="B216" s="45">
        <v>640032</v>
      </c>
      <c r="C216" s="45">
        <v>151</v>
      </c>
      <c r="D216" s="45">
        <v>200</v>
      </c>
    </row>
    <row r="217" ht="16.5" spans="1:4">
      <c r="A217" s="43">
        <v>216</v>
      </c>
      <c r="B217" s="45">
        <v>640033</v>
      </c>
      <c r="C217" s="45">
        <v>151</v>
      </c>
      <c r="D217" s="45">
        <v>200</v>
      </c>
    </row>
    <row r="218" ht="16.5" spans="1:4">
      <c r="A218" s="43">
        <v>217</v>
      </c>
      <c r="B218" s="45">
        <v>640034</v>
      </c>
      <c r="C218" s="45">
        <v>151</v>
      </c>
      <c r="D218" s="45">
        <v>200</v>
      </c>
    </row>
    <row r="219" ht="16.5" spans="1:4">
      <c r="A219" s="43">
        <v>218</v>
      </c>
      <c r="B219" s="45">
        <v>640035</v>
      </c>
      <c r="C219" s="45">
        <v>151</v>
      </c>
      <c r="D219" s="45">
        <v>200</v>
      </c>
    </row>
    <row r="220" ht="16.5" spans="1:4">
      <c r="A220" s="43">
        <v>219</v>
      </c>
      <c r="B220" s="45">
        <v>640036</v>
      </c>
      <c r="C220" s="45">
        <v>151</v>
      </c>
      <c r="D220" s="45">
        <v>200</v>
      </c>
    </row>
    <row r="221" ht="16.5" spans="1:4">
      <c r="A221" s="43">
        <v>220</v>
      </c>
      <c r="B221" s="45">
        <v>640037</v>
      </c>
      <c r="C221" s="45">
        <v>151</v>
      </c>
      <c r="D221" s="45">
        <v>200</v>
      </c>
    </row>
    <row r="222" ht="16.5" spans="1:4">
      <c r="A222" s="43">
        <v>221</v>
      </c>
      <c r="B222" s="45">
        <v>640038</v>
      </c>
      <c r="C222" s="45">
        <v>151</v>
      </c>
      <c r="D222" s="45">
        <v>200</v>
      </c>
    </row>
    <row r="223" ht="16.5" spans="1:4">
      <c r="A223" s="43">
        <v>222</v>
      </c>
      <c r="B223" s="45">
        <v>640039</v>
      </c>
      <c r="C223" s="45">
        <v>151</v>
      </c>
      <c r="D223" s="45">
        <v>200</v>
      </c>
    </row>
    <row r="224" ht="16.5" spans="1:4">
      <c r="A224" s="43">
        <v>223</v>
      </c>
      <c r="B224" s="45">
        <v>640040</v>
      </c>
      <c r="C224" s="45">
        <v>151</v>
      </c>
      <c r="D224" s="45">
        <v>200</v>
      </c>
    </row>
    <row r="225" ht="16.5" spans="1:4">
      <c r="A225" s="43">
        <v>224</v>
      </c>
      <c r="B225" s="45">
        <v>640041</v>
      </c>
      <c r="C225" s="45">
        <v>151</v>
      </c>
      <c r="D225" s="45">
        <v>200</v>
      </c>
    </row>
    <row r="226" ht="16.5" spans="1:4">
      <c r="A226" s="43">
        <v>225</v>
      </c>
      <c r="B226" s="45">
        <v>640042</v>
      </c>
      <c r="C226" s="45">
        <v>151</v>
      </c>
      <c r="D226" s="45">
        <v>200</v>
      </c>
    </row>
    <row r="227" ht="16.5" spans="1:4">
      <c r="A227" s="43">
        <v>226</v>
      </c>
      <c r="B227" s="45">
        <v>640043</v>
      </c>
      <c r="C227" s="45">
        <v>151</v>
      </c>
      <c r="D227" s="45">
        <v>200</v>
      </c>
    </row>
    <row r="228" ht="16.5" spans="1:4">
      <c r="A228" s="43">
        <v>227</v>
      </c>
      <c r="B228" s="45">
        <v>640044</v>
      </c>
      <c r="C228" s="45">
        <v>151</v>
      </c>
      <c r="D228" s="45">
        <v>200</v>
      </c>
    </row>
    <row r="229" ht="16.5" spans="1:4">
      <c r="A229" s="43">
        <v>228</v>
      </c>
      <c r="B229" s="45">
        <v>640045</v>
      </c>
      <c r="C229" s="45">
        <v>151</v>
      </c>
      <c r="D229" s="45">
        <v>200</v>
      </c>
    </row>
    <row r="230" ht="16.5" spans="1:4">
      <c r="A230" s="43">
        <v>229</v>
      </c>
      <c r="B230" s="45">
        <v>640046</v>
      </c>
      <c r="C230" s="45">
        <v>151</v>
      </c>
      <c r="D230" s="45">
        <v>200</v>
      </c>
    </row>
    <row r="231" ht="16.5" spans="1:4">
      <c r="A231" s="43">
        <v>230</v>
      </c>
      <c r="B231" s="45">
        <v>640047</v>
      </c>
      <c r="C231" s="45">
        <v>151</v>
      </c>
      <c r="D231" s="45">
        <v>200</v>
      </c>
    </row>
    <row r="232" ht="16.5" spans="1:4">
      <c r="A232" s="43">
        <v>231</v>
      </c>
      <c r="B232" s="45">
        <v>640048</v>
      </c>
      <c r="C232" s="45">
        <v>151</v>
      </c>
      <c r="D232" s="45">
        <v>200</v>
      </c>
    </row>
    <row r="233" ht="16.5" spans="1:4">
      <c r="A233" s="43">
        <v>232</v>
      </c>
      <c r="B233" s="45">
        <v>640049</v>
      </c>
      <c r="C233" s="45">
        <v>151</v>
      </c>
      <c r="D233" s="45">
        <v>200</v>
      </c>
    </row>
    <row r="234" ht="16.5" spans="1:4">
      <c r="A234" s="43">
        <v>233</v>
      </c>
      <c r="B234" s="45">
        <v>640050</v>
      </c>
      <c r="C234" s="45">
        <v>151</v>
      </c>
      <c r="D234" s="45">
        <v>200</v>
      </c>
    </row>
  </sheetData>
  <conditionalFormatting sqref="B135:B234">
    <cfRule type="duplicateValues" dxfId="2" priority="5"/>
  </conditionalFormatting>
  <conditionalFormatting sqref="B1:B134 B235:B1048576">
    <cfRule type="duplicateValues" dxfId="3" priority="6"/>
  </conditionalFormatting>
  <pageMargins left="0.7" right="0.7" top="0.75" bottom="0.75" header="0.3" footer="0.3"/>
  <pageSetup paperSize="9" orientation="portrait" horizontalDpi="300" verticalDpi="300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C25"/>
  <sheetViews>
    <sheetView workbookViewId="0">
      <selection activeCell="A17" sqref="A17"/>
    </sheetView>
  </sheetViews>
  <sheetFormatPr defaultColWidth="9" defaultRowHeight="15" outlineLevelCol="2"/>
  <cols>
    <col min="1" max="1" width="59.7142857142857" customWidth="1"/>
    <col min="2" max="2" width="16.8571428571429" customWidth="1"/>
    <col min="3" max="3" width="29.8571428571429" customWidth="1"/>
    <col min="4" max="4" width="26.5714285714286" customWidth="1"/>
    <col min="5" max="5" width="20.2857142857143" customWidth="1"/>
  </cols>
  <sheetData>
    <row r="1" ht="16.5" spans="1:1">
      <c r="A1" s="33" t="s">
        <v>1059</v>
      </c>
    </row>
    <row r="2" ht="16.5" spans="1:2">
      <c r="A2" s="34" t="s">
        <v>1060</v>
      </c>
      <c r="B2" s="35"/>
    </row>
    <row r="3" ht="16.5" spans="1:1">
      <c r="A3" s="13" t="s">
        <v>1061</v>
      </c>
    </row>
    <row r="4" ht="16.5" spans="1:3">
      <c r="A4" s="13" t="s">
        <v>1062</v>
      </c>
      <c r="B4" s="36"/>
      <c r="C4" s="37" t="s">
        <v>1063</v>
      </c>
    </row>
    <row r="5" ht="16.5" spans="1:3">
      <c r="A5" s="13">
        <v>1</v>
      </c>
      <c r="B5" s="38" t="s">
        <v>1064</v>
      </c>
      <c r="C5" s="37" t="s">
        <v>1065</v>
      </c>
    </row>
    <row r="6" ht="16.5" spans="1:3">
      <c r="A6" s="13">
        <v>2</v>
      </c>
      <c r="B6" s="38" t="s">
        <v>1066</v>
      </c>
      <c r="C6" s="37" t="s">
        <v>1067</v>
      </c>
    </row>
    <row r="7" ht="16.5" spans="1:3">
      <c r="A7" s="13">
        <v>3</v>
      </c>
      <c r="B7" s="38" t="s">
        <v>1068</v>
      </c>
      <c r="C7" s="37" t="s">
        <v>1069</v>
      </c>
    </row>
    <row r="8" ht="16.5" spans="1:3">
      <c r="A8" s="13">
        <v>4</v>
      </c>
      <c r="B8" s="38" t="s">
        <v>1070</v>
      </c>
      <c r="C8" s="37" t="s">
        <v>1071</v>
      </c>
    </row>
    <row r="10" ht="16.5" spans="1:2">
      <c r="A10" s="39" t="s">
        <v>1072</v>
      </c>
      <c r="B10" s="36"/>
    </row>
    <row r="11" ht="16.5" spans="1:3">
      <c r="A11" s="13" t="s">
        <v>7</v>
      </c>
      <c r="B11" s="13"/>
      <c r="C11" s="36" t="s">
        <v>1073</v>
      </c>
    </row>
    <row r="12" ht="16.5" spans="1:3">
      <c r="A12" s="4" t="s">
        <v>1074</v>
      </c>
      <c r="B12" s="13"/>
      <c r="C12" s="36" t="s">
        <v>1075</v>
      </c>
    </row>
    <row r="13" ht="16.5" spans="1:3">
      <c r="A13" s="4" t="s">
        <v>33</v>
      </c>
      <c r="C13" s="36" t="s">
        <v>1076</v>
      </c>
    </row>
    <row r="14" ht="16.5" spans="1:3">
      <c r="A14" s="4" t="s">
        <v>41</v>
      </c>
      <c r="B14" s="13"/>
      <c r="C14" s="36" t="s">
        <v>1077</v>
      </c>
    </row>
    <row r="15" ht="16.5" spans="1:3">
      <c r="A15" s="4" t="s">
        <v>1078</v>
      </c>
      <c r="C15" s="36" t="s">
        <v>1079</v>
      </c>
    </row>
    <row r="16" ht="16.5" spans="1:3">
      <c r="A16" s="4" t="s">
        <v>1080</v>
      </c>
      <c r="B16" s="13"/>
      <c r="C16" s="36" t="s">
        <v>1081</v>
      </c>
    </row>
    <row r="17" ht="16.5" spans="1:3">
      <c r="A17" s="4" t="s">
        <v>1082</v>
      </c>
      <c r="B17" s="13"/>
      <c r="C17" s="36" t="s">
        <v>1083</v>
      </c>
    </row>
    <row r="18" ht="16.5" spans="1:3">
      <c r="A18" s="4" t="s">
        <v>1084</v>
      </c>
      <c r="B18" s="13"/>
      <c r="C18" s="36" t="s">
        <v>1085</v>
      </c>
    </row>
    <row r="21" spans="1:1">
      <c r="A21" t="s">
        <v>6</v>
      </c>
    </row>
    <row r="22" spans="1:1">
      <c r="A22" t="s">
        <v>1086</v>
      </c>
    </row>
    <row r="23" spans="1:1">
      <c r="A23" t="s">
        <v>1087</v>
      </c>
    </row>
    <row r="24" spans="1:1">
      <c r="A24" t="s">
        <v>1088</v>
      </c>
    </row>
    <row r="25" spans="1:1">
      <c r="A25" t="s">
        <v>1089</v>
      </c>
    </row>
  </sheetData>
  <pageMargins left="0.7" right="0.7" top="0.75" bottom="0.75" header="0.3" footer="0.3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H67"/>
  <sheetViews>
    <sheetView workbookViewId="0">
      <selection activeCell="H36" sqref="H36"/>
    </sheetView>
  </sheetViews>
  <sheetFormatPr defaultColWidth="9" defaultRowHeight="15" outlineLevelCol="7"/>
  <cols>
    <col min="2" max="3" width="22.4285714285714" customWidth="1"/>
    <col min="4" max="4" width="9" style="11" customWidth="1"/>
    <col min="5" max="5" width="21.7142857142857" style="11" customWidth="1"/>
    <col min="6" max="6" width="25.8571428571429" customWidth="1"/>
    <col min="7" max="7" width="15.8571428571429" customWidth="1"/>
  </cols>
  <sheetData>
    <row r="1" spans="4:8">
      <c r="D1" s="11" t="s">
        <v>1090</v>
      </c>
      <c r="E1" s="11" t="s">
        <v>1091</v>
      </c>
      <c r="F1" t="s">
        <v>82</v>
      </c>
      <c r="G1" t="s">
        <v>83</v>
      </c>
      <c r="H1" t="s">
        <v>1092</v>
      </c>
    </row>
    <row r="2" spans="1:8">
      <c r="A2">
        <v>601009</v>
      </c>
      <c r="B2" t="str">
        <f>VLOOKUP(A2,[1]碎片!$A:$B,2,0)</f>
        <v>黄飞虎</v>
      </c>
      <c r="C2" t="str">
        <f>VLOOKUP(B2,[2]英雄召唤星组!$F:$H,3,0)</f>
        <v>圣锤提尔</v>
      </c>
      <c r="D2" s="11">
        <v>30</v>
      </c>
      <c r="E2" s="11">
        <v>3</v>
      </c>
      <c r="F2" t="str">
        <f t="shared" ref="F2:F33" si="0">"4:"&amp;A2&amp;":"&amp;D2</f>
        <v>4:601009:30</v>
      </c>
      <c r="G2" t="str">
        <f t="shared" ref="G2:G33" si="1">"0:7:"&amp;E2</f>
        <v>0:7:3</v>
      </c>
      <c r="H2">
        <f>VLOOKUP(B2,[2]英雄召唤星组!$F:$G,2,0)</f>
        <v>4</v>
      </c>
    </row>
    <row r="3" spans="1:8">
      <c r="A3">
        <v>601011</v>
      </c>
      <c r="B3" t="str">
        <f>VLOOKUP(A3,[1]碎片!$A:$B,2,0)</f>
        <v>采臣</v>
      </c>
      <c r="C3" t="str">
        <f>VLOOKUP(B3,[2]英雄召唤星组!$F:$H,3,0)</f>
        <v>吟游诗人</v>
      </c>
      <c r="D3" s="11">
        <v>30</v>
      </c>
      <c r="E3" s="11">
        <v>3</v>
      </c>
      <c r="F3" t="str">
        <f t="shared" si="0"/>
        <v>4:601011:30</v>
      </c>
      <c r="G3" t="str">
        <f t="shared" si="1"/>
        <v>0:7:3</v>
      </c>
      <c r="H3">
        <f>VLOOKUP(B3,[2]英雄召唤星组!$F:$G,2,0)</f>
        <v>4</v>
      </c>
    </row>
    <row r="4" spans="1:8">
      <c r="A4">
        <v>601012</v>
      </c>
      <c r="B4" t="str">
        <f>VLOOKUP(A4,[1]碎片!$A:$B,2,0)</f>
        <v>纣王</v>
      </c>
      <c r="C4" t="str">
        <f>VLOOKUP(B4,[2]英雄召唤星组!$F:$H,3,0)</f>
        <v>亡灵收割者</v>
      </c>
      <c r="D4" s="11">
        <v>30</v>
      </c>
      <c r="E4" s="11">
        <v>3</v>
      </c>
      <c r="F4" t="str">
        <f t="shared" si="0"/>
        <v>4:601012:30</v>
      </c>
      <c r="G4" t="str">
        <f t="shared" si="1"/>
        <v>0:7:3</v>
      </c>
      <c r="H4">
        <f>VLOOKUP(B4,[2]英雄召唤星组!$F:$G,2,0)</f>
        <v>4</v>
      </c>
    </row>
    <row r="5" spans="1:8">
      <c r="A5">
        <v>601013</v>
      </c>
      <c r="B5" t="str">
        <f>VLOOKUP(A5,[1]碎片!$A:$B,2,0)</f>
        <v>申公豹</v>
      </c>
      <c r="C5" t="str">
        <f>VLOOKUP(B5,[2]英雄召唤星组!$F:$H,3,0)</f>
        <v>甘道夫</v>
      </c>
      <c r="D5" s="11">
        <v>30</v>
      </c>
      <c r="E5" s="11">
        <v>3</v>
      </c>
      <c r="F5" t="str">
        <f t="shared" si="0"/>
        <v>4:601013:30</v>
      </c>
      <c r="G5" t="str">
        <f t="shared" si="1"/>
        <v>0:7:3</v>
      </c>
      <c r="H5">
        <f>VLOOKUP(B5,[2]英雄召唤星组!$F:$G,2,0)</f>
        <v>4</v>
      </c>
    </row>
    <row r="6" spans="1:8">
      <c r="A6">
        <v>602009</v>
      </c>
      <c r="B6" t="str">
        <f>VLOOKUP(A6,[1]碎片!$A:$B,2,0)</f>
        <v>太白金星</v>
      </c>
      <c r="C6" t="str">
        <f>VLOOKUP(B6,[2]英雄召唤星组!$F:$H,3,0)</f>
        <v>亚瑟</v>
      </c>
      <c r="D6" s="11">
        <v>30</v>
      </c>
      <c r="E6" s="11">
        <v>3</v>
      </c>
      <c r="F6" t="str">
        <f t="shared" si="0"/>
        <v>4:602009:30</v>
      </c>
      <c r="G6" t="str">
        <f t="shared" si="1"/>
        <v>0:7:3</v>
      </c>
      <c r="H6">
        <f>VLOOKUP(B6,[2]英雄召唤星组!$F:$G,2,0)</f>
        <v>4</v>
      </c>
    </row>
    <row r="7" spans="1:8">
      <c r="A7">
        <v>602011</v>
      </c>
      <c r="B7" t="str">
        <f>VLOOKUP(A7,[1]碎片!$A:$B,2,0)</f>
        <v>织女</v>
      </c>
      <c r="C7" t="str">
        <f>VLOOKUP(B7,[2]英雄召唤星组!$F:$H,3,0)</f>
        <v>娜迦侍女</v>
      </c>
      <c r="D7" s="11">
        <v>30</v>
      </c>
      <c r="E7" s="11">
        <v>3</v>
      </c>
      <c r="F7" t="str">
        <f t="shared" si="0"/>
        <v>4:602011:30</v>
      </c>
      <c r="G7" t="str">
        <f t="shared" si="1"/>
        <v>0:7:3</v>
      </c>
      <c r="H7">
        <f>VLOOKUP(B7,[2]英雄召唤星组!$F:$G,2,0)</f>
        <v>4</v>
      </c>
    </row>
    <row r="8" spans="1:8">
      <c r="A8">
        <v>602013</v>
      </c>
      <c r="B8" t="str">
        <f>VLOOKUP(A8,[1]碎片!$A:$B,2,0)</f>
        <v>雨师</v>
      </c>
      <c r="C8" t="str">
        <f>VLOOKUP(B8,[2]英雄召唤星组!$F:$H,3,0)</f>
        <v>水元素</v>
      </c>
      <c r="D8" s="11">
        <v>30</v>
      </c>
      <c r="E8" s="11">
        <v>3</v>
      </c>
      <c r="F8" t="str">
        <f t="shared" si="0"/>
        <v>4:602013:30</v>
      </c>
      <c r="G8" t="str">
        <f t="shared" si="1"/>
        <v>0:7:3</v>
      </c>
      <c r="H8">
        <f>VLOOKUP(B8,[2]英雄召唤星组!$F:$G,2,0)</f>
        <v>4</v>
      </c>
    </row>
    <row r="9" spans="1:8">
      <c r="A9">
        <v>603010</v>
      </c>
      <c r="B9" t="str">
        <f>VLOOKUP(A9,[1]碎片!$A:$B,2,0)</f>
        <v>鬼将</v>
      </c>
      <c r="C9" t="str">
        <f>VLOOKUP(B9,[2]英雄召唤星组!$F:$H,3,0)</f>
        <v>阿伽门农</v>
      </c>
      <c r="D9" s="11">
        <v>30</v>
      </c>
      <c r="E9" s="11">
        <v>3</v>
      </c>
      <c r="F9" t="str">
        <f t="shared" si="0"/>
        <v>4:603010:30</v>
      </c>
      <c r="G9" t="str">
        <f t="shared" si="1"/>
        <v>0:7:3</v>
      </c>
      <c r="H9">
        <f>VLOOKUP(B9,[2]英雄召唤星组!$F:$G,2,0)</f>
        <v>4</v>
      </c>
    </row>
    <row r="10" spans="1:8">
      <c r="A10">
        <v>603012</v>
      </c>
      <c r="B10" t="str">
        <f>VLOOKUP(A10,[1]碎片!$A:$B,2,0)</f>
        <v>盘丝</v>
      </c>
      <c r="C10" t="str">
        <f>VLOOKUP(B10,[2]英雄召唤星组!$F:$H,3,0)</f>
        <v>凯瑟琳</v>
      </c>
      <c r="D10" s="11">
        <v>30</v>
      </c>
      <c r="E10" s="11">
        <v>3</v>
      </c>
      <c r="F10" t="str">
        <f t="shared" si="0"/>
        <v>4:603012:30</v>
      </c>
      <c r="G10" t="str">
        <f t="shared" si="1"/>
        <v>0:7:3</v>
      </c>
      <c r="H10">
        <f>VLOOKUP(B10,[2]英雄召唤星组!$F:$G,2,0)</f>
        <v>4</v>
      </c>
    </row>
    <row r="11" spans="1:8">
      <c r="A11">
        <v>604003</v>
      </c>
      <c r="B11" t="str">
        <f>VLOOKUP(A11,[1]碎片!$A:$B,2,0)</f>
        <v>女魃</v>
      </c>
      <c r="C11" t="str">
        <f>VLOOKUP(B11,[2]英雄召唤星组!$F:$H,3,0)</f>
        <v>月之祭祀</v>
      </c>
      <c r="D11" s="11">
        <v>30</v>
      </c>
      <c r="E11" s="11">
        <v>5</v>
      </c>
      <c r="F11" t="str">
        <f t="shared" si="0"/>
        <v>4:604003:30</v>
      </c>
      <c r="G11" t="str">
        <f t="shared" si="1"/>
        <v>0:7:5</v>
      </c>
      <c r="H11">
        <f>VLOOKUP(B11,[2]英雄召唤星组!$F:$G,2,0)</f>
        <v>4</v>
      </c>
    </row>
    <row r="12" spans="1:8">
      <c r="A12">
        <v>604004</v>
      </c>
      <c r="B12" t="str">
        <f>VLOOKUP(A12,[1]碎片!$A:$B,2,0)</f>
        <v>监兵</v>
      </c>
      <c r="C12" t="str">
        <f>VLOOKUP(B12,[2]英雄召唤星组!$F:$H,3,0)</f>
        <v>精灵王子</v>
      </c>
      <c r="D12" s="11">
        <v>30</v>
      </c>
      <c r="E12" s="11">
        <v>5</v>
      </c>
      <c r="F12" t="str">
        <f t="shared" si="0"/>
        <v>4:604004:30</v>
      </c>
      <c r="G12" t="str">
        <f t="shared" si="1"/>
        <v>0:7:5</v>
      </c>
      <c r="H12">
        <f>VLOOKUP(B12,[2]英雄召唤星组!$F:$G,2,0)</f>
        <v>4</v>
      </c>
    </row>
    <row r="13" spans="1:8">
      <c r="A13">
        <v>604005</v>
      </c>
      <c r="B13" t="str">
        <f>VLOOKUP(A13,[1]碎片!$A:$B,2,0)</f>
        <v>洛神</v>
      </c>
      <c r="C13" t="str">
        <f>VLOOKUP(B13,[2]英雄召唤星组!$F:$H,3,0)</f>
        <v>丘比特</v>
      </c>
      <c r="D13" s="11">
        <v>30</v>
      </c>
      <c r="E13" s="11">
        <v>5</v>
      </c>
      <c r="F13" t="str">
        <f t="shared" si="0"/>
        <v>4:604005:30</v>
      </c>
      <c r="G13" t="str">
        <f t="shared" si="1"/>
        <v>0:7:5</v>
      </c>
      <c r="H13">
        <f>VLOOKUP(B13,[2]英雄召唤星组!$F:$G,2,0)</f>
        <v>4</v>
      </c>
    </row>
    <row r="14" spans="1:8">
      <c r="A14">
        <v>605003</v>
      </c>
      <c r="B14" t="str">
        <f>VLOOKUP(A14,[1]碎片!$A:$B,2,0)</f>
        <v>破军</v>
      </c>
      <c r="C14" t="str">
        <f>VLOOKUP(B14,[2]英雄召唤星组!$F:$H,3,0)</f>
        <v>阿克琉斯</v>
      </c>
      <c r="D14" s="11">
        <v>30</v>
      </c>
      <c r="E14" s="11">
        <v>5</v>
      </c>
      <c r="F14" t="str">
        <f t="shared" si="0"/>
        <v>4:605003:30</v>
      </c>
      <c r="G14" t="str">
        <f t="shared" si="1"/>
        <v>0:7:5</v>
      </c>
      <c r="H14">
        <f>VLOOKUP(B14,[2]英雄召唤星组!$F:$G,2,0)</f>
        <v>4</v>
      </c>
    </row>
    <row r="15" spans="1:8">
      <c r="A15">
        <v>605004</v>
      </c>
      <c r="B15" t="str">
        <f>VLOOKUP(A15,[1]碎片!$A:$B,2,0)</f>
        <v>黑无常</v>
      </c>
      <c r="C15" t="str">
        <f>VLOOKUP(B15,[2]英雄召唤星组!$F:$H,3,0)</f>
        <v>毒咒女巫</v>
      </c>
      <c r="D15" s="11">
        <v>30</v>
      </c>
      <c r="E15" s="11">
        <v>5</v>
      </c>
      <c r="F15" t="str">
        <f t="shared" si="0"/>
        <v>4:605004:30</v>
      </c>
      <c r="G15" t="str">
        <f t="shared" si="1"/>
        <v>0:7:5</v>
      </c>
      <c r="H15">
        <f>VLOOKUP(B15,[2]英雄召唤星组!$F:$G,2,0)</f>
        <v>4</v>
      </c>
    </row>
    <row r="16" spans="1:8">
      <c r="A16">
        <v>605005</v>
      </c>
      <c r="B16" t="str">
        <f>VLOOKUP(A16,[1]碎片!$A:$B,2,0)</f>
        <v>白无常</v>
      </c>
      <c r="C16" t="str">
        <f>VLOOKUP(B16,[2]英雄召唤星组!$F:$H,3,0)</f>
        <v>黑精灵秘言</v>
      </c>
      <c r="D16" s="11">
        <v>30</v>
      </c>
      <c r="E16" s="11">
        <v>5</v>
      </c>
      <c r="F16" t="str">
        <f t="shared" si="0"/>
        <v>4:605005:30</v>
      </c>
      <c r="G16" t="str">
        <f t="shared" si="1"/>
        <v>0:7:5</v>
      </c>
      <c r="H16">
        <f>VLOOKUP(B16,[2]英雄召唤星组!$F:$G,2,0)</f>
        <v>4</v>
      </c>
    </row>
    <row r="17" spans="1:8">
      <c r="A17">
        <v>601014</v>
      </c>
      <c r="B17" t="str">
        <f>VLOOKUP(A17,[1]碎片!$A:$B,2,0)</f>
        <v>李靖</v>
      </c>
      <c r="C17" t="str">
        <f>VLOOKUP(B17,[2]英雄召唤星组!$F:$H,3,0)</f>
        <v>奥丁</v>
      </c>
      <c r="D17" s="11">
        <v>50</v>
      </c>
      <c r="E17" s="11">
        <v>20</v>
      </c>
      <c r="F17" t="str">
        <f t="shared" si="0"/>
        <v>4:601014:50</v>
      </c>
      <c r="G17" t="str">
        <f t="shared" si="1"/>
        <v>0:7:20</v>
      </c>
      <c r="H17">
        <f>VLOOKUP(B17,[2]英雄召唤星组!$F:$G,2,0)</f>
        <v>5</v>
      </c>
    </row>
    <row r="18" spans="1:8">
      <c r="A18">
        <v>601015</v>
      </c>
      <c r="B18" t="str">
        <f>VLOOKUP(A18,[1]碎片!$A:$B,2,0)</f>
        <v>邓婵玉</v>
      </c>
      <c r="C18" t="str">
        <f>VLOOKUP(B18,[2]英雄召唤星组!$F:$H,3,0)</f>
        <v>凯兰崔尔</v>
      </c>
      <c r="D18" s="11">
        <v>50</v>
      </c>
      <c r="E18" s="11">
        <v>20</v>
      </c>
      <c r="F18" t="str">
        <f t="shared" si="0"/>
        <v>4:601015:50</v>
      </c>
      <c r="G18" t="str">
        <f t="shared" si="1"/>
        <v>0:7:20</v>
      </c>
      <c r="H18">
        <f>VLOOKUP(B18,[2]英雄召唤星组!$F:$G,2,0)</f>
        <v>5</v>
      </c>
    </row>
    <row r="19" spans="1:8">
      <c r="A19">
        <v>601022</v>
      </c>
      <c r="B19" t="str">
        <f>VLOOKUP(A19,[1]碎片!$A:$B,2,0)</f>
        <v>雷震子</v>
      </c>
      <c r="C19" t="str">
        <f>VLOOKUP(B19,[2]英雄召唤星组!$F:$H,3,0)</f>
        <v>美杜莎</v>
      </c>
      <c r="D19" s="11">
        <v>50</v>
      </c>
      <c r="E19" s="11">
        <v>20</v>
      </c>
      <c r="F19" t="str">
        <f t="shared" si="0"/>
        <v>4:601022:50</v>
      </c>
      <c r="G19" t="str">
        <f t="shared" si="1"/>
        <v>0:7:20</v>
      </c>
      <c r="H19">
        <f>VLOOKUP(B19,[2]英雄召唤星组!$F:$G,2,0)</f>
        <v>5</v>
      </c>
    </row>
    <row r="20" spans="1:8">
      <c r="A20">
        <v>601016</v>
      </c>
      <c r="B20" t="str">
        <f>VLOOKUP(A20,[1]碎片!$A:$B,2,0)</f>
        <v>嫦娥</v>
      </c>
      <c r="C20" t="str">
        <f>VLOOKUP(B20,[2]英雄召唤星组!$F:$H,3,0)</f>
        <v>潘</v>
      </c>
      <c r="D20" s="11">
        <v>50</v>
      </c>
      <c r="E20" s="11">
        <v>35</v>
      </c>
      <c r="F20" t="str">
        <f t="shared" si="0"/>
        <v>4:601016:50</v>
      </c>
      <c r="G20" t="str">
        <f t="shared" si="1"/>
        <v>0:7:35</v>
      </c>
      <c r="H20">
        <f>VLOOKUP(B20,[2]英雄召唤星组!$F:$G,2,0)</f>
        <v>5</v>
      </c>
    </row>
    <row r="21" spans="1:8">
      <c r="A21">
        <v>602014</v>
      </c>
      <c r="B21" t="str">
        <f>VLOOKUP(A21,[1]碎片!$A:$B,2,0)</f>
        <v>天蓬元帅</v>
      </c>
      <c r="C21" t="str">
        <f>VLOOKUP(B21,[2]英雄召唤星组!$F:$H,3,0)</f>
        <v>阿瑞斯</v>
      </c>
      <c r="D21" s="11">
        <v>50</v>
      </c>
      <c r="E21" s="11">
        <v>20</v>
      </c>
      <c r="F21" t="str">
        <f t="shared" si="0"/>
        <v>4:602014:50</v>
      </c>
      <c r="G21" t="str">
        <f t="shared" si="1"/>
        <v>0:7:20</v>
      </c>
      <c r="H21">
        <f>VLOOKUP(B21,[2]英雄召唤星组!$F:$G,2,0)</f>
        <v>5</v>
      </c>
    </row>
    <row r="22" spans="1:8">
      <c r="A22">
        <v>602016</v>
      </c>
      <c r="B22" t="str">
        <f>VLOOKUP(A22,[1]碎片!$A:$B,2,0)</f>
        <v>南极仙子</v>
      </c>
      <c r="C22" t="str">
        <f>VLOOKUP(B22,[2]英雄召唤星组!$F:$H,3,0)</f>
        <v>派西斯</v>
      </c>
      <c r="D22" s="11">
        <v>50</v>
      </c>
      <c r="E22" s="11">
        <v>20</v>
      </c>
      <c r="F22" t="str">
        <f t="shared" si="0"/>
        <v>4:602016:50</v>
      </c>
      <c r="G22" t="str">
        <f t="shared" si="1"/>
        <v>0:7:20</v>
      </c>
      <c r="H22">
        <f>VLOOKUP(B22,[2]英雄召唤星组!$F:$G,2,0)</f>
        <v>5</v>
      </c>
    </row>
    <row r="23" spans="1:8">
      <c r="A23">
        <v>602020</v>
      </c>
      <c r="B23" t="str">
        <f>VLOOKUP(A23,[1]碎片!$A:$B,2,0)</f>
        <v>通天教主</v>
      </c>
      <c r="C23" t="str">
        <f>VLOOKUP(B23,[2]英雄召唤星组!$F:$H,3,0)</f>
        <v>冰霜巨龙</v>
      </c>
      <c r="D23" s="11">
        <v>50</v>
      </c>
      <c r="E23" s="11">
        <v>20</v>
      </c>
      <c r="F23" t="str">
        <f t="shared" si="0"/>
        <v>4:602020:50</v>
      </c>
      <c r="G23" t="str">
        <f t="shared" si="1"/>
        <v>0:7:20</v>
      </c>
      <c r="H23">
        <f>VLOOKUP(B23,[2]英雄召唤星组!$F:$G,2,0)</f>
        <v>5</v>
      </c>
    </row>
    <row r="24" spans="1:8">
      <c r="A24">
        <v>603014</v>
      </c>
      <c r="B24" t="str">
        <f>VLOOKUP(A24,[1]碎片!$A:$B,2,0)</f>
        <v>红孩儿</v>
      </c>
      <c r="C24" t="str">
        <f>VLOOKUP(B24,[2]英雄召唤星组!$F:$H,3,0)</f>
        <v>菲尼克斯</v>
      </c>
      <c r="D24" s="11">
        <v>50</v>
      </c>
      <c r="E24" s="11">
        <v>20</v>
      </c>
      <c r="F24" t="str">
        <f t="shared" si="0"/>
        <v>4:603014:50</v>
      </c>
      <c r="G24" t="str">
        <f t="shared" si="1"/>
        <v>0:7:20</v>
      </c>
      <c r="H24">
        <f>VLOOKUP(B24,[2]英雄召唤星组!$F:$G,2,0)</f>
        <v>5</v>
      </c>
    </row>
    <row r="25" spans="1:8">
      <c r="A25">
        <v>603018</v>
      </c>
      <c r="B25" t="str">
        <f>VLOOKUP(A25,[1]碎片!$A:$B,2,0)</f>
        <v>擎苍</v>
      </c>
      <c r="C25" t="str">
        <f>VLOOKUP(B25,[2]英雄召唤星组!$F:$H,3,0)</f>
        <v>剑豪卡赞</v>
      </c>
      <c r="D25" s="11">
        <v>50</v>
      </c>
      <c r="E25" s="11">
        <v>20</v>
      </c>
      <c r="F25" t="str">
        <f t="shared" si="0"/>
        <v>4:603018:50</v>
      </c>
      <c r="G25" t="str">
        <f t="shared" si="1"/>
        <v>0:7:20</v>
      </c>
      <c r="H25">
        <f>VLOOKUP(B25,[2]英雄召唤星组!$F:$G,2,0)</f>
        <v>5</v>
      </c>
    </row>
    <row r="26" spans="1:8">
      <c r="A26">
        <v>603019</v>
      </c>
      <c r="B26" t="str">
        <f>VLOOKUP(A26,[1]碎片!$A:$B,2,0)</f>
        <v>金乌</v>
      </c>
      <c r="C26" t="str">
        <f>VLOOKUP(B26,[2]英雄召唤星组!$F:$H,3,0)</f>
        <v>吸血伯爵</v>
      </c>
      <c r="D26" s="11">
        <v>50</v>
      </c>
      <c r="E26" s="11">
        <v>20</v>
      </c>
      <c r="F26" t="str">
        <f t="shared" si="0"/>
        <v>4:603019:50</v>
      </c>
      <c r="G26" t="str">
        <f t="shared" si="1"/>
        <v>0:7:20</v>
      </c>
      <c r="H26">
        <f>VLOOKUP(B26,[2]英雄召唤星组!$F:$G,2,0)</f>
        <v>5</v>
      </c>
    </row>
    <row r="27" spans="1:8">
      <c r="A27">
        <v>603021</v>
      </c>
      <c r="B27" t="str">
        <f>VLOOKUP(A27,[1]碎片!$A:$B,2,0)</f>
        <v>白骨夫人</v>
      </c>
      <c r="C27" t="str">
        <f>VLOOKUP(B27,[2]英雄召唤星组!$F:$H,3,0)</f>
        <v>炎魔之王</v>
      </c>
      <c r="D27" s="11">
        <v>50</v>
      </c>
      <c r="E27" s="11">
        <v>20</v>
      </c>
      <c r="F27" t="str">
        <f t="shared" si="0"/>
        <v>4:603021:50</v>
      </c>
      <c r="G27" t="str">
        <f t="shared" si="1"/>
        <v>0:7:20</v>
      </c>
      <c r="H27">
        <f>VLOOKUP(B27,[2]英雄召唤星组!$F:$G,2,0)</f>
        <v>5</v>
      </c>
    </row>
    <row r="28" spans="1:8">
      <c r="A28">
        <v>603022</v>
      </c>
      <c r="B28" t="str">
        <f>VLOOKUP(A28,[1]碎片!$A:$B,2,0)</f>
        <v>妲己</v>
      </c>
      <c r="C28" t="str">
        <f>VLOOKUP(B28,[2]英雄召唤星组!$F:$H,3,0)</f>
        <v>阿波罗</v>
      </c>
      <c r="D28" s="11">
        <v>50</v>
      </c>
      <c r="E28" s="11">
        <v>20</v>
      </c>
      <c r="F28" t="str">
        <f t="shared" si="0"/>
        <v>4:603022:50</v>
      </c>
      <c r="G28" t="str">
        <f t="shared" si="1"/>
        <v>0:7:20</v>
      </c>
      <c r="H28">
        <f>VLOOKUP(B28,[2]英雄召唤星组!$F:$G,2,0)</f>
        <v>5</v>
      </c>
    </row>
    <row r="29" spans="1:8">
      <c r="A29">
        <v>603015</v>
      </c>
      <c r="B29" t="str">
        <f>VLOOKUP(A29,[1]碎片!$A:$B,2,0)</f>
        <v>石矶</v>
      </c>
      <c r="C29" t="str">
        <f>VLOOKUP(B29,[2]英雄召唤星组!$F:$H,3,0)</f>
        <v>普罗米修斯</v>
      </c>
      <c r="D29" s="11">
        <v>50</v>
      </c>
      <c r="E29" s="11">
        <v>35</v>
      </c>
      <c r="F29" t="str">
        <f t="shared" si="0"/>
        <v>4:603015:50</v>
      </c>
      <c r="G29" t="str">
        <f t="shared" si="1"/>
        <v>0:7:35</v>
      </c>
      <c r="H29">
        <f>VLOOKUP(B29,[2]英雄召唤星组!$F:$G,2,0)</f>
        <v>5</v>
      </c>
    </row>
    <row r="30" spans="1:8">
      <c r="A30">
        <v>603016</v>
      </c>
      <c r="B30" t="str">
        <f>VLOOKUP(A30,[1]碎片!$A:$B,2,0)</f>
        <v>浑天大圣</v>
      </c>
      <c r="C30" t="str">
        <f>VLOOKUP(B30,[2]英雄召唤星组!$F:$H,3,0)</f>
        <v>洛基</v>
      </c>
      <c r="D30" s="11">
        <v>50</v>
      </c>
      <c r="E30" s="11">
        <v>35</v>
      </c>
      <c r="F30" t="str">
        <f t="shared" si="0"/>
        <v>4:603016:50</v>
      </c>
      <c r="G30" t="str">
        <f t="shared" si="1"/>
        <v>0:7:35</v>
      </c>
      <c r="H30">
        <f>VLOOKUP(B30,[2]英雄召唤星组!$F:$G,2,0)</f>
        <v>5</v>
      </c>
    </row>
    <row r="31" spans="1:8">
      <c r="A31">
        <v>603020</v>
      </c>
      <c r="B31" t="str">
        <f>VLOOKUP(A31,[1]碎片!$A:$B,2,0)</f>
        <v>敖丙</v>
      </c>
      <c r="C31" t="str">
        <f>VLOOKUP(B31,[2]英雄召唤星组!$F:$H,3,0)</f>
        <v>瓦尔基里</v>
      </c>
      <c r="D31" s="11">
        <v>50</v>
      </c>
      <c r="E31" s="11">
        <v>35</v>
      </c>
      <c r="F31" t="str">
        <f t="shared" si="0"/>
        <v>4:603020:50</v>
      </c>
      <c r="G31" t="str">
        <f t="shared" si="1"/>
        <v>0:7:35</v>
      </c>
      <c r="H31">
        <f>VLOOKUP(B31,[2]英雄召唤星组!$F:$G,2,0)</f>
        <v>5</v>
      </c>
    </row>
    <row r="32" spans="1:8">
      <c r="A32">
        <v>604008</v>
      </c>
      <c r="B32" t="str">
        <f>VLOOKUP(A32,[1]碎片!$A:$B,2,0)</f>
        <v>女娲</v>
      </c>
      <c r="C32" t="str">
        <f>VLOOKUP(B32,[2]英雄召唤星组!$F:$H,3,0)</f>
        <v>艾蕾莉亚</v>
      </c>
      <c r="D32" s="11">
        <v>50</v>
      </c>
      <c r="E32" s="11">
        <v>35</v>
      </c>
      <c r="F32" t="str">
        <f t="shared" si="0"/>
        <v>4:604008:50</v>
      </c>
      <c r="G32" t="str">
        <f t="shared" si="1"/>
        <v>0:7:35</v>
      </c>
      <c r="H32">
        <f>VLOOKUP(B32,[2]英雄召唤星组!$F:$G,2,0)</f>
        <v>5</v>
      </c>
    </row>
    <row r="33" spans="1:8">
      <c r="A33">
        <v>605010</v>
      </c>
      <c r="B33" t="str">
        <f>VLOOKUP(A33,[1]碎片!$A:$B,2,0)</f>
        <v>黄泉</v>
      </c>
      <c r="C33" t="str">
        <f>VLOOKUP(B33,[2]英雄召唤星组!$F:$H,3,0)</f>
        <v>路西法</v>
      </c>
      <c r="D33" s="11">
        <v>50</v>
      </c>
      <c r="E33" s="11">
        <v>25</v>
      </c>
      <c r="F33" t="str">
        <f t="shared" si="0"/>
        <v>4:605010:50</v>
      </c>
      <c r="G33" t="str">
        <f t="shared" si="1"/>
        <v>0:7:25</v>
      </c>
      <c r="H33">
        <f>VLOOKUP(B33,[2]英雄召唤星组!$F:$G,2,0)</f>
        <v>5</v>
      </c>
    </row>
    <row r="34" spans="1:8">
      <c r="A34">
        <v>605011</v>
      </c>
      <c r="B34" t="str">
        <f>VLOOKUP(A34,[1]碎片!$A:$B,2,0)</f>
        <v>阎君</v>
      </c>
      <c r="C34" t="str">
        <f>VLOOKUP(B34,[2]英雄召唤星组!$F:$H,3,0)</f>
        <v>蛇女墨莎</v>
      </c>
      <c r="D34" s="11">
        <v>50</v>
      </c>
      <c r="E34" s="11">
        <v>25</v>
      </c>
      <c r="F34" t="str">
        <f t="shared" ref="F34:F67" si="2">"4:"&amp;A34&amp;":"&amp;D34</f>
        <v>4:605011:50</v>
      </c>
      <c r="G34" t="str">
        <f t="shared" ref="G34:G67" si="3">"0:7:"&amp;E34</f>
        <v>0:7:25</v>
      </c>
      <c r="H34">
        <f>VLOOKUP(B34,[2]英雄召唤星组!$F:$G,2,0)</f>
        <v>5</v>
      </c>
    </row>
    <row r="35" spans="1:8">
      <c r="A35">
        <v>605012</v>
      </c>
      <c r="B35" t="str">
        <f>VLOOKUP(A35,[1]碎片!$A:$B,2,0)</f>
        <v>东皇太一</v>
      </c>
      <c r="C35" t="str">
        <f>VLOOKUP(B35,[2]英雄召唤星组!$F:$H,3,0)</f>
        <v>阿努比斯</v>
      </c>
      <c r="D35" s="11">
        <v>50</v>
      </c>
      <c r="E35" s="11">
        <v>35</v>
      </c>
      <c r="F35" t="str">
        <f t="shared" si="2"/>
        <v>4:605012:50</v>
      </c>
      <c r="G35" t="str">
        <f t="shared" si="3"/>
        <v>0:7:35</v>
      </c>
      <c r="H35">
        <f>VLOOKUP(B35,[2]英雄召唤星组!$F:$G,2,0)</f>
        <v>5</v>
      </c>
    </row>
    <row r="36" spans="1:8">
      <c r="A36">
        <v>601018</v>
      </c>
      <c r="B36" t="str">
        <f>VLOOKUP(A36,[1]碎片!$A:$B,2,0)</f>
        <v>姬发</v>
      </c>
      <c r="C36" t="e">
        <f>VLOOKUP(B36,[2]英雄召唤星组!$F:$H,3,0)</f>
        <v>#N/A</v>
      </c>
      <c r="D36" s="11">
        <v>50</v>
      </c>
      <c r="E36" s="11">
        <v>20</v>
      </c>
      <c r="F36" t="str">
        <f t="shared" si="2"/>
        <v>4:601018:50</v>
      </c>
      <c r="G36" t="str">
        <f t="shared" si="3"/>
        <v>0:7:20</v>
      </c>
      <c r="H36" t="e">
        <f>VLOOKUP(B36,[2]英雄召唤星组!$F:$G,2,0)</f>
        <v>#N/A</v>
      </c>
    </row>
    <row r="37" spans="1:8">
      <c r="A37">
        <v>601021</v>
      </c>
      <c r="B37" t="str">
        <f>VLOOKUP(A37,[1]碎片!$A:$B,2,0)</f>
        <v>姜子牙</v>
      </c>
      <c r="C37" t="e">
        <f>VLOOKUP(B37,[2]英雄召唤星组!$F:$H,3,0)</f>
        <v>#N/A</v>
      </c>
      <c r="D37" s="11">
        <v>50</v>
      </c>
      <c r="E37" s="11">
        <v>20</v>
      </c>
      <c r="F37" t="str">
        <f t="shared" si="2"/>
        <v>4:601021:50</v>
      </c>
      <c r="G37" t="str">
        <f t="shared" si="3"/>
        <v>0:7:20</v>
      </c>
      <c r="H37" t="e">
        <f>VLOOKUP(B37,[2]英雄召唤星组!$F:$G,2,0)</f>
        <v>#N/A</v>
      </c>
    </row>
    <row r="38" spans="1:8">
      <c r="A38">
        <v>601017</v>
      </c>
      <c r="B38" t="str">
        <f>VLOOKUP(A38,[1]碎片!$A:$B,2,0)</f>
        <v>后羿</v>
      </c>
      <c r="C38" t="e">
        <f>VLOOKUP(B38,[2]英雄召唤星组!$F:$H,3,0)</f>
        <v>#N/A</v>
      </c>
      <c r="D38" s="11">
        <v>50</v>
      </c>
      <c r="E38" s="11">
        <v>35</v>
      </c>
      <c r="F38" t="str">
        <f t="shared" si="2"/>
        <v>4:601017:50</v>
      </c>
      <c r="G38" t="str">
        <f t="shared" si="3"/>
        <v>0:7:35</v>
      </c>
      <c r="H38" t="e">
        <f>VLOOKUP(B38,[2]英雄召唤星组!$F:$G,2,0)</f>
        <v>#N/A</v>
      </c>
    </row>
    <row r="39" spans="1:8">
      <c r="A39">
        <v>601019</v>
      </c>
      <c r="B39" t="str">
        <f>VLOOKUP(A39,[1]碎片!$A:$B,2,0)</f>
        <v>杨戬</v>
      </c>
      <c r="C39" t="e">
        <f>VLOOKUP(B39,[2]英雄召唤星组!$F:$H,3,0)</f>
        <v>#N/A</v>
      </c>
      <c r="D39" s="11">
        <v>50</v>
      </c>
      <c r="E39" s="11">
        <v>35</v>
      </c>
      <c r="F39" t="str">
        <f t="shared" si="2"/>
        <v>4:601019:50</v>
      </c>
      <c r="G39" t="str">
        <f t="shared" si="3"/>
        <v>0:7:35</v>
      </c>
      <c r="H39" t="e">
        <f>VLOOKUP(B39,[2]英雄召唤星组!$F:$G,2,0)</f>
        <v>#N/A</v>
      </c>
    </row>
    <row r="40" spans="1:8">
      <c r="A40">
        <v>601020</v>
      </c>
      <c r="B40" t="str">
        <f>VLOOKUP(A40,[1]碎片!$A:$B,2,0)</f>
        <v>哪吒</v>
      </c>
      <c r="C40" t="e">
        <f>VLOOKUP(B40,[2]英雄召唤星组!$F:$H,3,0)</f>
        <v>#N/A</v>
      </c>
      <c r="D40" s="11">
        <v>50</v>
      </c>
      <c r="E40" s="11">
        <v>35</v>
      </c>
      <c r="F40" t="str">
        <f t="shared" si="2"/>
        <v>4:601020:50</v>
      </c>
      <c r="G40" t="str">
        <f t="shared" si="3"/>
        <v>0:7:35</v>
      </c>
      <c r="H40" t="e">
        <f>VLOOKUP(B40,[2]英雄召唤星组!$F:$G,2,0)</f>
        <v>#N/A</v>
      </c>
    </row>
    <row r="41" spans="1:8">
      <c r="A41">
        <v>602017</v>
      </c>
      <c r="B41" t="str">
        <f>VLOOKUP(A41,[1]碎片!$A:$B,2,0)</f>
        <v>财神</v>
      </c>
      <c r="C41" t="e">
        <f>VLOOKUP(B41,[2]英雄召唤星组!$F:$H,3,0)</f>
        <v>#N/A</v>
      </c>
      <c r="D41" s="11">
        <v>50</v>
      </c>
      <c r="E41" s="11">
        <v>20</v>
      </c>
      <c r="F41" t="str">
        <f t="shared" si="2"/>
        <v>4:602017:50</v>
      </c>
      <c r="G41" t="str">
        <f t="shared" si="3"/>
        <v>0:7:20</v>
      </c>
      <c r="H41" t="e">
        <f>VLOOKUP(B41,[2]英雄召唤星组!$F:$G,2,0)</f>
        <v>#N/A</v>
      </c>
    </row>
    <row r="42" spans="1:8">
      <c r="A42">
        <v>602021</v>
      </c>
      <c r="B42" t="str">
        <f>VLOOKUP(A42,[1]碎片!$A:$B,2,0)</f>
        <v>元始天尊</v>
      </c>
      <c r="C42" t="e">
        <f>VLOOKUP(B42,[2]英雄召唤星组!$F:$H,3,0)</f>
        <v>#N/A</v>
      </c>
      <c r="D42" s="11">
        <v>50</v>
      </c>
      <c r="E42" s="11">
        <v>20</v>
      </c>
      <c r="F42" t="str">
        <f t="shared" si="2"/>
        <v>4:602021:50</v>
      </c>
      <c r="G42" t="str">
        <f t="shared" si="3"/>
        <v>0:7:20</v>
      </c>
      <c r="H42" t="e">
        <f>VLOOKUP(B42,[2]英雄召唤星组!$F:$G,2,0)</f>
        <v>#N/A</v>
      </c>
    </row>
    <row r="43" spans="1:8">
      <c r="A43">
        <v>602022</v>
      </c>
      <c r="B43" t="str">
        <f>VLOOKUP(A43,[1]碎片!$A:$B,2,0)</f>
        <v>云中子</v>
      </c>
      <c r="C43" t="e">
        <f>VLOOKUP(B43,[2]英雄召唤星组!$F:$H,3,0)</f>
        <v>#N/A</v>
      </c>
      <c r="D43" s="11">
        <v>50</v>
      </c>
      <c r="E43" s="11">
        <v>20</v>
      </c>
      <c r="F43" t="str">
        <f t="shared" si="2"/>
        <v>4:602022:50</v>
      </c>
      <c r="G43" t="str">
        <f t="shared" si="3"/>
        <v>0:7:20</v>
      </c>
      <c r="H43" t="e">
        <f>VLOOKUP(B43,[2]英雄召唤星组!$F:$G,2,0)</f>
        <v>#N/A</v>
      </c>
    </row>
    <row r="44" spans="1:8">
      <c r="A44">
        <v>602015</v>
      </c>
      <c r="B44" t="str">
        <f>VLOOKUP(A44,[1]碎片!$A:$B,2,0)</f>
        <v>卷帘大将</v>
      </c>
      <c r="C44" t="e">
        <f>VLOOKUP(B44,[2]英雄召唤星组!$F:$H,3,0)</f>
        <v>#N/A</v>
      </c>
      <c r="D44" s="11">
        <v>50</v>
      </c>
      <c r="E44" s="11">
        <v>35</v>
      </c>
      <c r="F44" t="str">
        <f t="shared" si="2"/>
        <v>4:602015:50</v>
      </c>
      <c r="G44" t="str">
        <f t="shared" si="3"/>
        <v>0:7:35</v>
      </c>
      <c r="H44" t="e">
        <f>VLOOKUP(B44,[2]英雄召唤星组!$F:$G,2,0)</f>
        <v>#N/A</v>
      </c>
    </row>
    <row r="45" spans="1:8">
      <c r="A45">
        <v>602018</v>
      </c>
      <c r="B45" t="str">
        <f>VLOOKUP(A45,[1]碎片!$A:$B,2,0)</f>
        <v>斗战胜佛</v>
      </c>
      <c r="C45" t="e">
        <f>VLOOKUP(B45,[2]英雄召唤星组!$F:$H,3,0)</f>
        <v>#N/A</v>
      </c>
      <c r="D45" s="11">
        <v>50</v>
      </c>
      <c r="E45" s="11">
        <v>35</v>
      </c>
      <c r="F45" t="str">
        <f t="shared" si="2"/>
        <v>4:602018:50</v>
      </c>
      <c r="G45" t="str">
        <f t="shared" si="3"/>
        <v>0:7:35</v>
      </c>
      <c r="H45" t="e">
        <f>VLOOKUP(B45,[2]英雄召唤星组!$F:$G,2,0)</f>
        <v>#N/A</v>
      </c>
    </row>
    <row r="46" spans="1:8">
      <c r="A46">
        <v>602019</v>
      </c>
      <c r="B46" t="str">
        <f>VLOOKUP(A46,[1]碎片!$A:$B,2,0)</f>
        <v>太乙真人</v>
      </c>
      <c r="C46" t="e">
        <f>VLOOKUP(B46,[2]英雄召唤星组!$F:$H,3,0)</f>
        <v>#N/A</v>
      </c>
      <c r="D46" s="11">
        <v>50</v>
      </c>
      <c r="E46" s="11">
        <v>35</v>
      </c>
      <c r="F46" t="str">
        <f t="shared" si="2"/>
        <v>4:602019:50</v>
      </c>
      <c r="G46" t="str">
        <f t="shared" si="3"/>
        <v>0:7:35</v>
      </c>
      <c r="H46" t="e">
        <f>VLOOKUP(B46,[2]英雄召唤星组!$F:$G,2,0)</f>
        <v>#N/A</v>
      </c>
    </row>
    <row r="47" spans="1:8">
      <c r="A47">
        <v>602023</v>
      </c>
      <c r="B47" t="str">
        <f>VLOOKUP(A47,[1]碎片!$A:$B,2,0)</f>
        <v>九天玄女</v>
      </c>
      <c r="C47" t="e">
        <f>VLOOKUP(B47,[2]英雄召唤星组!$F:$H,3,0)</f>
        <v>#N/A</v>
      </c>
      <c r="D47" s="11">
        <v>50</v>
      </c>
      <c r="E47" s="11">
        <v>35</v>
      </c>
      <c r="F47" t="str">
        <f t="shared" si="2"/>
        <v>4:602023:50</v>
      </c>
      <c r="G47" t="str">
        <f t="shared" si="3"/>
        <v>0:7:35</v>
      </c>
      <c r="H47" t="e">
        <f>VLOOKUP(B47,[2]英雄召唤星组!$F:$G,2,0)</f>
        <v>#N/A</v>
      </c>
    </row>
    <row r="48" spans="1:8">
      <c r="A48">
        <v>603017</v>
      </c>
      <c r="B48" t="str">
        <f>VLOOKUP(A48,[1]碎片!$A:$B,2,0)</f>
        <v>牛魔王</v>
      </c>
      <c r="C48" t="e">
        <f>VLOOKUP(B48,[2]英雄召唤星组!$F:$H,3,0)</f>
        <v>#N/A</v>
      </c>
      <c r="D48" s="11">
        <v>50</v>
      </c>
      <c r="E48" s="11">
        <v>20</v>
      </c>
      <c r="F48" t="str">
        <f t="shared" si="2"/>
        <v>4:603017:50</v>
      </c>
      <c r="G48" t="str">
        <f t="shared" si="3"/>
        <v>0:7:20</v>
      </c>
      <c r="H48" t="e">
        <f>VLOOKUP(B48,[2]英雄召唤星组!$F:$G,2,0)</f>
        <v>#N/A</v>
      </c>
    </row>
    <row r="49" spans="1:8">
      <c r="A49">
        <v>604006</v>
      </c>
      <c r="B49" t="str">
        <f>VLOOKUP(A49,[1]碎片!$A:$B,2,0)</f>
        <v>盘古</v>
      </c>
      <c r="C49" t="e">
        <f>VLOOKUP(B49,[2]英雄召唤星组!$F:$H,3,0)</f>
        <v>#N/A</v>
      </c>
      <c r="D49" s="11">
        <v>50</v>
      </c>
      <c r="E49" s="11">
        <v>25</v>
      </c>
      <c r="F49" t="str">
        <f t="shared" si="2"/>
        <v>4:604006:50</v>
      </c>
      <c r="G49" t="str">
        <f t="shared" si="3"/>
        <v>0:7:25</v>
      </c>
      <c r="H49" t="e">
        <f>VLOOKUP(B49,[2]英雄召唤星组!$F:$G,2,0)</f>
        <v>#N/A</v>
      </c>
    </row>
    <row r="50" spans="1:8">
      <c r="A50">
        <v>604010</v>
      </c>
      <c r="B50" t="str">
        <f>VLOOKUP(A50,[1]碎片!$A:$B,2,0)</f>
        <v>玉帝</v>
      </c>
      <c r="C50" t="e">
        <f>VLOOKUP(B50,[2]英雄召唤星组!$F:$H,3,0)</f>
        <v>#N/A</v>
      </c>
      <c r="D50" s="11">
        <v>50</v>
      </c>
      <c r="E50" s="11">
        <v>25</v>
      </c>
      <c r="F50" t="str">
        <f t="shared" si="2"/>
        <v>4:604010:50</v>
      </c>
      <c r="G50" t="str">
        <f t="shared" si="3"/>
        <v>0:7:25</v>
      </c>
      <c r="H50" t="e">
        <f>VLOOKUP(B50,[2]英雄召唤星组!$F:$G,2,0)</f>
        <v>#N/A</v>
      </c>
    </row>
    <row r="51" spans="1:8">
      <c r="A51">
        <v>604011</v>
      </c>
      <c r="B51" t="str">
        <f>VLOOKUP(A51,[1]碎片!$A:$B,2,0)</f>
        <v>雷泽</v>
      </c>
      <c r="C51" t="e">
        <f>VLOOKUP(B51,[2]英雄召唤星组!$F:$H,3,0)</f>
        <v>#N/A</v>
      </c>
      <c r="D51" s="11">
        <v>50</v>
      </c>
      <c r="E51" s="11">
        <v>35</v>
      </c>
      <c r="F51" t="str">
        <f t="shared" si="2"/>
        <v>4:604011:50</v>
      </c>
      <c r="G51" t="str">
        <f t="shared" si="3"/>
        <v>0:7:35</v>
      </c>
      <c r="H51" t="e">
        <f>VLOOKUP(B51,[2]英雄召唤星组!$F:$G,2,0)</f>
        <v>#N/A</v>
      </c>
    </row>
    <row r="52" spans="1:8">
      <c r="A52">
        <v>604012</v>
      </c>
      <c r="B52" t="str">
        <f>VLOOKUP(A52,[1]碎片!$A:$B,2,0)</f>
        <v>共工</v>
      </c>
      <c r="C52" t="e">
        <f>VLOOKUP(B52,[2]英雄召唤星组!$F:$H,3,0)</f>
        <v>#N/A</v>
      </c>
      <c r="D52" s="11">
        <v>50</v>
      </c>
      <c r="E52" s="11">
        <v>35</v>
      </c>
      <c r="F52" t="str">
        <f t="shared" si="2"/>
        <v>4:604012:50</v>
      </c>
      <c r="G52" t="str">
        <f t="shared" si="3"/>
        <v>0:7:35</v>
      </c>
      <c r="H52" t="e">
        <f>VLOOKUP(B52,[2]英雄召唤星组!$F:$G,2,0)</f>
        <v>#N/A</v>
      </c>
    </row>
    <row r="53" spans="1:8">
      <c r="A53">
        <v>604007</v>
      </c>
      <c r="B53" t="str">
        <f>VLOOKUP(A53,[1]碎片!$A:$B,2,0)</f>
        <v>神农</v>
      </c>
      <c r="C53" t="e">
        <f>VLOOKUP(B53,[2]英雄召唤星组!$F:$H,3,0)</f>
        <v>#N/A</v>
      </c>
      <c r="D53" s="11">
        <v>50</v>
      </c>
      <c r="E53" s="11">
        <v>45</v>
      </c>
      <c r="F53" t="str">
        <f t="shared" si="2"/>
        <v>4:604007:50</v>
      </c>
      <c r="G53" t="str">
        <f t="shared" si="3"/>
        <v>0:7:45</v>
      </c>
      <c r="H53" t="e">
        <f>VLOOKUP(B53,[2]英雄召唤星组!$F:$G,2,0)</f>
        <v>#N/A</v>
      </c>
    </row>
    <row r="54" spans="1:8">
      <c r="A54">
        <v>604009</v>
      </c>
      <c r="B54" t="str">
        <f>VLOOKUP(A54,[1]碎片!$A:$B,2,0)</f>
        <v>鲲</v>
      </c>
      <c r="C54" t="e">
        <f>VLOOKUP(B54,[2]英雄召唤星组!$F:$H,3,0)</f>
        <v>#N/A</v>
      </c>
      <c r="D54" s="11">
        <v>50</v>
      </c>
      <c r="E54" s="11">
        <v>45</v>
      </c>
      <c r="F54" t="str">
        <f t="shared" si="2"/>
        <v>4:604009:50</v>
      </c>
      <c r="G54" t="str">
        <f t="shared" si="3"/>
        <v>0:7:45</v>
      </c>
      <c r="H54" t="e">
        <f>VLOOKUP(B54,[2]英雄召唤星组!$F:$G,2,0)</f>
        <v>#N/A</v>
      </c>
    </row>
    <row r="55" spans="1:8">
      <c r="A55">
        <v>604013</v>
      </c>
      <c r="B55" t="str">
        <f>VLOOKUP(A55,[1]碎片!$A:$B,2,0)</f>
        <v>祝融</v>
      </c>
      <c r="C55" t="e">
        <f>VLOOKUP(B55,[2]英雄召唤星组!$F:$H,3,0)</f>
        <v>#N/A</v>
      </c>
      <c r="D55" s="11">
        <v>50</v>
      </c>
      <c r="E55" s="11">
        <v>45</v>
      </c>
      <c r="F55" t="str">
        <f t="shared" si="2"/>
        <v>4:604013:50</v>
      </c>
      <c r="G55" t="str">
        <f t="shared" si="3"/>
        <v>0:7:45</v>
      </c>
      <c r="H55" t="e">
        <f>VLOOKUP(B55,[2]英雄召唤星组!$F:$G,2,0)</f>
        <v>#N/A</v>
      </c>
    </row>
    <row r="56" spans="1:8">
      <c r="A56">
        <v>605006</v>
      </c>
      <c r="B56" t="str">
        <f>VLOOKUP(A56,[1]碎片!$A:$B,2,0)</f>
        <v>蚩尤</v>
      </c>
      <c r="C56" t="e">
        <f>VLOOKUP(B56,[2]英雄召唤星组!$F:$H,3,0)</f>
        <v>#N/A</v>
      </c>
      <c r="D56" s="11">
        <v>50</v>
      </c>
      <c r="E56" s="11">
        <v>35</v>
      </c>
      <c r="F56" t="str">
        <f t="shared" si="2"/>
        <v>4:605006:50</v>
      </c>
      <c r="G56" t="str">
        <f t="shared" si="3"/>
        <v>0:7:35</v>
      </c>
      <c r="H56" t="e">
        <f>VLOOKUP(B56,[2]英雄召唤星组!$F:$G,2,0)</f>
        <v>#N/A</v>
      </c>
    </row>
    <row r="57" spans="1:8">
      <c r="A57">
        <v>605007</v>
      </c>
      <c r="B57" t="str">
        <f>VLOOKUP(A57,[1]碎片!$A:$B,2,0)</f>
        <v>孟婆</v>
      </c>
      <c r="C57" t="e">
        <f>VLOOKUP(B57,[2]英雄召唤星组!$F:$H,3,0)</f>
        <v>#N/A</v>
      </c>
      <c r="D57" s="11">
        <v>50</v>
      </c>
      <c r="E57" s="11">
        <v>45</v>
      </c>
      <c r="F57" t="str">
        <f t="shared" si="2"/>
        <v>4:605007:50</v>
      </c>
      <c r="G57" t="str">
        <f t="shared" si="3"/>
        <v>0:7:45</v>
      </c>
      <c r="H57" t="e">
        <f>VLOOKUP(B57,[2]英雄召唤星组!$F:$G,2,0)</f>
        <v>#N/A</v>
      </c>
    </row>
    <row r="58" spans="1:8">
      <c r="A58">
        <v>605008</v>
      </c>
      <c r="B58" t="str">
        <f>VLOOKUP(A58,[1]碎片!$A:$B,2,0)</f>
        <v>刑天</v>
      </c>
      <c r="C58" t="e">
        <f>VLOOKUP(B58,[2]英雄召唤星组!$F:$H,3,0)</f>
        <v>#N/A</v>
      </c>
      <c r="D58" s="11">
        <v>50</v>
      </c>
      <c r="E58" s="11">
        <v>45</v>
      </c>
      <c r="F58" t="str">
        <f t="shared" si="2"/>
        <v>4:605008:50</v>
      </c>
      <c r="G58" t="str">
        <f t="shared" si="3"/>
        <v>0:7:45</v>
      </c>
      <c r="H58" t="e">
        <f>VLOOKUP(B58,[2]英雄召唤星组!$F:$G,2,0)</f>
        <v>#N/A</v>
      </c>
    </row>
    <row r="59" spans="1:8">
      <c r="A59">
        <v>605009</v>
      </c>
      <c r="B59" t="str">
        <f>VLOOKUP(A59,[1]碎片!$A:$B,2,0)</f>
        <v>魔·悟空</v>
      </c>
      <c r="C59" t="e">
        <f>VLOOKUP(B59,[2]英雄召唤星组!$F:$H,3,0)</f>
        <v>#N/A</v>
      </c>
      <c r="D59" s="11">
        <v>50</v>
      </c>
      <c r="E59" s="11">
        <v>45</v>
      </c>
      <c r="F59" t="str">
        <f t="shared" si="2"/>
        <v>4:605009:50</v>
      </c>
      <c r="G59" t="str">
        <f t="shared" si="3"/>
        <v>0:7:45</v>
      </c>
      <c r="H59" t="e">
        <f>VLOOKUP(B59,[2]英雄召唤星组!$F:$G,2,0)</f>
        <v>#N/A</v>
      </c>
    </row>
    <row r="60" spans="1:8">
      <c r="A60">
        <v>601010</v>
      </c>
      <c r="B60" t="str">
        <f>VLOOKUP(A60,[1]碎片!$A:$B,2,0)</f>
        <v>金吒</v>
      </c>
      <c r="C60" t="e">
        <f>VLOOKUP(B60,[2]英雄召唤星组!$F:$H,3,0)</f>
        <v>#N/A</v>
      </c>
      <c r="D60" s="11">
        <v>30</v>
      </c>
      <c r="E60" s="11">
        <v>3</v>
      </c>
      <c r="F60" t="str">
        <f t="shared" si="2"/>
        <v>4:601010:30</v>
      </c>
      <c r="G60" t="str">
        <f t="shared" si="3"/>
        <v>0:7:3</v>
      </c>
      <c r="H60" t="e">
        <f>VLOOKUP(B60,[2]英雄召唤星组!$F:$G,2,0)</f>
        <v>#N/A</v>
      </c>
    </row>
    <row r="61" spans="1:8">
      <c r="A61">
        <v>602010</v>
      </c>
      <c r="B61" t="str">
        <f>VLOOKUP(A61,[1]碎片!$A:$B,2,0)</f>
        <v>月老</v>
      </c>
      <c r="C61" t="e">
        <f>VLOOKUP(B61,[2]英雄召唤星组!$F:$H,3,0)</f>
        <v>#N/A</v>
      </c>
      <c r="D61" s="11">
        <v>30</v>
      </c>
      <c r="E61" s="11">
        <v>3</v>
      </c>
      <c r="F61" t="str">
        <f t="shared" si="2"/>
        <v>4:602010:30</v>
      </c>
      <c r="G61" t="str">
        <f t="shared" si="3"/>
        <v>0:7:3</v>
      </c>
      <c r="H61" t="e">
        <f>VLOOKUP(B61,[2]英雄召唤星组!$F:$G,2,0)</f>
        <v>#N/A</v>
      </c>
    </row>
    <row r="62" spans="1:8">
      <c r="A62">
        <v>602012</v>
      </c>
      <c r="B62" t="str">
        <f>VLOOKUP(A62,[1]碎片!$A:$B,2,0)</f>
        <v>河伯</v>
      </c>
      <c r="C62" t="e">
        <f>VLOOKUP(B62,[2]英雄召唤星组!$F:$H,3,0)</f>
        <v>#N/A</v>
      </c>
      <c r="D62" s="11">
        <v>30</v>
      </c>
      <c r="E62" s="11">
        <v>3</v>
      </c>
      <c r="F62" t="str">
        <f t="shared" si="2"/>
        <v>4:602012:30</v>
      </c>
      <c r="G62" t="str">
        <f t="shared" si="3"/>
        <v>0:7:3</v>
      </c>
      <c r="H62" t="e">
        <f>VLOOKUP(B62,[2]英雄召唤星组!$F:$G,2,0)</f>
        <v>#N/A</v>
      </c>
    </row>
    <row r="63" spans="1:8">
      <c r="A63">
        <v>603009</v>
      </c>
      <c r="B63" t="str">
        <f>VLOOKUP(A63,[1]碎片!$A:$B,2,0)</f>
        <v>金角大王</v>
      </c>
      <c r="C63" t="e">
        <f>VLOOKUP(B63,[2]英雄召唤星组!$F:$H,3,0)</f>
        <v>#N/A</v>
      </c>
      <c r="D63" s="11">
        <v>30</v>
      </c>
      <c r="E63" s="11">
        <v>3</v>
      </c>
      <c r="F63" t="str">
        <f t="shared" si="2"/>
        <v>4:603009:30</v>
      </c>
      <c r="G63" t="str">
        <f t="shared" si="3"/>
        <v>0:7:3</v>
      </c>
      <c r="H63" t="e">
        <f>VLOOKUP(B63,[2]英雄召唤星组!$F:$G,2,0)</f>
        <v>#N/A</v>
      </c>
    </row>
    <row r="64" spans="1:8">
      <c r="A64">
        <v>603011</v>
      </c>
      <c r="B64" t="str">
        <f>VLOOKUP(A64,[1]碎片!$A:$B,2,0)</f>
        <v>银角大王</v>
      </c>
      <c r="C64" t="e">
        <f>VLOOKUP(B64,[2]英雄召唤星组!$F:$H,3,0)</f>
        <v>#N/A</v>
      </c>
      <c r="D64" s="11">
        <v>30</v>
      </c>
      <c r="E64" s="11">
        <v>3</v>
      </c>
      <c r="F64" t="str">
        <f t="shared" si="2"/>
        <v>4:603011:30</v>
      </c>
      <c r="G64" t="str">
        <f t="shared" si="3"/>
        <v>0:7:3</v>
      </c>
      <c r="H64" t="e">
        <f>VLOOKUP(B64,[2]英雄召唤星组!$F:$G,2,0)</f>
        <v>#N/A</v>
      </c>
    </row>
    <row r="65" spans="1:8">
      <c r="A65">
        <v>603013</v>
      </c>
      <c r="B65" t="str">
        <f>VLOOKUP(A65,[1]碎片!$A:$B,2,0)</f>
        <v>夜叉</v>
      </c>
      <c r="C65" t="e">
        <f>VLOOKUP(B65,[2]英雄召唤星组!$F:$H,3,0)</f>
        <v>#N/A</v>
      </c>
      <c r="D65" s="11">
        <v>30</v>
      </c>
      <c r="E65" s="11">
        <v>3</v>
      </c>
      <c r="F65" t="str">
        <f t="shared" si="2"/>
        <v>4:603013:30</v>
      </c>
      <c r="G65" t="str">
        <f t="shared" si="3"/>
        <v>0:7:3</v>
      </c>
      <c r="H65" t="e">
        <f>VLOOKUP(B65,[2]英雄召唤星组!$F:$G,2,0)</f>
        <v>#N/A</v>
      </c>
    </row>
    <row r="66" spans="1:8">
      <c r="A66">
        <v>604002</v>
      </c>
      <c r="B66" t="str">
        <f>VLOOKUP(A66,[1]碎片!$A:$B,2,0)</f>
        <v>瑶姬</v>
      </c>
      <c r="C66" t="e">
        <f>VLOOKUP(B66,[2]英雄召唤星组!$F:$H,3,0)</f>
        <v>#N/A</v>
      </c>
      <c r="D66" s="11">
        <v>30</v>
      </c>
      <c r="E66" s="11">
        <v>5</v>
      </c>
      <c r="F66" t="str">
        <f t="shared" si="2"/>
        <v>4:604002:30</v>
      </c>
      <c r="G66" t="str">
        <f t="shared" si="3"/>
        <v>0:7:5</v>
      </c>
      <c r="H66" t="e">
        <f>VLOOKUP(B66,[2]英雄召唤星组!$F:$G,2,0)</f>
        <v>#N/A</v>
      </c>
    </row>
    <row r="67" spans="1:8">
      <c r="A67">
        <v>605002</v>
      </c>
      <c r="B67" t="str">
        <f>VLOOKUP(A67,[1]碎片!$A:$B,2,0)</f>
        <v>贪狼</v>
      </c>
      <c r="C67" t="e">
        <f>VLOOKUP(B67,[2]英雄召唤星组!$F:$H,3,0)</f>
        <v>#N/A</v>
      </c>
      <c r="D67" s="11">
        <v>30</v>
      </c>
      <c r="E67" s="11">
        <v>5</v>
      </c>
      <c r="F67" t="str">
        <f t="shared" si="2"/>
        <v>4:605002:30</v>
      </c>
      <c r="G67" t="str">
        <f t="shared" si="3"/>
        <v>0:7:5</v>
      </c>
      <c r="H67" t="e">
        <f>VLOOKUP(B67,[2]英雄召唤星组!$F:$G,2,0)</f>
        <v>#N/A</v>
      </c>
    </row>
  </sheetData>
  <autoFilter ref="A1:H67">
    <extLst/>
  </autoFilter>
  <pageMargins left="0.7" right="0.7" top="0.75" bottom="0.75" header="0.3" footer="0.3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2:P154"/>
  <sheetViews>
    <sheetView workbookViewId="0">
      <selection activeCell="M113" sqref="M113:O135"/>
    </sheetView>
  </sheetViews>
  <sheetFormatPr defaultColWidth="9" defaultRowHeight="15"/>
  <cols>
    <col min="2" max="2" width="13.4285714285714" customWidth="1"/>
    <col min="5" max="5" width="15.4285714285714" customWidth="1"/>
  </cols>
  <sheetData>
    <row r="2" ht="16.5" spans="2:8">
      <c r="B2" s="13">
        <v>800044</v>
      </c>
      <c r="C2" s="14" t="s">
        <v>1093</v>
      </c>
      <c r="D2" s="15">
        <v>0</v>
      </c>
      <c r="E2" s="15">
        <v>80</v>
      </c>
      <c r="F2" s="16" t="s">
        <v>634</v>
      </c>
      <c r="G2" s="4" t="s">
        <v>632</v>
      </c>
      <c r="H2">
        <f>VLOOKUP(C2,[2]英雄召唤星组!$F:$G,2,0)</f>
        <v>4</v>
      </c>
    </row>
    <row r="3" ht="16.5" spans="2:8">
      <c r="B3" s="13">
        <v>800048</v>
      </c>
      <c r="C3" s="14" t="s">
        <v>1094</v>
      </c>
      <c r="D3" s="15">
        <v>0</v>
      </c>
      <c r="E3" s="15">
        <v>80</v>
      </c>
      <c r="F3" s="16" t="s">
        <v>631</v>
      </c>
      <c r="G3" s="4" t="s">
        <v>632</v>
      </c>
      <c r="H3">
        <f>VLOOKUP(C3,[2]英雄召唤星组!$F:$G,2,0)</f>
        <v>4</v>
      </c>
    </row>
    <row r="4" ht="16.5" spans="2:8">
      <c r="B4" s="13">
        <v>800049</v>
      </c>
      <c r="C4" s="14" t="s">
        <v>1095</v>
      </c>
      <c r="D4" s="15">
        <v>0</v>
      </c>
      <c r="E4" s="15">
        <v>80</v>
      </c>
      <c r="F4" s="16" t="s">
        <v>638</v>
      </c>
      <c r="G4" s="4" t="s">
        <v>632</v>
      </c>
      <c r="H4">
        <f>VLOOKUP(C4,[2]英雄召唤星组!$F:$G,2,0)</f>
        <v>4</v>
      </c>
    </row>
    <row r="5" ht="16.5" spans="2:8">
      <c r="B5" s="13">
        <v>800051</v>
      </c>
      <c r="C5" s="14" t="s">
        <v>1096</v>
      </c>
      <c r="D5" s="15">
        <v>0</v>
      </c>
      <c r="E5" s="15">
        <v>80</v>
      </c>
      <c r="F5" s="16" t="s">
        <v>640</v>
      </c>
      <c r="G5" s="4" t="s">
        <v>632</v>
      </c>
      <c r="H5">
        <f>VLOOKUP(C5,[2]英雄召唤星组!$F:$G,2,0)</f>
        <v>4</v>
      </c>
    </row>
    <row r="6" ht="16.5" spans="2:8">
      <c r="B6" s="13">
        <v>800053</v>
      </c>
      <c r="C6" s="14" t="s">
        <v>1097</v>
      </c>
      <c r="D6" s="15">
        <v>0</v>
      </c>
      <c r="E6" s="15">
        <v>80</v>
      </c>
      <c r="F6" s="16" t="s">
        <v>641</v>
      </c>
      <c r="G6" s="4" t="s">
        <v>632</v>
      </c>
      <c r="H6">
        <f>VLOOKUP(C6,[2]英雄召唤星组!$F:$G,2,0)</f>
        <v>4</v>
      </c>
    </row>
    <row r="7" ht="16.5" spans="2:8">
      <c r="B7" s="13">
        <v>800055</v>
      </c>
      <c r="C7" s="14" t="s">
        <v>1098</v>
      </c>
      <c r="D7" s="15">
        <v>0</v>
      </c>
      <c r="E7" s="15">
        <v>80</v>
      </c>
      <c r="F7" s="16" t="s">
        <v>643</v>
      </c>
      <c r="G7" s="4" t="s">
        <v>632</v>
      </c>
      <c r="H7">
        <f>VLOOKUP(C7,[2]英雄召唤星组!$F:$G,2,0)</f>
        <v>4</v>
      </c>
    </row>
    <row r="8" ht="16.5" spans="2:8">
      <c r="B8" s="13">
        <v>800057</v>
      </c>
      <c r="C8" s="14" t="s">
        <v>1099</v>
      </c>
      <c r="D8" s="15">
        <v>0</v>
      </c>
      <c r="E8" s="15">
        <v>80</v>
      </c>
      <c r="F8" s="16" t="s">
        <v>245</v>
      </c>
      <c r="G8" s="4" t="s">
        <v>632</v>
      </c>
      <c r="H8">
        <f>VLOOKUP(C8,[2]英雄召唤星组!$F:$G,2,0)</f>
        <v>4</v>
      </c>
    </row>
    <row r="9" ht="16.5" spans="2:8">
      <c r="B9" s="13">
        <v>800060</v>
      </c>
      <c r="C9" s="14" t="s">
        <v>1100</v>
      </c>
      <c r="D9" s="15">
        <v>0</v>
      </c>
      <c r="E9" s="15">
        <v>80</v>
      </c>
      <c r="F9" s="16" t="s">
        <v>250</v>
      </c>
      <c r="G9" s="4" t="s">
        <v>644</v>
      </c>
      <c r="H9">
        <f>VLOOKUP(C9,[2]英雄召唤星组!$F:$G,2,0)</f>
        <v>4</v>
      </c>
    </row>
    <row r="10" ht="16.5" spans="2:8">
      <c r="B10" s="13">
        <v>800061</v>
      </c>
      <c r="C10" s="14" t="s">
        <v>1101</v>
      </c>
      <c r="D10" s="15">
        <v>0</v>
      </c>
      <c r="E10" s="15">
        <v>80</v>
      </c>
      <c r="F10" s="16" t="s">
        <v>646</v>
      </c>
      <c r="G10" s="4" t="s">
        <v>644</v>
      </c>
      <c r="H10">
        <f>VLOOKUP(C10,[2]英雄召唤星组!$F:$G,2,0)</f>
        <v>4</v>
      </c>
    </row>
    <row r="11" ht="16.5" spans="2:8">
      <c r="B11" s="13">
        <v>800062</v>
      </c>
      <c r="C11" s="14" t="s">
        <v>1102</v>
      </c>
      <c r="D11" s="15">
        <v>0</v>
      </c>
      <c r="E11" s="15">
        <v>80</v>
      </c>
      <c r="F11" s="16" t="s">
        <v>648</v>
      </c>
      <c r="G11" s="4" t="s">
        <v>644</v>
      </c>
      <c r="H11">
        <f>VLOOKUP(C11,[2]英雄召唤星组!$F:$G,2,0)</f>
        <v>4</v>
      </c>
    </row>
    <row r="12" ht="16.5" spans="2:8">
      <c r="B12" s="13">
        <v>800064</v>
      </c>
      <c r="C12" s="14" t="s">
        <v>1103</v>
      </c>
      <c r="D12" s="15">
        <v>0</v>
      </c>
      <c r="E12" s="15">
        <v>80</v>
      </c>
      <c r="F12" s="16" t="s">
        <v>253</v>
      </c>
      <c r="G12" s="4" t="s">
        <v>644</v>
      </c>
      <c r="H12">
        <f>VLOOKUP(C12,[2]英雄召唤星组!$F:$G,2,0)</f>
        <v>4</v>
      </c>
    </row>
    <row r="13" ht="16.5" spans="2:8">
      <c r="B13" s="13">
        <v>800065</v>
      </c>
      <c r="C13" s="14" t="s">
        <v>1104</v>
      </c>
      <c r="D13" s="15">
        <v>0</v>
      </c>
      <c r="E13" s="15">
        <v>80</v>
      </c>
      <c r="F13" s="16" t="s">
        <v>650</v>
      </c>
      <c r="G13" s="4" t="s">
        <v>644</v>
      </c>
      <c r="H13">
        <f>VLOOKUP(C13,[2]英雄召唤星组!$F:$G,2,0)</f>
        <v>4</v>
      </c>
    </row>
    <row r="14" ht="16.5" spans="2:8">
      <c r="B14" s="13">
        <v>800066</v>
      </c>
      <c r="C14" s="14" t="s">
        <v>1105</v>
      </c>
      <c r="D14" s="15">
        <v>0</v>
      </c>
      <c r="E14" s="15">
        <v>80</v>
      </c>
      <c r="F14" s="16" t="s">
        <v>652</v>
      </c>
      <c r="G14" s="4" t="s">
        <v>644</v>
      </c>
      <c r="H14">
        <f>VLOOKUP(C14,[2]英雄召唤星组!$F:$G,2,0)</f>
        <v>4</v>
      </c>
    </row>
    <row r="15" ht="16.5" spans="2:8">
      <c r="B15" s="13">
        <v>800001</v>
      </c>
      <c r="C15" s="14" t="s">
        <v>1106</v>
      </c>
      <c r="D15" s="15">
        <v>0</v>
      </c>
      <c r="E15" s="15">
        <v>80</v>
      </c>
      <c r="F15" s="16" t="s">
        <v>165</v>
      </c>
      <c r="G15" s="4" t="s">
        <v>603</v>
      </c>
      <c r="H15">
        <f>VLOOKUP(C15,[2]英雄召唤星组!$F:$G,2,0)</f>
        <v>5</v>
      </c>
    </row>
    <row r="16" ht="16.5" spans="2:8">
      <c r="B16" s="13">
        <v>800005</v>
      </c>
      <c r="C16" s="14" t="s">
        <v>1107</v>
      </c>
      <c r="D16" s="15">
        <v>0</v>
      </c>
      <c r="E16" s="15">
        <v>80</v>
      </c>
      <c r="F16" s="16" t="s">
        <v>255</v>
      </c>
      <c r="G16" s="4" t="s">
        <v>603</v>
      </c>
      <c r="H16">
        <f>VLOOKUP(C16,[2]英雄召唤星组!$F:$G,2,0)</f>
        <v>5</v>
      </c>
    </row>
    <row r="17" ht="16.5" spans="2:8">
      <c r="B17" s="13">
        <v>800006</v>
      </c>
      <c r="C17" s="14" t="s">
        <v>1108</v>
      </c>
      <c r="D17" s="15">
        <v>0</v>
      </c>
      <c r="E17" s="15">
        <v>80</v>
      </c>
      <c r="F17" s="16" t="s">
        <v>286</v>
      </c>
      <c r="G17" s="4" t="s">
        <v>600</v>
      </c>
      <c r="H17">
        <f>VLOOKUP(C17,[2]英雄召唤星组!$F:$G,2,0)</f>
        <v>5</v>
      </c>
    </row>
    <row r="18" ht="16.5" spans="2:8">
      <c r="B18" s="13">
        <v>800010</v>
      </c>
      <c r="C18" s="14" t="s">
        <v>1109</v>
      </c>
      <c r="D18" s="15">
        <v>0</v>
      </c>
      <c r="E18" s="15">
        <v>80</v>
      </c>
      <c r="F18" s="16" t="s">
        <v>170</v>
      </c>
      <c r="G18" s="4" t="s">
        <v>603</v>
      </c>
      <c r="H18">
        <f>VLOOKUP(C18,[2]英雄召唤星组!$F:$G,2,0)</f>
        <v>5</v>
      </c>
    </row>
    <row r="19" ht="16.5" spans="2:8">
      <c r="B19" s="13">
        <v>800013</v>
      </c>
      <c r="C19" s="14" t="s">
        <v>1110</v>
      </c>
      <c r="D19" s="15">
        <v>0</v>
      </c>
      <c r="E19" s="15">
        <v>80</v>
      </c>
      <c r="F19" s="16" t="s">
        <v>153</v>
      </c>
      <c r="G19" s="4" t="s">
        <v>603</v>
      </c>
      <c r="H19">
        <f>VLOOKUP(C19,[2]英雄召唤星组!$F:$G,2,0)</f>
        <v>5</v>
      </c>
    </row>
    <row r="20" ht="16.5" spans="2:8">
      <c r="B20" s="13">
        <v>800016</v>
      </c>
      <c r="C20" s="14" t="s">
        <v>1111</v>
      </c>
      <c r="D20" s="15">
        <v>0</v>
      </c>
      <c r="E20" s="15">
        <v>80</v>
      </c>
      <c r="F20" s="16" t="s">
        <v>608</v>
      </c>
      <c r="G20" s="4" t="s">
        <v>600</v>
      </c>
      <c r="H20" t="e">
        <f>VLOOKUP(C20,[2]英雄召唤星组!$F:$G,2,0)</f>
        <v>#N/A</v>
      </c>
    </row>
    <row r="21" ht="16.5" spans="2:8">
      <c r="B21" s="13">
        <v>800020</v>
      </c>
      <c r="C21" s="14" t="s">
        <v>1112</v>
      </c>
      <c r="D21" s="15">
        <v>0</v>
      </c>
      <c r="E21" s="15">
        <v>80</v>
      </c>
      <c r="F21" s="16" t="s">
        <v>289</v>
      </c>
      <c r="G21" s="4" t="s">
        <v>603</v>
      </c>
      <c r="H21">
        <f>VLOOKUP(C21,[2]英雄召唤星组!$F:$G,2,0)</f>
        <v>5</v>
      </c>
    </row>
    <row r="22" ht="16.5" spans="2:8">
      <c r="B22" s="13">
        <v>800023</v>
      </c>
      <c r="C22" s="14" t="s">
        <v>1113</v>
      </c>
      <c r="D22" s="15">
        <v>0</v>
      </c>
      <c r="E22" s="15">
        <v>80</v>
      </c>
      <c r="F22" s="16" t="s">
        <v>612</v>
      </c>
      <c r="G22" s="4" t="s">
        <v>603</v>
      </c>
      <c r="H22">
        <f>VLOOKUP(C22,[2]英雄召唤星组!$F:$G,2,0)</f>
        <v>5</v>
      </c>
    </row>
    <row r="23" ht="16.5" spans="2:8">
      <c r="B23" s="13">
        <v>800024</v>
      </c>
      <c r="C23" s="14" t="s">
        <v>1114</v>
      </c>
      <c r="D23" s="15">
        <v>0</v>
      </c>
      <c r="E23" s="15">
        <v>80</v>
      </c>
      <c r="F23" s="16" t="s">
        <v>160</v>
      </c>
      <c r="G23" s="4" t="s">
        <v>603</v>
      </c>
      <c r="H23">
        <f>VLOOKUP(C23,[2]英雄召唤星组!$F:$G,2,0)</f>
        <v>5</v>
      </c>
    </row>
    <row r="24" ht="16.5" spans="2:8">
      <c r="B24" s="13">
        <v>800025</v>
      </c>
      <c r="C24" s="14" t="s">
        <v>1115</v>
      </c>
      <c r="D24" s="15">
        <v>0</v>
      </c>
      <c r="E24" s="15">
        <v>80</v>
      </c>
      <c r="F24" s="16" t="s">
        <v>258</v>
      </c>
      <c r="G24" s="4" t="s">
        <v>603</v>
      </c>
      <c r="H24">
        <f>VLOOKUP(C24,[2]英雄召唤星组!$F:$G,2,0)</f>
        <v>5</v>
      </c>
    </row>
    <row r="25" ht="16.5" spans="2:8">
      <c r="B25" s="13">
        <v>800026</v>
      </c>
      <c r="C25" s="14" t="s">
        <v>1116</v>
      </c>
      <c r="D25" s="15">
        <v>0</v>
      </c>
      <c r="E25" s="15">
        <v>80</v>
      </c>
      <c r="F25" s="16" t="s">
        <v>348</v>
      </c>
      <c r="G25" s="4" t="s">
        <v>600</v>
      </c>
      <c r="H25">
        <f>VLOOKUP(C25,[2]英雄召唤星组!$F:$G,2,0)</f>
        <v>5</v>
      </c>
    </row>
    <row r="26" ht="16.5" spans="2:8">
      <c r="B26" s="13">
        <v>800033</v>
      </c>
      <c r="C26" s="14" t="s">
        <v>1117</v>
      </c>
      <c r="D26" s="15">
        <v>0</v>
      </c>
      <c r="E26" s="15">
        <v>80</v>
      </c>
      <c r="F26" s="16" t="s">
        <v>618</v>
      </c>
      <c r="G26" s="4" t="s">
        <v>600</v>
      </c>
      <c r="H26">
        <f>VLOOKUP(C26,[2]英雄召唤星组!$F:$G,2,0)</f>
        <v>5</v>
      </c>
    </row>
    <row r="27" ht="16.5" spans="2:8">
      <c r="B27" s="13">
        <v>800037</v>
      </c>
      <c r="C27" s="14" t="s">
        <v>1118</v>
      </c>
      <c r="D27" s="15">
        <v>0</v>
      </c>
      <c r="E27" s="15">
        <v>80</v>
      </c>
      <c r="F27" s="16" t="s">
        <v>626</v>
      </c>
      <c r="G27" s="4" t="s">
        <v>629</v>
      </c>
      <c r="H27">
        <f>VLOOKUP(C27,[2]英雄召唤星组!$F:$G,2,0)</f>
        <v>5</v>
      </c>
    </row>
    <row r="28" ht="16.5" spans="2:8">
      <c r="B28" s="13">
        <v>800038</v>
      </c>
      <c r="C28" s="14" t="s">
        <v>1119</v>
      </c>
      <c r="D28" s="15">
        <v>0</v>
      </c>
      <c r="E28" s="15">
        <v>80</v>
      </c>
      <c r="F28" s="16" t="s">
        <v>628</v>
      </c>
      <c r="G28" s="4" t="s">
        <v>629</v>
      </c>
      <c r="H28">
        <f>VLOOKUP(C28,[2]英雄召唤星组!$F:$G,2,0)</f>
        <v>5</v>
      </c>
    </row>
    <row r="29" ht="16.5" spans="2:8">
      <c r="B29" s="13">
        <v>800002</v>
      </c>
      <c r="C29" s="14" t="s">
        <v>1120</v>
      </c>
      <c r="D29" s="15">
        <v>0</v>
      </c>
      <c r="E29" s="15">
        <v>80</v>
      </c>
      <c r="F29" s="16" t="s">
        <v>167</v>
      </c>
      <c r="G29" s="4" t="s">
        <v>603</v>
      </c>
      <c r="H29">
        <f>VLOOKUP(C29,[2]英雄召唤星组!$F:$G,2,0)</f>
        <v>5</v>
      </c>
    </row>
    <row r="30" ht="16.5" spans="2:8">
      <c r="B30" s="13">
        <v>800003</v>
      </c>
      <c r="C30" s="14" t="s">
        <v>1121</v>
      </c>
      <c r="D30" s="15">
        <v>0</v>
      </c>
      <c r="E30" s="15">
        <v>80</v>
      </c>
      <c r="F30" s="16" t="s">
        <v>324</v>
      </c>
      <c r="G30" s="4" t="s">
        <v>603</v>
      </c>
      <c r="H30" t="e">
        <f>VLOOKUP(C30,[2]英雄召唤星组!$F:$G,2,0)</f>
        <v>#N/A</v>
      </c>
    </row>
    <row r="31" ht="16.5" spans="2:8">
      <c r="B31" s="13">
        <v>800004</v>
      </c>
      <c r="C31" s="14" t="s">
        <v>1122</v>
      </c>
      <c r="D31" s="15">
        <v>0</v>
      </c>
      <c r="E31" s="15">
        <v>80</v>
      </c>
      <c r="F31" s="16" t="s">
        <v>654</v>
      </c>
      <c r="G31" s="4" t="s">
        <v>603</v>
      </c>
      <c r="H31" t="e">
        <f>VLOOKUP(C31,[2]英雄召唤星组!$F:$G,2,0)</f>
        <v>#N/A</v>
      </c>
    </row>
    <row r="32" ht="16.5" spans="2:8">
      <c r="B32" s="13">
        <v>800007</v>
      </c>
      <c r="C32" s="14" t="s">
        <v>1123</v>
      </c>
      <c r="D32" s="15">
        <v>0</v>
      </c>
      <c r="E32" s="15">
        <v>80</v>
      </c>
      <c r="F32" s="16" t="s">
        <v>656</v>
      </c>
      <c r="G32" s="4" t="s">
        <v>600</v>
      </c>
      <c r="H32" t="e">
        <f>VLOOKUP(C32,[2]英雄召唤星组!$F:$G,2,0)</f>
        <v>#N/A</v>
      </c>
    </row>
    <row r="33" ht="16.5" spans="2:8">
      <c r="B33" s="13">
        <v>800008</v>
      </c>
      <c r="C33" s="14" t="s">
        <v>1124</v>
      </c>
      <c r="D33" s="15">
        <v>0</v>
      </c>
      <c r="E33" s="15">
        <v>80</v>
      </c>
      <c r="F33" s="16" t="s">
        <v>1125</v>
      </c>
      <c r="G33" s="4" t="s">
        <v>600</v>
      </c>
      <c r="H33" t="e">
        <f>VLOOKUP(C33,[2]英雄召唤星组!$F:$G,2,0)</f>
        <v>#N/A</v>
      </c>
    </row>
    <row r="34" ht="16.5" spans="2:8">
      <c r="B34" s="13">
        <v>800009</v>
      </c>
      <c r="C34" s="14" t="s">
        <v>1126</v>
      </c>
      <c r="D34" s="15">
        <v>0</v>
      </c>
      <c r="E34" s="15">
        <v>80</v>
      </c>
      <c r="F34" s="16" t="s">
        <v>162</v>
      </c>
      <c r="G34" s="4" t="s">
        <v>600</v>
      </c>
      <c r="H34" t="e">
        <f>VLOOKUP(C34,[2]英雄召唤星组!$F:$G,2,0)</f>
        <v>#N/A</v>
      </c>
    </row>
    <row r="35" ht="16.5" spans="2:8">
      <c r="B35" s="13">
        <v>800011</v>
      </c>
      <c r="C35" s="14" t="s">
        <v>1127</v>
      </c>
      <c r="D35" s="15">
        <v>0</v>
      </c>
      <c r="E35" s="15">
        <v>80</v>
      </c>
      <c r="F35" s="16" t="s">
        <v>606</v>
      </c>
      <c r="G35" s="4" t="s">
        <v>603</v>
      </c>
      <c r="H35" t="e">
        <f>VLOOKUP(C35,[2]英雄召唤星组!$F:$G,2,0)</f>
        <v>#N/A</v>
      </c>
    </row>
    <row r="36" ht="16.5" spans="2:8">
      <c r="B36" s="13">
        <v>800012</v>
      </c>
      <c r="C36" s="14" t="s">
        <v>1128</v>
      </c>
      <c r="D36" s="15">
        <v>0</v>
      </c>
      <c r="E36" s="15">
        <v>80</v>
      </c>
      <c r="F36" s="16" t="s">
        <v>294</v>
      </c>
      <c r="G36" s="4" t="s">
        <v>603</v>
      </c>
      <c r="H36" t="e">
        <f>VLOOKUP(C36,[2]英雄召唤星组!$F:$G,2,0)</f>
        <v>#N/A</v>
      </c>
    </row>
    <row r="37" ht="16.5" spans="2:8">
      <c r="B37" s="13">
        <v>800014</v>
      </c>
      <c r="C37" s="14" t="s">
        <v>1129</v>
      </c>
      <c r="D37" s="15">
        <v>0</v>
      </c>
      <c r="E37" s="15">
        <v>80</v>
      </c>
      <c r="F37" s="16" t="s">
        <v>204</v>
      </c>
      <c r="G37" s="4" t="s">
        <v>603</v>
      </c>
      <c r="H37" t="e">
        <f>VLOOKUP(C37,[2]英雄召唤星组!$F:$G,2,0)</f>
        <v>#N/A</v>
      </c>
    </row>
    <row r="38" ht="16.5" spans="2:8">
      <c r="B38" s="13">
        <v>800015</v>
      </c>
      <c r="C38" s="14" t="s">
        <v>1130</v>
      </c>
      <c r="D38" s="15">
        <v>0</v>
      </c>
      <c r="E38" s="15">
        <v>80</v>
      </c>
      <c r="F38" s="16" t="s">
        <v>326</v>
      </c>
      <c r="G38" s="4" t="s">
        <v>603</v>
      </c>
      <c r="H38" t="e">
        <f>VLOOKUP(C38,[2]英雄召唤星组!$F:$G,2,0)</f>
        <v>#N/A</v>
      </c>
    </row>
    <row r="39" ht="16.5" spans="2:8">
      <c r="B39" s="13">
        <v>800017</v>
      </c>
      <c r="C39" s="14" t="s">
        <v>1131</v>
      </c>
      <c r="D39" s="15">
        <v>0</v>
      </c>
      <c r="E39" s="15">
        <v>80</v>
      </c>
      <c r="F39" s="16" t="s">
        <v>156</v>
      </c>
      <c r="G39" s="4" t="s">
        <v>600</v>
      </c>
      <c r="H39" t="e">
        <f>VLOOKUP(C39,[2]英雄召唤星组!$F:$G,2,0)</f>
        <v>#N/A</v>
      </c>
    </row>
    <row r="40" ht="16.5" spans="2:8">
      <c r="B40" s="13">
        <v>800018</v>
      </c>
      <c r="C40" s="14" t="s">
        <v>1132</v>
      </c>
      <c r="D40" s="15">
        <v>0</v>
      </c>
      <c r="E40" s="15">
        <v>80</v>
      </c>
      <c r="F40" s="16" t="s">
        <v>1133</v>
      </c>
      <c r="G40" s="4" t="s">
        <v>600</v>
      </c>
      <c r="H40" t="e">
        <f>VLOOKUP(C40,[2]英雄召唤星组!$F:$G,2,0)</f>
        <v>#N/A</v>
      </c>
    </row>
    <row r="41" ht="16.5" spans="2:8">
      <c r="B41" s="13">
        <v>800019</v>
      </c>
      <c r="C41" s="14" t="s">
        <v>1134</v>
      </c>
      <c r="D41" s="15">
        <v>0</v>
      </c>
      <c r="E41" s="15">
        <v>80</v>
      </c>
      <c r="F41" s="16" t="s">
        <v>660</v>
      </c>
      <c r="G41" s="4" t="s">
        <v>600</v>
      </c>
      <c r="H41" t="e">
        <f>VLOOKUP(C41,[2]英雄召唤星组!$F:$G,2,0)</f>
        <v>#N/A</v>
      </c>
    </row>
    <row r="42" ht="16.5" spans="2:8">
      <c r="B42" s="13">
        <v>800021</v>
      </c>
      <c r="C42" s="14" t="s">
        <v>1135</v>
      </c>
      <c r="D42" s="15">
        <v>0</v>
      </c>
      <c r="E42" s="15">
        <v>80</v>
      </c>
      <c r="F42" s="16" t="s">
        <v>291</v>
      </c>
      <c r="G42" s="4" t="s">
        <v>603</v>
      </c>
      <c r="H42" t="e">
        <f>VLOOKUP(C42,[2]英雄召唤星组!$F:$G,2,0)</f>
        <v>#N/A</v>
      </c>
    </row>
    <row r="43" ht="16.5" spans="2:8">
      <c r="B43" s="13">
        <v>800022</v>
      </c>
      <c r="C43" s="14" t="s">
        <v>1136</v>
      </c>
      <c r="D43" s="15">
        <v>0</v>
      </c>
      <c r="E43" s="15">
        <v>80</v>
      </c>
      <c r="F43" s="16" t="s">
        <v>172</v>
      </c>
      <c r="G43" s="4" t="s">
        <v>603</v>
      </c>
      <c r="H43">
        <f>VLOOKUP(C43,[2]英雄召唤星组!$F:$G,2,0)</f>
        <v>5</v>
      </c>
    </row>
    <row r="44" ht="16.5" spans="2:8">
      <c r="B44" s="13">
        <v>800027</v>
      </c>
      <c r="C44" s="14" t="s">
        <v>1137</v>
      </c>
      <c r="D44" s="15">
        <v>0</v>
      </c>
      <c r="E44" s="15">
        <v>80</v>
      </c>
      <c r="F44" s="16" t="s">
        <v>610</v>
      </c>
      <c r="G44" s="4" t="s">
        <v>600</v>
      </c>
      <c r="H44" t="e">
        <f>VLOOKUP(C44,[2]英雄召唤星组!$F:$G,2,0)</f>
        <v>#N/A</v>
      </c>
    </row>
    <row r="45" ht="16.5" spans="2:8">
      <c r="B45" s="13">
        <v>800028</v>
      </c>
      <c r="C45" s="14" t="s">
        <v>1138</v>
      </c>
      <c r="D45" s="15">
        <v>0</v>
      </c>
      <c r="E45" s="15">
        <v>80</v>
      </c>
      <c r="F45" s="16" t="s">
        <v>158</v>
      </c>
      <c r="G45" s="4" t="s">
        <v>600</v>
      </c>
      <c r="H45">
        <f>VLOOKUP(C45,[2]英雄召唤星组!$F:$G,2,0)</f>
        <v>5</v>
      </c>
    </row>
    <row r="46" ht="16.5" spans="2:8">
      <c r="B46" s="13">
        <v>800029</v>
      </c>
      <c r="C46" s="14" t="s">
        <v>1139</v>
      </c>
      <c r="D46" s="15">
        <v>0</v>
      </c>
      <c r="E46" s="15">
        <v>80</v>
      </c>
      <c r="F46" s="16" t="s">
        <v>207</v>
      </c>
      <c r="G46" s="4" t="s">
        <v>629</v>
      </c>
      <c r="H46" t="e">
        <f>VLOOKUP(C46,[2]英雄召唤星组!$F:$G,2,0)</f>
        <v>#N/A</v>
      </c>
    </row>
    <row r="47" ht="16.5" spans="2:8">
      <c r="B47" s="13">
        <v>800030</v>
      </c>
      <c r="C47" s="14" t="s">
        <v>1140</v>
      </c>
      <c r="D47" s="15">
        <v>0</v>
      </c>
      <c r="E47" s="15">
        <v>80</v>
      </c>
      <c r="F47" s="16" t="s">
        <v>662</v>
      </c>
      <c r="G47" s="4" t="s">
        <v>629</v>
      </c>
      <c r="H47" t="e">
        <f>VLOOKUP(C47,[2]英雄召唤星组!$F:$G,2,0)</f>
        <v>#N/A</v>
      </c>
    </row>
    <row r="48" ht="16.5" spans="2:8">
      <c r="B48" s="13">
        <v>800031</v>
      </c>
      <c r="C48" s="14" t="s">
        <v>1141</v>
      </c>
      <c r="D48" s="15">
        <v>0</v>
      </c>
      <c r="E48" s="15">
        <v>80</v>
      </c>
      <c r="F48" s="16" t="s">
        <v>1142</v>
      </c>
      <c r="G48" s="4" t="s">
        <v>600</v>
      </c>
      <c r="H48" t="e">
        <f>VLOOKUP(C48,[2]英雄召唤星组!$F:$G,2,0)</f>
        <v>#N/A</v>
      </c>
    </row>
    <row r="49" ht="16.5" spans="2:8">
      <c r="B49" s="13">
        <v>800032</v>
      </c>
      <c r="C49" s="14" t="s">
        <v>1143</v>
      </c>
      <c r="D49" s="15">
        <v>0</v>
      </c>
      <c r="E49" s="15">
        <v>80</v>
      </c>
      <c r="F49" s="16" t="s">
        <v>148</v>
      </c>
      <c r="G49" s="4" t="s">
        <v>600</v>
      </c>
      <c r="H49" t="e">
        <f>VLOOKUP(C49,[2]英雄召唤星组!$F:$G,2,0)</f>
        <v>#N/A</v>
      </c>
    </row>
    <row r="50" ht="16.5" spans="2:8">
      <c r="B50" s="13">
        <v>800034</v>
      </c>
      <c r="C50" s="14" t="s">
        <v>1144</v>
      </c>
      <c r="D50" s="15">
        <v>0</v>
      </c>
      <c r="E50" s="15">
        <v>80</v>
      </c>
      <c r="F50" s="16" t="s">
        <v>616</v>
      </c>
      <c r="G50" s="4" t="s">
        <v>1145</v>
      </c>
      <c r="H50" t="e">
        <f>VLOOKUP(C50,[2]英雄召唤星组!$F:$G,2,0)</f>
        <v>#N/A</v>
      </c>
    </row>
    <row r="51" ht="16.5" spans="2:8">
      <c r="B51" s="13">
        <v>800035</v>
      </c>
      <c r="C51" s="14" t="s">
        <v>1146</v>
      </c>
      <c r="D51" s="15">
        <v>0</v>
      </c>
      <c r="E51" s="15">
        <v>80</v>
      </c>
      <c r="F51" s="16" t="s">
        <v>620</v>
      </c>
      <c r="G51" s="4" t="s">
        <v>1145</v>
      </c>
      <c r="H51" t="e">
        <f>VLOOKUP(C51,[2]英雄召唤星组!$F:$G,2,0)</f>
        <v>#N/A</v>
      </c>
    </row>
    <row r="52" ht="16.5" spans="2:8">
      <c r="B52" s="13">
        <v>800036</v>
      </c>
      <c r="C52" s="14" t="s">
        <v>1147</v>
      </c>
      <c r="D52" s="15">
        <v>0</v>
      </c>
      <c r="E52" s="15">
        <v>80</v>
      </c>
      <c r="F52" s="16" t="s">
        <v>614</v>
      </c>
      <c r="G52" s="4" t="s">
        <v>1145</v>
      </c>
      <c r="H52" t="e">
        <f>VLOOKUP(C52,[2]英雄召唤星组!$F:$G,2,0)</f>
        <v>#N/A</v>
      </c>
    </row>
    <row r="53" ht="16.5" spans="2:8">
      <c r="B53" s="13">
        <v>800039</v>
      </c>
      <c r="C53" s="14" t="s">
        <v>1148</v>
      </c>
      <c r="D53" s="15">
        <v>0</v>
      </c>
      <c r="E53" s="15">
        <v>80</v>
      </c>
      <c r="F53" s="16" t="s">
        <v>622</v>
      </c>
      <c r="G53" s="4" t="s">
        <v>600</v>
      </c>
      <c r="H53" t="e">
        <f>VLOOKUP(C53,[2]英雄召唤星组!$F:$G,2,0)</f>
        <v>#N/A</v>
      </c>
    </row>
    <row r="54" ht="16.5" spans="2:8">
      <c r="B54" s="13">
        <v>800040</v>
      </c>
      <c r="C54" s="14" t="s">
        <v>1149</v>
      </c>
      <c r="D54" s="15">
        <v>0</v>
      </c>
      <c r="E54" s="15">
        <v>80</v>
      </c>
      <c r="F54" s="16" t="s">
        <v>209</v>
      </c>
      <c r="G54" s="4" t="s">
        <v>600</v>
      </c>
      <c r="H54">
        <f>VLOOKUP(C54,[2]英雄召唤星组!$F:$G,2,0)</f>
        <v>5</v>
      </c>
    </row>
    <row r="55" ht="16.5" spans="2:8">
      <c r="B55" s="13">
        <v>800041</v>
      </c>
      <c r="C55" s="14" t="s">
        <v>1150</v>
      </c>
      <c r="D55" s="15">
        <v>0</v>
      </c>
      <c r="E55" s="15">
        <v>80</v>
      </c>
      <c r="F55" s="16" t="s">
        <v>624</v>
      </c>
      <c r="G55" s="4" t="s">
        <v>1145</v>
      </c>
      <c r="H55" t="e">
        <f>VLOOKUP(C55,[2]英雄召唤星组!$F:$G,2,0)</f>
        <v>#N/A</v>
      </c>
    </row>
    <row r="56" ht="16.5" spans="2:8">
      <c r="B56" s="13">
        <v>800042</v>
      </c>
      <c r="C56" s="14" t="s">
        <v>1151</v>
      </c>
      <c r="D56" s="15">
        <v>0</v>
      </c>
      <c r="E56" s="15">
        <v>80</v>
      </c>
      <c r="F56" s="16" t="s">
        <v>151</v>
      </c>
      <c r="G56" s="4" t="s">
        <v>1145</v>
      </c>
      <c r="H56" t="e">
        <f>VLOOKUP(C56,[2]英雄召唤星组!$F:$G,2,0)</f>
        <v>#N/A</v>
      </c>
    </row>
    <row r="57" ht="16.5" spans="2:8">
      <c r="B57" s="13">
        <v>800043</v>
      </c>
      <c r="C57" s="14" t="s">
        <v>1152</v>
      </c>
      <c r="D57" s="15">
        <v>0</v>
      </c>
      <c r="E57" s="15">
        <v>80</v>
      </c>
      <c r="F57" s="16" t="s">
        <v>658</v>
      </c>
      <c r="G57" s="4" t="s">
        <v>1145</v>
      </c>
      <c r="H57" t="e">
        <f>VLOOKUP(C57,[2]英雄召唤星组!$F:$G,2,0)</f>
        <v>#N/A</v>
      </c>
    </row>
    <row r="58" ht="16.5" spans="2:8">
      <c r="B58" s="13">
        <v>800045</v>
      </c>
      <c r="C58" s="14" t="s">
        <v>1153</v>
      </c>
      <c r="D58" s="15">
        <v>0</v>
      </c>
      <c r="E58" s="15">
        <v>80</v>
      </c>
      <c r="F58" s="16" t="s">
        <v>1154</v>
      </c>
      <c r="G58" s="4" t="s">
        <v>632</v>
      </c>
      <c r="H58" t="e">
        <f>VLOOKUP(C58,[2]英雄召唤星组!$F:$G,2,0)</f>
        <v>#N/A</v>
      </c>
    </row>
    <row r="59" ht="16.5" spans="2:8">
      <c r="B59" s="13">
        <v>800046</v>
      </c>
      <c r="C59" s="14" t="s">
        <v>1155</v>
      </c>
      <c r="D59" s="15">
        <v>0</v>
      </c>
      <c r="E59" s="15">
        <v>80</v>
      </c>
      <c r="F59" s="16" t="s">
        <v>636</v>
      </c>
      <c r="G59" s="4" t="s">
        <v>632</v>
      </c>
      <c r="H59" t="e">
        <f>VLOOKUP(C59,[2]英雄召唤星组!$F:$G,2,0)</f>
        <v>#N/A</v>
      </c>
    </row>
    <row r="60" ht="16.5" spans="2:8">
      <c r="B60" s="13">
        <v>800047</v>
      </c>
      <c r="C60" s="14" t="s">
        <v>1156</v>
      </c>
      <c r="D60" s="15">
        <v>0</v>
      </c>
      <c r="E60" s="15">
        <v>80</v>
      </c>
      <c r="F60" s="16" t="s">
        <v>248</v>
      </c>
      <c r="G60" s="4" t="s">
        <v>632</v>
      </c>
      <c r="H60">
        <f>VLOOKUP(C60,[2]英雄召唤星组!$F:$G,2,0)</f>
        <v>4</v>
      </c>
    </row>
    <row r="61" ht="16.5" spans="2:8">
      <c r="B61" s="13">
        <v>800050</v>
      </c>
      <c r="C61" s="14" t="s">
        <v>1157</v>
      </c>
      <c r="D61" s="15">
        <v>0</v>
      </c>
      <c r="E61" s="15">
        <v>80</v>
      </c>
      <c r="F61" s="16" t="s">
        <v>1158</v>
      </c>
      <c r="G61" s="4" t="s">
        <v>632</v>
      </c>
      <c r="H61" t="e">
        <f>VLOOKUP(C61,[2]英雄召唤星组!$F:$G,2,0)</f>
        <v>#N/A</v>
      </c>
    </row>
    <row r="62" ht="16.5" spans="2:8">
      <c r="B62" s="13">
        <v>800052</v>
      </c>
      <c r="C62" s="14" t="s">
        <v>1159</v>
      </c>
      <c r="D62" s="15">
        <v>0</v>
      </c>
      <c r="E62" s="15">
        <v>80</v>
      </c>
      <c r="F62" s="16" t="s">
        <v>1160</v>
      </c>
      <c r="G62" s="4" t="s">
        <v>632</v>
      </c>
      <c r="H62" t="e">
        <f>VLOOKUP(C62,[2]英雄召唤星组!$F:$G,2,0)</f>
        <v>#N/A</v>
      </c>
    </row>
    <row r="63" ht="16.5" spans="2:8">
      <c r="B63" s="13">
        <v>800054</v>
      </c>
      <c r="C63" s="14" t="s">
        <v>1161</v>
      </c>
      <c r="D63" s="15">
        <v>0</v>
      </c>
      <c r="E63" s="15">
        <v>80</v>
      </c>
      <c r="F63" s="16" t="s">
        <v>1162</v>
      </c>
      <c r="G63" s="4" t="s">
        <v>632</v>
      </c>
      <c r="H63" t="e">
        <f>VLOOKUP(C63,[2]英雄召唤星组!$F:$G,2,0)</f>
        <v>#N/A</v>
      </c>
    </row>
    <row r="64" ht="16.5" spans="2:8">
      <c r="B64" s="13">
        <v>800056</v>
      </c>
      <c r="C64" s="14" t="s">
        <v>1163</v>
      </c>
      <c r="D64" s="15">
        <v>0</v>
      </c>
      <c r="E64" s="15">
        <v>80</v>
      </c>
      <c r="F64" s="16" t="s">
        <v>1164</v>
      </c>
      <c r="G64" s="4" t="s">
        <v>632</v>
      </c>
      <c r="H64" t="e">
        <f>VLOOKUP(C64,[2]英雄召唤星组!$F:$G,2,0)</f>
        <v>#N/A</v>
      </c>
    </row>
    <row r="65" ht="16.5" spans="2:8">
      <c r="B65" s="13">
        <v>800058</v>
      </c>
      <c r="C65" s="14" t="s">
        <v>1165</v>
      </c>
      <c r="D65" s="15">
        <v>0</v>
      </c>
      <c r="E65" s="15">
        <v>80</v>
      </c>
      <c r="F65" s="16" t="s">
        <v>1166</v>
      </c>
      <c r="G65" s="4" t="s">
        <v>632</v>
      </c>
      <c r="H65" t="e">
        <f>VLOOKUP(C65,[2]英雄召唤星组!$F:$G,2,0)</f>
        <v>#N/A</v>
      </c>
    </row>
    <row r="66" ht="16.5" spans="2:8">
      <c r="B66" s="13">
        <v>800059</v>
      </c>
      <c r="C66" s="14" t="s">
        <v>1167</v>
      </c>
      <c r="D66" s="15">
        <v>0</v>
      </c>
      <c r="E66" s="15">
        <v>80</v>
      </c>
      <c r="F66" s="16" t="s">
        <v>1168</v>
      </c>
      <c r="G66" s="4" t="s">
        <v>644</v>
      </c>
      <c r="H66" t="e">
        <f>VLOOKUP(C66,[2]英雄召唤星组!$F:$G,2,0)</f>
        <v>#N/A</v>
      </c>
    </row>
    <row r="67" ht="16.5" spans="2:8">
      <c r="B67" s="13">
        <v>800063</v>
      </c>
      <c r="C67" s="14" t="s">
        <v>1169</v>
      </c>
      <c r="D67" s="15">
        <v>0</v>
      </c>
      <c r="E67" s="15">
        <v>80</v>
      </c>
      <c r="F67" s="16" t="s">
        <v>1170</v>
      </c>
      <c r="G67" s="4" t="s">
        <v>644</v>
      </c>
      <c r="H67" t="e">
        <f>VLOOKUP(C67,[2]英雄召唤星组!$F:$G,2,0)</f>
        <v>#N/A</v>
      </c>
    </row>
    <row r="68" spans="2:5">
      <c r="B68" t="s">
        <v>350</v>
      </c>
      <c r="C68" t="str">
        <f t="shared" ref="C68:C108" si="0">RIGHT(B68,LEN(B68)-FIND(":",B68,1))</f>
        <v>100100:1</v>
      </c>
      <c r="D68" s="17">
        <v>100100</v>
      </c>
      <c r="E68" t="str">
        <f>VLOOKUP(D68,[3]基础物品!$A:$B,2,0)</f>
        <v>篆印：神恩</v>
      </c>
    </row>
    <row r="69" spans="2:5">
      <c r="B69" t="s">
        <v>353</v>
      </c>
      <c r="C69" t="str">
        <f t="shared" si="0"/>
        <v>100101:1</v>
      </c>
      <c r="D69" s="17">
        <v>100101</v>
      </c>
      <c r="E69" t="str">
        <f>VLOOKUP(D69,[3]基础物品!$A:$B,2,0)</f>
        <v>篆印：法连</v>
      </c>
    </row>
    <row r="70" spans="2:5">
      <c r="B70" t="s">
        <v>356</v>
      </c>
      <c r="C70" t="str">
        <f t="shared" si="0"/>
        <v>100102:1</v>
      </c>
      <c r="D70" s="17">
        <v>100102</v>
      </c>
      <c r="E70" t="str">
        <f>VLOOKUP(D70,[3]基础物品!$A:$B,2,0)</f>
        <v>篆印：厚甲</v>
      </c>
    </row>
    <row r="71" spans="2:5">
      <c r="B71" t="s">
        <v>359</v>
      </c>
      <c r="C71" t="str">
        <f t="shared" si="0"/>
        <v>100103:1</v>
      </c>
      <c r="D71" s="17">
        <v>100103</v>
      </c>
      <c r="E71" t="str">
        <f>VLOOKUP(D71,[3]基础物品!$A:$B,2,0)</f>
        <v>篆印：清洁</v>
      </c>
    </row>
    <row r="72" spans="2:5">
      <c r="B72" t="s">
        <v>361</v>
      </c>
      <c r="C72" t="str">
        <f t="shared" si="0"/>
        <v>100104:1</v>
      </c>
      <c r="D72" s="17">
        <v>100104</v>
      </c>
      <c r="E72" t="str">
        <f>VLOOKUP(D72,[3]基础物品!$A:$B,2,0)</f>
        <v>篆印：自律</v>
      </c>
    </row>
    <row r="73" spans="2:5">
      <c r="B73" t="s">
        <v>363</v>
      </c>
      <c r="C73" t="str">
        <f t="shared" si="0"/>
        <v>100105:1</v>
      </c>
      <c r="D73" s="17">
        <v>100105</v>
      </c>
      <c r="E73" t="str">
        <f>VLOOKUP(D73,[3]基础物品!$A:$B,2,0)</f>
        <v>篆印：抗控</v>
      </c>
    </row>
    <row r="74" spans="2:5">
      <c r="B74" t="s">
        <v>365</v>
      </c>
      <c r="C74" t="str">
        <f t="shared" si="0"/>
        <v>100106:1</v>
      </c>
      <c r="D74" s="17">
        <v>100106</v>
      </c>
      <c r="E74" t="str">
        <f>VLOOKUP(D74,[3]基础物品!$A:$B,2,0)</f>
        <v>篆印：闪避</v>
      </c>
    </row>
    <row r="75" spans="2:5">
      <c r="B75" t="s">
        <v>367</v>
      </c>
      <c r="C75" t="str">
        <f t="shared" si="0"/>
        <v>100107:1</v>
      </c>
      <c r="D75" s="17">
        <v>100107</v>
      </c>
      <c r="E75" t="str">
        <f>VLOOKUP(D75,[3]基础物品!$A:$B,2,0)</f>
        <v>篆印：愈合</v>
      </c>
    </row>
    <row r="76" spans="2:5">
      <c r="B76" t="s">
        <v>369</v>
      </c>
      <c r="C76" t="str">
        <f t="shared" si="0"/>
        <v>100108:1</v>
      </c>
      <c r="D76" s="17">
        <v>100108</v>
      </c>
      <c r="E76" t="str">
        <f>VLOOKUP(D76,[3]基础物品!$A:$B,2,0)</f>
        <v>篆印：免伤</v>
      </c>
    </row>
    <row r="77" spans="2:5">
      <c r="B77" t="s">
        <v>371</v>
      </c>
      <c r="C77" t="str">
        <f t="shared" si="0"/>
        <v>100109:1</v>
      </c>
      <c r="D77" s="17">
        <v>100109</v>
      </c>
      <c r="E77" t="str">
        <f>VLOOKUP(D77,[3]基础物品!$A:$B,2,0)</f>
        <v>篆印：神速</v>
      </c>
    </row>
    <row r="78" spans="2:5">
      <c r="B78" t="s">
        <v>373</v>
      </c>
      <c r="C78" t="str">
        <f t="shared" si="0"/>
        <v>100110:1</v>
      </c>
      <c r="D78" s="17">
        <v>100110</v>
      </c>
      <c r="E78" t="str">
        <f>VLOOKUP(D78,[3]基础物品!$A:$B,2,0)</f>
        <v>篆印：智慧</v>
      </c>
    </row>
    <row r="79" spans="2:5">
      <c r="B79" t="s">
        <v>375</v>
      </c>
      <c r="C79" t="str">
        <f t="shared" si="0"/>
        <v>100111:1</v>
      </c>
      <c r="D79" s="17">
        <v>100111</v>
      </c>
      <c r="E79" t="str">
        <f>VLOOKUP(D79,[3]基础物品!$A:$B,2,0)</f>
        <v>篆印：神武</v>
      </c>
    </row>
    <row r="80" spans="2:5">
      <c r="B80" t="s">
        <v>377</v>
      </c>
      <c r="C80" t="str">
        <f t="shared" si="0"/>
        <v>100112:1</v>
      </c>
      <c r="D80" s="17">
        <v>100112</v>
      </c>
      <c r="E80" t="str">
        <f>VLOOKUP(D80,[3]基础物品!$A:$B,2,0)</f>
        <v>篆印：追击</v>
      </c>
    </row>
    <row r="81" spans="2:5">
      <c r="B81" t="s">
        <v>379</v>
      </c>
      <c r="C81" t="str">
        <f t="shared" si="0"/>
        <v>100113:1</v>
      </c>
      <c r="D81" s="17">
        <v>100113</v>
      </c>
      <c r="E81" t="str">
        <f>VLOOKUP(D81,[3]基础物品!$A:$B,2,0)</f>
        <v>篆印：暴袭</v>
      </c>
    </row>
    <row r="82" spans="2:5">
      <c r="B82" t="s">
        <v>381</v>
      </c>
      <c r="C82" t="str">
        <f t="shared" si="0"/>
        <v>100114:1</v>
      </c>
      <c r="D82" s="17">
        <v>100114</v>
      </c>
      <c r="E82" t="str">
        <f>VLOOKUP(D82,[3]基础物品!$A:$B,2,0)</f>
        <v>篆印：暴怒</v>
      </c>
    </row>
    <row r="83" spans="2:5">
      <c r="B83" t="s">
        <v>383</v>
      </c>
      <c r="C83" t="str">
        <f t="shared" si="0"/>
        <v>100115:1</v>
      </c>
      <c r="D83" s="17">
        <v>100115</v>
      </c>
      <c r="E83" t="str">
        <f>VLOOKUP(D83,[3]基础物品!$A:$B,2,0)</f>
        <v>篆印：狂暴</v>
      </c>
    </row>
    <row r="84" spans="2:5">
      <c r="B84" t="s">
        <v>385</v>
      </c>
      <c r="C84" t="str">
        <f t="shared" si="0"/>
        <v>100116:1</v>
      </c>
      <c r="D84" s="17">
        <v>100116</v>
      </c>
      <c r="E84" t="str">
        <f>VLOOKUP(D84,[3]基础物品!$A:$B,2,0)</f>
        <v>篆印：血怒</v>
      </c>
    </row>
    <row r="85" spans="2:5">
      <c r="B85" t="s">
        <v>416</v>
      </c>
      <c r="C85" t="str">
        <f t="shared" si="0"/>
        <v>100117:1</v>
      </c>
      <c r="D85" s="17">
        <v>100117</v>
      </c>
      <c r="E85" t="str">
        <f>VLOOKUP(D85,[3]基础物品!$A:$B,2,0)</f>
        <v>篆印：庇护</v>
      </c>
    </row>
    <row r="86" spans="2:5">
      <c r="B86" t="s">
        <v>442</v>
      </c>
      <c r="C86" t="str">
        <f t="shared" si="0"/>
        <v>100118:1</v>
      </c>
      <c r="D86" s="17">
        <v>100118</v>
      </c>
      <c r="E86" t="str">
        <f>VLOOKUP(D86,[3]基础物品!$A:$B,2,0)</f>
        <v>篆印：战吼</v>
      </c>
    </row>
    <row r="87" spans="2:5">
      <c r="B87" t="s">
        <v>440</v>
      </c>
      <c r="C87" t="str">
        <f t="shared" si="0"/>
        <v>100119:1</v>
      </c>
      <c r="D87" s="17">
        <v>100119</v>
      </c>
      <c r="E87" t="str">
        <f>VLOOKUP(D87,[3]基础物品!$A:$B,2,0)</f>
        <v>篆印：疫病</v>
      </c>
    </row>
    <row r="88" spans="2:5">
      <c r="B88" t="s">
        <v>424</v>
      </c>
      <c r="C88" t="str">
        <f t="shared" si="0"/>
        <v>100120:1</v>
      </c>
      <c r="D88" s="17">
        <v>100120</v>
      </c>
      <c r="E88" t="str">
        <f>VLOOKUP(D88,[3]基础物品!$A:$B,2,0)</f>
        <v>篆印：拘魂</v>
      </c>
    </row>
    <row r="89" spans="2:5">
      <c r="B89" t="s">
        <v>432</v>
      </c>
      <c r="C89" t="str">
        <f t="shared" si="0"/>
        <v>100121:1</v>
      </c>
      <c r="D89" s="17">
        <v>100121</v>
      </c>
      <c r="E89" t="str">
        <f>VLOOKUP(D89,[3]基础物品!$A:$B,2,0)</f>
        <v>篆印：驱散</v>
      </c>
    </row>
    <row r="90" spans="2:5">
      <c r="B90" t="s">
        <v>426</v>
      </c>
      <c r="C90" t="str">
        <f t="shared" si="0"/>
        <v>100122:1</v>
      </c>
      <c r="D90" s="17">
        <v>100122</v>
      </c>
      <c r="E90" t="str">
        <f>VLOOKUP(D90,[3]基础物品!$A:$B,2,0)</f>
        <v>篆印：猛击</v>
      </c>
    </row>
    <row r="91" spans="2:5">
      <c r="B91" t="s">
        <v>418</v>
      </c>
      <c r="C91" t="str">
        <f t="shared" si="0"/>
        <v>100123:1</v>
      </c>
      <c r="D91" s="17">
        <v>100123</v>
      </c>
      <c r="E91" t="str">
        <f>VLOOKUP(D91,[3]基础物品!$A:$B,2,0)</f>
        <v>篆印：嘲讽</v>
      </c>
    </row>
    <row r="92" spans="2:5">
      <c r="B92" t="s">
        <v>422</v>
      </c>
      <c r="C92" t="str">
        <f t="shared" si="0"/>
        <v>100124:1</v>
      </c>
      <c r="D92" s="17">
        <v>100124</v>
      </c>
      <c r="E92" t="str">
        <f>VLOOKUP(D92,[3]基础物品!$A:$B,2,0)</f>
        <v>篆印：减速</v>
      </c>
    </row>
    <row r="93" spans="2:5">
      <c r="B93" t="s">
        <v>438</v>
      </c>
      <c r="C93" t="str">
        <f t="shared" si="0"/>
        <v>100125:1</v>
      </c>
      <c r="D93" s="17">
        <v>100125</v>
      </c>
      <c r="E93" t="str">
        <f>VLOOKUP(D93,[3]基础物品!$A:$B,2,0)</f>
        <v>篆印：牺牲</v>
      </c>
    </row>
    <row r="94" spans="2:5">
      <c r="B94" t="s">
        <v>444</v>
      </c>
      <c r="C94" t="str">
        <f t="shared" si="0"/>
        <v>100126:1</v>
      </c>
      <c r="D94" s="17">
        <v>100126</v>
      </c>
      <c r="E94" t="str">
        <f>VLOOKUP(D94,[3]基础物品!$A:$B,2,0)</f>
        <v>篆印：压制</v>
      </c>
    </row>
    <row r="95" spans="2:5">
      <c r="B95" t="s">
        <v>428</v>
      </c>
      <c r="C95" t="str">
        <f t="shared" si="0"/>
        <v>100127:1</v>
      </c>
      <c r="D95" s="17">
        <v>100127</v>
      </c>
      <c r="E95" t="str">
        <f>VLOOKUP(D95,[3]基础物品!$A:$B,2,0)</f>
        <v>篆印：瞄准</v>
      </c>
    </row>
    <row r="96" spans="2:5">
      <c r="B96" t="s">
        <v>396</v>
      </c>
      <c r="C96" t="str">
        <f t="shared" si="0"/>
        <v>100128:1</v>
      </c>
      <c r="D96" s="17">
        <v>100128</v>
      </c>
      <c r="E96" t="str">
        <f>VLOOKUP(D96,[3]基础物品!$A:$B,2,0)</f>
        <v>篆印：再生</v>
      </c>
    </row>
    <row r="97" spans="2:5">
      <c r="B97" t="s">
        <v>398</v>
      </c>
      <c r="C97" t="str">
        <f t="shared" si="0"/>
        <v>100129:1</v>
      </c>
      <c r="D97" s="17">
        <v>100129</v>
      </c>
      <c r="E97" t="str">
        <f>VLOOKUP(D97,[3]基础物品!$A:$B,2,0)</f>
        <v>篆印：重生</v>
      </c>
    </row>
    <row r="98" spans="2:5">
      <c r="B98" t="s">
        <v>400</v>
      </c>
      <c r="C98" t="str">
        <f t="shared" si="0"/>
        <v>100130:1</v>
      </c>
      <c r="D98" s="17">
        <v>100130</v>
      </c>
      <c r="E98" t="str">
        <f>VLOOKUP(D98,[3]基础物品!$A:$B,2,0)</f>
        <v>篆印：止暴</v>
      </c>
    </row>
    <row r="99" spans="2:5">
      <c r="B99" t="s">
        <v>402</v>
      </c>
      <c r="C99" t="str">
        <f t="shared" si="0"/>
        <v>100131:1</v>
      </c>
      <c r="D99" s="17">
        <v>100131</v>
      </c>
      <c r="E99" t="str">
        <f>VLOOKUP(D99,[3]基础物品!$A:$B,2,0)</f>
        <v>篆印：魔甲</v>
      </c>
    </row>
    <row r="100" spans="2:5">
      <c r="B100" t="s">
        <v>404</v>
      </c>
      <c r="C100" t="str">
        <f t="shared" si="0"/>
        <v>100132:1</v>
      </c>
      <c r="D100" s="17">
        <v>100132</v>
      </c>
      <c r="E100" t="str">
        <f>VLOOKUP(D100,[3]基础物品!$A:$B,2,0)</f>
        <v>篆印：战甲</v>
      </c>
    </row>
    <row r="101" spans="2:5">
      <c r="B101" t="s">
        <v>406</v>
      </c>
      <c r="C101" t="str">
        <f t="shared" si="0"/>
        <v>100133:1</v>
      </c>
      <c r="D101" s="17">
        <v>100133</v>
      </c>
      <c r="E101" t="str">
        <f>VLOOKUP(D101,[3]基础物品!$A:$B,2,0)</f>
        <v>篆印：毅重</v>
      </c>
    </row>
    <row r="102" spans="2:5">
      <c r="B102" t="s">
        <v>388</v>
      </c>
      <c r="C102" t="str">
        <f t="shared" si="0"/>
        <v>100134:1</v>
      </c>
      <c r="D102" s="17">
        <v>100134</v>
      </c>
      <c r="E102" t="str">
        <f>VLOOKUP(D102,[3]基础物品!$A:$B,2,0)</f>
        <v>篆印：穿透</v>
      </c>
    </row>
    <row r="103" spans="2:5">
      <c r="B103" t="s">
        <v>408</v>
      </c>
      <c r="C103" t="str">
        <f t="shared" si="0"/>
        <v>100135:1</v>
      </c>
      <c r="D103" s="17">
        <v>100135</v>
      </c>
      <c r="E103" t="str">
        <f>VLOOKUP(D103,[3]基础物品!$A:$B,2,0)</f>
        <v>篆印：控场</v>
      </c>
    </row>
    <row r="104" spans="2:5">
      <c r="B104" t="s">
        <v>390</v>
      </c>
      <c r="C104" t="str">
        <f t="shared" si="0"/>
        <v>100136:1</v>
      </c>
      <c r="D104" s="17">
        <v>100136</v>
      </c>
      <c r="E104" t="str">
        <f>VLOOKUP(D104,[3]基础物品!$A:$B,2,0)</f>
        <v>篆印：物连</v>
      </c>
    </row>
    <row r="105" spans="2:5">
      <c r="B105" t="s">
        <v>392</v>
      </c>
      <c r="C105" t="str">
        <f t="shared" si="0"/>
        <v>100137:1</v>
      </c>
      <c r="D105" s="17">
        <v>100137</v>
      </c>
      <c r="E105" t="str">
        <f>VLOOKUP(D105,[3]基础物品!$A:$B,2,0)</f>
        <v>篆印：吸血</v>
      </c>
    </row>
    <row r="106" spans="2:5">
      <c r="B106" t="s">
        <v>410</v>
      </c>
      <c r="C106" t="str">
        <f t="shared" si="0"/>
        <v>100138:1</v>
      </c>
      <c r="D106" s="17">
        <v>100138</v>
      </c>
      <c r="E106" t="str">
        <f>VLOOKUP(D106,[3]基础物品!$A:$B,2,0)</f>
        <v>篆印：援护</v>
      </c>
    </row>
    <row r="107" spans="2:5">
      <c r="B107" t="s">
        <v>412</v>
      </c>
      <c r="C107" t="str">
        <f t="shared" si="0"/>
        <v>100139:1</v>
      </c>
      <c r="D107" s="17">
        <v>100139</v>
      </c>
      <c r="E107" t="str">
        <f>VLOOKUP(D107,[3]基础物品!$A:$B,2,0)</f>
        <v>篆印：反伤</v>
      </c>
    </row>
    <row r="108" spans="2:5">
      <c r="B108" t="s">
        <v>394</v>
      </c>
      <c r="C108" t="str">
        <f t="shared" si="0"/>
        <v>100140:1</v>
      </c>
      <c r="D108" s="17">
        <v>100140</v>
      </c>
      <c r="E108" t="str">
        <f>VLOOKUP(D108,[3]基础物品!$A:$B,2,0)</f>
        <v>篆印：悍勇</v>
      </c>
    </row>
    <row r="115" spans="1:1">
      <c r="A115" s="5" t="s">
        <v>1171</v>
      </c>
    </row>
    <row r="116" s="11" customFormat="1" ht="16.5" spans="1:15">
      <c r="A116" s="13">
        <v>500001</v>
      </c>
      <c r="B116" s="18" t="s">
        <v>1172</v>
      </c>
      <c r="C116" s="15">
        <v>0</v>
      </c>
      <c r="D116" s="15">
        <v>50</v>
      </c>
      <c r="E116" s="16" t="s">
        <v>1173</v>
      </c>
      <c r="F116" s="4" t="s">
        <v>1174</v>
      </c>
      <c r="G116" s="14"/>
      <c r="H116" s="14"/>
      <c r="I116" s="14">
        <v>1</v>
      </c>
      <c r="J116" s="13">
        <v>0</v>
      </c>
      <c r="K116" s="13"/>
      <c r="L116" s="13"/>
      <c r="M116"/>
      <c r="N116"/>
      <c r="O116"/>
    </row>
    <row r="117" s="11" customFormat="1" ht="16.5" spans="1:15">
      <c r="A117" s="13">
        <v>500002</v>
      </c>
      <c r="B117" s="18" t="s">
        <v>1175</v>
      </c>
      <c r="C117" s="15">
        <v>0</v>
      </c>
      <c r="D117" s="15">
        <v>50</v>
      </c>
      <c r="E117" s="16" t="s">
        <v>1176</v>
      </c>
      <c r="F117" s="4" t="s">
        <v>1177</v>
      </c>
      <c r="G117" s="14"/>
      <c r="H117" s="14"/>
      <c r="I117" s="14">
        <v>2</v>
      </c>
      <c r="J117" s="13">
        <v>0</v>
      </c>
      <c r="K117" s="13"/>
      <c r="L117" s="13"/>
      <c r="M117"/>
      <c r="N117"/>
      <c r="O117"/>
    </row>
    <row r="118" s="11" customFormat="1" ht="16.5" spans="1:15">
      <c r="A118" s="13">
        <v>500003</v>
      </c>
      <c r="B118" s="18" t="s">
        <v>1178</v>
      </c>
      <c r="C118" s="15">
        <v>0</v>
      </c>
      <c r="D118" s="15">
        <v>50</v>
      </c>
      <c r="E118" s="16" t="s">
        <v>1179</v>
      </c>
      <c r="F118" s="4" t="s">
        <v>1177</v>
      </c>
      <c r="G118" s="14"/>
      <c r="H118" s="14"/>
      <c r="I118" s="14">
        <v>3</v>
      </c>
      <c r="J118" s="13">
        <v>0</v>
      </c>
      <c r="K118" s="13"/>
      <c r="L118" s="13"/>
      <c r="M118"/>
      <c r="N118"/>
      <c r="O118"/>
    </row>
    <row r="119" s="11" customFormat="1" ht="16.5" spans="1:15">
      <c r="A119" s="13">
        <v>500004</v>
      </c>
      <c r="B119" s="18" t="s">
        <v>1180</v>
      </c>
      <c r="C119" s="15">
        <v>0</v>
      </c>
      <c r="D119" s="15">
        <v>50</v>
      </c>
      <c r="E119" s="16" t="s">
        <v>1181</v>
      </c>
      <c r="F119" s="4" t="s">
        <v>1177</v>
      </c>
      <c r="G119" s="14"/>
      <c r="H119" s="14"/>
      <c r="I119" s="14">
        <v>4</v>
      </c>
      <c r="J119" s="13">
        <v>0</v>
      </c>
      <c r="K119" s="13"/>
      <c r="L119" s="13"/>
      <c r="M119"/>
      <c r="N119"/>
      <c r="O119"/>
    </row>
    <row r="120" s="11" customFormat="1" ht="16.5" spans="1:15">
      <c r="A120" s="13">
        <v>500005</v>
      </c>
      <c r="B120" s="18" t="s">
        <v>1182</v>
      </c>
      <c r="C120" s="15">
        <v>0</v>
      </c>
      <c r="D120" s="15">
        <v>50</v>
      </c>
      <c r="E120" s="16" t="s">
        <v>1183</v>
      </c>
      <c r="F120" s="4" t="s">
        <v>1174</v>
      </c>
      <c r="G120" s="14"/>
      <c r="H120" s="14"/>
      <c r="I120" s="14">
        <v>5</v>
      </c>
      <c r="J120" s="13">
        <v>0</v>
      </c>
      <c r="K120" s="13"/>
      <c r="L120" s="13"/>
      <c r="M120"/>
      <c r="N120"/>
      <c r="O120"/>
    </row>
    <row r="121" s="12" customFormat="1" ht="16.5" spans="1:16">
      <c r="A121" s="13">
        <v>500006</v>
      </c>
      <c r="B121" s="18" t="s">
        <v>1182</v>
      </c>
      <c r="C121" s="15">
        <v>0</v>
      </c>
      <c r="D121" s="15">
        <v>50</v>
      </c>
      <c r="E121" s="16" t="s">
        <v>1184</v>
      </c>
      <c r="F121" s="4" t="s">
        <v>1174</v>
      </c>
      <c r="G121" s="14"/>
      <c r="H121" s="14"/>
      <c r="I121" s="14">
        <v>6</v>
      </c>
      <c r="J121" s="13">
        <v>0</v>
      </c>
      <c r="K121" s="13"/>
      <c r="L121" s="13"/>
      <c r="M121"/>
      <c r="N121"/>
      <c r="O121"/>
      <c r="P121" s="11"/>
    </row>
    <row r="126" s="11" customFormat="1" ht="16.5" spans="1:15">
      <c r="A126" s="13">
        <v>350018</v>
      </c>
      <c r="B126" s="18" t="s">
        <v>1132</v>
      </c>
      <c r="C126" s="15">
        <v>0</v>
      </c>
      <c r="D126" s="15">
        <v>35</v>
      </c>
      <c r="E126" s="16" t="s">
        <v>1133</v>
      </c>
      <c r="F126" s="4" t="s">
        <v>346</v>
      </c>
      <c r="G126" s="14"/>
      <c r="H126" s="13">
        <v>1</v>
      </c>
      <c r="I126" s="13">
        <v>18</v>
      </c>
      <c r="J126" s="13">
        <v>0</v>
      </c>
      <c r="K126" s="19" t="s">
        <v>37</v>
      </c>
      <c r="M126"/>
      <c r="N126"/>
      <c r="O126"/>
    </row>
    <row r="127" s="11" customFormat="1" ht="16.5" spans="1:15">
      <c r="A127" s="13">
        <v>350019</v>
      </c>
      <c r="B127" s="18" t="s">
        <v>1141</v>
      </c>
      <c r="C127" s="15">
        <v>0</v>
      </c>
      <c r="D127" s="15">
        <v>35</v>
      </c>
      <c r="E127" s="16" t="s">
        <v>1142</v>
      </c>
      <c r="F127" s="4" t="s">
        <v>346</v>
      </c>
      <c r="G127" s="14"/>
      <c r="H127" s="13">
        <v>1</v>
      </c>
      <c r="I127" s="13">
        <v>19</v>
      </c>
      <c r="J127" s="13">
        <v>0</v>
      </c>
      <c r="K127" s="19" t="s">
        <v>37</v>
      </c>
      <c r="M127"/>
      <c r="N127"/>
      <c r="O127"/>
    </row>
    <row r="128" s="11" customFormat="1" ht="16.5" spans="1:15">
      <c r="A128" s="13">
        <v>350020</v>
      </c>
      <c r="B128" s="18" t="s">
        <v>1143</v>
      </c>
      <c r="C128" s="15">
        <v>0</v>
      </c>
      <c r="D128" s="15">
        <v>35</v>
      </c>
      <c r="E128" s="16" t="s">
        <v>148</v>
      </c>
      <c r="F128" s="4" t="s">
        <v>346</v>
      </c>
      <c r="G128" s="14"/>
      <c r="H128" s="13">
        <v>1</v>
      </c>
      <c r="I128" s="13">
        <v>20</v>
      </c>
      <c r="J128" s="13">
        <v>0</v>
      </c>
      <c r="K128" s="19" t="s">
        <v>37</v>
      </c>
      <c r="M128"/>
      <c r="N128"/>
      <c r="O128"/>
    </row>
    <row r="129" s="11" customFormat="1" ht="16.5" spans="1:15">
      <c r="A129" s="13">
        <v>350021</v>
      </c>
      <c r="B129" s="18" t="s">
        <v>1147</v>
      </c>
      <c r="C129" s="15">
        <v>0</v>
      </c>
      <c r="D129" s="15">
        <v>35</v>
      </c>
      <c r="E129" s="16" t="s">
        <v>614</v>
      </c>
      <c r="F129" s="4" t="s">
        <v>346</v>
      </c>
      <c r="G129" s="14"/>
      <c r="H129" s="13">
        <v>1</v>
      </c>
      <c r="I129" s="13">
        <v>21</v>
      </c>
      <c r="J129" s="13">
        <v>0</v>
      </c>
      <c r="K129" s="14"/>
      <c r="M129"/>
      <c r="N129"/>
      <c r="O129"/>
    </row>
    <row r="130" s="11" customFormat="1" ht="16.5" spans="1:15">
      <c r="A130" s="13">
        <v>350015</v>
      </c>
      <c r="B130" s="18" t="s">
        <v>1129</v>
      </c>
      <c r="C130" s="15">
        <v>0</v>
      </c>
      <c r="D130" s="15">
        <v>35</v>
      </c>
      <c r="E130" s="16" t="s">
        <v>204</v>
      </c>
      <c r="F130" s="4" t="s">
        <v>346</v>
      </c>
      <c r="G130" s="14"/>
      <c r="H130" s="13">
        <v>1</v>
      </c>
      <c r="I130" s="13">
        <v>15</v>
      </c>
      <c r="J130" s="13">
        <v>0</v>
      </c>
      <c r="K130" s="4" t="s">
        <v>29</v>
      </c>
      <c r="M130"/>
      <c r="N130"/>
      <c r="O130"/>
    </row>
    <row r="131" spans="5:5">
      <c r="E131">
        <v>501101</v>
      </c>
    </row>
    <row r="132" s="12" customFormat="1" ht="16.5" spans="1:15">
      <c r="A132" s="13">
        <v>340003</v>
      </c>
      <c r="B132" s="20" t="s">
        <v>1120</v>
      </c>
      <c r="C132" s="21">
        <v>0</v>
      </c>
      <c r="D132" s="21">
        <v>34</v>
      </c>
      <c r="E132" s="22" t="s">
        <v>167</v>
      </c>
      <c r="F132" s="23" t="s">
        <v>292</v>
      </c>
      <c r="G132" s="24"/>
      <c r="H132" s="24">
        <v>1</v>
      </c>
      <c r="I132" s="24">
        <v>3</v>
      </c>
      <c r="J132" s="24">
        <v>0</v>
      </c>
      <c r="K132" s="32"/>
      <c r="M132"/>
      <c r="N132"/>
      <c r="O132"/>
    </row>
    <row r="133" s="12" customFormat="1" ht="16.5" spans="1:15">
      <c r="A133" s="13">
        <v>340004</v>
      </c>
      <c r="B133" s="20" t="s">
        <v>1121</v>
      </c>
      <c r="C133" s="21">
        <v>0</v>
      </c>
      <c r="D133" s="21">
        <v>34</v>
      </c>
      <c r="E133" s="22" t="s">
        <v>324</v>
      </c>
      <c r="F133" s="23" t="s">
        <v>1185</v>
      </c>
      <c r="G133" s="24"/>
      <c r="H133" s="24">
        <v>1</v>
      </c>
      <c r="I133" s="24">
        <v>4</v>
      </c>
      <c r="J133" s="24">
        <v>0</v>
      </c>
      <c r="K133" s="32"/>
      <c r="M133"/>
      <c r="N133"/>
      <c r="O133"/>
    </row>
    <row r="134" s="12" customFormat="1" ht="16.5" spans="1:15">
      <c r="A134" s="13">
        <v>340006</v>
      </c>
      <c r="B134" s="25" t="s">
        <v>1136</v>
      </c>
      <c r="C134" s="21">
        <v>0</v>
      </c>
      <c r="D134" s="21">
        <v>34</v>
      </c>
      <c r="E134" s="22" t="s">
        <v>172</v>
      </c>
      <c r="F134" s="23" t="s">
        <v>292</v>
      </c>
      <c r="G134" s="24"/>
      <c r="H134" s="24">
        <v>1</v>
      </c>
      <c r="I134" s="24">
        <v>6</v>
      </c>
      <c r="J134" s="24">
        <v>0</v>
      </c>
      <c r="K134" s="32"/>
      <c r="M134"/>
      <c r="N134"/>
      <c r="O134"/>
    </row>
    <row r="135" s="12" customFormat="1" ht="16.5" spans="1:15">
      <c r="A135" s="13">
        <v>340007</v>
      </c>
      <c r="B135" s="25" t="s">
        <v>1135</v>
      </c>
      <c r="C135" s="21">
        <v>0</v>
      </c>
      <c r="D135" s="21">
        <v>34</v>
      </c>
      <c r="E135" s="22" t="s">
        <v>291</v>
      </c>
      <c r="F135" s="23" t="s">
        <v>1185</v>
      </c>
      <c r="G135" s="24"/>
      <c r="H135" s="24">
        <v>1</v>
      </c>
      <c r="I135" s="24">
        <v>7</v>
      </c>
      <c r="J135" s="24">
        <v>0</v>
      </c>
      <c r="K135" s="32"/>
      <c r="M135"/>
      <c r="N135"/>
      <c r="O135"/>
    </row>
    <row r="136" s="12" customFormat="1" ht="16.5" spans="1:11">
      <c r="A136" s="13">
        <v>340011</v>
      </c>
      <c r="B136" s="26" t="s">
        <v>1129</v>
      </c>
      <c r="C136" s="15">
        <v>0</v>
      </c>
      <c r="D136" s="15">
        <v>34</v>
      </c>
      <c r="E136" s="22" t="s">
        <v>204</v>
      </c>
      <c r="F136" s="23" t="s">
        <v>287</v>
      </c>
      <c r="G136" s="24"/>
      <c r="H136" s="24">
        <v>1</v>
      </c>
      <c r="I136" s="24">
        <v>11</v>
      </c>
      <c r="J136" s="24">
        <v>0</v>
      </c>
      <c r="K136" s="32"/>
    </row>
    <row r="137" s="11" customFormat="1" ht="16.5" spans="1:11">
      <c r="A137" s="13">
        <v>330009</v>
      </c>
      <c r="B137" s="26" t="s">
        <v>1131</v>
      </c>
      <c r="C137" s="15">
        <v>0</v>
      </c>
      <c r="D137" s="15">
        <v>33</v>
      </c>
      <c r="E137" s="11" t="s">
        <v>156</v>
      </c>
      <c r="F137" s="4" t="s">
        <v>256</v>
      </c>
      <c r="G137" s="13"/>
      <c r="H137" s="13">
        <v>1</v>
      </c>
      <c r="I137" s="13">
        <v>9</v>
      </c>
      <c r="J137" s="13">
        <v>0</v>
      </c>
      <c r="K137" s="14"/>
    </row>
    <row r="138" s="11" customFormat="1" ht="16.5" spans="1:11">
      <c r="A138" s="13">
        <v>330001</v>
      </c>
      <c r="B138" s="27" t="s">
        <v>1156</v>
      </c>
      <c r="C138" s="15">
        <v>0</v>
      </c>
      <c r="D138" s="15">
        <v>33</v>
      </c>
      <c r="E138" s="28" t="s">
        <v>248</v>
      </c>
      <c r="F138" s="4" t="s">
        <v>246</v>
      </c>
      <c r="G138" s="13"/>
      <c r="H138" s="13">
        <v>2</v>
      </c>
      <c r="I138" s="13">
        <v>1</v>
      </c>
      <c r="J138" s="13">
        <v>0</v>
      </c>
      <c r="K138" s="14"/>
    </row>
    <row r="139" s="11" customFormat="1" ht="16.5" spans="1:11">
      <c r="A139" s="13">
        <v>320009</v>
      </c>
      <c r="B139" s="18" t="s">
        <v>1141</v>
      </c>
      <c r="C139" s="15">
        <v>0</v>
      </c>
      <c r="D139" s="15">
        <v>32</v>
      </c>
      <c r="E139" s="16" t="s">
        <v>1186</v>
      </c>
      <c r="F139" s="4" t="s">
        <v>231</v>
      </c>
      <c r="G139" s="13"/>
      <c r="H139" s="13"/>
      <c r="I139" s="13">
        <v>9</v>
      </c>
      <c r="J139" s="13">
        <v>0</v>
      </c>
      <c r="K139" s="14"/>
    </row>
    <row r="140" s="12" customFormat="1" ht="16.5" spans="1:11">
      <c r="A140" s="24">
        <v>320010</v>
      </c>
      <c r="B140" s="29" t="s">
        <v>1150</v>
      </c>
      <c r="C140" s="21">
        <v>0</v>
      </c>
      <c r="D140" s="21">
        <v>32</v>
      </c>
      <c r="E140" s="22" t="s">
        <v>230</v>
      </c>
      <c r="F140" s="23" t="s">
        <v>231</v>
      </c>
      <c r="G140" s="24"/>
      <c r="H140" s="24"/>
      <c r="I140" s="13">
        <v>10</v>
      </c>
      <c r="J140" s="24">
        <v>0</v>
      </c>
      <c r="K140" s="32"/>
    </row>
    <row r="141" s="11" customFormat="1" ht="16.5" spans="1:12">
      <c r="A141" s="13">
        <v>310007</v>
      </c>
      <c r="B141" s="20" t="s">
        <v>1126</v>
      </c>
      <c r="C141" s="15">
        <v>0</v>
      </c>
      <c r="D141" s="15">
        <v>31</v>
      </c>
      <c r="E141" s="16" t="s">
        <v>162</v>
      </c>
      <c r="F141" s="4" t="s">
        <v>202</v>
      </c>
      <c r="G141" s="13"/>
      <c r="H141" s="13"/>
      <c r="I141" s="13">
        <v>7</v>
      </c>
      <c r="J141" s="13">
        <v>0</v>
      </c>
      <c r="K141" s="14"/>
      <c r="L141" s="13"/>
    </row>
    <row r="142" s="11" customFormat="1" ht="16.5" spans="1:12">
      <c r="A142" s="13">
        <v>310008</v>
      </c>
      <c r="B142" s="26" t="s">
        <v>1134</v>
      </c>
      <c r="C142" s="15">
        <v>0</v>
      </c>
      <c r="D142" s="15">
        <v>31</v>
      </c>
      <c r="E142" s="16" t="s">
        <v>660</v>
      </c>
      <c r="F142" s="4" t="s">
        <v>202</v>
      </c>
      <c r="G142" s="13"/>
      <c r="H142" s="13"/>
      <c r="I142" s="13">
        <v>8</v>
      </c>
      <c r="J142" s="13">
        <v>0</v>
      </c>
      <c r="K142" s="14"/>
      <c r="L142" s="13"/>
    </row>
    <row r="143" s="11" customFormat="1" ht="16.5" spans="1:12">
      <c r="A143" s="13">
        <v>310009</v>
      </c>
      <c r="B143" s="25" t="s">
        <v>1138</v>
      </c>
      <c r="C143" s="15">
        <v>0</v>
      </c>
      <c r="D143" s="15">
        <v>31</v>
      </c>
      <c r="E143" s="16" t="s">
        <v>158</v>
      </c>
      <c r="F143" s="4" t="s">
        <v>202</v>
      </c>
      <c r="G143" s="13"/>
      <c r="H143" s="13"/>
      <c r="I143" s="13">
        <v>9</v>
      </c>
      <c r="J143" s="13">
        <v>0</v>
      </c>
      <c r="K143" s="14"/>
      <c r="L143" s="13"/>
    </row>
    <row r="144" s="12" customFormat="1" ht="16.5" spans="1:12">
      <c r="A144" s="24">
        <v>310010</v>
      </c>
      <c r="B144" s="30" t="s">
        <v>1141</v>
      </c>
      <c r="C144" s="21">
        <v>0</v>
      </c>
      <c r="D144" s="21">
        <v>31</v>
      </c>
      <c r="E144" s="22" t="s">
        <v>1142</v>
      </c>
      <c r="F144" s="23" t="s">
        <v>201</v>
      </c>
      <c r="G144" s="24"/>
      <c r="H144" s="24"/>
      <c r="I144" s="24">
        <v>10</v>
      </c>
      <c r="J144" s="24">
        <v>0</v>
      </c>
      <c r="K144" s="32"/>
      <c r="L144" s="24"/>
    </row>
    <row r="147" s="11" customFormat="1" ht="16.5" spans="1:12">
      <c r="A147" s="13">
        <v>200010</v>
      </c>
      <c r="B147" s="31" t="s">
        <v>1151</v>
      </c>
      <c r="C147" s="15">
        <v>0</v>
      </c>
      <c r="D147" s="15">
        <v>20</v>
      </c>
      <c r="E147" s="16" t="s">
        <v>151</v>
      </c>
      <c r="F147" s="4" t="s">
        <v>149</v>
      </c>
      <c r="G147" s="13"/>
      <c r="H147" s="13">
        <v>1</v>
      </c>
      <c r="I147" s="13">
        <v>10</v>
      </c>
      <c r="J147" s="13">
        <v>0</v>
      </c>
      <c r="K147" s="14"/>
      <c r="L147" s="13"/>
    </row>
    <row r="148" s="12" customFormat="1" ht="16.5" spans="1:12">
      <c r="A148" s="24">
        <v>200011</v>
      </c>
      <c r="B148" s="30" t="s">
        <v>1147</v>
      </c>
      <c r="C148" s="21">
        <v>0</v>
      </c>
      <c r="D148" s="21">
        <v>20</v>
      </c>
      <c r="E148" s="22" t="s">
        <v>614</v>
      </c>
      <c r="F148" s="23" t="s">
        <v>149</v>
      </c>
      <c r="G148" s="24"/>
      <c r="H148" s="24">
        <v>1</v>
      </c>
      <c r="I148" s="24">
        <v>10</v>
      </c>
      <c r="J148" s="24">
        <v>0</v>
      </c>
      <c r="K148" s="32"/>
      <c r="L148" s="24"/>
    </row>
    <row r="149" s="12" customFormat="1" ht="16.5" spans="1:12">
      <c r="A149" s="24">
        <v>200003</v>
      </c>
      <c r="B149" s="25" t="s">
        <v>1136</v>
      </c>
      <c r="C149" s="21">
        <v>0</v>
      </c>
      <c r="D149" s="21">
        <v>20</v>
      </c>
      <c r="E149" s="22" t="s">
        <v>172</v>
      </c>
      <c r="F149" s="23" t="s">
        <v>168</v>
      </c>
      <c r="G149" s="24"/>
      <c r="H149" s="24">
        <v>1</v>
      </c>
      <c r="I149" s="24">
        <v>3</v>
      </c>
      <c r="J149" s="24">
        <v>0</v>
      </c>
      <c r="K149" s="32"/>
      <c r="L149" s="24"/>
    </row>
    <row r="150" s="11" customFormat="1" ht="16.5" spans="1:12">
      <c r="A150" s="13">
        <v>200004</v>
      </c>
      <c r="B150" s="20" t="s">
        <v>1124</v>
      </c>
      <c r="C150" s="15">
        <v>0</v>
      </c>
      <c r="D150" s="15">
        <v>20</v>
      </c>
      <c r="E150" s="16" t="s">
        <v>1125</v>
      </c>
      <c r="F150" s="4" t="s">
        <v>20</v>
      </c>
      <c r="G150" s="13"/>
      <c r="H150" s="13">
        <v>1</v>
      </c>
      <c r="I150" s="13">
        <v>4</v>
      </c>
      <c r="J150" s="13">
        <v>0</v>
      </c>
      <c r="K150" s="14"/>
      <c r="L150" s="13"/>
    </row>
    <row r="151" s="11" customFormat="1" ht="16.5" spans="1:12">
      <c r="A151" s="13">
        <v>200005</v>
      </c>
      <c r="B151" s="20" t="s">
        <v>1126</v>
      </c>
      <c r="C151" s="15">
        <v>0</v>
      </c>
      <c r="D151" s="15">
        <v>20</v>
      </c>
      <c r="E151" s="16" t="s">
        <v>162</v>
      </c>
      <c r="F151" s="4" t="s">
        <v>20</v>
      </c>
      <c r="G151" s="13"/>
      <c r="H151" s="13">
        <v>1</v>
      </c>
      <c r="I151" s="13">
        <v>5</v>
      </c>
      <c r="J151" s="13">
        <v>0</v>
      </c>
      <c r="K151" s="14"/>
      <c r="L151" s="13"/>
    </row>
    <row r="152" s="11" customFormat="1" ht="16.5" spans="1:12">
      <c r="A152" s="13">
        <v>200006</v>
      </c>
      <c r="B152" s="26" t="s">
        <v>1131</v>
      </c>
      <c r="C152" s="15">
        <v>0</v>
      </c>
      <c r="D152" s="15">
        <v>20</v>
      </c>
      <c r="E152" s="16" t="s">
        <v>156</v>
      </c>
      <c r="F152" s="4" t="s">
        <v>20</v>
      </c>
      <c r="G152" s="13"/>
      <c r="H152" s="13">
        <v>1</v>
      </c>
      <c r="I152" s="13">
        <v>6</v>
      </c>
      <c r="J152" s="13">
        <v>0</v>
      </c>
      <c r="K152" s="14"/>
      <c r="L152" s="13"/>
    </row>
    <row r="153" s="11" customFormat="1" ht="16.5" spans="1:12">
      <c r="A153" s="13">
        <v>200008</v>
      </c>
      <c r="B153" s="25" t="s">
        <v>1138</v>
      </c>
      <c r="C153" s="15">
        <v>0</v>
      </c>
      <c r="D153" s="15">
        <v>20</v>
      </c>
      <c r="E153" s="16" t="s">
        <v>158</v>
      </c>
      <c r="F153" s="4" t="s">
        <v>20</v>
      </c>
      <c r="G153" s="13"/>
      <c r="H153" s="13">
        <v>1</v>
      </c>
      <c r="I153" s="13">
        <v>8</v>
      </c>
      <c r="J153" s="13">
        <v>0</v>
      </c>
      <c r="K153" s="14"/>
      <c r="L153" s="13"/>
    </row>
    <row r="154" s="11" customFormat="1" ht="16.5" spans="1:12">
      <c r="A154" s="13">
        <v>200001</v>
      </c>
      <c r="B154" s="20" t="s">
        <v>1120</v>
      </c>
      <c r="C154" s="15">
        <v>0</v>
      </c>
      <c r="D154" s="15">
        <v>20</v>
      </c>
      <c r="E154" s="16" t="s">
        <v>167</v>
      </c>
      <c r="F154" s="4" t="s">
        <v>168</v>
      </c>
      <c r="G154" s="13"/>
      <c r="H154" s="13">
        <v>1</v>
      </c>
      <c r="I154" s="13">
        <v>1</v>
      </c>
      <c r="J154" s="13">
        <v>0</v>
      </c>
      <c r="K154" s="14"/>
      <c r="L154" s="13"/>
    </row>
  </sheetData>
  <sortState ref="B2:H109">
    <sortCondition ref="H2:H109"/>
  </sortState>
  <pageMargins left="0.7" right="0.7" top="0.75" bottom="0.75" header="0.3" footer="0.3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6:S27"/>
  <sheetViews>
    <sheetView workbookViewId="0">
      <selection activeCell="E35" sqref="E35"/>
    </sheetView>
  </sheetViews>
  <sheetFormatPr defaultColWidth="9" defaultRowHeight="15"/>
  <cols>
    <col min="12" max="12" width="12.7142857142857" customWidth="1"/>
    <col min="16" max="16" width="18.4285714285714" customWidth="1"/>
    <col min="17" max="17" width="26.7142857142857" customWidth="1"/>
    <col min="18" max="18" width="17.2857142857143" customWidth="1"/>
  </cols>
  <sheetData>
    <row r="6" spans="14:15">
      <c r="N6">
        <v>200</v>
      </c>
      <c r="O6">
        <f t="shared" ref="O6:O8" si="0">N6*4</f>
        <v>800</v>
      </c>
    </row>
    <row r="7" spans="14:15">
      <c r="N7">
        <v>100</v>
      </c>
      <c r="O7">
        <f t="shared" si="0"/>
        <v>400</v>
      </c>
    </row>
    <row r="8" spans="14:17">
      <c r="N8">
        <v>50</v>
      </c>
      <c r="O8">
        <f t="shared" si="0"/>
        <v>200</v>
      </c>
      <c r="Q8">
        <f>200/(11490+1400)*30</f>
        <v>0.465477114041893</v>
      </c>
    </row>
    <row r="10" spans="11:12">
      <c r="K10">
        <v>11490</v>
      </c>
      <c r="L10">
        <f>K10/29</f>
        <v>396.206896551724</v>
      </c>
    </row>
    <row r="12" spans="14:19">
      <c r="N12" s="5" t="s">
        <v>1187</v>
      </c>
      <c r="O12" s="5" t="s">
        <v>1188</v>
      </c>
      <c r="P12" s="5" t="s">
        <v>1189</v>
      </c>
      <c r="Q12" s="5" t="s">
        <v>1190</v>
      </c>
      <c r="R12" s="5" t="s">
        <v>1191</v>
      </c>
      <c r="S12" s="5" t="s">
        <v>1192</v>
      </c>
    </row>
    <row r="13" ht="16.5" spans="12:19">
      <c r="L13" s="6" t="s">
        <v>1193</v>
      </c>
      <c r="M13" s="7" t="s">
        <v>146</v>
      </c>
      <c r="N13">
        <v>800</v>
      </c>
      <c r="O13">
        <f>N13/(K$10+SUM(N$13:N$15))</f>
        <v>0.0620636152055857</v>
      </c>
      <c r="P13">
        <f>O13*105*RIGHT(L13,3)</f>
        <v>651.66795965865</v>
      </c>
      <c r="Q13" s="10">
        <f>100*20+105*O13*RIGHT(M13,4)</f>
        <v>15033.359193173</v>
      </c>
      <c r="R13" s="8">
        <f>1000/P13*Q13</f>
        <v>23069.0476190476</v>
      </c>
      <c r="S13">
        <f>4000/P13</f>
        <v>6.13809523809524</v>
      </c>
    </row>
    <row r="14" ht="16.5" spans="12:19">
      <c r="L14" s="6" t="s">
        <v>1194</v>
      </c>
      <c r="M14" s="7" t="s">
        <v>553</v>
      </c>
      <c r="N14">
        <v>400</v>
      </c>
      <c r="O14">
        <f t="shared" ref="O14:O15" si="1">N14/(K$10+SUM(N$13:N$15))</f>
        <v>0.0310318076027929</v>
      </c>
      <c r="P14">
        <f t="shared" ref="P14:P15" si="2">O14*105*RIGHT(L14,3)</f>
        <v>325.833979829325</v>
      </c>
      <c r="Q14" s="10">
        <f t="shared" ref="Q14" si="3">100*20+105*O14*RIGHT(M14,4)</f>
        <v>15033.359193173</v>
      </c>
      <c r="R14">
        <f t="shared" ref="R14:R15" si="4">1000/P14*Q14</f>
        <v>46138.0952380952</v>
      </c>
      <c r="S14">
        <f t="shared" ref="S14:S15" si="5">4000/P14</f>
        <v>12.2761904761905</v>
      </c>
    </row>
    <row r="15" ht="16.5" spans="12:19">
      <c r="L15" s="6" t="s">
        <v>1195</v>
      </c>
      <c r="M15" s="7" t="s">
        <v>556</v>
      </c>
      <c r="N15">
        <v>200</v>
      </c>
      <c r="O15">
        <f t="shared" si="1"/>
        <v>0.0155159038013964</v>
      </c>
      <c r="P15">
        <f t="shared" si="2"/>
        <v>162.916989914663</v>
      </c>
      <c r="Q15" s="10">
        <f>100*20+105*O15*RIGHT(M15,5)</f>
        <v>18291.6989914663</v>
      </c>
      <c r="R15">
        <f t="shared" si="4"/>
        <v>112276.19047619</v>
      </c>
      <c r="S15">
        <f t="shared" si="5"/>
        <v>24.552380952381</v>
      </c>
    </row>
    <row r="19" spans="15:17">
      <c r="O19">
        <v>128</v>
      </c>
      <c r="P19">
        <v>328</v>
      </c>
      <c r="Q19">
        <v>648</v>
      </c>
    </row>
    <row r="20" spans="12:17">
      <c r="L20">
        <v>1</v>
      </c>
      <c r="M20">
        <f>648*3/4.5</f>
        <v>432</v>
      </c>
      <c r="N20">
        <f>M20/10</f>
        <v>43.2</v>
      </c>
      <c r="O20">
        <f>O$19/$N20</f>
        <v>2.96296296296296</v>
      </c>
      <c r="P20">
        <f t="shared" ref="P20:Q22" si="6">P$19/$N20</f>
        <v>7.59259259259259</v>
      </c>
      <c r="Q20">
        <f t="shared" si="6"/>
        <v>15</v>
      </c>
    </row>
    <row r="21" spans="12:18">
      <c r="L21">
        <v>2.5</v>
      </c>
      <c r="M21">
        <f>M20*1.5</f>
        <v>648</v>
      </c>
      <c r="N21">
        <f t="shared" ref="N21:N22" si="7">M21/10</f>
        <v>64.8</v>
      </c>
      <c r="O21">
        <f t="shared" ref="O21:O22" si="8">O$19/$N21</f>
        <v>1.97530864197531</v>
      </c>
      <c r="P21">
        <f t="shared" si="6"/>
        <v>5.06172839506173</v>
      </c>
      <c r="Q21">
        <f t="shared" si="6"/>
        <v>10</v>
      </c>
      <c r="R21" s="5" t="s">
        <v>1196</v>
      </c>
    </row>
    <row r="22" spans="12:18">
      <c r="L22">
        <v>4.5</v>
      </c>
      <c r="M22">
        <f>M20*2</f>
        <v>864</v>
      </c>
      <c r="N22">
        <f t="shared" si="7"/>
        <v>86.4</v>
      </c>
      <c r="O22">
        <f t="shared" si="8"/>
        <v>1.48148148148148</v>
      </c>
      <c r="P22">
        <f t="shared" si="6"/>
        <v>3.7962962962963</v>
      </c>
      <c r="Q22">
        <f t="shared" si="6"/>
        <v>7.5</v>
      </c>
      <c r="R22" s="5" t="s">
        <v>1197</v>
      </c>
    </row>
    <row r="27" ht="16.5" spans="1:17">
      <c r="A27" s="3">
        <v>161</v>
      </c>
      <c r="B27" s="3" t="s">
        <v>1198</v>
      </c>
      <c r="C27" s="3">
        <v>15</v>
      </c>
      <c r="D27" s="3">
        <v>19</v>
      </c>
      <c r="H27" s="4"/>
      <c r="K27" s="8"/>
      <c r="O27" s="9" t="s">
        <v>18</v>
      </c>
      <c r="Q27" s="3">
        <v>1</v>
      </c>
    </row>
  </sheetData>
  <pageMargins left="0.7" right="0.7" top="0.75" bottom="0.75" header="0.3" footer="0.3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A73"/>
  <sheetViews>
    <sheetView topLeftCell="A11" workbookViewId="0">
      <selection activeCell="B42" sqref="B42"/>
    </sheetView>
  </sheetViews>
  <sheetFormatPr defaultColWidth="9" defaultRowHeight="15"/>
  <sheetData>
    <row r="1" ht="16.5" spans="1:1">
      <c r="A1" s="1">
        <v>10</v>
      </c>
    </row>
    <row r="2" ht="16.5" spans="1:1">
      <c r="A2" s="1">
        <v>20</v>
      </c>
    </row>
    <row r="3" ht="16.5" spans="1:1">
      <c r="A3" s="1">
        <v>30</v>
      </c>
    </row>
    <row r="4" ht="16.5" spans="1:1">
      <c r="A4" s="1">
        <v>40</v>
      </c>
    </row>
    <row r="5" ht="16.5" spans="1:1">
      <c r="A5" s="1">
        <v>50</v>
      </c>
    </row>
    <row r="6" ht="16.5" spans="1:1">
      <c r="A6" s="1">
        <v>60</v>
      </c>
    </row>
    <row r="7" ht="16.5" spans="1:1">
      <c r="A7" s="1">
        <v>70</v>
      </c>
    </row>
    <row r="8" ht="16.5" spans="1:1">
      <c r="A8" s="1">
        <v>80</v>
      </c>
    </row>
    <row r="9" ht="16.5" spans="1:1">
      <c r="A9" s="1">
        <v>90</v>
      </c>
    </row>
    <row r="10" ht="16.5" spans="1:1">
      <c r="A10" s="1">
        <v>100</v>
      </c>
    </row>
    <row r="11" ht="16.5" spans="1:1">
      <c r="A11" s="1">
        <v>110</v>
      </c>
    </row>
    <row r="12" ht="16.5" spans="1:1">
      <c r="A12" s="1">
        <v>118</v>
      </c>
    </row>
    <row r="13" ht="16.5" spans="1:1">
      <c r="A13" s="2">
        <v>118</v>
      </c>
    </row>
    <row r="14" ht="16.5" spans="1:1">
      <c r="A14" s="1">
        <v>119</v>
      </c>
    </row>
    <row r="15" ht="16.5" spans="1:1">
      <c r="A15" s="1">
        <v>120</v>
      </c>
    </row>
    <row r="16" ht="16.5" spans="1:1">
      <c r="A16" s="1">
        <v>130</v>
      </c>
    </row>
    <row r="17" ht="16.5" spans="1:1">
      <c r="A17" s="1">
        <v>140</v>
      </c>
    </row>
    <row r="18" ht="16.5" spans="1:1">
      <c r="A18" s="1">
        <v>150</v>
      </c>
    </row>
    <row r="19" ht="16.5" spans="1:1">
      <c r="A19" s="1">
        <v>157</v>
      </c>
    </row>
    <row r="20" ht="16.5" spans="1:1">
      <c r="A20" s="1">
        <v>158</v>
      </c>
    </row>
    <row r="21" ht="16.5" spans="1:1">
      <c r="A21" s="1">
        <v>159</v>
      </c>
    </row>
    <row r="22" ht="16.5" spans="1:1">
      <c r="A22" s="1">
        <v>160</v>
      </c>
    </row>
    <row r="23" ht="16.5" spans="1:1">
      <c r="A23" s="1">
        <v>170</v>
      </c>
    </row>
    <row r="24" ht="16.5" spans="1:1">
      <c r="A24" s="1">
        <v>180</v>
      </c>
    </row>
    <row r="25" ht="16.5" spans="1:1">
      <c r="A25" s="1">
        <v>190</v>
      </c>
    </row>
    <row r="26" ht="16.5" spans="1:1">
      <c r="A26" s="1">
        <v>200</v>
      </c>
    </row>
    <row r="27" ht="16.5" spans="1:1">
      <c r="A27" s="1">
        <v>210</v>
      </c>
    </row>
    <row r="28" ht="16.5" spans="1:1">
      <c r="A28" s="1">
        <v>220</v>
      </c>
    </row>
    <row r="29" ht="16.5" spans="1:1">
      <c r="A29" s="1">
        <v>230</v>
      </c>
    </row>
    <row r="30" ht="16.5" spans="1:1">
      <c r="A30" s="1">
        <v>240</v>
      </c>
    </row>
    <row r="31" ht="16.5" spans="1:1">
      <c r="A31" s="1">
        <v>250</v>
      </c>
    </row>
    <row r="32" ht="16.5" spans="1:1">
      <c r="A32" s="1">
        <v>260</v>
      </c>
    </row>
    <row r="33" ht="16.5" spans="1:1">
      <c r="A33" s="1">
        <v>270</v>
      </c>
    </row>
    <row r="34" ht="16.5" spans="1:1">
      <c r="A34" s="1">
        <v>280</v>
      </c>
    </row>
    <row r="35" ht="16.5" spans="1:1">
      <c r="A35" s="1">
        <v>290</v>
      </c>
    </row>
    <row r="36" ht="16.5" spans="1:1">
      <c r="A36" s="1">
        <v>300</v>
      </c>
    </row>
    <row r="37" ht="16.5" spans="1:1">
      <c r="A37" s="1">
        <v>310</v>
      </c>
    </row>
    <row r="38" ht="16.5" spans="1:1">
      <c r="A38" s="1">
        <v>320</v>
      </c>
    </row>
    <row r="39" ht="16.5" spans="1:1">
      <c r="A39" s="1">
        <v>330</v>
      </c>
    </row>
    <row r="40" ht="16.5" spans="1:1">
      <c r="A40" s="1">
        <v>330</v>
      </c>
    </row>
    <row r="41" ht="16.5" spans="1:1">
      <c r="A41" s="1">
        <v>340</v>
      </c>
    </row>
    <row r="42" ht="16.5" spans="1:1">
      <c r="A42" s="1">
        <v>350</v>
      </c>
    </row>
    <row r="43" ht="16.5" spans="1:1">
      <c r="A43" s="1">
        <v>370</v>
      </c>
    </row>
    <row r="44" ht="16.5" spans="1:1">
      <c r="A44" s="1">
        <v>380</v>
      </c>
    </row>
    <row r="45" ht="16.5" spans="1:1">
      <c r="A45" s="1">
        <v>390</v>
      </c>
    </row>
    <row r="46" ht="16.5" spans="1:1">
      <c r="A46" s="1">
        <v>400</v>
      </c>
    </row>
    <row r="47" ht="16.5" spans="1:1">
      <c r="A47" s="1">
        <v>410</v>
      </c>
    </row>
    <row r="48" ht="16.5" spans="1:1">
      <c r="A48" s="1">
        <v>420</v>
      </c>
    </row>
    <row r="49" ht="16.5" spans="1:1">
      <c r="A49" s="1">
        <v>430</v>
      </c>
    </row>
    <row r="50" ht="16.5" spans="1:1">
      <c r="A50" s="1">
        <v>430</v>
      </c>
    </row>
    <row r="51" ht="16.5" spans="1:1">
      <c r="A51" s="1">
        <v>440</v>
      </c>
    </row>
    <row r="52" ht="16.5" spans="1:1">
      <c r="A52" s="1">
        <v>450</v>
      </c>
    </row>
    <row r="53" ht="16.5" spans="1:1">
      <c r="A53" s="1">
        <v>460</v>
      </c>
    </row>
    <row r="54" ht="16.5" spans="1:1">
      <c r="A54" s="1">
        <v>470</v>
      </c>
    </row>
    <row r="55" ht="16.5" spans="1:1">
      <c r="A55" s="1">
        <v>490</v>
      </c>
    </row>
    <row r="56" ht="16.5" spans="1:1">
      <c r="A56" s="1">
        <v>500</v>
      </c>
    </row>
    <row r="57" ht="16.5" spans="1:1">
      <c r="A57" s="1">
        <v>510</v>
      </c>
    </row>
    <row r="58" ht="16.5" spans="1:1">
      <c r="A58" s="1">
        <v>520</v>
      </c>
    </row>
    <row r="59" ht="16.5" spans="1:1">
      <c r="A59" s="1">
        <v>530</v>
      </c>
    </row>
    <row r="60" ht="16.5" spans="1:1">
      <c r="A60" s="1">
        <v>540</v>
      </c>
    </row>
    <row r="61" ht="16.5" spans="1:1">
      <c r="A61" s="1">
        <v>550</v>
      </c>
    </row>
    <row r="62" ht="16.5" spans="1:1">
      <c r="A62" s="1">
        <v>560</v>
      </c>
    </row>
    <row r="63" ht="16.5" spans="1:1">
      <c r="A63" s="1">
        <v>570</v>
      </c>
    </row>
    <row r="64" ht="16.5" spans="1:1">
      <c r="A64" s="1">
        <v>580</v>
      </c>
    </row>
    <row r="65" ht="16.5" spans="1:1">
      <c r="A65" s="1">
        <v>590</v>
      </c>
    </row>
    <row r="66" ht="16.5" spans="1:1">
      <c r="A66" s="1">
        <v>600</v>
      </c>
    </row>
    <row r="67" ht="16.5" spans="1:1">
      <c r="A67" s="1">
        <v>610</v>
      </c>
    </row>
    <row r="68" ht="16.5" spans="1:1">
      <c r="A68" s="1">
        <v>620</v>
      </c>
    </row>
    <row r="69" ht="16.5" spans="1:1">
      <c r="A69" s="1">
        <v>630</v>
      </c>
    </row>
    <row r="70" ht="16.5" spans="1:1">
      <c r="A70" s="1">
        <v>640</v>
      </c>
    </row>
    <row r="71" ht="16.5" spans="1:1">
      <c r="A71" s="1">
        <v>650</v>
      </c>
    </row>
    <row r="72" ht="16.5" spans="1:1">
      <c r="A72" s="1">
        <v>660</v>
      </c>
    </row>
    <row r="73" ht="16.5" spans="1:1">
      <c r="A73" s="1">
        <v>670</v>
      </c>
    </row>
  </sheetData>
  <sortState ref="A1:A73">
    <sortCondition ref="A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商店信息</vt:lpstr>
      <vt:lpstr>商城商品</vt:lpstr>
      <vt:lpstr>藏宝阁动态商品</vt:lpstr>
      <vt:lpstr>Sheet1（填写说明）</vt:lpstr>
      <vt:lpstr>Sheet（先知商店）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Shop</dc:title>
  <cp:lastModifiedBy>dangm</cp:lastModifiedBy>
  <dcterms:created xsi:type="dcterms:W3CDTF">2006-09-13T11:21:00Z</dcterms:created>
  <cp:lastPrinted>2020-10-15T15:57:00Z</cp:lastPrinted>
  <dcterms:modified xsi:type="dcterms:W3CDTF">2024-04-22T06:32:34Z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1033-12.2.0.16731</vt:lpwstr>
  </property>
  <property fmtid="{D5CDD505-2E9C-101B-9397-08002B2CF9AE}" pid="3" name="ICV">
    <vt:lpwstr>FB607A8A7B74454E92EC57DBA7383184</vt:lpwstr>
  </property>
</Properties>
</file>