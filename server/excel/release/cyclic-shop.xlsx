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6955" windowHeight="13140" tabRatio="859" activeTab="4"/>
  </bookViews>
  <sheets>
    <sheet name="循环商城基础" sheetId="1" r:id="rId1"/>
    <sheet name="循环商城商品" sheetId="2" r:id="rId2"/>
    <sheet name="自然日期商城基础" sheetId="3" r:id="rId3"/>
    <sheet name="自然日期商城商品" sheetId="4" r:id="rId4"/>
    <sheet name="自然日兑换商城基础" sheetId="5" r:id="rId5"/>
    <sheet name="自然日兑换商城商品" sheetId="6" r:id="rId6"/>
    <sheet name="自然日研磨商城基础" sheetId="7" r:id="rId7"/>
    <sheet name="Sheet1" sheetId="9" r:id="rId8"/>
    <sheet name="自然日研磨商城商品" sheetId="8" r:id="rId9"/>
  </sheets>
  <calcPr calcId="144525"/>
</workbook>
</file>

<file path=xl/calcChain.xml><?xml version="1.0" encoding="utf-8"?>
<calcChain xmlns="http://schemas.openxmlformats.org/spreadsheetml/2006/main">
  <c r="O103" i="4" l="1"/>
  <c r="O102" i="4"/>
  <c r="O100" i="4"/>
  <c r="N47" i="4"/>
  <c r="M47" i="4"/>
  <c r="N46" i="4"/>
  <c r="M46" i="4"/>
  <c r="N45" i="4"/>
  <c r="M45" i="4"/>
  <c r="M44" i="4"/>
</calcChain>
</file>

<file path=xl/comments1.xml><?xml version="1.0" encoding="utf-8"?>
<comments xmlns="http://schemas.openxmlformats.org/spreadsheetml/2006/main">
  <authors>
    <author>作者</author>
  </authors>
  <commentList>
    <comment ref="A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6xxxx是小程序</t>
        </r>
      </text>
    </comment>
    <comment ref="N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手q版本-等级礼包专用
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K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1：开启
0：不开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J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1：开启
0：不开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J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1：开启
0：不开</t>
        </r>
      </text>
    </comment>
  </commentList>
</comments>
</file>

<file path=xl/sharedStrings.xml><?xml version="1.0" encoding="utf-8"?>
<sst xmlns="http://schemas.openxmlformats.org/spreadsheetml/2006/main" count="1897" uniqueCount="817">
  <si>
    <t>ID</t>
  </si>
  <si>
    <t>活动名称</t>
  </si>
  <si>
    <t>开启天数</t>
  </si>
  <si>
    <t>开启时间</t>
  </si>
  <si>
    <t>结束天数</t>
  </si>
  <si>
    <t>结束时间</t>
  </si>
  <si>
    <t>商店分组</t>
  </si>
  <si>
    <t>横幅</t>
  </si>
  <si>
    <t>活动图标</t>
  </si>
  <si>
    <t>功能ID</t>
  </si>
  <si>
    <t>是否每日刷新</t>
  </si>
  <si>
    <t>00:00:00</t>
  </si>
  <si>
    <t>23:59:59</t>
  </si>
  <si>
    <t>奖励</t>
  </si>
  <si>
    <t>皮肤道具ID</t>
  </si>
  <si>
    <t>价格</t>
  </si>
  <si>
    <t>限购数量</t>
  </si>
  <si>
    <t>充值项ID</t>
  </si>
  <si>
    <t>排序</t>
  </si>
  <si>
    <t>元宝购买价格</t>
  </si>
  <si>
    <t>主角等级下限</t>
  </si>
  <si>
    <t>主角等级上限</t>
  </si>
  <si>
    <t>vip等级下限</t>
  </si>
  <si>
    <t>vip等级上限</t>
  </si>
  <si>
    <t>购买等级</t>
  </si>
  <si>
    <t>描述</t>
  </si>
  <si>
    <t>0:1:300#3:500019:2#3:100018:50#0:0:2000000</t>
  </si>
  <si>
    <t>元宝*300，遗物自选*2，信仰之力*50，金币*200w</t>
  </si>
  <si>
    <t>0:1:680#3:500019:4#3:100018:100#0:0:5000000</t>
  </si>
  <si>
    <t>元宝*680，遗物自选*4，信仰之力*100，金币*500w</t>
  </si>
  <si>
    <t>0:1:1280#3:500019:6#3:100018:150#0:0:8000000</t>
  </si>
  <si>
    <t>元宝*1280，遗物自选*6，信仰之力*150，金币*800w</t>
  </si>
  <si>
    <t>0:1:1980#3:500019:8#3:100018:200#0:0:10000000</t>
  </si>
  <si>
    <t>元宝*1980，遗物自选*8，信仰之力*200，金币*1000w</t>
  </si>
  <si>
    <t>0:1:3280#3:500019:11#3:100018:300#0:0:20000000</t>
  </si>
  <si>
    <t>元宝*3280，遗物自选*11，信仰之力*300，金币*2000w</t>
  </si>
  <si>
    <t>0:1:6480#3:500019:18#3:100018:500#0:0:40000000</t>
  </si>
  <si>
    <t>元宝*6480，遗物自选*18，信仰之力*500，金币*4000w</t>
  </si>
  <si>
    <t>0:1:120#3:100059:20#0:0:2000000</t>
  </si>
  <si>
    <t>0:1:500#3:100036:200#3:100059:50#0:0:5000000</t>
  </si>
  <si>
    <t>0:1:1280#3:100036:300#3:100059:100#0:0:8000000</t>
  </si>
  <si>
    <t>0:1:1980#3:100036:400#3:100059:150#0:0:10000000</t>
  </si>
  <si>
    <t>0:1:3280#3:100036:600#3:100059:200#0:0:15000000</t>
  </si>
  <si>
    <t>0:1:6480#3:100036:1500#3:100059:300#0:0:25000000</t>
  </si>
  <si>
    <t>0:1:3280#3:700002:1</t>
  </si>
  <si>
    <t>0:1:3280#3:700004:1</t>
  </si>
  <si>
    <t>0:1:3280#3:700005:1</t>
  </si>
  <si>
    <t>0:1:3280#3:700006:1</t>
  </si>
  <si>
    <t>0:1:3280#3:700007:1</t>
  </si>
  <si>
    <t>0:1:3280#3:700008:1</t>
  </si>
  <si>
    <t>0:1:3280#3:700009:1</t>
  </si>
  <si>
    <t>0:1:3280#3:700010:1</t>
  </si>
  <si>
    <t>0:1:3280#3:700011:1</t>
  </si>
  <si>
    <t>0:1:3280#3:700012:1</t>
  </si>
  <si>
    <t>0:1:3280#3:700013:1</t>
  </si>
  <si>
    <t>0:1:3280#3:700014:1</t>
  </si>
  <si>
    <t>0:1:3280#3:700015:1</t>
  </si>
  <si>
    <t>0:1:3280#3:700016:1</t>
  </si>
  <si>
    <t>0:1:3280#3:700017:1</t>
  </si>
  <si>
    <t>0:1:3280#3:700018:1</t>
  </si>
  <si>
    <t>0:1:3280#3:700019:1</t>
  </si>
  <si>
    <t>3:100087:25</t>
  </si>
  <si>
    <t>3:100087:100#3:400040:10</t>
  </si>
  <si>
    <t>3:100087:450#3:400040:20</t>
  </si>
  <si>
    <t>3:100087:1100#3:400040:40</t>
  </si>
  <si>
    <t>3:100087:2200#3:400040:60</t>
  </si>
  <si>
    <t>0:1:120#3:100089:10#3:100216:1000#3:1000001:1</t>
  </si>
  <si>
    <t>0:1:500#3:100089:20#3:100216:2000#3:100025:3</t>
  </si>
  <si>
    <t>0:1:1280#3:100089:40#3:100216:4000#3:100022:30</t>
  </si>
  <si>
    <t>0:1:3280#3:100089:100#3:100216:8000#3:100025:10</t>
  </si>
  <si>
    <t>0:1:6480#3:100089:200#3:100216:16000#3:100022:50</t>
  </si>
  <si>
    <t>0:1:120#3:100022:5#0:0:1000000#0:4:1000000</t>
  </si>
  <si>
    <t>0:1:300#3:100022:10#0:0:2000000#3:100001:500</t>
  </si>
  <si>
    <t>0:1:1280#3:100022:30#0:0:5000000#0:4:5000000</t>
  </si>
  <si>
    <t>0:1:3280#3:100022:70#0:0:15000000#3:100001:2500</t>
  </si>
  <si>
    <t>0:1:6480#3:100022:150#0:0:30000000#0:4:30000000</t>
  </si>
  <si>
    <t>0:1:120#3:100025:2#3:100006:1#3:1000001:1</t>
  </si>
  <si>
    <t>0:1:300#3:100025:4#3:100006:1#3:1000001:2</t>
  </si>
  <si>
    <t>0:1:1280#3:100025:8#3:100006:3#3:1000001:4</t>
  </si>
  <si>
    <t>0:1:3280#3:100025:18#3:100006:6#3:1000001:7</t>
  </si>
  <si>
    <t>0:1:6480#3:100025:30#3:100006:10#3:1000001:13</t>
  </si>
  <si>
    <t>0:1:300#3:100226:10#3:100004:1000#0:0:2000000</t>
  </si>
  <si>
    <t>0:1:1280#3:100226:20#3:100046:1#0:0:5000000</t>
  </si>
  <si>
    <t>0:1:3280#3:100226:70#3:100004:5000#0:0:10000000</t>
  </si>
  <si>
    <t>0:1:6480#3:100226:150#6:30002:10#0:0:30000000</t>
  </si>
  <si>
    <t>0:1:20#3:100022:1#3:100001:100</t>
  </si>
  <si>
    <t>0:1:60#3:100022:10#0:0:500000#0:4:500000</t>
  </si>
  <si>
    <t>0:1:120#3:100022:20#3:100001:500#0:4:1000000</t>
  </si>
  <si>
    <t>0:1:300#4:606002:50#3:100001:1000#0:0:2000000</t>
  </si>
  <si>
    <t>0:1:980#4:606002:100#3:100022:10#0:0:5000000</t>
  </si>
  <si>
    <t>3:590010:1</t>
  </si>
  <si>
    <t>0:1:300#3:590010:5</t>
  </si>
  <si>
    <t>0:1:680#3:590010:10#3:100025:1</t>
  </si>
  <si>
    <t>0:1:1280#3:590010:20#3:100025:2</t>
  </si>
  <si>
    <t>0:1:3280#3:590010:50#3:30002:2#3:100004:5000</t>
  </si>
  <si>
    <t>0:1:6480#3:590010:100#3:30002:4#3:100004:10000</t>
  </si>
  <si>
    <t>3:100252:10</t>
  </si>
  <si>
    <t>兽灵精华*10</t>
  </si>
  <si>
    <t>3:100255:1</t>
  </si>
  <si>
    <t>兽灵技能书*1</t>
  </si>
  <si>
    <t>3:100253:10</t>
  </si>
  <si>
    <t>布偶*10</t>
  </si>
  <si>
    <t>0:1:450#3:300045:1</t>
  </si>
  <si>
    <t>元宝*450,兽灵助力礼包*1</t>
  </si>
  <si>
    <t>0:1:980#3:100252:100#3:590008:1</t>
  </si>
  <si>
    <t>元宝*980,兽灵精华*100,好运红包*1</t>
  </si>
  <si>
    <t>0:1:1980#3:100252:100#3:100098:1000#3:590008:2</t>
  </si>
  <si>
    <t>元宝*1980,兽灵精华*100,龙珠*1000,好运红包*2</t>
  </si>
  <si>
    <t>4:606002:50</t>
  </si>
  <si>
    <t>5星随机碎片*50</t>
  </si>
  <si>
    <t>3:100023:5</t>
  </si>
  <si>
    <t>演武场挑战券*5</t>
  </si>
  <si>
    <t>0:1:450#4:606002:50</t>
  </si>
  <si>
    <t>元宝*450,5星随机碎片*50</t>
  </si>
  <si>
    <t>0:1:980#3:100044:15#3:590012:4#3:590008:1</t>
  </si>
  <si>
    <t>元宝*980,精英点将券*15,高级演武礼包*4,好运红包*1</t>
  </si>
  <si>
    <t>0:1:1980#3:100044:30#3:590012:10#3:590008:2</t>
  </si>
  <si>
    <t>元宝*1980,精英点将券*30,高级演武礼包*10,好运红包*2</t>
  </si>
  <si>
    <t>3:100004:1500</t>
  </si>
  <si>
    <t>鎏金粉*1500</t>
  </si>
  <si>
    <t>3:100006:4</t>
  </si>
  <si>
    <t>高级寻宝券*4</t>
  </si>
  <si>
    <t>0:1:450#3:100006:10</t>
  </si>
  <si>
    <t>元宝*450,高级寻宝券*10</t>
  </si>
  <si>
    <t>0:1:980#3:100004:8000#3:100006:10#3:590008:1</t>
  </si>
  <si>
    <t>元宝*980,鎏金粉*8000,高级寻宝券*10,好运红包*1</t>
  </si>
  <si>
    <t>0:1:1980#3:100004:16000#3:100006:30#3:590008:2</t>
  </si>
  <si>
    <t>元宝*1980,鎏金粉*16000,高级寻宝券*30,好运红包*2</t>
  </si>
  <si>
    <t>开服天数</t>
  </si>
  <si>
    <t>活动期间达标开启</t>
  </si>
  <si>
    <t>2020-08-21 00:00:00</t>
  </si>
  <si>
    <t>2020-08-27 23:59:59</t>
  </si>
  <si>
    <t>2020-10-09 00:00:00</t>
  </si>
  <si>
    <t>2020-10-15 23:59:59</t>
  </si>
  <si>
    <t>2020-11-20 00:00:00</t>
  </si>
  <si>
    <t>2020-11-26 23:59:59</t>
  </si>
  <si>
    <t>2020-12-25 00:00:00</t>
  </si>
  <si>
    <t>2020-12-31 23:59:59</t>
  </si>
  <si>
    <t>2021-01-29 00:00:00</t>
  </si>
  <si>
    <t>2021-02-04 23:59:59</t>
  </si>
  <si>
    <t>2021-03-12 00:00:00</t>
  </si>
  <si>
    <t>2021-03-18 23:59:59</t>
  </si>
  <si>
    <t>2021-04-09 09:00:00</t>
  </si>
  <si>
    <t>2021-04-15 23:59:59</t>
  </si>
  <si>
    <t>2021-05-07 09:00:00</t>
  </si>
  <si>
    <t>2021-05-13 23:59:59</t>
  </si>
  <si>
    <t>2021-06-04 09:00:00</t>
  </si>
  <si>
    <t>2021-06-10 23:59:59</t>
  </si>
  <si>
    <t>2021-07-02 09:00:00</t>
  </si>
  <si>
    <t>2021-07-08 23:59:59</t>
  </si>
  <si>
    <t>2021-07-30 09:00:00</t>
  </si>
  <si>
    <t>2021-08-05 23:59:59</t>
  </si>
  <si>
    <t>2021-09-10 09:00:00</t>
  </si>
  <si>
    <t>2021-09-16 23:59:59</t>
  </si>
  <si>
    <t>2021-10-22 09:00:00</t>
  </si>
  <si>
    <t>2021-10-28 23:59:59</t>
  </si>
  <si>
    <t>2021-11-12 09:00:00</t>
  </si>
  <si>
    <t>2021-11-18 23:59:59</t>
  </si>
  <si>
    <t>2022-02-11 00:00:00</t>
  </si>
  <si>
    <t>2022-02-17 23:59:59</t>
  </si>
  <si>
    <t>2022-03-18 00:00:00</t>
  </si>
  <si>
    <t>2020-10-16 00:00:00</t>
  </si>
  <si>
    <t>2020-10-22 23:59:59</t>
  </si>
  <si>
    <t>2021-06-25 09:00:00</t>
  </si>
  <si>
    <t>2021-07-01 23:59:59</t>
  </si>
  <si>
    <t>2021-07-23 09:00:00</t>
  </si>
  <si>
    <t>2021-07-29 23:59:59</t>
  </si>
  <si>
    <t>2021-08-27 09:00:00</t>
  </si>
  <si>
    <t>2021-09-02 23:59:59</t>
  </si>
  <si>
    <t>2021-11-05 09:00:00</t>
  </si>
  <si>
    <t>2021-11-11 23:59:59</t>
  </si>
  <si>
    <t>2022-01-07 00:00:00</t>
  </si>
  <si>
    <t>2022-01-13 23:59:59</t>
  </si>
  <si>
    <t>2022-03-11 00:00:00</t>
  </si>
  <si>
    <t>2022-03-17 23:59:59</t>
  </si>
  <si>
    <t>2020-09-11 00:00:00</t>
  </si>
  <si>
    <t>2020-12-18 00:00:00</t>
  </si>
  <si>
    <t>2020-12-24 23:59:59</t>
  </si>
  <si>
    <t>2021-01-15 00:00:00</t>
  </si>
  <si>
    <t>2021-01-21 23:59:59</t>
  </si>
  <si>
    <t>2021-02-19 00:00:00</t>
  </si>
  <si>
    <t>2021-02-25 23:59:59</t>
  </si>
  <si>
    <t>2021-03-26 09:00:00</t>
  </si>
  <si>
    <t>2021-04-01 23:59:59</t>
  </si>
  <si>
    <t>2021-04-23 09:00:00</t>
  </si>
  <si>
    <t>2021-04-29 23:59:59</t>
  </si>
  <si>
    <t>2021-05-21 09:00:00</t>
  </si>
  <si>
    <t>2021-05-27 23:59:59</t>
  </si>
  <si>
    <t>2021-06-18 09:00:00</t>
  </si>
  <si>
    <t>2021-06-24 23:59:59</t>
  </si>
  <si>
    <t>2021-07-09 09:00:00</t>
  </si>
  <si>
    <t>2021-07-15 23:59:59</t>
  </si>
  <si>
    <t>2021-08-20 09:00:00</t>
  </si>
  <si>
    <t>2021-08-26 23:59:59</t>
  </si>
  <si>
    <t>2021-09-24 09:00:00</t>
  </si>
  <si>
    <t>2021-09-30 23:59:59</t>
  </si>
  <si>
    <t>2021-10-15 09:00:00</t>
  </si>
  <si>
    <t>2021-10-21 23:59:59</t>
  </si>
  <si>
    <t>2022-02-18 00:00:00</t>
  </si>
  <si>
    <t>2022-02-24 23:59:59</t>
  </si>
  <si>
    <t>2022-04-01 00:00:00</t>
  </si>
  <si>
    <t>2020-10-23 00:00:00</t>
  </si>
  <si>
    <t>2020-11-05 23:59:59</t>
  </si>
  <si>
    <t>2021-04-30 09:00:00</t>
  </si>
  <si>
    <t>2021-05-06 23:59:59</t>
  </si>
  <si>
    <t>2021-08-06 09:00:00</t>
  </si>
  <si>
    <t>2021-08-12 23:59:59</t>
  </si>
  <si>
    <t>2021-09-03 09:00:00</t>
  </si>
  <si>
    <t>2021-09-09 23:59:59</t>
  </si>
  <si>
    <t>2022-04-08 00:00:00</t>
  </si>
  <si>
    <t>2020-10-29 23:59:59</t>
  </si>
  <si>
    <t>2020-11-28 00:00:00</t>
  </si>
  <si>
    <t>2020-12-03 23:59:59</t>
  </si>
  <si>
    <t>2021-03-05 00:00:00</t>
  </si>
  <si>
    <t>2021-03-11 23:59:59</t>
  </si>
  <si>
    <t>2021-04-02 09:00:00</t>
  </si>
  <si>
    <t>2021-04-08 23:59:59</t>
  </si>
  <si>
    <t>2021-11-05 03:00:00</t>
  </si>
  <si>
    <t>2022-01-21 00:00:00</t>
  </si>
  <si>
    <t>2022-01-27 23:59:59</t>
  </si>
  <si>
    <t>2022-03-11 03:00:00</t>
  </si>
  <si>
    <t>2020-12-11 00:00:00</t>
  </si>
  <si>
    <t>2020-12-17 23:59:59</t>
  </si>
  <si>
    <t>2021-02-05 00:00:00</t>
  </si>
  <si>
    <t>2021-02-11 23:59:59</t>
  </si>
  <si>
    <t>2021-04-16 09:00:00</t>
  </si>
  <si>
    <t>2021-04-22 23:59:59</t>
  </si>
  <si>
    <t>2021-05-28 09:00:00</t>
  </si>
  <si>
    <t>2021-06-03 23:59:59</t>
  </si>
  <si>
    <t>2021-09-17 09:00:00</t>
  </si>
  <si>
    <t>2021-09-23 23:59:59</t>
  </si>
  <si>
    <t>2022-03-04 00:00:00</t>
  </si>
  <si>
    <t>2022-03-10 23:59:59</t>
  </si>
  <si>
    <t>2022-04-01 03:00:00</t>
  </si>
  <si>
    <t>2020-12-14 23:59:59</t>
  </si>
  <si>
    <t>2021-01-01 00:00:00</t>
  </si>
  <si>
    <t>2021-01-03 23:59:59</t>
  </si>
  <si>
    <t>2021-02-14 00:00:00</t>
  </si>
  <si>
    <t>2021-02-16 23:59:59</t>
  </si>
  <si>
    <t>2021-03-07 00:00:00</t>
  </si>
  <si>
    <t>2021-03-09 23:59:59</t>
  </si>
  <si>
    <t>2021-06-20 23:59:59</t>
  </si>
  <si>
    <t>2021-10-22 00:00:00</t>
  </si>
  <si>
    <t>2021-11-19 00:00:00</t>
  </si>
  <si>
    <t>2021-11-25 23:59:59</t>
  </si>
  <si>
    <t>2021-12-31 00:00:00</t>
  </si>
  <si>
    <t>2022-01-06 23:59:59</t>
  </si>
  <si>
    <t>2022-02-04 00:00:00</t>
  </si>
  <si>
    <t>2022-03-25 00:00:00</t>
  </si>
  <si>
    <t>2021-01-08 00:00:00</t>
  </si>
  <si>
    <t>2021-01-14 23:59:59</t>
  </si>
  <si>
    <t>2021-10-08 00:00:00</t>
  </si>
  <si>
    <t>2021-10-14 23:59:59</t>
  </si>
  <si>
    <t>2021-12-13 03:00:00</t>
  </si>
  <si>
    <t>2022-02-25 03:00:00</t>
  </si>
  <si>
    <t>2022-03-03 23:59:59</t>
  </si>
  <si>
    <t>2021-03-11 00:00:00</t>
  </si>
  <si>
    <t>2021-10-01 00:00:00</t>
  </si>
  <si>
    <t>2021-10-07 23:59:59</t>
  </si>
  <si>
    <t>2022-02-25 00:00:00</t>
  </si>
  <si>
    <t>2021-07-14 00:00:00</t>
  </si>
  <si>
    <t>2021-08-24 23:59:59</t>
  </si>
  <si>
    <t>2021-10-29 00:00:00</t>
  </si>
  <si>
    <t>2021-11-04 23:59:59</t>
  </si>
  <si>
    <t>2022-01-14 00:00:00</t>
  </si>
  <si>
    <t>2022-01-20 23:59:59</t>
  </si>
  <si>
    <t>2022-02-18 03:00:00</t>
  </si>
  <si>
    <t>2022-03-18 03:00:00</t>
  </si>
  <si>
    <t>2022-02-04 01:00:00</t>
  </si>
  <si>
    <t>2022-02-10 23:59:59</t>
  </si>
  <si>
    <t>2021-11-19 09:00:00</t>
  </si>
  <si>
    <t>2020-12-10 00:00:00</t>
  </si>
  <si>
    <t>仙器ID</t>
  </si>
  <si>
    <t>*备注</t>
  </si>
  <si>
    <t>元宝*120,种族徽章自选*30,作战物资*10,低级附魔自选*1</t>
  </si>
  <si>
    <t>0:1:300#3:500041:150#3:100071:60#3:400036:4</t>
  </si>
  <si>
    <t>元宝*300,种族徽章自选*150,作战物资*60,低级附魔自选*4</t>
  </si>
  <si>
    <t>元宝*500,种族徽章自选*300,作战物资*100,低级附魔自选*8</t>
  </si>
  <si>
    <t>元宝*1280,种族徽章自选*700,作战物资*240,中级附魔自选*8</t>
  </si>
  <si>
    <t>元宝*3280,种族徽章自选*1400,作战物资*500,高级附魔自选*8</t>
  </si>
  <si>
    <t>元宝*6480,种族徽章自选*2800,作战物资*1000,高级附魔自选*16</t>
  </si>
  <si>
    <t>元宝*120,兵符*10,强化石自选盒*1</t>
  </si>
  <si>
    <t>元宝*500,兵符*20,命签*3,强化石自选盒*3</t>
  </si>
  <si>
    <t>元宝*1280,兵符*50,高级寻宝券*10,强化石自选盒*6</t>
  </si>
  <si>
    <t>元宝*3280,兵符*130,命签*10,,强化石自选盒*18</t>
  </si>
  <si>
    <t>元宝*6480,兵符*250,高级寻宝券*30,强化石自选盒*40</t>
  </si>
  <si>
    <t>元宝*120,命签*2,高级寻宝券*1,金币袋(24小时)*1</t>
  </si>
  <si>
    <t>0:1:300#3:100025:4#3:400036:8#3:1000001:2</t>
  </si>
  <si>
    <t>元宝*300,命签*4,低级附魔自选*8,金币袋(24小时)*2</t>
  </si>
  <si>
    <t>元宝*1280,命签*10,高级附魔自选*4,金币袋(24小时)*2</t>
  </si>
  <si>
    <t>元宝*3280,命签*20,高级附魔自选*8,金币袋(24小时)*2</t>
  </si>
  <si>
    <t>元宝*6480,命签*35,高级附魔自选*16,金币袋(24小时)*13</t>
  </si>
  <si>
    <t>元宝*120,祈愿令*2,悬赏刷新券*6,金币*100000</t>
  </si>
  <si>
    <t>0:1:300#3:100077:7#3:100001:300#0:0:1000000</t>
  </si>
  <si>
    <t>元宝*300,祈愿令*7,进阶石*300,金币*1000000</t>
  </si>
  <si>
    <t>元宝*1280,祈愿令*30,进阶石*1000,英雄经验*8000000</t>
  </si>
  <si>
    <t>0:1:1980#3:100077:40#3:1000010:2</t>
  </si>
  <si>
    <t>元宝*1980,祈愿令*40,五星通用英魂*2</t>
  </si>
  <si>
    <t>元宝*3280,祈愿令*70,金币*10000000,英雄经验*10000000</t>
  </si>
  <si>
    <t>元宝*3280,祈愿令*75,五星通用英魂*3</t>
  </si>
  <si>
    <t>元宝*6480,祈愿令*150,金币*30000000,英雄经验*30000000</t>
  </si>
  <si>
    <t>沉香开山斧</t>
  </si>
  <si>
    <t>三圣母宝莲灯</t>
  </si>
  <si>
    <t>0:1:60#3:100025:1#3:100022:10#3:100086:1</t>
  </si>
  <si>
    <t>0:1:60#3:100025:1#3:200069:15</t>
  </si>
  <si>
    <t>元宝*60,命签*1,食材*15</t>
  </si>
  <si>
    <t>元宝*500,命签*3,高级点将券*30,食材*45</t>
  </si>
  <si>
    <t>元宝*1280,命签*6,鎏金粉*15000,食材*120</t>
  </si>
  <si>
    <t>元宝*6480,灌魔之瓶自选*25,食材*750,金币*3000万</t>
  </si>
  <si>
    <t>元宝*6480,天级兽魂礼包*1,龙魂*6,火鸡奖券*50</t>
  </si>
  <si>
    <t>3:100059:1</t>
  </si>
  <si>
    <t>0:1:680#3:100059:50#3:100031:100#6:30002:1</t>
  </si>
  <si>
    <t>元宝*120,小雪人*2,金币*1000000,英雄经验*1000000</t>
  </si>
  <si>
    <t>元宝*300,小雪人*10,金币*5000000,英雄经验*5000000</t>
  </si>
  <si>
    <t>元宝*1280,小雪人*30,金币*10000000,英雄经验*10000000</t>
  </si>
  <si>
    <t>元宝*3280,小雪人*70,金币*20000000,英雄经验*20000000</t>
  </si>
  <si>
    <t>元宝*6480,小雪人*150,金币*30000000,英雄经验*30000000</t>
  </si>
  <si>
    <t>元宝*120,桃花酒*2,金币*500000,英雄经验*500000</t>
  </si>
  <si>
    <t>元宝*300,桃花酒*10,金币*2000000,英雄经验*2000000</t>
  </si>
  <si>
    <t>元宝*1280,桃花酒*30,金币*5000000,英雄经验*5000000</t>
  </si>
  <si>
    <t>元宝*3280,桃花酒*70,金币*10000000,英雄经验*10000000</t>
  </si>
  <si>
    <t>元宝*6480,桃花酒*150,金币*20000000,英雄经验*20000000</t>
  </si>
  <si>
    <t>元神*10,金币*1000000,英雄经验*1000000</t>
  </si>
  <si>
    <t>金丹元神*5,金币*1000000,英雄经验*1000000</t>
  </si>
  <si>
    <t>元神*30,金币*3000000,英雄经验*3000000</t>
  </si>
  <si>
    <t>金丹元神*20,金币*3000000,英雄经验*3000000</t>
  </si>
  <si>
    <t>元神*50,金币*5000000,英雄经验*5000000</t>
  </si>
  <si>
    <t>金丹元神*35,金币*5000000,英雄经验*5000000</t>
  </si>
  <si>
    <t>元神*85,金币*10000000,英雄经验*10000000</t>
  </si>
  <si>
    <t>金丹元神*60,金币*10000000,英雄经验*10000000</t>
  </si>
  <si>
    <t>元神*170,金币*20000000,英雄经验*20000000</t>
  </si>
  <si>
    <t>金丹元神*120,金币*20000000,英雄经验*20000000</t>
  </si>
  <si>
    <t>3:200057:5#0:0:1000000#0:4:1000000</t>
  </si>
  <si>
    <t>3:200057:20#0:0:3000000#0:4:3000000</t>
  </si>
  <si>
    <t>3:200057:35#0:0:5000000#0:4:5000000</t>
  </si>
  <si>
    <t>3:200057:60#0:0:10000000#0:4:10000000</t>
  </si>
  <si>
    <t>3:200057:120#0:0:20000000#0:4:20000000</t>
  </si>
  <si>
    <t>3:200054:10#3:100098:200#0:0:5000000</t>
  </si>
  <si>
    <t>3:200054:20#3:100098:500#0:0:10000000</t>
  </si>
  <si>
    <t>3:200054:40#3:100098:1000#0:0:20000000</t>
  </si>
  <si>
    <t>3:200055:400</t>
  </si>
  <si>
    <t>0:1:60#3:100004:1500#5:3:1#3:100022:3</t>
  </si>
  <si>
    <t>元宝*60,鎏金粉*1500,白泽印*1,高级点将券*3</t>
  </si>
  <si>
    <t>元宝*400,鎏金粉大礼包*3,随机篆印礼包*1,英雄经验*3000000</t>
  </si>
  <si>
    <t>元宝*1200,鎏金粉大礼包*7,玄武印*2,英雄经验*8000000</t>
  </si>
  <si>
    <r>
      <rPr>
        <sz val="11"/>
        <color theme="1"/>
        <rFont val="Calibri"/>
        <family val="2"/>
        <scheme val="minor"/>
      </rPr>
      <t>0:1:1980#3:400016:10#3:500011:1#</t>
    </r>
    <r>
      <rPr>
        <sz val="11"/>
        <color rgb="FFFF0000"/>
        <rFont val="Calibri"/>
        <family val="2"/>
        <scheme val="minor"/>
      </rPr>
      <t>3:400017:1</t>
    </r>
  </si>
  <si>
    <t>元宝*1800,鎏金粉大礼包*10,篆印自选礼包*1,随机篆印礼包*1</t>
  </si>
  <si>
    <t>元宝*3000,鎏金粉大礼包*18,篆印自选礼包*2,龙魂*5</t>
  </si>
  <si>
    <t>元宝*6000,龙雀印*1,鎏金粉*40000,英雄经验*25000000,龙魂*10</t>
  </si>
  <si>
    <t>3:590024:1</t>
  </si>
  <si>
    <t>3:590020:1</t>
  </si>
  <si>
    <t>元宝*120,魔怪悬赏令*6</t>
  </si>
  <si>
    <t>0:1:300#3:590021:1#3:590020:3#3:100027:6</t>
  </si>
  <si>
    <t>元宝*300,驱魔师直升券*1,魔怪悬赏令*3,悬赏刷新令*6</t>
  </si>
  <si>
    <t>元宝*1280,小熊软糖*40,魔怪悬赏令*30,悬赏刷新令*15</t>
  </si>
  <si>
    <t>0:1:1980#3:590021:2#3:590024:100#3:590020:35</t>
  </si>
  <si>
    <t>元宝*1980,驱魔师直升券*2,小熊软糖*100,魔怪悬赏令*35</t>
  </si>
  <si>
    <t>元宝*3280,驱魔师直升券*5,魔怪悬赏令*80,悬赏刷新令*35</t>
  </si>
  <si>
    <t>元宝*6480,驱魔师直升券*10,魔怪悬赏令*160,小熊软糖*300</t>
  </si>
  <si>
    <t>3:100004:1000</t>
  </si>
  <si>
    <t>鎏金粉*1000</t>
  </si>
  <si>
    <t>3:100006:3</t>
  </si>
  <si>
    <t>高级寻宝券*3</t>
  </si>
  <si>
    <t>3:100022:10</t>
  </si>
  <si>
    <t>高级点将券*10</t>
  </si>
  <si>
    <t>0:1:240#3:100025:1#3:100004:1500#3:100044:2</t>
  </si>
  <si>
    <t>元宝*240,命签*1,鎏金粉*1500,精英点将券*2</t>
  </si>
  <si>
    <t>0:1:240#3:100027:10#3:100004:1500#3:100044:2</t>
  </si>
  <si>
    <t>元宝*240,悬赏刷新券*10,鎏金粉*1500,精英点将券*2</t>
  </si>
  <si>
    <t>0:1:240#3:100022:10#3:100004:1500#3:100044:2</t>
  </si>
  <si>
    <t>元宝*240,高级点将券*10,鎏金粉*1500,精英点将券*2</t>
  </si>
  <si>
    <t>0:1:1500#3:100077:20#3:590015:5#3:1000010:1</t>
  </si>
  <si>
    <t>元宝*1500,祈愿令*20,会武材料盒*5,5星通用英魂*1</t>
  </si>
  <si>
    <t>0:1:1500#3:590016:1#3:590015:5#3:100044:10</t>
  </si>
  <si>
    <t>元宝*1500,金丹元神自选*1,会武材料盒*5,精英点将券*10</t>
  </si>
  <si>
    <t>0:1:1500#3:200054:10#3:590015:5#3:100098:200</t>
  </si>
  <si>
    <t>元宝*1500,乾坤玉*10,会武材料盒*5,龙珠*200</t>
  </si>
  <si>
    <t>0:1:1500#3:200055:9800#3:590015:5#3:100089:20</t>
  </si>
  <si>
    <t>元宝*1500,补天残片*9800,会武材料盒*5,宝箱秘钥*20</t>
  </si>
  <si>
    <t>0:1:1500#3:500011:2#3:590015:5#3:100004:5000</t>
  </si>
  <si>
    <t>元宝*1500,篆印自选礼包*2,会武材料盒*5,鎏金粉*5000</t>
  </si>
  <si>
    <t>0:1:1500#3:400038:4#3:590015:5#3:100022:20</t>
  </si>
  <si>
    <t>元宝*1500,高级附魔自选*4,会武材料盒*5,高级点将券*20</t>
  </si>
  <si>
    <t>0:1:9800#5:20001:15#3:590015:20#3:400038:16#3:100004:30000</t>
  </si>
  <si>
    <t>元宝*9800,龙魂*15,会武材料盒*20,高级附魔自选*16,鎏金粉*30000</t>
  </si>
  <si>
    <t>0:1:9800#3:500014:1#3:590015:20#6:30002:5</t>
  </si>
  <si>
    <t>元宝*9800,天级兽魂自选*1,会武材料盒*20,兽魂经验(大)*5</t>
  </si>
  <si>
    <t>0:1:9800#3:401001:1#3:590015:20#3:100305:3000</t>
  </si>
  <si>
    <t>元宝*9800,神装自选礼包*1,会武材料盒*20,神装精铁*3000</t>
  </si>
  <si>
    <t>兑换分组</t>
  </si>
  <si>
    <t>标签名</t>
  </si>
  <si>
    <t>展示道具</t>
  </si>
  <si>
    <t>2020-10-01 00:00:00</t>
  </si>
  <si>
    <t>100078#100079#100080#100081</t>
  </si>
  <si>
    <t>2020-11-27 00:00:00</t>
  </si>
  <si>
    <t>100093#100094#100095</t>
  </si>
  <si>
    <t>100238#100239#100240#100241</t>
  </si>
  <si>
    <t>100246#100247#100248#100249</t>
  </si>
  <si>
    <t>限购</t>
  </si>
  <si>
    <t>消耗</t>
  </si>
  <si>
    <t>是否显示兑换红点</t>
  </si>
  <si>
    <t>类型</t>
  </si>
  <si>
    <t>3:100078:200</t>
  </si>
  <si>
    <t>4:606008:50</t>
  </si>
  <si>
    <t>3:100078:250</t>
  </si>
  <si>
    <t>人</t>
  </si>
  <si>
    <t>4:606009:50</t>
  </si>
  <si>
    <t>仙</t>
  </si>
  <si>
    <t>4:606010:50</t>
  </si>
  <si>
    <t>妖</t>
  </si>
  <si>
    <t>4:606011:50</t>
  </si>
  <si>
    <t>3:100078:500</t>
  </si>
  <si>
    <t>神</t>
  </si>
  <si>
    <t>4:606012:50</t>
  </si>
  <si>
    <t>魔</t>
  </si>
  <si>
    <t>3:100001:10</t>
  </si>
  <si>
    <t>3:100079:1</t>
  </si>
  <si>
    <t>进阶石*10</t>
  </si>
  <si>
    <t>3:100002:10</t>
  </si>
  <si>
    <t>3:100079:15</t>
  </si>
  <si>
    <t>太乙精金*10</t>
  </si>
  <si>
    <t>0:0:50000</t>
  </si>
  <si>
    <t>金币*50000</t>
  </si>
  <si>
    <t>0:4:10000</t>
  </si>
  <si>
    <t>经验*10000</t>
  </si>
  <si>
    <t>3:100025:1</t>
  </si>
  <si>
    <t>3:100080:100</t>
  </si>
  <si>
    <t>先祖水晶</t>
  </si>
  <si>
    <t>3:100022:1</t>
  </si>
  <si>
    <t>3:100080:10</t>
  </si>
  <si>
    <t>高级点将券</t>
  </si>
  <si>
    <t>3:100006:1</t>
  </si>
  <si>
    <t>3:100080:50</t>
  </si>
  <si>
    <t>高级寻宝券</t>
  </si>
  <si>
    <t>3:100005:1</t>
  </si>
  <si>
    <t>3:100080:5</t>
  </si>
  <si>
    <t>寻宝券</t>
  </si>
  <si>
    <t>3:100212:1</t>
  </si>
  <si>
    <t>3:100081:10</t>
  </si>
  <si>
    <t>玄铁</t>
  </si>
  <si>
    <t>3:100213:1</t>
  </si>
  <si>
    <t>3:100081:100</t>
  </si>
  <si>
    <t>神铁</t>
  </si>
  <si>
    <t>3:100214:1</t>
  </si>
  <si>
    <t>陨铁精华</t>
  </si>
  <si>
    <t>3:700006:1</t>
  </si>
  <si>
    <t>3:100078:1500#3:100079:1500</t>
  </si>
  <si>
    <t>后羿皮肤</t>
  </si>
  <si>
    <t>3:700007:1</t>
  </si>
  <si>
    <t>3:100080:1500#3:100081:1500</t>
  </si>
  <si>
    <t>嫦娥皮肤</t>
  </si>
  <si>
    <t>3:900023:1</t>
  </si>
  <si>
    <t>3:100078:1000#3:100079:1000</t>
  </si>
  <si>
    <t>春华秋实</t>
  </si>
  <si>
    <t>3:900024:1</t>
  </si>
  <si>
    <t>3:100080:1000#3:100081:1000</t>
  </si>
  <si>
    <t>五谷丰登</t>
  </si>
  <si>
    <t>3:100093:300</t>
  </si>
  <si>
    <t>3:100093:400</t>
  </si>
  <si>
    <t>3:100093:700</t>
  </si>
  <si>
    <t>3:100094:30</t>
  </si>
  <si>
    <t>3:100094:150</t>
  </si>
  <si>
    <t>3:100094:20</t>
  </si>
  <si>
    <t>3:100095:200</t>
  </si>
  <si>
    <t>3:100095:40</t>
  </si>
  <si>
    <t>3:100095:10</t>
  </si>
  <si>
    <t>3:800022:1</t>
  </si>
  <si>
    <t>3:100093:700#3:100094:700#3:100095:700</t>
  </si>
  <si>
    <t>头像框</t>
  </si>
  <si>
    <t>3:700012:1</t>
  </si>
  <si>
    <t>3:100093:1000#3:100094:1000#3:100095:1000</t>
  </si>
  <si>
    <t>黄泉皮肤</t>
  </si>
  <si>
    <t>3:100099:10</t>
  </si>
  <si>
    <t>3:100099:15</t>
  </si>
  <si>
    <t>3:100099:1</t>
  </si>
  <si>
    <t>3:100099:150</t>
  </si>
  <si>
    <t>3:100099:20</t>
  </si>
  <si>
    <t>3:100099:100</t>
  </si>
  <si>
    <t>3:100099:5</t>
  </si>
  <si>
    <t>3:100099:500</t>
  </si>
  <si>
    <t>3:100099:600</t>
  </si>
  <si>
    <t>3:100099:800</t>
  </si>
  <si>
    <t>3:100238:200</t>
  </si>
  <si>
    <t>3:100238:250</t>
  </si>
  <si>
    <t>3:100238:500</t>
  </si>
  <si>
    <t>3:100239:1</t>
  </si>
  <si>
    <t>3:100239:15</t>
  </si>
  <si>
    <t>3:100240:100</t>
  </si>
  <si>
    <t>3:100240:10</t>
  </si>
  <si>
    <t>3:100240:50</t>
  </si>
  <si>
    <t>3:100240:5</t>
  </si>
  <si>
    <t>3:100241:10</t>
  </si>
  <si>
    <t>3:100241:100</t>
  </si>
  <si>
    <t>3:700010:1</t>
  </si>
  <si>
    <t>3:100238:1500#3:100239:1500</t>
  </si>
  <si>
    <t>鲲皮肤</t>
  </si>
  <si>
    <t>3:700016:1</t>
  </si>
  <si>
    <t>3:100240:1500#3:100241:1500</t>
  </si>
  <si>
    <t>夜魅皮肤</t>
  </si>
  <si>
    <t>3:100238:1000#3:100239:1000</t>
  </si>
  <si>
    <t>3:100240:1000#3:100241:1000</t>
  </si>
  <si>
    <t>3:100246:200</t>
  </si>
  <si>
    <t>3:100246:250</t>
  </si>
  <si>
    <t>3:100246:500</t>
  </si>
  <si>
    <t>3:100247:1</t>
  </si>
  <si>
    <t>3:100247:15</t>
  </si>
  <si>
    <t>3:100248:100</t>
  </si>
  <si>
    <t>3:100248:10</t>
  </si>
  <si>
    <t>3:100248:50</t>
  </si>
  <si>
    <t>3:100248:5</t>
  </si>
  <si>
    <t>3:100249:10</t>
  </si>
  <si>
    <t>3:100249:100</t>
  </si>
  <si>
    <t>3:700018:1</t>
  </si>
  <si>
    <t>3:100246:1500#3:100247:1500</t>
  </si>
  <si>
    <t>醒狮</t>
  </si>
  <si>
    <t>3:700009:1</t>
  </si>
  <si>
    <t>3:100248:1500#3:100249:1500</t>
  </si>
  <si>
    <t>几何数论</t>
  </si>
  <si>
    <t>3:800033:1</t>
  </si>
  <si>
    <t>3:100246:1000#3:100247:1000</t>
  </si>
  <si>
    <t>玫瑰芬芳</t>
  </si>
  <si>
    <t>4:608003:50</t>
  </si>
  <si>
    <t>3:100099:6500</t>
  </si>
  <si>
    <t>光*1</t>
  </si>
  <si>
    <t>4:602026:50</t>
  </si>
  <si>
    <t>3:100099:5000</t>
  </si>
  <si>
    <t>土地*50</t>
  </si>
  <si>
    <t>4:604019:50</t>
  </si>
  <si>
    <t>3:100099:4500</t>
  </si>
  <si>
    <t>西王母*50</t>
  </si>
  <si>
    <t>4:604010:50</t>
  </si>
  <si>
    <t>玉帝*50</t>
  </si>
  <si>
    <t>4:605008:50</t>
  </si>
  <si>
    <t>刑天*50</t>
  </si>
  <si>
    <t>4:605013:50</t>
  </si>
  <si>
    <t>烛龙*50</t>
  </si>
  <si>
    <t>4:602023:50</t>
  </si>
  <si>
    <t>九天玄女*50</t>
  </si>
  <si>
    <t>4:601020:50</t>
  </si>
  <si>
    <t>3:100099:3000</t>
  </si>
  <si>
    <t>哪吒*50</t>
  </si>
  <si>
    <t>4:603022:50</t>
  </si>
  <si>
    <t>妲己*50</t>
  </si>
  <si>
    <t>4:602018:50</t>
  </si>
  <si>
    <t>斗战胜佛*50</t>
  </si>
  <si>
    <t>4:603024:50</t>
  </si>
  <si>
    <t>曼珠*50</t>
  </si>
  <si>
    <t>4:602024:50</t>
  </si>
  <si>
    <t>玄奘*50</t>
  </si>
  <si>
    <t>4:601017:50</t>
  </si>
  <si>
    <t>后羿*50</t>
  </si>
  <si>
    <t>3:100099:1000</t>
  </si>
  <si>
    <t>5星神族碎片*50</t>
  </si>
  <si>
    <t>5星魔族碎片*50</t>
  </si>
  <si>
    <t>3:100099:400</t>
  </si>
  <si>
    <t>7:55000101:1</t>
  </si>
  <si>
    <t>信仰*1</t>
  </si>
  <si>
    <t>3:500026:1</t>
  </si>
  <si>
    <t>专属仙器自选*1</t>
  </si>
  <si>
    <t>3:580001:1</t>
  </si>
  <si>
    <t>兽灵自选礼包*1</t>
  </si>
  <si>
    <t>3:500014:1</t>
  </si>
  <si>
    <t>天级兽魂自选*1</t>
  </si>
  <si>
    <t>3:100228:1</t>
  </si>
  <si>
    <t>3:100099:4000</t>
  </si>
  <si>
    <t>生肖令*1</t>
  </si>
  <si>
    <t>5:20001:5</t>
  </si>
  <si>
    <t>3:100099:3500</t>
  </si>
  <si>
    <t>龙魂*5</t>
  </si>
  <si>
    <t>6:30002:2</t>
  </si>
  <si>
    <t>兽魂经验(大)*2</t>
  </si>
  <si>
    <t>3:1200016:1</t>
  </si>
  <si>
    <t>雪花标志</t>
  </si>
  <si>
    <t>3:500011:1</t>
  </si>
  <si>
    <t>篆印自选礼包*1</t>
  </si>
  <si>
    <t>0:0:100000</t>
  </si>
  <si>
    <t>金币*100000</t>
  </si>
  <si>
    <t>0:4:50000</t>
  </si>
  <si>
    <t>英雄经验*50000</t>
  </si>
  <si>
    <t>3:100099:300</t>
  </si>
  <si>
    <t>高级寻宝券*1</t>
  </si>
  <si>
    <t>命签*1</t>
  </si>
  <si>
    <t>3:590001:1</t>
  </si>
  <si>
    <t>3:100099:450</t>
  </si>
  <si>
    <t>幼龙自选*1</t>
  </si>
  <si>
    <t>3:200101:10</t>
  </si>
  <si>
    <t>多彩龙鳞*10</t>
  </si>
  <si>
    <t>3:100098:100</t>
  </si>
  <si>
    <t>龙珠*100</t>
  </si>
  <si>
    <t>玄铁*1</t>
  </si>
  <si>
    <t>3:100099:30</t>
  </si>
  <si>
    <t>神铁*1</t>
  </si>
  <si>
    <t>陨铁精华*1</t>
  </si>
  <si>
    <t>3:400037:1</t>
  </si>
  <si>
    <t>3:100099:250</t>
  </si>
  <si>
    <t>中级附魔自选*1</t>
  </si>
  <si>
    <t>3:400103:1</t>
  </si>
  <si>
    <t>3:590022:5000</t>
  </si>
  <si>
    <t>业火红色神装*1</t>
  </si>
  <si>
    <t>3:400203:1</t>
  </si>
  <si>
    <t>清水红色神装*1</t>
  </si>
  <si>
    <t>3:100275:1</t>
  </si>
  <si>
    <t>3:590022:4000</t>
  </si>
  <si>
    <t>寅虎召唤令*1</t>
  </si>
  <si>
    <t>3:500035:1</t>
  </si>
  <si>
    <t>魔族仙器自选*1</t>
  </si>
  <si>
    <t>3:500008:1</t>
  </si>
  <si>
    <t>魔族自选礼包*1</t>
  </si>
  <si>
    <t>3:500007:1</t>
  </si>
  <si>
    <t>神族自选礼包*1</t>
  </si>
  <si>
    <t>3:500034:1</t>
  </si>
  <si>
    <t>神族仙器自选*1</t>
  </si>
  <si>
    <t>3:700019:1</t>
  </si>
  <si>
    <t>3:590022:3500</t>
  </si>
  <si>
    <t>年兽*1</t>
  </si>
  <si>
    <t>3:100305:10000</t>
  </si>
  <si>
    <t>3:590022:3000</t>
  </si>
  <si>
    <t>神装精铁*10000</t>
  </si>
  <si>
    <t>3:200109:1</t>
  </si>
  <si>
    <t>3:590022:2000</t>
  </si>
  <si>
    <t>青年·应龙蛋*1</t>
  </si>
  <si>
    <t>3:200111:1</t>
  </si>
  <si>
    <t>青年·虬龙蛋*1</t>
  </si>
  <si>
    <t>3:200112:1</t>
  </si>
  <si>
    <t>青年·云龙蛋*1</t>
  </si>
  <si>
    <t>3:590022:1500</t>
  </si>
  <si>
    <t>3:1200018:1</t>
  </si>
  <si>
    <t>3:590022:1000</t>
  </si>
  <si>
    <t>小脑斧*1</t>
  </si>
  <si>
    <t>3:590022:1200</t>
  </si>
  <si>
    <t>五星随机碎片*50</t>
  </si>
  <si>
    <t>3:100004:2000</t>
  </si>
  <si>
    <t>鎏金粉*2000</t>
  </si>
  <si>
    <t>3:590022:500</t>
  </si>
  <si>
    <t>3:100059:10</t>
  </si>
  <si>
    <t>魂丹*10</t>
  </si>
  <si>
    <t>3:400036:1</t>
  </si>
  <si>
    <t>3:590022:300</t>
  </si>
  <si>
    <t>低级附魔卷轴*1</t>
  </si>
  <si>
    <t>3:200191:10</t>
  </si>
  <si>
    <t>生命精华*10</t>
  </si>
  <si>
    <t>3:590022:50</t>
  </si>
  <si>
    <t>研磨分组</t>
  </si>
  <si>
    <t>3:800022#3:700012#4:606011#4:606012</t>
  </si>
  <si>
    <t>道具ID</t>
  </si>
  <si>
    <t>道具名称</t>
  </si>
  <si>
    <t>必定获得</t>
  </si>
  <si>
    <t>概率获得道具ID</t>
  </si>
  <si>
    <t>概率配置</t>
  </si>
  <si>
    <t>概率说明</t>
  </si>
  <si>
    <t>3:100090:1</t>
  </si>
  <si>
    <t>0:0:10000</t>
  </si>
  <si>
    <t>1:80#2:10#3:5#5:5</t>
  </si>
  <si>
    <t>3:100091:1</t>
  </si>
  <si>
    <t>3:100092:1</t>
  </si>
  <si>
    <t>Vật tư thương thành</t>
  </si>
  <si>
    <t>Binh phù gói quà</t>
  </si>
  <si>
    <t>Mệnh ký gói quà</t>
  </si>
  <si>
    <t>Cầu nguyện thương thành</t>
  </si>
  <si>
    <t>Khoa học kỹ thuật gói quà</t>
  </si>
  <si>
    <t>Bọt nước gói quà</t>
  </si>
  <si>
    <t>Pháo hoa gói quà</t>
  </si>
  <si>
    <t>Ngọc bội gói quà</t>
  </si>
  <si>
    <t>Thần Ma ghi chép gói quà</t>
  </si>
  <si>
    <t>Làn da trở lại nhà máy gói quà</t>
  </si>
  <si>
    <t>Vượt phục mệnh ký gói quà</t>
  </si>
  <si>
    <t>Vượt phục đúc lại gói quà</t>
  </si>
  <si>
    <t>Mù hộp gói quà</t>
  </si>
  <si>
    <t>Đèn lồng gói quà</t>
  </si>
  <si>
    <t>Hoa hồng gói quà</t>
  </si>
  <si>
    <t>Nữ vương gói quà</t>
  </si>
  <si>
    <t>Lễ Tạ Ơn gói quà</t>
  </si>
  <si>
    <t>Chè trôi nước gói quà</t>
  </si>
  <si>
    <t>Tiên Khí bên trên mới</t>
  </si>
  <si>
    <t>Vượt phục thú hồn gói quà</t>
  </si>
  <si>
    <t>Tuyết chi khánh điển</t>
  </si>
  <si>
    <t>Hoa đào khánh điển</t>
  </si>
  <si>
    <t>Anh hùng kế thừa gói quà</t>
  </si>
  <si>
    <t>Đồ cất giữ phong ấn gói quà</t>
  </si>
  <si>
    <t>Tiên Khí kế thừa gói quà</t>
  </si>
  <si>
    <t>Vượt phục long châu gói quà</t>
  </si>
  <si>
    <t>Khu ma thương thành</t>
  </si>
  <si>
    <t>Trợ lực gói quà</t>
  </si>
  <si>
    <t>Biết võ kéo lên</t>
  </si>
  <si>
    <t>Vượt phục anh hùng tiêu hao</t>
  </si>
  <si>
    <t>Tỉ ấn thương thành</t>
  </si>
  <si>
    <t>Trung thu đoàn viên</t>
  </si>
  <si>
    <t>Thuốc nhuộm</t>
  </si>
  <si>
    <t>Tâm nguyện bình</t>
  </si>
  <si>
    <t>Chè trôi nước</t>
  </si>
  <si>
    <t>Hoa cỏ</t>
  </si>
  <si>
    <t>Khu ma</t>
  </si>
  <si>
    <t>Năm nhân # Trăm quả # Lòng đỏ trứng # Chà bông # Hi hữu</t>
  </si>
  <si>
    <t>Lá phong đỏ # Lá dâu lục # Hạnh lá hoàng # Hi hữu</t>
  </si>
  <si>
    <t>Anh hùng # Cao cấp vật liệu # Vật liệu</t>
  </si>
  <si>
    <t>Bánh đậu chè trôi nước # Hạt vừng chè trôi nước # Thịt tươi chè trôi nước # Tử khoai chè trôi nước # Hi hữu</t>
  </si>
  <si>
    <t>Hồ Điệp Lan # Hoa nhài # Hoa thủy tiên # Hoa bách hợp # Hi hữu</t>
  </si>
  <si>
    <t>Khu ma giá trị</t>
  </si>
  <si>
    <t>Nghiên Ma Thất</t>
  </si>
  <si>
    <t>50% Xác suất rơi 1 Cái</t>
  </si>
  <si>
    <t>Lá phong</t>
  </si>
  <si>
    <t>Đồng lá</t>
  </si>
  <si>
    <t>Hạnh lá</t>
  </si>
  <si>
    <t>Đồ đằng thương thành</t>
  </si>
  <si>
    <t>Làn da thương thành</t>
  </si>
  <si>
    <t>Thú hồn thương thành</t>
  </si>
  <si>
    <t>Tiên Khí đổi thành cửa hàng</t>
  </si>
  <si>
    <t>Tiên Khí UP Thương thành</t>
  </si>
  <si>
    <t>Triệu hoán gói quà</t>
  </si>
  <si>
    <t>Đoán xâm gói quà</t>
  </si>
  <si>
    <t>Bàn quay gói quà</t>
  </si>
  <si>
    <t>Đẳng cấp gói quà</t>
  </si>
  <si>
    <t>Đồ cất giữ thức tỉnh gói quà</t>
  </si>
  <si>
    <t>Trợ lực thú linh Nguyên bảo</t>
  </si>
  <si>
    <t>Trợ lực anh hùng vượt phục</t>
  </si>
  <si>
    <t>Trợ lực tầm bảo triện ấn</t>
  </si>
  <si>
    <t>2022-03-24 23:59:59</t>
  </si>
  <si>
    <t>2022-09-17 23:59:59</t>
  </si>
  <si>
    <t>2022-04-07 23:59:59</t>
  </si>
  <si>
    <t>2022-04-14 23:59:59</t>
  </si>
  <si>
    <t>2022-11-25 23:59:59</t>
  </si>
  <si>
    <t>2022-12-16 23:59:59</t>
  </si>
  <si>
    <t>2021-10-08 23:59:59</t>
  </si>
  <si>
    <t>2021-10-08 23:59:60</t>
  </si>
  <si>
    <t>2021-10-08 23:59:62</t>
  </si>
  <si>
    <t>2021-10-08 23:59:63</t>
  </si>
  <si>
    <t>2021-10-08 23:59:64</t>
  </si>
  <si>
    <t>2023-04-02 00:00:00</t>
  </si>
  <si>
    <t>2023-04-08 23:59:59</t>
  </si>
  <si>
    <t>2023-04-16 03:00:00</t>
  </si>
  <si>
    <t>2024-03-31 23:59:59</t>
  </si>
  <si>
    <t>2023-04-23 00:00:00</t>
  </si>
  <si>
    <t>0:1:3000#3:500041:30#3:100071:10#3:400036:1</t>
  </si>
  <si>
    <t>0:1:25000#3:500041:300#3:100071:100#3:400036:8</t>
  </si>
  <si>
    <t>0:1:100000#3:500041:700#3:100071:240#3:400037:8</t>
  </si>
  <si>
    <t>0:1:200000#3:500041:1400#3:100071:500#3:400038:8</t>
  </si>
  <si>
    <t>0:1:500000#3:500041:2800#3:100071:1000#3:400038:16</t>
  </si>
  <si>
    <t>0:1:3000#3:100073:10#3:100253:20</t>
  </si>
  <si>
    <t>0:1:25000#3:100073:20#3:100252:100#3:590005:3</t>
  </si>
  <si>
    <t>0:1:100000#3:100073:50#3:100252:400#3:100253:400#3:100255:10</t>
  </si>
  <si>
    <t>0:1:200000#3:100073:130#3:100258:20#3:100004:4000#0:0:20000000</t>
  </si>
  <si>
    <t>0:1:500000#3:100073:250#3:500087:13000#0:0:5000000#0:4:50000000</t>
  </si>
  <si>
    <t>0:1:3000#3:100025:2#3:100006:1#3:1000001:1</t>
  </si>
  <si>
    <t>0:1:100000#3:100025:10#3:400038:4#3:1000001:2</t>
  </si>
  <si>
    <t>0:1:200000#3:100025:20#3:400038:8#3:1000001:2</t>
  </si>
  <si>
    <t>0:1:500000#3:100025:35#3:400038:16#3:1000001:13</t>
  </si>
  <si>
    <t>0:1:3000#3:100077:2#3:100027:6#0:0:100000</t>
  </si>
  <si>
    <t>0:1:100000#3:100077:30#3:100001:1000#0:4:8000000</t>
  </si>
  <si>
    <t>0:1:200000#3:100077:70#0:0:1000000#0:4:10000000</t>
  </si>
  <si>
    <t>0:1:200000#3:100077:75#3:1000010:3</t>
  </si>
  <si>
    <t>0:1:500000#3:100077:150#0:0:3000000#0:4:30000000</t>
  </si>
  <si>
    <t>0:1:3000#3:100311:10#3:1000001:1#3:1000002:1</t>
  </si>
  <si>
    <t>0:1:25000#3:100311:20#0:0:100000#3:100001:500</t>
  </si>
  <si>
    <t>0:1:100000#3:100311:50#0:0:500000#0:4:5000000</t>
  </si>
  <si>
    <t>0:1:200000#3:100311:130#0:0:1000000#3:100001:1000</t>
  </si>
  <si>
    <t>0:1:500000#3:100311:200#0:0:2000000#0:4:20000000</t>
  </si>
  <si>
    <t>7:56000101:1#0:1:500000#3:100216:35000#0:0:2000000#3:100044:10</t>
  </si>
  <si>
    <t>7:58000101:1#0:1:500000#3:100216:35000#0:0:2000000#3:100044:10</t>
  </si>
  <si>
    <t>7:57000101:1#0:1:500000#3:100216:35000#0:0:2000000#3:100044:10</t>
  </si>
  <si>
    <t>7:45000101:1#0:1:500000#3:100216:35000#0:0:2000000#3:100044:10</t>
  </si>
  <si>
    <t>0:1:3000#3:100004:1400#3:100022:10#3:1000001:2</t>
  </si>
  <si>
    <t>0:1:25000#3:100004:6000#3:100025:3#3:1000001:3</t>
  </si>
  <si>
    <t>0:1:100000#3:100004:14000#3:100025:7#3:1000001:4</t>
  </si>
  <si>
    <t>0:1:200000#3:100004:3000#5:20001:1#3:1000001:7</t>
  </si>
  <si>
    <t>0:1:500000#3:100004:7000#5:20001:2#3:1000001:15</t>
  </si>
  <si>
    <t>0:1:25000#3:1000010:1#3:100022:30#3:100086:2</t>
  </si>
  <si>
    <t>0:1:100000#3:100216:14000#0:0:1000000#3:100086:6</t>
  </si>
  <si>
    <t>0:1:200000#3:100025:15#3:200018:14000#3:100086:14</t>
  </si>
  <si>
    <t>0:1:500000#3:500015:30#3:100022:80#3:100086:30</t>
  </si>
  <si>
    <t>0:1:25000#3:100025:3#3:100022:30#3:200069:50</t>
  </si>
  <si>
    <t>0:1:100000#3:100025:6#3:100004:15000#3:200069:120</t>
  </si>
  <si>
    <t>0:1:500000#3:500015:25#0:0:3000000#3:200069:750</t>
  </si>
  <si>
    <t>0:1:500000#3:400018:1#3:20001:6#3:100511:50</t>
  </si>
  <si>
    <t>0:1:100000#3:100059:100#3:100031:200#6:30002:2</t>
  </si>
  <si>
    <t>0:1:200000#3:100059:260#3:100031:300#6:30002:5</t>
  </si>
  <si>
    <t>0:1:500000#3:100059:520#3:100031:400#6:30002:10</t>
  </si>
  <si>
    <t>0:1:3000#3:100513:2#0:0:100000#0:4:1000000</t>
  </si>
  <si>
    <t>0:1:300#3:100513:10#0:0:500000#0:4:5000000</t>
  </si>
  <si>
    <t>0:1:100000#3:100513:30#0:0:1000000#0:4:10000000</t>
  </si>
  <si>
    <t>0:1:200000#3:100513:70#0:0:2000000#0:4:20000000</t>
  </si>
  <si>
    <t>0:1:500000#3:100513:150#0:0:3000000#0:4:30000000</t>
  </si>
  <si>
    <t>0:1:3000#3:100513:2#0:0:50000#0:4:500000</t>
  </si>
  <si>
    <t>0:1:300#3:100513:10#0:0:200000#0:4:2000000</t>
  </si>
  <si>
    <t>0:1:100000#3:100513:30#0:0:500000#0:4:5000000</t>
  </si>
  <si>
    <t>0:1:200000#3:100513:70#0:0:1000000#0:4:10000000</t>
  </si>
  <si>
    <t>0:1:500000#3:100513:150#0:0:2000000#0:4:20000000</t>
  </si>
  <si>
    <t>3:200052:10#0:0:100000#0:4:1000000</t>
  </si>
  <si>
    <t>3:200053:5#0:0:100000#0:4:1000000</t>
  </si>
  <si>
    <t>3:200052:30#0:0:300000#0:4:3000000</t>
  </si>
  <si>
    <t>3:200053:20#0:0:300000#0:4:3000000</t>
  </si>
  <si>
    <t>3:200052:50#0:0:500000#0:4:5000000</t>
  </si>
  <si>
    <t>3:200053:35#0:0:500000#0:4:5000000</t>
  </si>
  <si>
    <t>3:200052:85#0:0:1000000#0:4:10000000</t>
  </si>
  <si>
    <t>3:200053:60#0:0:1000000#0:4:10000000</t>
  </si>
  <si>
    <t>3:200052:170#0:0:2000000#0:4:20000000</t>
  </si>
  <si>
    <t>3:200053:120#0:0:2000000#0:4:20000000</t>
  </si>
  <si>
    <t>3:200057:5#0:0:100000#0:4:1000000</t>
  </si>
  <si>
    <t>3:200057:20#0:0:300000#0:4:3000000</t>
  </si>
  <si>
    <t>3:200057:35#0:0:500000#0:4:5000000</t>
  </si>
  <si>
    <t>3:200057:60#0:0:1000000#0:4:10000000</t>
  </si>
  <si>
    <t>3:200057:120#0:0:2000000#0:4:20000000</t>
  </si>
  <si>
    <t>3:200055:9800#0:0:300000#0:4:3000000</t>
  </si>
  <si>
    <t>3:200055:32800#0:0:1000000#0:4:10000000</t>
  </si>
  <si>
    <t>3:200055:64800#0:0:2000000#0:4:20000000</t>
  </si>
  <si>
    <t>0:1:300#3:100098:200#0:0:200000#0:4:2000000</t>
  </si>
  <si>
    <t>0:1:100000#3:100098:800#0:0:500000#0:4:5000000</t>
  </si>
  <si>
    <t>0:1:200000#3:100098:2400#0:0:1000000#0:4:10000000</t>
  </si>
  <si>
    <t>0:1:500000#3:100098:4800#0:0:2000000#0:4:20000000</t>
  </si>
  <si>
    <t>0:1:25000#3:400016:3#3:400017:1#0:4:3000000</t>
  </si>
  <si>
    <t>0:1:100000#3:400016:7#5:4:2#0:4:8000000</t>
  </si>
  <si>
    <t>0:1:200000#3:400016:18#3:500011:2#5:20001:3</t>
  </si>
  <si>
    <t>0:1:500000#3:560003:1#3:100004:4000#0:4:2500000#5:20001:10</t>
  </si>
  <si>
    <t>0:1:3000#3:590020:6</t>
  </si>
  <si>
    <t>0:1:100000#3:590024:40#3:590020:30#3:100027:15</t>
  </si>
  <si>
    <t>0:1:200000#3:590021:5#3:590020:80#3:100027:35</t>
  </si>
  <si>
    <t>0:1:500000#3:590021:10#3:590024:300#3:590020:150</t>
  </si>
  <si>
    <t>2024-12-29 23:59:61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</si>
</sst>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微软雅黑"/>
      <charset val="134"/>
    </font>
    <font>
      <sz val="12"/>
      <color theme="1"/>
      <name val="Calibri"/>
      <family val="2"/>
      <scheme val="minor"/>
    </font>
    <font>
      <sz val="12"/>
      <name val="宋体"/>
      <charset val="134"/>
    </font>
    <font>
      <sz val="12"/>
      <color rgb="FF7030A0"/>
      <name val="宋体"/>
      <charset val="134"/>
    </font>
    <font>
      <sz val="10"/>
      <color rgb="FF7030A0"/>
      <name val="微软雅黑"/>
      <charset val="134"/>
    </font>
    <font>
      <sz val="11"/>
      <color rgb="FFFF0000"/>
      <name val="Calibri"/>
      <family val="2"/>
      <scheme val="minor"/>
    </font>
    <font>
      <sz val="11"/>
      <color rgb="FFFF0000"/>
      <name val="微软雅黑"/>
      <charset val="134"/>
    </font>
    <font>
      <sz val="12"/>
      <color rgb="FFFF0000"/>
      <name val="宋体"/>
      <charset val="134"/>
    </font>
    <font>
      <sz val="11"/>
      <name val="Calibri"/>
      <family val="2"/>
      <scheme val="minor"/>
    </font>
    <font>
      <sz val="1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7375408185064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7375408185064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79247413556324"/>
        <bgColor indexed="64"/>
      </patternFill>
    </fill>
    <fill>
      <patternFill patternType="solid">
        <fgColor theme="5" tint="0.3997924741355632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7314371166112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5" fillId="0" borderId="0">
      <alignment vertical="center"/>
    </xf>
  </cellStyleXfs>
  <cellXfs count="193">
    <xf numFmtId="0" fontId="0" fillId="0" borderId="0" xfId="0"/>
    <xf numFmtId="0" fontId="3" fillId="0" borderId="0" xfId="0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2" borderId="0" xfId="0" applyFill="1" applyAlignment="1"/>
    <xf numFmtId="0" fontId="3" fillId="2" borderId="0" xfId="0" applyFont="1" applyFill="1" applyAlignment="1">
      <alignment horizontal="center"/>
    </xf>
    <xf numFmtId="49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4" borderId="0" xfId="0" applyFill="1"/>
    <xf numFmtId="49" fontId="0" fillId="3" borderId="0" xfId="0" applyNumberFormat="1" applyFill="1"/>
    <xf numFmtId="0" fontId="0" fillId="3" borderId="0" xfId="0" applyFont="1" applyFill="1"/>
    <xf numFmtId="0" fontId="0" fillId="5" borderId="0" xfId="0" applyFill="1"/>
    <xf numFmtId="49" fontId="0" fillId="5" borderId="0" xfId="0" applyNumberFormat="1" applyFill="1"/>
    <xf numFmtId="0" fontId="0" fillId="5" borderId="0" xfId="0" applyFont="1" applyFill="1"/>
    <xf numFmtId="0" fontId="0" fillId="6" borderId="0" xfId="0" applyFill="1"/>
    <xf numFmtId="49" fontId="0" fillId="6" borderId="0" xfId="0" applyNumberFormat="1" applyFill="1"/>
    <xf numFmtId="0" fontId="0" fillId="6" borderId="0" xfId="0" applyFont="1" applyFill="1"/>
    <xf numFmtId="0" fontId="0" fillId="7" borderId="0" xfId="0" applyFill="1"/>
    <xf numFmtId="49" fontId="0" fillId="7" borderId="0" xfId="0" applyNumberFormat="1" applyFill="1"/>
    <xf numFmtId="49" fontId="0" fillId="0" borderId="0" xfId="0" applyNumberFormat="1"/>
    <xf numFmtId="49" fontId="0" fillId="2" borderId="0" xfId="0" applyNumberFormat="1" applyFill="1"/>
    <xf numFmtId="0" fontId="0" fillId="2" borderId="0" xfId="0" applyFont="1" applyFill="1"/>
    <xf numFmtId="0" fontId="4" fillId="0" borderId="0" xfId="0" applyFont="1" applyFill="1" applyAlignment="1"/>
    <xf numFmtId="0" fontId="0" fillId="8" borderId="0" xfId="0" applyFill="1" applyAlignment="1"/>
    <xf numFmtId="0" fontId="4" fillId="0" borderId="0" xfId="0" applyFont="1" applyFill="1" applyBorder="1" applyAlignment="1"/>
    <xf numFmtId="0" fontId="5" fillId="4" borderId="0" xfId="0" applyFont="1" applyFill="1" applyBorder="1" applyAlignment="1">
      <alignment horizontal="right" vertical="center"/>
    </xf>
    <xf numFmtId="0" fontId="0" fillId="8" borderId="0" xfId="0" applyFont="1" applyFill="1" applyAlignment="1"/>
    <xf numFmtId="0" fontId="0" fillId="8" borderId="0" xfId="0" applyFont="1" applyFill="1" applyAlignment="1">
      <alignment horizontal="left"/>
    </xf>
    <xf numFmtId="0" fontId="0" fillId="9" borderId="0" xfId="0" applyFont="1" applyFill="1" applyAlignment="1"/>
    <xf numFmtId="0" fontId="4" fillId="2" borderId="0" xfId="0" applyFont="1" applyFill="1" applyAlignment="1"/>
    <xf numFmtId="0" fontId="0" fillId="9" borderId="0" xfId="0" applyFont="1" applyFill="1" applyAlignment="1">
      <alignment horizontal="left"/>
    </xf>
    <xf numFmtId="0" fontId="0" fillId="10" borderId="0" xfId="0" applyFill="1" applyAlignment="1"/>
    <xf numFmtId="0" fontId="0" fillId="10" borderId="0" xfId="0" applyFont="1" applyFill="1" applyAlignment="1"/>
    <xf numFmtId="0" fontId="0" fillId="10" borderId="0" xfId="0" applyFont="1" applyFill="1" applyAlignment="1">
      <alignment horizontal="left"/>
    </xf>
    <xf numFmtId="0" fontId="0" fillId="0" borderId="0" xfId="0" applyFill="1" applyAlignment="1"/>
    <xf numFmtId="0" fontId="0" fillId="2" borderId="0" xfId="0" applyFont="1" applyFill="1" applyAlignment="1">
      <alignment horizontal="left"/>
    </xf>
    <xf numFmtId="49" fontId="0" fillId="4" borderId="0" xfId="0" applyNumberFormat="1" applyFill="1"/>
    <xf numFmtId="0" fontId="0" fillId="9" borderId="0" xfId="0" applyFill="1" applyAlignment="1"/>
    <xf numFmtId="0" fontId="5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7" fillId="0" borderId="0" xfId="1" applyFont="1" applyFill="1" applyBorder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0" borderId="0" xfId="0" applyFill="1" applyAlignment="1">
      <alignment horizontal="center"/>
    </xf>
    <xf numFmtId="49" fontId="0" fillId="0" borderId="0" xfId="0" applyNumberFormat="1" applyFill="1" applyAlignment="1">
      <alignment horizontal="center"/>
    </xf>
    <xf numFmtId="0" fontId="0" fillId="0" borderId="0" xfId="0" applyFill="1"/>
    <xf numFmtId="49" fontId="0" fillId="0" borderId="0" xfId="0" applyNumberFormat="1" applyFill="1" applyAlignment="1">
      <alignment horizontal="right"/>
    </xf>
    <xf numFmtId="0" fontId="0" fillId="0" borderId="0" xfId="0" applyFill="1" applyAlignment="1">
      <alignment horizontal="right"/>
    </xf>
    <xf numFmtId="0" fontId="3" fillId="0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49" fontId="0" fillId="12" borderId="0" xfId="0" applyNumberFormat="1" applyFill="1" applyAlignment="1">
      <alignment horizontal="right"/>
    </xf>
    <xf numFmtId="0" fontId="0" fillId="12" borderId="0" xfId="0" applyFill="1" applyAlignment="1">
      <alignment horizontal="right"/>
    </xf>
    <xf numFmtId="0" fontId="3" fillId="12" borderId="0" xfId="0" applyFont="1" applyFill="1" applyAlignment="1">
      <alignment horizontal="center"/>
    </xf>
    <xf numFmtId="49" fontId="0" fillId="2" borderId="0" xfId="0" applyNumberFormat="1" applyFill="1" applyAlignment="1">
      <alignment horizontal="right"/>
    </xf>
    <xf numFmtId="49" fontId="0" fillId="11" borderId="0" xfId="0" applyNumberFormat="1" applyFill="1" applyAlignment="1">
      <alignment horizontal="right"/>
    </xf>
    <xf numFmtId="0" fontId="0" fillId="11" borderId="0" xfId="0" applyFill="1" applyAlignment="1">
      <alignment horizontal="right"/>
    </xf>
    <xf numFmtId="0" fontId="0" fillId="11" borderId="0" xfId="0" applyFill="1" applyAlignment="1">
      <alignment horizontal="center"/>
    </xf>
    <xf numFmtId="49" fontId="0" fillId="0" borderId="0" xfId="0" applyNumberFormat="1" applyFont="1" applyFill="1" applyAlignment="1">
      <alignment horizontal="right"/>
    </xf>
    <xf numFmtId="0" fontId="0" fillId="13" borderId="0" xfId="0" applyFill="1" applyAlignment="1">
      <alignment horizontal="center"/>
    </xf>
    <xf numFmtId="49" fontId="0" fillId="13" borderId="0" xfId="0" applyNumberFormat="1" applyFont="1" applyFill="1"/>
    <xf numFmtId="0" fontId="0" fillId="13" borderId="0" xfId="0" applyFill="1" applyAlignment="1">
      <alignment vertical="center"/>
    </xf>
    <xf numFmtId="0" fontId="3" fillId="13" borderId="0" xfId="0" applyFont="1" applyFill="1" applyAlignment="1">
      <alignment horizontal="center"/>
    </xf>
    <xf numFmtId="49" fontId="0" fillId="13" borderId="0" xfId="0" applyNumberFormat="1" applyFont="1" applyFill="1" applyAlignment="1">
      <alignment wrapText="1"/>
    </xf>
    <xf numFmtId="0" fontId="0" fillId="5" borderId="0" xfId="0" applyFill="1" applyAlignment="1">
      <alignment horizontal="center"/>
    </xf>
    <xf numFmtId="49" fontId="0" fillId="5" borderId="0" xfId="0" applyNumberFormat="1" applyFill="1" applyAlignment="1">
      <alignment horizontal="right"/>
    </xf>
    <xf numFmtId="0" fontId="0" fillId="5" borderId="0" xfId="0" applyFill="1" applyAlignment="1">
      <alignment horizontal="right"/>
    </xf>
    <xf numFmtId="0" fontId="3" fillId="5" borderId="0" xfId="0" applyFont="1" applyFill="1" applyAlignment="1">
      <alignment horizontal="center"/>
    </xf>
    <xf numFmtId="49" fontId="4" fillId="0" borderId="0" xfId="0" applyNumberFormat="1" applyFont="1" applyFill="1" applyAlignment="1">
      <alignment horizontal="right"/>
    </xf>
    <xf numFmtId="0" fontId="0" fillId="0" borderId="0" xfId="0" applyFill="1" applyAlignment="1">
      <alignment horizontal="center" vertical="center"/>
    </xf>
    <xf numFmtId="0" fontId="0" fillId="15" borderId="0" xfId="0" applyFill="1"/>
    <xf numFmtId="49" fontId="0" fillId="15" borderId="0" xfId="0" applyNumberFormat="1" applyFill="1" applyAlignment="1">
      <alignment horizontal="right"/>
    </xf>
    <xf numFmtId="0" fontId="0" fillId="15" borderId="0" xfId="0" applyFill="1" applyAlignment="1">
      <alignment horizontal="right"/>
    </xf>
    <xf numFmtId="0" fontId="0" fillId="15" borderId="0" xfId="0" applyFill="1" applyAlignment="1">
      <alignment horizontal="center"/>
    </xf>
    <xf numFmtId="0" fontId="3" fillId="15" borderId="0" xfId="0" applyFont="1" applyFill="1" applyAlignment="1">
      <alignment horizontal="center"/>
    </xf>
    <xf numFmtId="0" fontId="0" fillId="15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49" fontId="0" fillId="14" borderId="0" xfId="0" applyNumberFormat="1" applyFill="1" applyAlignment="1">
      <alignment horizontal="right"/>
    </xf>
    <xf numFmtId="0" fontId="0" fillId="14" borderId="0" xfId="0" applyFill="1" applyAlignment="1"/>
    <xf numFmtId="0" fontId="3" fillId="14" borderId="0" xfId="0" applyFont="1" applyFill="1" applyAlignment="1">
      <alignment horizontal="center"/>
    </xf>
    <xf numFmtId="0" fontId="0" fillId="0" borderId="0" xfId="0" applyFill="1" applyAlignment="1">
      <alignment vertical="center"/>
    </xf>
    <xf numFmtId="0" fontId="0" fillId="16" borderId="0" xfId="0" applyFill="1" applyAlignment="1">
      <alignment horizontal="center"/>
    </xf>
    <xf numFmtId="49" fontId="0" fillId="17" borderId="0" xfId="0" applyNumberFormat="1" applyFill="1" applyAlignment="1">
      <alignment horizontal="right"/>
    </xf>
    <xf numFmtId="0" fontId="0" fillId="16" borderId="0" xfId="0" applyFill="1"/>
    <xf numFmtId="0" fontId="0" fillId="17" borderId="0" xfId="0" applyFill="1"/>
    <xf numFmtId="0" fontId="3" fillId="16" borderId="0" xfId="0" applyFont="1" applyFill="1" applyAlignment="1">
      <alignment horizontal="center"/>
    </xf>
    <xf numFmtId="49" fontId="8" fillId="2" borderId="0" xfId="0" applyNumberFormat="1" applyFont="1" applyFill="1" applyAlignment="1">
      <alignment horizontal="right"/>
    </xf>
    <xf numFmtId="0" fontId="9" fillId="2" borderId="0" xfId="0" applyFont="1" applyFill="1" applyAlignment="1">
      <alignment horizontal="center"/>
    </xf>
    <xf numFmtId="49" fontId="8" fillId="2" borderId="0" xfId="0" applyNumberFormat="1" applyFont="1" applyFill="1" applyAlignment="1">
      <alignment horizontal="right" wrapText="1"/>
    </xf>
    <xf numFmtId="49" fontId="0" fillId="5" borderId="0" xfId="0" applyNumberFormat="1" applyFont="1" applyFill="1" applyAlignment="1">
      <alignment horizontal="right"/>
    </xf>
    <xf numFmtId="0" fontId="0" fillId="18" borderId="1" xfId="0" applyFont="1" applyFill="1" applyBorder="1" applyAlignment="1">
      <alignment horizontal="center"/>
    </xf>
    <xf numFmtId="49" fontId="0" fillId="18" borderId="1" xfId="0" applyNumberFormat="1" applyFont="1" applyFill="1" applyBorder="1" applyAlignment="1">
      <alignment horizontal="center"/>
    </xf>
    <xf numFmtId="0" fontId="0" fillId="18" borderId="1" xfId="0" applyFont="1" applyFill="1" applyBorder="1" applyAlignment="1">
      <alignment horizontal="center" vertical="center"/>
    </xf>
    <xf numFmtId="49" fontId="0" fillId="18" borderId="1" xfId="0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2" borderId="1" xfId="0" applyFont="1" applyFill="1" applyBorder="1" applyAlignment="1">
      <alignment horizontal="center"/>
    </xf>
    <xf numFmtId="49" fontId="0" fillId="12" borderId="1" xfId="0" applyNumberFormat="1" applyFill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ont="1" applyFill="1" applyBorder="1" applyAlignment="1">
      <alignment horizontal="left"/>
    </xf>
    <xf numFmtId="0" fontId="0" fillId="12" borderId="1" xfId="0" applyFont="1" applyFill="1" applyBorder="1" applyAlignment="1">
      <alignment horizontal="left" vertical="center"/>
    </xf>
    <xf numFmtId="49" fontId="4" fillId="12" borderId="1" xfId="0" applyNumberFormat="1" applyFont="1" applyFill="1" applyBorder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0" fillId="12" borderId="2" xfId="0" applyFont="1" applyFill="1" applyBorder="1" applyAlignment="1">
      <alignment horizontal="center"/>
    </xf>
    <xf numFmtId="49" fontId="0" fillId="12" borderId="2" xfId="0" applyNumberFormat="1" applyFill="1" applyBorder="1" applyAlignment="1">
      <alignment horizontal="left"/>
    </xf>
    <xf numFmtId="0" fontId="0" fillId="12" borderId="2" xfId="0" applyFill="1" applyBorder="1" applyAlignment="1">
      <alignment horizontal="left"/>
    </xf>
    <xf numFmtId="0" fontId="5" fillId="12" borderId="2" xfId="0" applyFont="1" applyFill="1" applyBorder="1" applyAlignment="1">
      <alignment horizontal="left" vertical="center"/>
    </xf>
    <xf numFmtId="0" fontId="0" fillId="12" borderId="2" xfId="0" applyFont="1" applyFill="1" applyBorder="1" applyAlignment="1">
      <alignment horizontal="left"/>
    </xf>
    <xf numFmtId="0" fontId="0" fillId="12" borderId="2" xfId="0" applyFont="1" applyFill="1" applyBorder="1" applyAlignment="1">
      <alignment horizontal="left" vertical="center"/>
    </xf>
    <xf numFmtId="0" fontId="0" fillId="2" borderId="1" xfId="0" applyFont="1" applyFill="1" applyBorder="1" applyAlignment="1">
      <alignment horizontal="center"/>
    </xf>
    <xf numFmtId="49" fontId="4" fillId="2" borderId="1" xfId="0" applyNumberFormat="1" applyFont="1" applyFill="1" applyBorder="1" applyAlignment="1"/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left"/>
    </xf>
    <xf numFmtId="0" fontId="0" fillId="2" borderId="1" xfId="0" applyFont="1" applyFill="1" applyBorder="1" applyAlignment="1">
      <alignment horizontal="center" vertical="center"/>
    </xf>
    <xf numFmtId="49" fontId="4" fillId="2" borderId="2" xfId="0" applyNumberFormat="1" applyFont="1" applyFill="1" applyBorder="1" applyAlignment="1"/>
    <xf numFmtId="0" fontId="0" fillId="2" borderId="2" xfId="0" applyFill="1" applyBorder="1"/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2" borderId="0" xfId="0" applyFont="1" applyFill="1" applyBorder="1" applyAlignment="1">
      <alignment horizontal="left"/>
    </xf>
    <xf numFmtId="0" fontId="0" fillId="2" borderId="0" xfId="0" applyFont="1" applyFill="1" applyAlignment="1">
      <alignment horizontal="right"/>
    </xf>
    <xf numFmtId="0" fontId="0" fillId="2" borderId="0" xfId="0" applyFill="1" applyAlignment="1">
      <alignment vertical="center"/>
    </xf>
    <xf numFmtId="0" fontId="8" fillId="2" borderId="0" xfId="0" applyFont="1" applyFill="1" applyAlignment="1">
      <alignment vertical="center"/>
    </xf>
    <xf numFmtId="0" fontId="0" fillId="12" borderId="0" xfId="0" applyFill="1" applyAlignment="1">
      <alignment horizontal="left"/>
    </xf>
    <xf numFmtId="0" fontId="5" fillId="12" borderId="0" xfId="0" applyFont="1" applyFill="1" applyBorder="1" applyAlignment="1">
      <alignment vertical="center"/>
    </xf>
    <xf numFmtId="0" fontId="10" fillId="12" borderId="0" xfId="0" applyFont="1" applyFill="1" applyBorder="1" applyAlignment="1">
      <alignment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0" borderId="1" xfId="0" applyBorder="1"/>
    <xf numFmtId="0" fontId="8" fillId="0" borderId="0" xfId="0" applyFont="1" applyFill="1"/>
    <xf numFmtId="0" fontId="0" fillId="6" borderId="0" xfId="0" applyFill="1" applyAlignment="1">
      <alignment horizontal="center"/>
    </xf>
    <xf numFmtId="49" fontId="11" fillId="0" borderId="0" xfId="0" applyNumberFormat="1" applyFont="1" applyFill="1" applyAlignment="1">
      <alignment horizontal="right"/>
    </xf>
    <xf numFmtId="0" fontId="9" fillId="0" borderId="0" xfId="0" applyFont="1" applyFill="1" applyAlignment="1">
      <alignment horizontal="center"/>
    </xf>
    <xf numFmtId="49" fontId="8" fillId="0" borderId="0" xfId="0" applyNumberFormat="1" applyFont="1" applyFill="1" applyAlignment="1">
      <alignment horizontal="right"/>
    </xf>
    <xf numFmtId="0" fontId="8" fillId="5" borderId="0" xfId="0" applyFont="1" applyFill="1"/>
    <xf numFmtId="0" fontId="9" fillId="5" borderId="0" xfId="0" applyFont="1" applyFill="1" applyAlignment="1">
      <alignment horizontal="center"/>
    </xf>
    <xf numFmtId="49" fontId="0" fillId="5" borderId="0" xfId="0" applyNumberFormat="1" applyFont="1" applyFill="1" applyAlignment="1"/>
    <xf numFmtId="49" fontId="0" fillId="2" borderId="0" xfId="0" applyNumberFormat="1" applyFill="1" applyAlignment="1"/>
    <xf numFmtId="49" fontId="0" fillId="5" borderId="0" xfId="0" applyNumberFormat="1" applyFill="1" applyAlignment="1"/>
    <xf numFmtId="0" fontId="11" fillId="0" borderId="0" xfId="0" applyFont="1" applyFill="1"/>
    <xf numFmtId="0" fontId="11" fillId="0" borderId="0" xfId="0" applyFont="1" applyFill="1" applyAlignment="1">
      <alignment horizontal="center"/>
    </xf>
    <xf numFmtId="0" fontId="12" fillId="0" borderId="0" xfId="0" applyFont="1" applyFill="1" applyAlignment="1">
      <alignment horizontal="center"/>
    </xf>
    <xf numFmtId="49" fontId="0" fillId="5" borderId="0" xfId="0" applyNumberFormat="1" applyFont="1" applyFill="1"/>
    <xf numFmtId="49" fontId="11" fillId="2" borderId="0" xfId="0" applyNumberFormat="1" applyFont="1" applyFill="1" applyAlignment="1">
      <alignment horizontal="right"/>
    </xf>
    <xf numFmtId="49" fontId="11" fillId="12" borderId="0" xfId="0" applyNumberFormat="1" applyFont="1" applyFill="1" applyAlignment="1">
      <alignment horizontal="right"/>
    </xf>
    <xf numFmtId="49" fontId="3" fillId="2" borderId="0" xfId="0" applyNumberFormat="1" applyFont="1" applyFill="1" applyAlignment="1">
      <alignment horizontal="center"/>
    </xf>
    <xf numFmtId="49" fontId="3" fillId="5" borderId="0" xfId="0" applyNumberFormat="1" applyFont="1" applyFill="1" applyAlignment="1">
      <alignment horizontal="center"/>
    </xf>
    <xf numFmtId="0" fontId="8" fillId="0" borderId="0" xfId="0" applyFont="1" applyFill="1" applyAlignment="1">
      <alignment horizontal="center"/>
    </xf>
    <xf numFmtId="0" fontId="8" fillId="2" borderId="0" xfId="0" applyFont="1" applyFill="1"/>
    <xf numFmtId="0" fontId="8" fillId="2" borderId="0" xfId="0" applyFont="1" applyFill="1" applyAlignment="1">
      <alignment horizontal="center"/>
    </xf>
    <xf numFmtId="49" fontId="0" fillId="6" borderId="0" xfId="0" applyNumberFormat="1" applyFont="1" applyFill="1" applyAlignment="1"/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11" fillId="11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49" fontId="0" fillId="2" borderId="0" xfId="0" applyNumberFormat="1" applyFill="1" applyAlignment="1">
      <alignment horizontal="center"/>
    </xf>
    <xf numFmtId="0" fontId="11" fillId="2" borderId="1" xfId="0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0" fillId="0" borderId="0" xfId="0" applyAlignment="1">
      <alignment horizontal="right"/>
    </xf>
    <xf numFmtId="0" fontId="3" fillId="6" borderId="0" xfId="0" applyFont="1" applyFill="1" applyAlignment="1">
      <alignment horizontal="center"/>
    </xf>
    <xf numFmtId="49" fontId="3" fillId="6" borderId="0" xfId="0" applyNumberFormat="1" applyFont="1" applyFill="1" applyAlignment="1">
      <alignment horizontal="right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3" fillId="0" borderId="0" xfId="0" applyFont="1" applyFill="1" applyAlignment="1"/>
    <xf numFmtId="0" fontId="0" fillId="0" borderId="0" xfId="0" applyFont="1"/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  <xf numFmtId="0" fontId="3" fillId="19" borderId="0" xfId="0" applyFont="1" applyFill="1" applyAlignment="1">
      <alignment horizontal="center"/>
    </xf>
    <xf numFmtId="0" fontId="0" fillId="19" borderId="0" xfId="0" applyFill="1" applyAlignment="1">
      <alignment horizontal="left"/>
    </xf>
    <xf numFmtId="0" fontId="0" fillId="19" borderId="0" xfId="0" applyFill="1"/>
    <xf numFmtId="0" fontId="0" fillId="19" borderId="0" xfId="0" applyFill="1" applyAlignment="1">
      <alignment horizontal="center" vertical="center"/>
    </xf>
    <xf numFmtId="0" fontId="3" fillId="20" borderId="0" xfId="0" applyFont="1" applyFill="1" applyAlignment="1">
      <alignment horizontal="center"/>
    </xf>
    <xf numFmtId="0" fontId="0" fillId="20" borderId="0" xfId="0" applyFill="1" applyAlignment="1">
      <alignment horizontal="left"/>
    </xf>
    <xf numFmtId="0" fontId="0" fillId="20" borderId="0" xfId="0" applyFill="1"/>
    <xf numFmtId="0" fontId="0" fillId="20" borderId="0" xfId="0" applyFill="1" applyAlignment="1">
      <alignment horizontal="center" vertical="center"/>
    </xf>
    <xf numFmtId="0" fontId="0" fillId="21" borderId="0" xfId="0" applyFill="1"/>
    <xf numFmtId="0" fontId="0" fillId="22" borderId="0" xfId="0" applyFill="1"/>
    <xf numFmtId="0" fontId="3" fillId="2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21" borderId="0" xfId="0" applyFill="1" applyAlignment="1">
      <alignment horizontal="center"/>
    </xf>
    <xf numFmtId="0" fontId="3" fillId="23" borderId="0" xfId="0" applyFont="1" applyFill="1" applyAlignment="1">
      <alignment horizontal="center"/>
    </xf>
    <xf numFmtId="0" fontId="3" fillId="24" borderId="0" xfId="0" applyFont="1" applyFill="1" applyAlignment="1">
      <alignment horizontal="center"/>
    </xf>
    <xf numFmtId="0" fontId="2" fillId="0" borderId="0" xfId="0" applyFont="1"/>
  </cellXfs>
  <cellStyles count="2">
    <cellStyle name="Normal" xfId="0" builtinId="0"/>
    <cellStyle name="常规 2" xfId="1"/>
  </cellStyles>
  <dxfs count="4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00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03"/>
  <sheetViews>
    <sheetView topLeftCell="A178" workbookViewId="0">
      <selection activeCell="B205" sqref="B205"/>
    </sheetView>
  </sheetViews>
  <sheetFormatPr defaultColWidth="9" defaultRowHeight="15"/>
  <cols>
    <col min="2" max="2" width="26" bestFit="1" customWidth="1"/>
    <col min="11" max="11" width="13.28515625" customWidth="1"/>
  </cols>
  <sheetData>
    <row r="1" spans="1:11" ht="16.5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6.5">
      <c r="A2" s="2">
        <v>10001</v>
      </c>
      <c r="B2" s="2" t="s">
        <v>703</v>
      </c>
      <c r="C2" s="6">
        <v>0</v>
      </c>
      <c r="D2" s="6" t="s">
        <v>11</v>
      </c>
      <c r="E2" s="6">
        <v>0</v>
      </c>
      <c r="F2" s="6" t="s">
        <v>12</v>
      </c>
      <c r="G2" s="6">
        <v>1</v>
      </c>
      <c r="H2" s="6">
        <v>10020</v>
      </c>
      <c r="I2" s="6">
        <v>1037</v>
      </c>
      <c r="J2" s="6">
        <v>15501</v>
      </c>
      <c r="K2" s="6">
        <v>1</v>
      </c>
    </row>
    <row r="3" spans="1:11" ht="16.5">
      <c r="A3" s="2">
        <v>10002</v>
      </c>
      <c r="B3" s="2" t="s">
        <v>703</v>
      </c>
      <c r="C3" s="6">
        <v>0</v>
      </c>
      <c r="D3" s="6" t="s">
        <v>11</v>
      </c>
      <c r="E3" s="6">
        <v>0</v>
      </c>
      <c r="F3" s="6" t="s">
        <v>12</v>
      </c>
      <c r="G3" s="6">
        <v>1</v>
      </c>
      <c r="H3" s="6">
        <v>10020</v>
      </c>
      <c r="I3" s="6">
        <v>1037</v>
      </c>
      <c r="J3" s="6">
        <v>15501</v>
      </c>
      <c r="K3" s="6">
        <v>1</v>
      </c>
    </row>
    <row r="4" spans="1:11" ht="16.5">
      <c r="A4" s="2">
        <v>10003</v>
      </c>
      <c r="B4" s="2" t="s">
        <v>703</v>
      </c>
      <c r="C4" s="6">
        <v>0</v>
      </c>
      <c r="D4" s="6" t="s">
        <v>11</v>
      </c>
      <c r="E4" s="6">
        <v>0</v>
      </c>
      <c r="F4" s="6" t="s">
        <v>12</v>
      </c>
      <c r="G4" s="6">
        <v>1</v>
      </c>
      <c r="H4" s="6">
        <v>10020</v>
      </c>
      <c r="I4" s="6">
        <v>1037</v>
      </c>
      <c r="J4" s="6">
        <v>15501</v>
      </c>
      <c r="K4" s="6">
        <v>1</v>
      </c>
    </row>
    <row r="5" spans="1:11" ht="16.5">
      <c r="A5" s="45">
        <v>20001</v>
      </c>
      <c r="B5" s="45" t="s">
        <v>704</v>
      </c>
      <c r="C5" s="6">
        <v>0</v>
      </c>
      <c r="D5" s="6" t="s">
        <v>11</v>
      </c>
      <c r="E5" s="6">
        <v>0</v>
      </c>
      <c r="F5" s="6" t="s">
        <v>12</v>
      </c>
      <c r="G5" s="57">
        <v>20001</v>
      </c>
      <c r="H5" s="57">
        <v>10021</v>
      </c>
      <c r="I5" s="57">
        <v>1037</v>
      </c>
      <c r="J5" s="57">
        <v>15503</v>
      </c>
      <c r="K5" s="57"/>
    </row>
    <row r="6" spans="1:11" ht="16.5">
      <c r="A6" s="186">
        <v>30001</v>
      </c>
      <c r="B6" s="186" t="s">
        <v>705</v>
      </c>
      <c r="C6" s="6">
        <v>0</v>
      </c>
      <c r="D6" s="6" t="s">
        <v>11</v>
      </c>
      <c r="E6" s="6">
        <v>0</v>
      </c>
      <c r="F6" s="6" t="s">
        <v>12</v>
      </c>
      <c r="G6" s="187">
        <v>2</v>
      </c>
      <c r="H6" s="187">
        <v>10021</v>
      </c>
      <c r="I6" s="187">
        <v>1037</v>
      </c>
      <c r="J6" s="187">
        <v>15502</v>
      </c>
      <c r="K6" s="187">
        <v>1</v>
      </c>
    </row>
    <row r="7" spans="1:11" ht="16.5">
      <c r="A7" s="186">
        <v>30002</v>
      </c>
      <c r="B7" s="186" t="s">
        <v>705</v>
      </c>
      <c r="C7" s="6">
        <v>0</v>
      </c>
      <c r="D7" s="6" t="s">
        <v>11</v>
      </c>
      <c r="E7" s="6">
        <v>0</v>
      </c>
      <c r="F7" s="6" t="s">
        <v>12</v>
      </c>
      <c r="G7" s="187">
        <v>2</v>
      </c>
      <c r="H7" s="187">
        <v>10021</v>
      </c>
      <c r="I7" s="187">
        <v>1037</v>
      </c>
      <c r="J7" s="187">
        <v>15502</v>
      </c>
      <c r="K7" s="187">
        <v>1</v>
      </c>
    </row>
    <row r="8" spans="1:11" ht="16.5">
      <c r="A8" s="186">
        <v>30003</v>
      </c>
      <c r="B8" s="186" t="s">
        <v>705</v>
      </c>
      <c r="C8" s="6">
        <v>0</v>
      </c>
      <c r="D8" s="6" t="s">
        <v>11</v>
      </c>
      <c r="E8" s="6">
        <v>0</v>
      </c>
      <c r="F8" s="6" t="s">
        <v>12</v>
      </c>
      <c r="G8" s="187">
        <v>2</v>
      </c>
      <c r="H8" s="187">
        <v>10021</v>
      </c>
      <c r="I8" s="187">
        <v>1037</v>
      </c>
      <c r="J8" s="187">
        <v>15502</v>
      </c>
      <c r="K8" s="187">
        <v>1</v>
      </c>
    </row>
    <row r="9" spans="1:11" ht="16.5">
      <c r="A9" s="186">
        <v>30004</v>
      </c>
      <c r="B9" s="186" t="s">
        <v>705</v>
      </c>
      <c r="C9" s="6">
        <v>0</v>
      </c>
      <c r="D9" s="6" t="s">
        <v>11</v>
      </c>
      <c r="E9" s="6">
        <v>0</v>
      </c>
      <c r="F9" s="6" t="s">
        <v>12</v>
      </c>
      <c r="G9" s="187">
        <v>2</v>
      </c>
      <c r="H9" s="187">
        <v>10021</v>
      </c>
      <c r="I9" s="187">
        <v>1037</v>
      </c>
      <c r="J9" s="187">
        <v>15502</v>
      </c>
      <c r="K9" s="187">
        <v>1</v>
      </c>
    </row>
    <row r="10" spans="1:11" ht="16.5">
      <c r="A10" s="186">
        <v>30005</v>
      </c>
      <c r="B10" s="186" t="s">
        <v>705</v>
      </c>
      <c r="C10" s="6">
        <v>0</v>
      </c>
      <c r="D10" s="6" t="s">
        <v>11</v>
      </c>
      <c r="E10" s="6">
        <v>0</v>
      </c>
      <c r="F10" s="6" t="s">
        <v>12</v>
      </c>
      <c r="G10" s="187">
        <v>2</v>
      </c>
      <c r="H10" s="187">
        <v>10021</v>
      </c>
      <c r="I10" s="187">
        <v>1037</v>
      </c>
      <c r="J10" s="187">
        <v>15502</v>
      </c>
      <c r="K10" s="187">
        <v>1</v>
      </c>
    </row>
    <row r="11" spans="1:11" ht="16.5">
      <c r="A11" s="186">
        <v>30006</v>
      </c>
      <c r="B11" s="186" t="s">
        <v>705</v>
      </c>
      <c r="C11" s="6">
        <v>0</v>
      </c>
      <c r="D11" s="6" t="s">
        <v>11</v>
      </c>
      <c r="E11" s="6">
        <v>0</v>
      </c>
      <c r="F11" s="6" t="s">
        <v>12</v>
      </c>
      <c r="G11" s="187">
        <v>2</v>
      </c>
      <c r="H11" s="187">
        <v>10021</v>
      </c>
      <c r="I11" s="187">
        <v>1037</v>
      </c>
      <c r="J11" s="187">
        <v>15502</v>
      </c>
      <c r="K11" s="187">
        <v>1</v>
      </c>
    </row>
    <row r="12" spans="1:11" ht="16.5">
      <c r="A12" s="186">
        <v>30007</v>
      </c>
      <c r="B12" s="186" t="s">
        <v>705</v>
      </c>
      <c r="C12" s="6">
        <v>0</v>
      </c>
      <c r="D12" s="6" t="s">
        <v>11</v>
      </c>
      <c r="E12" s="6">
        <v>0</v>
      </c>
      <c r="F12" s="6" t="s">
        <v>12</v>
      </c>
      <c r="G12" s="187">
        <v>2</v>
      </c>
      <c r="H12" s="187">
        <v>10021</v>
      </c>
      <c r="I12" s="187">
        <v>1037</v>
      </c>
      <c r="J12" s="187">
        <v>15502</v>
      </c>
      <c r="K12" s="187">
        <v>1</v>
      </c>
    </row>
    <row r="13" spans="1:11" ht="16.5">
      <c r="A13" s="186">
        <v>30008</v>
      </c>
      <c r="B13" s="186" t="s">
        <v>705</v>
      </c>
      <c r="C13" s="6">
        <v>0</v>
      </c>
      <c r="D13" s="6" t="s">
        <v>11</v>
      </c>
      <c r="E13" s="6">
        <v>0</v>
      </c>
      <c r="F13" s="6" t="s">
        <v>12</v>
      </c>
      <c r="G13" s="187">
        <v>2</v>
      </c>
      <c r="H13" s="187">
        <v>10021</v>
      </c>
      <c r="I13" s="187">
        <v>1037</v>
      </c>
      <c r="J13" s="187">
        <v>15502</v>
      </c>
      <c r="K13" s="187">
        <v>1</v>
      </c>
    </row>
    <row r="14" spans="1:11" ht="16.5">
      <c r="A14" s="186">
        <v>30009</v>
      </c>
      <c r="B14" s="186" t="s">
        <v>705</v>
      </c>
      <c r="C14" s="6">
        <v>0</v>
      </c>
      <c r="D14" s="6" t="s">
        <v>11</v>
      </c>
      <c r="E14" s="6">
        <v>0</v>
      </c>
      <c r="F14" s="6" t="s">
        <v>12</v>
      </c>
      <c r="G14" s="187">
        <v>2</v>
      </c>
      <c r="H14" s="187">
        <v>10021</v>
      </c>
      <c r="I14" s="187">
        <v>1037</v>
      </c>
      <c r="J14" s="187">
        <v>15502</v>
      </c>
      <c r="K14" s="187">
        <v>1</v>
      </c>
    </row>
    <row r="15" spans="1:11" ht="16.5">
      <c r="A15" s="186">
        <v>30010</v>
      </c>
      <c r="B15" s="186" t="s">
        <v>705</v>
      </c>
      <c r="C15" s="6">
        <v>0</v>
      </c>
      <c r="D15" s="6" t="s">
        <v>11</v>
      </c>
      <c r="E15" s="6">
        <v>0</v>
      </c>
      <c r="F15" s="6" t="s">
        <v>12</v>
      </c>
      <c r="G15" s="187">
        <v>2</v>
      </c>
      <c r="H15" s="187">
        <v>10021</v>
      </c>
      <c r="I15" s="187">
        <v>1037</v>
      </c>
      <c r="J15" s="187">
        <v>15502</v>
      </c>
      <c r="K15" s="187">
        <v>1</v>
      </c>
    </row>
    <row r="16" spans="1:11" ht="16.5">
      <c r="A16" s="186">
        <v>30011</v>
      </c>
      <c r="B16" s="186" t="s">
        <v>705</v>
      </c>
      <c r="C16" s="6">
        <v>0</v>
      </c>
      <c r="D16" s="6" t="s">
        <v>11</v>
      </c>
      <c r="E16" s="6">
        <v>0</v>
      </c>
      <c r="F16" s="6" t="s">
        <v>12</v>
      </c>
      <c r="G16" s="187">
        <v>2</v>
      </c>
      <c r="H16" s="187">
        <v>10021</v>
      </c>
      <c r="I16" s="187">
        <v>1037</v>
      </c>
      <c r="J16" s="187">
        <v>15502</v>
      </c>
      <c r="K16" s="187">
        <v>1</v>
      </c>
    </row>
    <row r="17" spans="1:11" ht="16.5">
      <c r="A17" s="186">
        <v>30012</v>
      </c>
      <c r="B17" s="186" t="s">
        <v>705</v>
      </c>
      <c r="C17" s="6">
        <v>0</v>
      </c>
      <c r="D17" s="6" t="s">
        <v>11</v>
      </c>
      <c r="E17" s="6">
        <v>0</v>
      </c>
      <c r="F17" s="6" t="s">
        <v>12</v>
      </c>
      <c r="G17" s="187">
        <v>2</v>
      </c>
      <c r="H17" s="187">
        <v>10021</v>
      </c>
      <c r="I17" s="187">
        <v>1037</v>
      </c>
      <c r="J17" s="187">
        <v>15502</v>
      </c>
      <c r="K17" s="187">
        <v>1</v>
      </c>
    </row>
    <row r="18" spans="1:11" ht="16.5">
      <c r="A18" s="186">
        <v>30013</v>
      </c>
      <c r="B18" s="186" t="s">
        <v>705</v>
      </c>
      <c r="C18" s="6">
        <v>0</v>
      </c>
      <c r="D18" s="6" t="s">
        <v>11</v>
      </c>
      <c r="E18" s="6">
        <v>0</v>
      </c>
      <c r="F18" s="6" t="s">
        <v>12</v>
      </c>
      <c r="G18" s="187">
        <v>2</v>
      </c>
      <c r="H18" s="187">
        <v>10021</v>
      </c>
      <c r="I18" s="187">
        <v>1037</v>
      </c>
      <c r="J18" s="187">
        <v>15502</v>
      </c>
      <c r="K18" s="187">
        <v>1</v>
      </c>
    </row>
    <row r="19" spans="1:11" ht="16.5">
      <c r="A19" s="186">
        <v>30014</v>
      </c>
      <c r="B19" s="186" t="s">
        <v>705</v>
      </c>
      <c r="C19" s="6">
        <v>0</v>
      </c>
      <c r="D19" s="6" t="s">
        <v>11</v>
      </c>
      <c r="E19" s="6">
        <v>0</v>
      </c>
      <c r="F19" s="6" t="s">
        <v>12</v>
      </c>
      <c r="G19" s="187">
        <v>2</v>
      </c>
      <c r="H19" s="187">
        <v>10021</v>
      </c>
      <c r="I19" s="187">
        <v>1037</v>
      </c>
      <c r="J19" s="187">
        <v>15502</v>
      </c>
      <c r="K19" s="187">
        <v>1</v>
      </c>
    </row>
    <row r="20" spans="1:11" ht="16.5">
      <c r="A20" s="186">
        <v>30015</v>
      </c>
      <c r="B20" s="186" t="s">
        <v>705</v>
      </c>
      <c r="C20" s="6">
        <v>0</v>
      </c>
      <c r="D20" s="6" t="s">
        <v>11</v>
      </c>
      <c r="E20" s="6">
        <v>0</v>
      </c>
      <c r="F20" s="6" t="s">
        <v>12</v>
      </c>
      <c r="G20" s="187">
        <v>2</v>
      </c>
      <c r="H20" s="187">
        <v>10021</v>
      </c>
      <c r="I20" s="187">
        <v>1037</v>
      </c>
      <c r="J20" s="187">
        <v>15502</v>
      </c>
      <c r="K20" s="187">
        <v>1</v>
      </c>
    </row>
    <row r="21" spans="1:11" ht="16.5">
      <c r="A21" s="186">
        <v>30016</v>
      </c>
      <c r="B21" s="186" t="s">
        <v>705</v>
      </c>
      <c r="C21" s="6">
        <v>0</v>
      </c>
      <c r="D21" s="6" t="s">
        <v>11</v>
      </c>
      <c r="E21" s="6">
        <v>0</v>
      </c>
      <c r="F21" s="6" t="s">
        <v>12</v>
      </c>
      <c r="G21" s="187">
        <v>2</v>
      </c>
      <c r="H21" s="187">
        <v>10021</v>
      </c>
      <c r="I21" s="187">
        <v>1037</v>
      </c>
      <c r="J21" s="187">
        <v>15502</v>
      </c>
      <c r="K21" s="187">
        <v>1</v>
      </c>
    </row>
    <row r="22" spans="1:11" ht="16.5">
      <c r="A22" s="186">
        <v>30017</v>
      </c>
      <c r="B22" s="186" t="s">
        <v>705</v>
      </c>
      <c r="C22" s="6">
        <v>0</v>
      </c>
      <c r="D22" s="6" t="s">
        <v>11</v>
      </c>
      <c r="E22" s="6">
        <v>0</v>
      </c>
      <c r="F22" s="6" t="s">
        <v>12</v>
      </c>
      <c r="G22" s="187">
        <v>2</v>
      </c>
      <c r="H22" s="187">
        <v>10021</v>
      </c>
      <c r="I22" s="187">
        <v>1037</v>
      </c>
      <c r="J22" s="187">
        <v>15502</v>
      </c>
      <c r="K22" s="187">
        <v>1</v>
      </c>
    </row>
    <row r="23" spans="1:11" ht="16.5">
      <c r="A23" s="186">
        <v>30018</v>
      </c>
      <c r="B23" s="186" t="s">
        <v>705</v>
      </c>
      <c r="C23" s="6">
        <v>0</v>
      </c>
      <c r="D23" s="6" t="s">
        <v>11</v>
      </c>
      <c r="E23" s="6">
        <v>0</v>
      </c>
      <c r="F23" s="6" t="s">
        <v>12</v>
      </c>
      <c r="G23" s="187">
        <v>2</v>
      </c>
      <c r="H23" s="187">
        <v>10021</v>
      </c>
      <c r="I23" s="187">
        <v>1037</v>
      </c>
      <c r="J23" s="187">
        <v>15502</v>
      </c>
      <c r="K23" s="187">
        <v>1</v>
      </c>
    </row>
    <row r="24" spans="1:11" ht="16.5">
      <c r="A24" s="186">
        <v>30019</v>
      </c>
      <c r="B24" s="186" t="s">
        <v>705</v>
      </c>
      <c r="C24" s="6">
        <v>0</v>
      </c>
      <c r="D24" s="6" t="s">
        <v>11</v>
      </c>
      <c r="E24" s="6">
        <v>0</v>
      </c>
      <c r="F24" s="6" t="s">
        <v>12</v>
      </c>
      <c r="G24" s="187">
        <v>2</v>
      </c>
      <c r="H24" s="187">
        <v>10021</v>
      </c>
      <c r="I24" s="187">
        <v>1037</v>
      </c>
      <c r="J24" s="187">
        <v>15502</v>
      </c>
      <c r="K24" s="187">
        <v>1</v>
      </c>
    </row>
    <row r="25" spans="1:11" ht="16.5">
      <c r="A25" s="186">
        <v>30020</v>
      </c>
      <c r="B25" s="186" t="s">
        <v>705</v>
      </c>
      <c r="C25" s="6">
        <v>0</v>
      </c>
      <c r="D25" s="6" t="s">
        <v>11</v>
      </c>
      <c r="E25" s="6">
        <v>0</v>
      </c>
      <c r="F25" s="6" t="s">
        <v>12</v>
      </c>
      <c r="G25" s="187">
        <v>2</v>
      </c>
      <c r="H25" s="187">
        <v>10021</v>
      </c>
      <c r="I25" s="187">
        <v>1037</v>
      </c>
      <c r="J25" s="187">
        <v>15502</v>
      </c>
      <c r="K25" s="187">
        <v>1</v>
      </c>
    </row>
    <row r="26" spans="1:11" ht="16.5">
      <c r="A26" s="186">
        <v>30021</v>
      </c>
      <c r="B26" s="186" t="s">
        <v>705</v>
      </c>
      <c r="C26" s="6">
        <v>0</v>
      </c>
      <c r="D26" s="6" t="s">
        <v>11</v>
      </c>
      <c r="E26" s="6">
        <v>0</v>
      </c>
      <c r="F26" s="6" t="s">
        <v>12</v>
      </c>
      <c r="G26" s="187">
        <v>2</v>
      </c>
      <c r="H26" s="187">
        <v>10021</v>
      </c>
      <c r="I26" s="187">
        <v>1037</v>
      </c>
      <c r="J26" s="187">
        <v>15502</v>
      </c>
      <c r="K26" s="187">
        <v>1</v>
      </c>
    </row>
    <row r="27" spans="1:11" ht="16.5">
      <c r="A27" s="186">
        <v>30022</v>
      </c>
      <c r="B27" s="186" t="s">
        <v>705</v>
      </c>
      <c r="C27" s="6">
        <v>0</v>
      </c>
      <c r="D27" s="6" t="s">
        <v>11</v>
      </c>
      <c r="E27" s="6">
        <v>0</v>
      </c>
      <c r="F27" s="6" t="s">
        <v>12</v>
      </c>
      <c r="G27" s="187">
        <v>2</v>
      </c>
      <c r="H27" s="187">
        <v>10021</v>
      </c>
      <c r="I27" s="187">
        <v>1037</v>
      </c>
      <c r="J27" s="187">
        <v>15502</v>
      </c>
      <c r="K27" s="187">
        <v>1</v>
      </c>
    </row>
    <row r="28" spans="1:11" ht="16.5">
      <c r="A28" s="186">
        <v>30023</v>
      </c>
      <c r="B28" s="186" t="s">
        <v>705</v>
      </c>
      <c r="C28" s="6">
        <v>0</v>
      </c>
      <c r="D28" s="6" t="s">
        <v>11</v>
      </c>
      <c r="E28" s="6">
        <v>0</v>
      </c>
      <c r="F28" s="6" t="s">
        <v>12</v>
      </c>
      <c r="G28" s="187">
        <v>2</v>
      </c>
      <c r="H28" s="187">
        <v>10021</v>
      </c>
      <c r="I28" s="187">
        <v>1037</v>
      </c>
      <c r="J28" s="187">
        <v>15502</v>
      </c>
      <c r="K28" s="187">
        <v>1</v>
      </c>
    </row>
    <row r="29" spans="1:11" ht="16.5">
      <c r="A29" s="186">
        <v>30024</v>
      </c>
      <c r="B29" s="186" t="s">
        <v>705</v>
      </c>
      <c r="C29" s="6">
        <v>0</v>
      </c>
      <c r="D29" s="6" t="s">
        <v>11</v>
      </c>
      <c r="E29" s="6">
        <v>0</v>
      </c>
      <c r="F29" s="6" t="s">
        <v>12</v>
      </c>
      <c r="G29" s="187">
        <v>2</v>
      </c>
      <c r="H29" s="187">
        <v>10021</v>
      </c>
      <c r="I29" s="187">
        <v>1037</v>
      </c>
      <c r="J29" s="187">
        <v>15502</v>
      </c>
      <c r="K29" s="187">
        <v>1</v>
      </c>
    </row>
    <row r="30" spans="1:11" ht="16.5">
      <c r="A30" s="9">
        <v>40001</v>
      </c>
      <c r="B30" s="9" t="s">
        <v>706</v>
      </c>
      <c r="C30" s="6">
        <v>0</v>
      </c>
      <c r="D30" s="6" t="s">
        <v>11</v>
      </c>
      <c r="E30" s="6">
        <v>0</v>
      </c>
      <c r="F30" s="6" t="s">
        <v>12</v>
      </c>
      <c r="G30" s="188">
        <v>40001</v>
      </c>
      <c r="H30" s="188">
        <v>10021</v>
      </c>
      <c r="I30" s="188">
        <v>1037</v>
      </c>
      <c r="J30" s="188">
        <v>15504</v>
      </c>
      <c r="K30" s="188">
        <v>1</v>
      </c>
    </row>
    <row r="31" spans="1:11" ht="16.5">
      <c r="A31" s="16">
        <v>50001</v>
      </c>
      <c r="B31" s="16" t="s">
        <v>707</v>
      </c>
      <c r="C31" s="6">
        <v>0</v>
      </c>
      <c r="D31" s="6" t="s">
        <v>11</v>
      </c>
      <c r="E31" s="6">
        <v>0</v>
      </c>
      <c r="F31" s="6" t="s">
        <v>12</v>
      </c>
      <c r="G31" s="136">
        <v>50001</v>
      </c>
      <c r="H31" s="136">
        <v>10020</v>
      </c>
      <c r="I31" s="136">
        <v>1037</v>
      </c>
      <c r="J31" s="136">
        <v>15505</v>
      </c>
      <c r="K31" s="136">
        <v>1</v>
      </c>
    </row>
    <row r="32" spans="1:11" ht="16.5">
      <c r="A32" s="2">
        <v>60001</v>
      </c>
      <c r="B32" s="2" t="s">
        <v>708</v>
      </c>
      <c r="C32" s="6">
        <v>0</v>
      </c>
      <c r="D32" s="6" t="s">
        <v>11</v>
      </c>
      <c r="E32" s="6">
        <v>0</v>
      </c>
      <c r="F32" s="6" t="s">
        <v>12</v>
      </c>
      <c r="G32" s="2">
        <v>60001</v>
      </c>
      <c r="H32" s="3">
        <v>10020</v>
      </c>
      <c r="I32" s="3">
        <v>1037</v>
      </c>
      <c r="J32" s="3">
        <v>15506</v>
      </c>
      <c r="K32" s="3">
        <v>1</v>
      </c>
    </row>
    <row r="33" spans="1:11" ht="16.5">
      <c r="A33" s="45">
        <v>70001</v>
      </c>
      <c r="B33" s="45" t="s">
        <v>709</v>
      </c>
      <c r="C33" s="6">
        <v>0</v>
      </c>
      <c r="D33" s="6" t="s">
        <v>11</v>
      </c>
      <c r="E33" s="6">
        <v>0</v>
      </c>
      <c r="F33" s="6" t="s">
        <v>12</v>
      </c>
      <c r="G33" s="45">
        <v>70001</v>
      </c>
      <c r="H33" s="54">
        <v>10020</v>
      </c>
      <c r="I33" s="54">
        <v>1037</v>
      </c>
      <c r="J33" s="54">
        <v>15507</v>
      </c>
      <c r="K33" s="54">
        <v>1</v>
      </c>
    </row>
    <row r="34" spans="1:11" ht="16.5">
      <c r="A34" s="2">
        <v>80001</v>
      </c>
      <c r="B34" s="2" t="s">
        <v>710</v>
      </c>
      <c r="C34" s="6">
        <v>0</v>
      </c>
      <c r="D34" s="6" t="s">
        <v>11</v>
      </c>
      <c r="E34" s="6">
        <v>0</v>
      </c>
      <c r="F34" s="6" t="s">
        <v>12</v>
      </c>
      <c r="G34" s="2">
        <v>80001</v>
      </c>
      <c r="H34" s="3">
        <v>10020</v>
      </c>
      <c r="I34" s="3">
        <v>1037</v>
      </c>
      <c r="J34" s="3">
        <v>15508</v>
      </c>
      <c r="K34" s="3">
        <v>1</v>
      </c>
    </row>
    <row r="35" spans="1:11" ht="16.5">
      <c r="A35" s="2">
        <v>90001</v>
      </c>
      <c r="B35" s="2" t="s">
        <v>711</v>
      </c>
      <c r="C35" s="6">
        <v>0</v>
      </c>
      <c r="D35" s="6" t="s">
        <v>11</v>
      </c>
      <c r="E35" s="6">
        <v>0</v>
      </c>
      <c r="F35" s="6" t="s">
        <v>12</v>
      </c>
      <c r="G35" s="2">
        <v>90001</v>
      </c>
      <c r="H35" s="3">
        <v>10020</v>
      </c>
      <c r="I35" s="3">
        <v>1037</v>
      </c>
      <c r="J35" s="3">
        <v>15509</v>
      </c>
      <c r="K35" s="3">
        <v>1</v>
      </c>
    </row>
    <row r="36" spans="1:11" ht="16.5">
      <c r="A36" s="8">
        <v>100001</v>
      </c>
      <c r="B36" s="8" t="s">
        <v>712</v>
      </c>
      <c r="C36" s="6">
        <v>0</v>
      </c>
      <c r="D36" s="6" t="s">
        <v>11</v>
      </c>
      <c r="E36" s="6">
        <v>0</v>
      </c>
      <c r="F36" s="6" t="s">
        <v>12</v>
      </c>
      <c r="G36" s="8">
        <v>100001</v>
      </c>
      <c r="H36" s="8">
        <v>10020</v>
      </c>
      <c r="I36" s="8">
        <v>1037</v>
      </c>
      <c r="J36" s="8">
        <v>15510</v>
      </c>
      <c r="K36" s="8">
        <v>1</v>
      </c>
    </row>
    <row r="37" spans="1:11" s="185" customFormat="1" ht="16.5">
      <c r="A37" s="189">
        <v>110001</v>
      </c>
      <c r="B37" s="189" t="s">
        <v>713</v>
      </c>
      <c r="C37" s="6">
        <v>0</v>
      </c>
      <c r="D37" s="6" t="s">
        <v>11</v>
      </c>
      <c r="E37" s="6">
        <v>0</v>
      </c>
      <c r="F37" s="6" t="s">
        <v>12</v>
      </c>
      <c r="G37" s="189">
        <v>110001</v>
      </c>
      <c r="H37" s="164">
        <v>17318</v>
      </c>
      <c r="I37" s="164">
        <v>1313</v>
      </c>
      <c r="J37" s="189">
        <v>15511</v>
      </c>
      <c r="K37" s="189">
        <v>1</v>
      </c>
    </row>
    <row r="38" spans="1:11" s="185" customFormat="1" ht="16.5">
      <c r="A38" s="189">
        <v>110002</v>
      </c>
      <c r="B38" s="189" t="s">
        <v>713</v>
      </c>
      <c r="C38" s="6">
        <v>0</v>
      </c>
      <c r="D38" s="6" t="s">
        <v>11</v>
      </c>
      <c r="E38" s="6">
        <v>0</v>
      </c>
      <c r="F38" s="6" t="s">
        <v>12</v>
      </c>
      <c r="G38" s="189">
        <v>110001</v>
      </c>
      <c r="H38" s="164">
        <v>17318</v>
      </c>
      <c r="I38" s="164">
        <v>1313</v>
      </c>
      <c r="J38" s="189">
        <v>15511</v>
      </c>
      <c r="K38" s="189">
        <v>1</v>
      </c>
    </row>
    <row r="39" spans="1:11" s="185" customFormat="1" ht="16.5">
      <c r="A39" s="189">
        <v>110003</v>
      </c>
      <c r="B39" s="189" t="s">
        <v>713</v>
      </c>
      <c r="C39" s="6">
        <v>0</v>
      </c>
      <c r="D39" s="6" t="s">
        <v>11</v>
      </c>
      <c r="E39" s="6">
        <v>0</v>
      </c>
      <c r="F39" s="6" t="s">
        <v>12</v>
      </c>
      <c r="G39" s="189">
        <v>110001</v>
      </c>
      <c r="H39" s="164">
        <v>17318</v>
      </c>
      <c r="I39" s="164">
        <v>1313</v>
      </c>
      <c r="J39" s="189">
        <v>15511</v>
      </c>
      <c r="K39" s="189">
        <v>1</v>
      </c>
    </row>
    <row r="40" spans="1:11" s="185" customFormat="1" ht="16.5">
      <c r="A40" s="189">
        <v>110004</v>
      </c>
      <c r="B40" s="189" t="s">
        <v>713</v>
      </c>
      <c r="C40" s="6">
        <v>0</v>
      </c>
      <c r="D40" s="6" t="s">
        <v>11</v>
      </c>
      <c r="E40" s="6">
        <v>0</v>
      </c>
      <c r="F40" s="6" t="s">
        <v>12</v>
      </c>
      <c r="G40" s="189">
        <v>110001</v>
      </c>
      <c r="H40" s="164">
        <v>17318</v>
      </c>
      <c r="I40" s="164">
        <v>1313</v>
      </c>
      <c r="J40" s="189">
        <v>15511</v>
      </c>
      <c r="K40" s="189">
        <v>1</v>
      </c>
    </row>
    <row r="41" spans="1:11" s="185" customFormat="1" ht="16.5">
      <c r="A41" s="189">
        <v>110005</v>
      </c>
      <c r="B41" s="189" t="s">
        <v>713</v>
      </c>
      <c r="C41" s="6">
        <v>0</v>
      </c>
      <c r="D41" s="6" t="s">
        <v>11</v>
      </c>
      <c r="E41" s="6">
        <v>0</v>
      </c>
      <c r="F41" s="6" t="s">
        <v>12</v>
      </c>
      <c r="G41" s="189">
        <v>110001</v>
      </c>
      <c r="H41" s="164">
        <v>17318</v>
      </c>
      <c r="I41" s="164">
        <v>1313</v>
      </c>
      <c r="J41" s="189">
        <v>15511</v>
      </c>
      <c r="K41" s="189">
        <v>1</v>
      </c>
    </row>
    <row r="42" spans="1:11" s="185" customFormat="1" ht="16.5">
      <c r="A42" s="189">
        <v>110006</v>
      </c>
      <c r="B42" s="189" t="s">
        <v>713</v>
      </c>
      <c r="C42" s="6">
        <v>0</v>
      </c>
      <c r="D42" s="6" t="s">
        <v>11</v>
      </c>
      <c r="E42" s="6">
        <v>0</v>
      </c>
      <c r="F42" s="6" t="s">
        <v>12</v>
      </c>
      <c r="G42" s="189">
        <v>110001</v>
      </c>
      <c r="H42" s="164">
        <v>17318</v>
      </c>
      <c r="I42" s="164">
        <v>1313</v>
      </c>
      <c r="J42" s="189">
        <v>15511</v>
      </c>
      <c r="K42" s="189">
        <v>1</v>
      </c>
    </row>
    <row r="43" spans="1:11" s="185" customFormat="1" ht="16.5">
      <c r="A43" s="189">
        <v>110007</v>
      </c>
      <c r="B43" s="189" t="s">
        <v>713</v>
      </c>
      <c r="C43" s="6">
        <v>0</v>
      </c>
      <c r="D43" s="6" t="s">
        <v>11</v>
      </c>
      <c r="E43" s="6">
        <v>0</v>
      </c>
      <c r="F43" s="6" t="s">
        <v>12</v>
      </c>
      <c r="G43" s="189">
        <v>110001</v>
      </c>
      <c r="H43" s="164">
        <v>17318</v>
      </c>
      <c r="I43" s="164">
        <v>1313</v>
      </c>
      <c r="J43" s="189">
        <v>15511</v>
      </c>
      <c r="K43" s="189">
        <v>1</v>
      </c>
    </row>
    <row r="44" spans="1:11" s="185" customFormat="1" ht="16.5">
      <c r="A44" s="189">
        <v>110008</v>
      </c>
      <c r="B44" s="189" t="s">
        <v>713</v>
      </c>
      <c r="C44" s="6">
        <v>0</v>
      </c>
      <c r="D44" s="6" t="s">
        <v>11</v>
      </c>
      <c r="E44" s="6">
        <v>0</v>
      </c>
      <c r="F44" s="6" t="s">
        <v>12</v>
      </c>
      <c r="G44" s="189">
        <v>110001</v>
      </c>
      <c r="H44" s="164">
        <v>17318</v>
      </c>
      <c r="I44" s="164">
        <v>1313</v>
      </c>
      <c r="J44" s="189">
        <v>15511</v>
      </c>
      <c r="K44" s="189">
        <v>1</v>
      </c>
    </row>
    <row r="45" spans="1:11" s="185" customFormat="1" ht="16.5">
      <c r="A45" s="189">
        <v>110009</v>
      </c>
      <c r="B45" s="189" t="s">
        <v>713</v>
      </c>
      <c r="C45" s="6">
        <v>0</v>
      </c>
      <c r="D45" s="6" t="s">
        <v>11</v>
      </c>
      <c r="E45" s="6">
        <v>0</v>
      </c>
      <c r="F45" s="6" t="s">
        <v>12</v>
      </c>
      <c r="G45" s="189">
        <v>110001</v>
      </c>
      <c r="H45" s="164">
        <v>17318</v>
      </c>
      <c r="I45" s="164">
        <v>1313</v>
      </c>
      <c r="J45" s="189">
        <v>15511</v>
      </c>
      <c r="K45" s="189">
        <v>1</v>
      </c>
    </row>
    <row r="46" spans="1:11" s="185" customFormat="1" ht="16.5">
      <c r="A46" s="189">
        <v>110010</v>
      </c>
      <c r="B46" s="189" t="s">
        <v>713</v>
      </c>
      <c r="C46" s="6">
        <v>0</v>
      </c>
      <c r="D46" s="6" t="s">
        <v>11</v>
      </c>
      <c r="E46" s="6">
        <v>0</v>
      </c>
      <c r="F46" s="6" t="s">
        <v>12</v>
      </c>
      <c r="G46" s="189">
        <v>110001</v>
      </c>
      <c r="H46" s="164">
        <v>17318</v>
      </c>
      <c r="I46" s="164">
        <v>1313</v>
      </c>
      <c r="J46" s="189">
        <v>15511</v>
      </c>
      <c r="K46" s="189">
        <v>1</v>
      </c>
    </row>
    <row r="47" spans="1:11" s="185" customFormat="1" ht="16.5">
      <c r="A47" s="189">
        <v>110011</v>
      </c>
      <c r="B47" s="189" t="s">
        <v>713</v>
      </c>
      <c r="C47" s="6">
        <v>0</v>
      </c>
      <c r="D47" s="6" t="s">
        <v>11</v>
      </c>
      <c r="E47" s="6">
        <v>0</v>
      </c>
      <c r="F47" s="6" t="s">
        <v>12</v>
      </c>
      <c r="G47" s="189">
        <v>110001</v>
      </c>
      <c r="H47" s="164">
        <v>17318</v>
      </c>
      <c r="I47" s="164">
        <v>1313</v>
      </c>
      <c r="J47" s="189">
        <v>15511</v>
      </c>
      <c r="K47" s="189">
        <v>1</v>
      </c>
    </row>
    <row r="48" spans="1:11" s="185" customFormat="1" ht="16.5">
      <c r="A48" s="189">
        <v>110012</v>
      </c>
      <c r="B48" s="189" t="s">
        <v>713</v>
      </c>
      <c r="C48" s="6">
        <v>0</v>
      </c>
      <c r="D48" s="6" t="s">
        <v>11</v>
      </c>
      <c r="E48" s="6">
        <v>0</v>
      </c>
      <c r="F48" s="6" t="s">
        <v>12</v>
      </c>
      <c r="G48" s="189">
        <v>110001</v>
      </c>
      <c r="H48" s="164">
        <v>17318</v>
      </c>
      <c r="I48" s="164">
        <v>1313</v>
      </c>
      <c r="J48" s="189">
        <v>15511</v>
      </c>
      <c r="K48" s="189">
        <v>1</v>
      </c>
    </row>
    <row r="49" spans="1:11" s="185" customFormat="1" ht="16.5">
      <c r="A49" s="189">
        <v>110013</v>
      </c>
      <c r="B49" s="189" t="s">
        <v>713</v>
      </c>
      <c r="C49" s="6">
        <v>0</v>
      </c>
      <c r="D49" s="6" t="s">
        <v>11</v>
      </c>
      <c r="E49" s="6">
        <v>0</v>
      </c>
      <c r="F49" s="6" t="s">
        <v>12</v>
      </c>
      <c r="G49" s="189">
        <v>110001</v>
      </c>
      <c r="H49" s="164">
        <v>17318</v>
      </c>
      <c r="I49" s="164">
        <v>1313</v>
      </c>
      <c r="J49" s="189">
        <v>15511</v>
      </c>
      <c r="K49" s="189">
        <v>1</v>
      </c>
    </row>
    <row r="50" spans="1:11" s="185" customFormat="1" ht="16.5">
      <c r="A50" s="189">
        <v>110014</v>
      </c>
      <c r="B50" s="189" t="s">
        <v>713</v>
      </c>
      <c r="C50" s="6">
        <v>0</v>
      </c>
      <c r="D50" s="6" t="s">
        <v>11</v>
      </c>
      <c r="E50" s="6">
        <v>0</v>
      </c>
      <c r="F50" s="6" t="s">
        <v>12</v>
      </c>
      <c r="G50" s="189">
        <v>110001</v>
      </c>
      <c r="H50" s="164">
        <v>17318</v>
      </c>
      <c r="I50" s="164">
        <v>1313</v>
      </c>
      <c r="J50" s="189">
        <v>15511</v>
      </c>
      <c r="K50" s="189">
        <v>1</v>
      </c>
    </row>
    <row r="51" spans="1:11" s="185" customFormat="1" ht="16.5">
      <c r="A51" s="189">
        <v>110015</v>
      </c>
      <c r="B51" s="189" t="s">
        <v>713</v>
      </c>
      <c r="C51" s="6">
        <v>0</v>
      </c>
      <c r="D51" s="6" t="s">
        <v>11</v>
      </c>
      <c r="E51" s="6">
        <v>0</v>
      </c>
      <c r="F51" s="6" t="s">
        <v>12</v>
      </c>
      <c r="G51" s="189">
        <v>110001</v>
      </c>
      <c r="H51" s="164">
        <v>17318</v>
      </c>
      <c r="I51" s="164">
        <v>1313</v>
      </c>
      <c r="J51" s="189">
        <v>15511</v>
      </c>
      <c r="K51" s="189">
        <v>1</v>
      </c>
    </row>
    <row r="52" spans="1:11" s="185" customFormat="1" ht="16.5">
      <c r="A52" s="189">
        <v>110016</v>
      </c>
      <c r="B52" s="189" t="s">
        <v>713</v>
      </c>
      <c r="C52" s="6">
        <v>0</v>
      </c>
      <c r="D52" s="6" t="s">
        <v>11</v>
      </c>
      <c r="E52" s="6">
        <v>0</v>
      </c>
      <c r="F52" s="6" t="s">
        <v>12</v>
      </c>
      <c r="G52" s="189">
        <v>110001</v>
      </c>
      <c r="H52" s="164">
        <v>17318</v>
      </c>
      <c r="I52" s="164">
        <v>1313</v>
      </c>
      <c r="J52" s="189">
        <v>15511</v>
      </c>
      <c r="K52" s="189">
        <v>1</v>
      </c>
    </row>
    <row r="53" spans="1:11" s="185" customFormat="1" ht="16.5">
      <c r="A53" s="189">
        <v>110017</v>
      </c>
      <c r="B53" s="189" t="s">
        <v>713</v>
      </c>
      <c r="C53" s="6">
        <v>0</v>
      </c>
      <c r="D53" s="6" t="s">
        <v>11</v>
      </c>
      <c r="E53" s="6">
        <v>0</v>
      </c>
      <c r="F53" s="6" t="s">
        <v>12</v>
      </c>
      <c r="G53" s="189">
        <v>110001</v>
      </c>
      <c r="H53" s="164">
        <v>17318</v>
      </c>
      <c r="I53" s="164">
        <v>1313</v>
      </c>
      <c r="J53" s="189">
        <v>15511</v>
      </c>
      <c r="K53" s="189">
        <v>1</v>
      </c>
    </row>
    <row r="54" spans="1:11" s="185" customFormat="1" ht="16.5">
      <c r="A54" s="189">
        <v>110018</v>
      </c>
      <c r="B54" s="189" t="s">
        <v>713</v>
      </c>
      <c r="C54" s="6">
        <v>0</v>
      </c>
      <c r="D54" s="6" t="s">
        <v>11</v>
      </c>
      <c r="E54" s="6">
        <v>0</v>
      </c>
      <c r="F54" s="6" t="s">
        <v>12</v>
      </c>
      <c r="G54" s="189">
        <v>110001</v>
      </c>
      <c r="H54" s="164">
        <v>17318</v>
      </c>
      <c r="I54" s="164">
        <v>1313</v>
      </c>
      <c r="J54" s="189">
        <v>15511</v>
      </c>
      <c r="K54" s="189">
        <v>1</v>
      </c>
    </row>
    <row r="55" spans="1:11" s="185" customFormat="1" ht="16.5">
      <c r="A55" s="189">
        <v>110019</v>
      </c>
      <c r="B55" s="189" t="s">
        <v>713</v>
      </c>
      <c r="C55" s="6">
        <v>0</v>
      </c>
      <c r="D55" s="6" t="s">
        <v>11</v>
      </c>
      <c r="E55" s="6">
        <v>0</v>
      </c>
      <c r="F55" s="6" t="s">
        <v>12</v>
      </c>
      <c r="G55" s="189">
        <v>110001</v>
      </c>
      <c r="H55" s="164">
        <v>17318</v>
      </c>
      <c r="I55" s="164">
        <v>1313</v>
      </c>
      <c r="J55" s="189">
        <v>15511</v>
      </c>
      <c r="K55" s="189">
        <v>1</v>
      </c>
    </row>
    <row r="56" spans="1:11" s="185" customFormat="1" ht="16.5">
      <c r="A56" s="189">
        <v>110020</v>
      </c>
      <c r="B56" s="189" t="s">
        <v>713</v>
      </c>
      <c r="C56" s="6">
        <v>0</v>
      </c>
      <c r="D56" s="6" t="s">
        <v>11</v>
      </c>
      <c r="E56" s="6">
        <v>0</v>
      </c>
      <c r="F56" s="6" t="s">
        <v>12</v>
      </c>
      <c r="G56" s="189">
        <v>110001</v>
      </c>
      <c r="H56" s="164">
        <v>17318</v>
      </c>
      <c r="I56" s="164">
        <v>1313</v>
      </c>
      <c r="J56" s="189">
        <v>15511</v>
      </c>
      <c r="K56" s="189">
        <v>1</v>
      </c>
    </row>
    <row r="57" spans="1:11" s="185" customFormat="1" ht="16.5">
      <c r="A57" s="189">
        <v>110021</v>
      </c>
      <c r="B57" s="189" t="s">
        <v>713</v>
      </c>
      <c r="C57" s="6">
        <v>0</v>
      </c>
      <c r="D57" s="6" t="s">
        <v>11</v>
      </c>
      <c r="E57" s="6">
        <v>0</v>
      </c>
      <c r="F57" s="6" t="s">
        <v>12</v>
      </c>
      <c r="G57" s="189">
        <v>110001</v>
      </c>
      <c r="H57" s="164">
        <v>17318</v>
      </c>
      <c r="I57" s="164">
        <v>1313</v>
      </c>
      <c r="J57" s="189">
        <v>15511</v>
      </c>
      <c r="K57" s="189">
        <v>1</v>
      </c>
    </row>
    <row r="58" spans="1:11" s="185" customFormat="1" ht="16.5">
      <c r="A58" s="189">
        <v>110022</v>
      </c>
      <c r="B58" s="189" t="s">
        <v>713</v>
      </c>
      <c r="C58" s="6">
        <v>0</v>
      </c>
      <c r="D58" s="6" t="s">
        <v>11</v>
      </c>
      <c r="E58" s="6">
        <v>0</v>
      </c>
      <c r="F58" s="6" t="s">
        <v>12</v>
      </c>
      <c r="G58" s="189">
        <v>110001</v>
      </c>
      <c r="H58" s="164">
        <v>17318</v>
      </c>
      <c r="I58" s="164">
        <v>1313</v>
      </c>
      <c r="J58" s="189">
        <v>15511</v>
      </c>
      <c r="K58" s="189">
        <v>1</v>
      </c>
    </row>
    <row r="59" spans="1:11" s="185" customFormat="1" ht="16.5">
      <c r="A59" s="189">
        <v>110023</v>
      </c>
      <c r="B59" s="189" t="s">
        <v>713</v>
      </c>
      <c r="C59" s="6">
        <v>0</v>
      </c>
      <c r="D59" s="6" t="s">
        <v>11</v>
      </c>
      <c r="E59" s="6">
        <v>0</v>
      </c>
      <c r="F59" s="6" t="s">
        <v>12</v>
      </c>
      <c r="G59" s="189">
        <v>110001</v>
      </c>
      <c r="H59" s="164">
        <v>17318</v>
      </c>
      <c r="I59" s="164">
        <v>1313</v>
      </c>
      <c r="J59" s="189">
        <v>15511</v>
      </c>
      <c r="K59" s="189">
        <v>1</v>
      </c>
    </row>
    <row r="60" spans="1:11" s="185" customFormat="1" ht="16.5">
      <c r="A60" s="189">
        <v>110024</v>
      </c>
      <c r="B60" s="189" t="s">
        <v>713</v>
      </c>
      <c r="C60" s="6">
        <v>0</v>
      </c>
      <c r="D60" s="6" t="s">
        <v>11</v>
      </c>
      <c r="E60" s="6">
        <v>0</v>
      </c>
      <c r="F60" s="6" t="s">
        <v>12</v>
      </c>
      <c r="G60" s="189">
        <v>110001</v>
      </c>
      <c r="H60" s="164">
        <v>17318</v>
      </c>
      <c r="I60" s="164">
        <v>1313</v>
      </c>
      <c r="J60" s="189">
        <v>15511</v>
      </c>
      <c r="K60" s="189">
        <v>1</v>
      </c>
    </row>
    <row r="61" spans="1:11" s="185" customFormat="1" ht="16.5">
      <c r="A61" s="189">
        <v>110025</v>
      </c>
      <c r="B61" s="189" t="s">
        <v>713</v>
      </c>
      <c r="C61" s="6">
        <v>0</v>
      </c>
      <c r="D61" s="6" t="s">
        <v>11</v>
      </c>
      <c r="E61" s="6">
        <v>0</v>
      </c>
      <c r="F61" s="6" t="s">
        <v>12</v>
      </c>
      <c r="G61" s="189">
        <v>110001</v>
      </c>
      <c r="H61" s="164">
        <v>17318</v>
      </c>
      <c r="I61" s="164">
        <v>1313</v>
      </c>
      <c r="J61" s="189">
        <v>15511</v>
      </c>
      <c r="K61" s="189">
        <v>1</v>
      </c>
    </row>
    <row r="62" spans="1:11" s="185" customFormat="1" ht="16.5">
      <c r="A62" s="189">
        <v>110026</v>
      </c>
      <c r="B62" s="189" t="s">
        <v>713</v>
      </c>
      <c r="C62" s="6">
        <v>0</v>
      </c>
      <c r="D62" s="6" t="s">
        <v>11</v>
      </c>
      <c r="E62" s="6">
        <v>0</v>
      </c>
      <c r="F62" s="6" t="s">
        <v>12</v>
      </c>
      <c r="G62" s="189">
        <v>110001</v>
      </c>
      <c r="H62" s="164">
        <v>17318</v>
      </c>
      <c r="I62" s="164">
        <v>1313</v>
      </c>
      <c r="J62" s="189">
        <v>15511</v>
      </c>
      <c r="K62" s="189">
        <v>1</v>
      </c>
    </row>
    <row r="63" spans="1:11" s="185" customFormat="1" ht="16.5">
      <c r="A63" s="189">
        <v>110027</v>
      </c>
      <c r="B63" s="189" t="s">
        <v>713</v>
      </c>
      <c r="C63" s="6">
        <v>0</v>
      </c>
      <c r="D63" s="6" t="s">
        <v>11</v>
      </c>
      <c r="E63" s="6">
        <v>0</v>
      </c>
      <c r="F63" s="6" t="s">
        <v>12</v>
      </c>
      <c r="G63" s="189">
        <v>110001</v>
      </c>
      <c r="H63" s="164">
        <v>17318</v>
      </c>
      <c r="I63" s="164">
        <v>1313</v>
      </c>
      <c r="J63" s="189">
        <v>15511</v>
      </c>
      <c r="K63" s="189">
        <v>1</v>
      </c>
    </row>
    <row r="64" spans="1:11" s="185" customFormat="1" ht="16.5">
      <c r="A64" s="189">
        <v>110028</v>
      </c>
      <c r="B64" s="189" t="s">
        <v>713</v>
      </c>
      <c r="C64" s="6">
        <v>0</v>
      </c>
      <c r="D64" s="6" t="s">
        <v>11</v>
      </c>
      <c r="E64" s="6">
        <v>0</v>
      </c>
      <c r="F64" s="6" t="s">
        <v>12</v>
      </c>
      <c r="G64" s="189">
        <v>110001</v>
      </c>
      <c r="H64" s="164">
        <v>17318</v>
      </c>
      <c r="I64" s="164">
        <v>1313</v>
      </c>
      <c r="J64" s="189">
        <v>15511</v>
      </c>
      <c r="K64" s="189">
        <v>1</v>
      </c>
    </row>
    <row r="65" spans="1:11" s="185" customFormat="1" ht="16.5">
      <c r="A65" s="189">
        <v>110029</v>
      </c>
      <c r="B65" s="189" t="s">
        <v>713</v>
      </c>
      <c r="C65" s="6">
        <v>0</v>
      </c>
      <c r="D65" s="6" t="s">
        <v>11</v>
      </c>
      <c r="E65" s="6">
        <v>0</v>
      </c>
      <c r="F65" s="6" t="s">
        <v>12</v>
      </c>
      <c r="G65" s="189">
        <v>110001</v>
      </c>
      <c r="H65" s="164">
        <v>17318</v>
      </c>
      <c r="I65" s="164">
        <v>1313</v>
      </c>
      <c r="J65" s="189">
        <v>15511</v>
      </c>
      <c r="K65" s="189">
        <v>1</v>
      </c>
    </row>
    <row r="66" spans="1:11" s="185" customFormat="1" ht="16.5">
      <c r="A66" s="189">
        <v>110030</v>
      </c>
      <c r="B66" s="189" t="s">
        <v>713</v>
      </c>
      <c r="C66" s="6">
        <v>0</v>
      </c>
      <c r="D66" s="6" t="s">
        <v>11</v>
      </c>
      <c r="E66" s="6">
        <v>0</v>
      </c>
      <c r="F66" s="6" t="s">
        <v>12</v>
      </c>
      <c r="G66" s="189">
        <v>110001</v>
      </c>
      <c r="H66" s="164">
        <v>17318</v>
      </c>
      <c r="I66" s="164">
        <v>1313</v>
      </c>
      <c r="J66" s="189">
        <v>15511</v>
      </c>
      <c r="K66" s="189">
        <v>1</v>
      </c>
    </row>
    <row r="67" spans="1:11" s="185" customFormat="1" ht="16.5">
      <c r="A67" s="189">
        <v>110031</v>
      </c>
      <c r="B67" s="189" t="s">
        <v>713</v>
      </c>
      <c r="C67" s="6">
        <v>0</v>
      </c>
      <c r="D67" s="6" t="s">
        <v>11</v>
      </c>
      <c r="E67" s="6">
        <v>0</v>
      </c>
      <c r="F67" s="6" t="s">
        <v>12</v>
      </c>
      <c r="G67" s="189">
        <v>110001</v>
      </c>
      <c r="H67" s="164">
        <v>17318</v>
      </c>
      <c r="I67" s="164">
        <v>1313</v>
      </c>
      <c r="J67" s="189">
        <v>15511</v>
      </c>
      <c r="K67" s="189">
        <v>1</v>
      </c>
    </row>
    <row r="68" spans="1:11" s="185" customFormat="1" ht="16.5">
      <c r="A68" s="189">
        <v>110032</v>
      </c>
      <c r="B68" s="189" t="s">
        <v>713</v>
      </c>
      <c r="C68" s="6">
        <v>0</v>
      </c>
      <c r="D68" s="6" t="s">
        <v>11</v>
      </c>
      <c r="E68" s="6">
        <v>0</v>
      </c>
      <c r="F68" s="6" t="s">
        <v>12</v>
      </c>
      <c r="G68" s="189">
        <v>110001</v>
      </c>
      <c r="H68" s="164">
        <v>17318</v>
      </c>
      <c r="I68" s="164">
        <v>1313</v>
      </c>
      <c r="J68" s="189">
        <v>15511</v>
      </c>
      <c r="K68" s="189">
        <v>1</v>
      </c>
    </row>
    <row r="69" spans="1:11" s="185" customFormat="1" ht="16.5">
      <c r="A69" s="189">
        <v>110033</v>
      </c>
      <c r="B69" s="189" t="s">
        <v>713</v>
      </c>
      <c r="C69" s="6">
        <v>0</v>
      </c>
      <c r="D69" s="6" t="s">
        <v>11</v>
      </c>
      <c r="E69" s="6">
        <v>0</v>
      </c>
      <c r="F69" s="6" t="s">
        <v>12</v>
      </c>
      <c r="G69" s="189">
        <v>110001</v>
      </c>
      <c r="H69" s="164">
        <v>17318</v>
      </c>
      <c r="I69" s="164">
        <v>1313</v>
      </c>
      <c r="J69" s="189">
        <v>15511</v>
      </c>
      <c r="K69" s="189">
        <v>1</v>
      </c>
    </row>
    <row r="70" spans="1:11" s="185" customFormat="1" ht="16.5">
      <c r="A70" s="189">
        <v>110034</v>
      </c>
      <c r="B70" s="189" t="s">
        <v>713</v>
      </c>
      <c r="C70" s="6">
        <v>0</v>
      </c>
      <c r="D70" s="6" t="s">
        <v>11</v>
      </c>
      <c r="E70" s="6">
        <v>0</v>
      </c>
      <c r="F70" s="6" t="s">
        <v>12</v>
      </c>
      <c r="G70" s="189">
        <v>110001</v>
      </c>
      <c r="H70" s="164">
        <v>17318</v>
      </c>
      <c r="I70" s="164">
        <v>1313</v>
      </c>
      <c r="J70" s="189">
        <v>15511</v>
      </c>
      <c r="K70" s="189">
        <v>1</v>
      </c>
    </row>
    <row r="71" spans="1:11" s="185" customFormat="1" ht="16.5">
      <c r="A71" s="189">
        <v>110035</v>
      </c>
      <c r="B71" s="189" t="s">
        <v>713</v>
      </c>
      <c r="C71" s="6">
        <v>0</v>
      </c>
      <c r="D71" s="6" t="s">
        <v>11</v>
      </c>
      <c r="E71" s="6">
        <v>0</v>
      </c>
      <c r="F71" s="6" t="s">
        <v>12</v>
      </c>
      <c r="G71" s="189">
        <v>110001</v>
      </c>
      <c r="H71" s="164">
        <v>17318</v>
      </c>
      <c r="I71" s="164">
        <v>1313</v>
      </c>
      <c r="J71" s="189">
        <v>15511</v>
      </c>
      <c r="K71" s="189">
        <v>1</v>
      </c>
    </row>
    <row r="72" spans="1:11" s="185" customFormat="1" ht="16.5">
      <c r="A72" s="189">
        <v>110036</v>
      </c>
      <c r="B72" s="189" t="s">
        <v>713</v>
      </c>
      <c r="C72" s="6">
        <v>0</v>
      </c>
      <c r="D72" s="6" t="s">
        <v>11</v>
      </c>
      <c r="E72" s="6">
        <v>0</v>
      </c>
      <c r="F72" s="6" t="s">
        <v>12</v>
      </c>
      <c r="G72" s="189">
        <v>110001</v>
      </c>
      <c r="H72" s="164">
        <v>17318</v>
      </c>
      <c r="I72" s="164">
        <v>1313</v>
      </c>
      <c r="J72" s="189">
        <v>15511</v>
      </c>
      <c r="K72" s="189">
        <v>1</v>
      </c>
    </row>
    <row r="73" spans="1:11" s="185" customFormat="1" ht="16.5">
      <c r="A73" s="189">
        <v>110037</v>
      </c>
      <c r="B73" s="189" t="s">
        <v>713</v>
      </c>
      <c r="C73" s="6">
        <v>0</v>
      </c>
      <c r="D73" s="6" t="s">
        <v>11</v>
      </c>
      <c r="E73" s="6">
        <v>0</v>
      </c>
      <c r="F73" s="6" t="s">
        <v>12</v>
      </c>
      <c r="G73" s="189">
        <v>110001</v>
      </c>
      <c r="H73" s="164">
        <v>17318</v>
      </c>
      <c r="I73" s="164">
        <v>1313</v>
      </c>
      <c r="J73" s="189">
        <v>15511</v>
      </c>
      <c r="K73" s="189">
        <v>1</v>
      </c>
    </row>
    <row r="74" spans="1:11" s="185" customFormat="1" ht="16.5">
      <c r="A74" s="189">
        <v>110038</v>
      </c>
      <c r="B74" s="189" t="s">
        <v>713</v>
      </c>
      <c r="C74" s="6">
        <v>0</v>
      </c>
      <c r="D74" s="6" t="s">
        <v>11</v>
      </c>
      <c r="E74" s="6">
        <v>0</v>
      </c>
      <c r="F74" s="6" t="s">
        <v>12</v>
      </c>
      <c r="G74" s="189">
        <v>110001</v>
      </c>
      <c r="H74" s="164">
        <v>17318</v>
      </c>
      <c r="I74" s="164">
        <v>1313</v>
      </c>
      <c r="J74" s="189">
        <v>15511</v>
      </c>
      <c r="K74" s="189">
        <v>1</v>
      </c>
    </row>
    <row r="75" spans="1:11" s="185" customFormat="1" ht="16.5">
      <c r="A75" s="189">
        <v>110039</v>
      </c>
      <c r="B75" s="189" t="s">
        <v>713</v>
      </c>
      <c r="C75" s="6">
        <v>0</v>
      </c>
      <c r="D75" s="6" t="s">
        <v>11</v>
      </c>
      <c r="E75" s="6">
        <v>0</v>
      </c>
      <c r="F75" s="6" t="s">
        <v>12</v>
      </c>
      <c r="G75" s="189">
        <v>110001</v>
      </c>
      <c r="H75" s="164">
        <v>17318</v>
      </c>
      <c r="I75" s="164">
        <v>1313</v>
      </c>
      <c r="J75" s="189">
        <v>15511</v>
      </c>
      <c r="K75" s="189">
        <v>1</v>
      </c>
    </row>
    <row r="76" spans="1:11" s="185" customFormat="1" ht="16.5">
      <c r="A76" s="189">
        <v>110040</v>
      </c>
      <c r="B76" s="189" t="s">
        <v>713</v>
      </c>
      <c r="C76" s="6">
        <v>0</v>
      </c>
      <c r="D76" s="6" t="s">
        <v>11</v>
      </c>
      <c r="E76" s="6">
        <v>0</v>
      </c>
      <c r="F76" s="6" t="s">
        <v>12</v>
      </c>
      <c r="G76" s="189">
        <v>110001</v>
      </c>
      <c r="H76" s="164">
        <v>17318</v>
      </c>
      <c r="I76" s="164">
        <v>1313</v>
      </c>
      <c r="J76" s="189">
        <v>15511</v>
      </c>
      <c r="K76" s="189">
        <v>1</v>
      </c>
    </row>
    <row r="77" spans="1:11" s="185" customFormat="1" ht="16.5">
      <c r="A77" s="189">
        <v>110041</v>
      </c>
      <c r="B77" s="189" t="s">
        <v>713</v>
      </c>
      <c r="C77" s="6">
        <v>0</v>
      </c>
      <c r="D77" s="6" t="s">
        <v>11</v>
      </c>
      <c r="E77" s="6">
        <v>0</v>
      </c>
      <c r="F77" s="6" t="s">
        <v>12</v>
      </c>
      <c r="G77" s="189">
        <v>110001</v>
      </c>
      <c r="H77" s="164">
        <v>17318</v>
      </c>
      <c r="I77" s="164">
        <v>1313</v>
      </c>
      <c r="J77" s="189">
        <v>15511</v>
      </c>
      <c r="K77" s="189">
        <v>1</v>
      </c>
    </row>
    <row r="78" spans="1:11" s="185" customFormat="1" ht="16.5">
      <c r="A78" s="189">
        <v>110042</v>
      </c>
      <c r="B78" s="189" t="s">
        <v>713</v>
      </c>
      <c r="C78" s="6">
        <v>0</v>
      </c>
      <c r="D78" s="6" t="s">
        <v>11</v>
      </c>
      <c r="E78" s="6">
        <v>0</v>
      </c>
      <c r="F78" s="6" t="s">
        <v>12</v>
      </c>
      <c r="G78" s="189">
        <v>110001</v>
      </c>
      <c r="H78" s="164">
        <v>17318</v>
      </c>
      <c r="I78" s="164">
        <v>1313</v>
      </c>
      <c r="J78" s="189">
        <v>15511</v>
      </c>
      <c r="K78" s="189">
        <v>1</v>
      </c>
    </row>
    <row r="79" spans="1:11" s="185" customFormat="1" ht="16.5">
      <c r="A79" s="189">
        <v>110043</v>
      </c>
      <c r="B79" s="189" t="s">
        <v>713</v>
      </c>
      <c r="C79" s="6">
        <v>0</v>
      </c>
      <c r="D79" s="6" t="s">
        <v>11</v>
      </c>
      <c r="E79" s="6">
        <v>0</v>
      </c>
      <c r="F79" s="6" t="s">
        <v>12</v>
      </c>
      <c r="G79" s="189">
        <v>110001</v>
      </c>
      <c r="H79" s="164">
        <v>17318</v>
      </c>
      <c r="I79" s="164">
        <v>1313</v>
      </c>
      <c r="J79" s="189">
        <v>15511</v>
      </c>
      <c r="K79" s="189">
        <v>1</v>
      </c>
    </row>
    <row r="80" spans="1:11" s="185" customFormat="1" ht="16.5">
      <c r="A80" s="189">
        <v>110044</v>
      </c>
      <c r="B80" s="189" t="s">
        <v>713</v>
      </c>
      <c r="C80" s="6">
        <v>0</v>
      </c>
      <c r="D80" s="6" t="s">
        <v>11</v>
      </c>
      <c r="E80" s="6">
        <v>0</v>
      </c>
      <c r="F80" s="6" t="s">
        <v>12</v>
      </c>
      <c r="G80" s="189">
        <v>110001</v>
      </c>
      <c r="H80" s="164">
        <v>17318</v>
      </c>
      <c r="I80" s="164">
        <v>1313</v>
      </c>
      <c r="J80" s="189">
        <v>15511</v>
      </c>
      <c r="K80" s="189">
        <v>1</v>
      </c>
    </row>
    <row r="81" spans="1:11" s="185" customFormat="1" ht="16.5">
      <c r="A81" s="189">
        <v>110045</v>
      </c>
      <c r="B81" s="189" t="s">
        <v>713</v>
      </c>
      <c r="C81" s="6">
        <v>0</v>
      </c>
      <c r="D81" s="6" t="s">
        <v>11</v>
      </c>
      <c r="E81" s="6">
        <v>0</v>
      </c>
      <c r="F81" s="6" t="s">
        <v>12</v>
      </c>
      <c r="G81" s="189">
        <v>110001</v>
      </c>
      <c r="H81" s="164">
        <v>17318</v>
      </c>
      <c r="I81" s="164">
        <v>1313</v>
      </c>
      <c r="J81" s="189">
        <v>15511</v>
      </c>
      <c r="K81" s="189">
        <v>1</v>
      </c>
    </row>
    <row r="82" spans="1:11" s="185" customFormat="1" ht="16.5">
      <c r="A82" s="189">
        <v>110046</v>
      </c>
      <c r="B82" s="189" t="s">
        <v>713</v>
      </c>
      <c r="C82" s="6">
        <v>0</v>
      </c>
      <c r="D82" s="6" t="s">
        <v>11</v>
      </c>
      <c r="E82" s="6">
        <v>0</v>
      </c>
      <c r="F82" s="6" t="s">
        <v>12</v>
      </c>
      <c r="G82" s="189">
        <v>110001</v>
      </c>
      <c r="H82" s="164">
        <v>17318</v>
      </c>
      <c r="I82" s="164">
        <v>1313</v>
      </c>
      <c r="J82" s="189">
        <v>15511</v>
      </c>
      <c r="K82" s="189">
        <v>1</v>
      </c>
    </row>
    <row r="83" spans="1:11" s="185" customFormat="1" ht="16.5">
      <c r="A83" s="189">
        <v>110047</v>
      </c>
      <c r="B83" s="189" t="s">
        <v>713</v>
      </c>
      <c r="C83" s="6">
        <v>0</v>
      </c>
      <c r="D83" s="6" t="s">
        <v>11</v>
      </c>
      <c r="E83" s="6">
        <v>0</v>
      </c>
      <c r="F83" s="6" t="s">
        <v>12</v>
      </c>
      <c r="G83" s="189">
        <v>110001</v>
      </c>
      <c r="H83" s="164">
        <v>17318</v>
      </c>
      <c r="I83" s="164">
        <v>1313</v>
      </c>
      <c r="J83" s="189">
        <v>15511</v>
      </c>
      <c r="K83" s="189">
        <v>1</v>
      </c>
    </row>
    <row r="84" spans="1:11" s="185" customFormat="1" ht="16.5">
      <c r="A84" s="189">
        <v>110048</v>
      </c>
      <c r="B84" s="189" t="s">
        <v>713</v>
      </c>
      <c r="C84" s="6">
        <v>0</v>
      </c>
      <c r="D84" s="6" t="s">
        <v>11</v>
      </c>
      <c r="E84" s="6">
        <v>0</v>
      </c>
      <c r="F84" s="6" t="s">
        <v>12</v>
      </c>
      <c r="G84" s="189">
        <v>110001</v>
      </c>
      <c r="H84" s="164">
        <v>17318</v>
      </c>
      <c r="I84" s="164">
        <v>1313</v>
      </c>
      <c r="J84" s="189">
        <v>15511</v>
      </c>
      <c r="K84" s="189">
        <v>1</v>
      </c>
    </row>
    <row r="85" spans="1:11" s="185" customFormat="1" ht="16.5">
      <c r="A85" s="189">
        <v>110049</v>
      </c>
      <c r="B85" s="189" t="s">
        <v>713</v>
      </c>
      <c r="C85" s="6">
        <v>0</v>
      </c>
      <c r="D85" s="6" t="s">
        <v>11</v>
      </c>
      <c r="E85" s="6">
        <v>0</v>
      </c>
      <c r="F85" s="6" t="s">
        <v>12</v>
      </c>
      <c r="G85" s="189">
        <v>110001</v>
      </c>
      <c r="H85" s="164">
        <v>17318</v>
      </c>
      <c r="I85" s="164">
        <v>1313</v>
      </c>
      <c r="J85" s="189">
        <v>15511</v>
      </c>
      <c r="K85" s="189">
        <v>1</v>
      </c>
    </row>
    <row r="86" spans="1:11" s="185" customFormat="1" ht="16.5">
      <c r="A86" s="189">
        <v>110050</v>
      </c>
      <c r="B86" s="189" t="s">
        <v>713</v>
      </c>
      <c r="C86" s="6">
        <v>0</v>
      </c>
      <c r="D86" s="6" t="s">
        <v>11</v>
      </c>
      <c r="E86" s="6">
        <v>0</v>
      </c>
      <c r="F86" s="6" t="s">
        <v>12</v>
      </c>
      <c r="G86" s="189">
        <v>110001</v>
      </c>
      <c r="H86" s="164">
        <v>17318</v>
      </c>
      <c r="I86" s="164">
        <v>1313</v>
      </c>
      <c r="J86" s="189">
        <v>15511</v>
      </c>
      <c r="K86" s="189">
        <v>1</v>
      </c>
    </row>
    <row r="87" spans="1:11" s="185" customFormat="1" ht="16.5">
      <c r="A87" s="189">
        <v>110051</v>
      </c>
      <c r="B87" s="189" t="s">
        <v>713</v>
      </c>
      <c r="C87" s="6">
        <v>0</v>
      </c>
      <c r="D87" s="6" t="s">
        <v>11</v>
      </c>
      <c r="E87" s="6">
        <v>0</v>
      </c>
      <c r="F87" s="6" t="s">
        <v>12</v>
      </c>
      <c r="G87" s="189">
        <v>110001</v>
      </c>
      <c r="H87" s="164">
        <v>17318</v>
      </c>
      <c r="I87" s="164">
        <v>1313</v>
      </c>
      <c r="J87" s="189">
        <v>15511</v>
      </c>
      <c r="K87" s="189">
        <v>1</v>
      </c>
    </row>
    <row r="88" spans="1:11" s="185" customFormat="1" ht="16.5">
      <c r="A88" s="189">
        <v>110052</v>
      </c>
      <c r="B88" s="189" t="s">
        <v>713</v>
      </c>
      <c r="C88" s="6">
        <v>0</v>
      </c>
      <c r="D88" s="6" t="s">
        <v>11</v>
      </c>
      <c r="E88" s="6">
        <v>0</v>
      </c>
      <c r="F88" s="6" t="s">
        <v>12</v>
      </c>
      <c r="G88" s="189">
        <v>110001</v>
      </c>
      <c r="H88" s="164">
        <v>17318</v>
      </c>
      <c r="I88" s="164">
        <v>1313</v>
      </c>
      <c r="J88" s="189">
        <v>15511</v>
      </c>
      <c r="K88" s="189">
        <v>1</v>
      </c>
    </row>
    <row r="89" spans="1:11" s="185" customFormat="1" ht="16.5">
      <c r="A89" s="189">
        <v>110053</v>
      </c>
      <c r="B89" s="189" t="s">
        <v>713</v>
      </c>
      <c r="C89" s="6">
        <v>0</v>
      </c>
      <c r="D89" s="6" t="s">
        <v>11</v>
      </c>
      <c r="E89" s="6">
        <v>0</v>
      </c>
      <c r="F89" s="6" t="s">
        <v>12</v>
      </c>
      <c r="G89" s="189">
        <v>110001</v>
      </c>
      <c r="H89" s="164">
        <v>17318</v>
      </c>
      <c r="I89" s="164">
        <v>1313</v>
      </c>
      <c r="J89" s="189">
        <v>15511</v>
      </c>
      <c r="K89" s="189">
        <v>1</v>
      </c>
    </row>
    <row r="90" spans="1:11" s="185" customFormat="1" ht="16.5">
      <c r="A90" s="189">
        <v>110054</v>
      </c>
      <c r="B90" s="189" t="s">
        <v>713</v>
      </c>
      <c r="C90" s="6">
        <v>0</v>
      </c>
      <c r="D90" s="6" t="s">
        <v>11</v>
      </c>
      <c r="E90" s="6">
        <v>0</v>
      </c>
      <c r="F90" s="6" t="s">
        <v>12</v>
      </c>
      <c r="G90" s="189">
        <v>110001</v>
      </c>
      <c r="H90" s="164">
        <v>17318</v>
      </c>
      <c r="I90" s="164">
        <v>1313</v>
      </c>
      <c r="J90" s="189">
        <v>15511</v>
      </c>
      <c r="K90" s="189">
        <v>1</v>
      </c>
    </row>
    <row r="91" spans="1:11" s="185" customFormat="1" ht="16.5">
      <c r="A91" s="189">
        <v>110055</v>
      </c>
      <c r="B91" s="189" t="s">
        <v>713</v>
      </c>
      <c r="C91" s="6">
        <v>0</v>
      </c>
      <c r="D91" s="6" t="s">
        <v>11</v>
      </c>
      <c r="E91" s="6">
        <v>0</v>
      </c>
      <c r="F91" s="6" t="s">
        <v>12</v>
      </c>
      <c r="G91" s="189">
        <v>110001</v>
      </c>
      <c r="H91" s="164">
        <v>17318</v>
      </c>
      <c r="I91" s="164">
        <v>1313</v>
      </c>
      <c r="J91" s="189">
        <v>15511</v>
      </c>
      <c r="K91" s="189">
        <v>1</v>
      </c>
    </row>
    <row r="92" spans="1:11" s="185" customFormat="1" ht="16.5">
      <c r="A92" s="3">
        <v>120001</v>
      </c>
      <c r="B92" s="3" t="s">
        <v>714</v>
      </c>
      <c r="C92" s="6">
        <v>0</v>
      </c>
      <c r="D92" s="6" t="s">
        <v>11</v>
      </c>
      <c r="E92" s="6">
        <v>0</v>
      </c>
      <c r="F92" s="6" t="s">
        <v>12</v>
      </c>
      <c r="G92" s="190">
        <v>120001</v>
      </c>
      <c r="H92" s="164">
        <v>17318</v>
      </c>
      <c r="I92" s="164">
        <v>1313</v>
      </c>
      <c r="J92" s="3">
        <v>15512</v>
      </c>
      <c r="K92" s="3">
        <v>1</v>
      </c>
    </row>
    <row r="93" spans="1:11" s="185" customFormat="1" ht="16.5">
      <c r="A93" s="3">
        <v>120002</v>
      </c>
      <c r="B93" s="3" t="s">
        <v>714</v>
      </c>
      <c r="C93" s="6">
        <v>0</v>
      </c>
      <c r="D93" s="6" t="s">
        <v>11</v>
      </c>
      <c r="E93" s="6">
        <v>0</v>
      </c>
      <c r="F93" s="6" t="s">
        <v>12</v>
      </c>
      <c r="G93" s="190">
        <v>120001</v>
      </c>
      <c r="H93" s="164">
        <v>17318</v>
      </c>
      <c r="I93" s="164">
        <v>1313</v>
      </c>
      <c r="J93" s="3">
        <v>15512</v>
      </c>
      <c r="K93" s="3">
        <v>1</v>
      </c>
    </row>
    <row r="94" spans="1:11" s="185" customFormat="1" ht="16.5">
      <c r="A94" s="3">
        <v>120003</v>
      </c>
      <c r="B94" s="3" t="s">
        <v>714</v>
      </c>
      <c r="C94" s="6">
        <v>0</v>
      </c>
      <c r="D94" s="6" t="s">
        <v>11</v>
      </c>
      <c r="E94" s="6">
        <v>0</v>
      </c>
      <c r="F94" s="6" t="s">
        <v>12</v>
      </c>
      <c r="G94" s="190">
        <v>120001</v>
      </c>
      <c r="H94" s="164">
        <v>17318</v>
      </c>
      <c r="I94" s="164">
        <v>1313</v>
      </c>
      <c r="J94" s="3">
        <v>15512</v>
      </c>
      <c r="K94" s="3">
        <v>1</v>
      </c>
    </row>
    <row r="95" spans="1:11" s="185" customFormat="1" ht="16.5">
      <c r="A95" s="3">
        <v>120004</v>
      </c>
      <c r="B95" s="3" t="s">
        <v>714</v>
      </c>
      <c r="C95" s="6">
        <v>0</v>
      </c>
      <c r="D95" s="6" t="s">
        <v>11</v>
      </c>
      <c r="E95" s="6">
        <v>0</v>
      </c>
      <c r="F95" s="6" t="s">
        <v>12</v>
      </c>
      <c r="G95" s="190">
        <v>120001</v>
      </c>
      <c r="H95" s="164">
        <v>17318</v>
      </c>
      <c r="I95" s="164">
        <v>1313</v>
      </c>
      <c r="J95" s="3">
        <v>15512</v>
      </c>
      <c r="K95" s="3">
        <v>1</v>
      </c>
    </row>
    <row r="96" spans="1:11" s="185" customFormat="1" ht="16.5">
      <c r="A96" s="3">
        <v>120005</v>
      </c>
      <c r="B96" s="3" t="s">
        <v>714</v>
      </c>
      <c r="C96" s="6">
        <v>0</v>
      </c>
      <c r="D96" s="6" t="s">
        <v>11</v>
      </c>
      <c r="E96" s="6">
        <v>0</v>
      </c>
      <c r="F96" s="6" t="s">
        <v>12</v>
      </c>
      <c r="G96" s="190">
        <v>120001</v>
      </c>
      <c r="H96" s="164">
        <v>17318</v>
      </c>
      <c r="I96" s="164">
        <v>1313</v>
      </c>
      <c r="J96" s="3">
        <v>15512</v>
      </c>
      <c r="K96" s="3">
        <v>1</v>
      </c>
    </row>
    <row r="97" spans="1:11" s="185" customFormat="1" ht="16.5">
      <c r="A97" s="3">
        <v>120006</v>
      </c>
      <c r="B97" s="3" t="s">
        <v>714</v>
      </c>
      <c r="C97" s="6">
        <v>0</v>
      </c>
      <c r="D97" s="6" t="s">
        <v>11</v>
      </c>
      <c r="E97" s="6">
        <v>0</v>
      </c>
      <c r="F97" s="6" t="s">
        <v>12</v>
      </c>
      <c r="G97" s="190">
        <v>120001</v>
      </c>
      <c r="H97" s="164">
        <v>17318</v>
      </c>
      <c r="I97" s="164">
        <v>1313</v>
      </c>
      <c r="J97" s="3">
        <v>15512</v>
      </c>
      <c r="K97" s="3">
        <v>1</v>
      </c>
    </row>
    <row r="98" spans="1:11" s="185" customFormat="1" ht="16.5">
      <c r="A98" s="3">
        <v>120007</v>
      </c>
      <c r="B98" s="3" t="s">
        <v>714</v>
      </c>
      <c r="C98" s="6">
        <v>0</v>
      </c>
      <c r="D98" s="6" t="s">
        <v>11</v>
      </c>
      <c r="E98" s="6">
        <v>0</v>
      </c>
      <c r="F98" s="6" t="s">
        <v>12</v>
      </c>
      <c r="G98" s="190">
        <v>120001</v>
      </c>
      <c r="H98" s="164">
        <v>17318</v>
      </c>
      <c r="I98" s="164">
        <v>1313</v>
      </c>
      <c r="J98" s="3">
        <v>15512</v>
      </c>
      <c r="K98" s="3">
        <v>1</v>
      </c>
    </row>
    <row r="99" spans="1:11" s="185" customFormat="1" ht="16.5">
      <c r="A99" s="3">
        <v>120008</v>
      </c>
      <c r="B99" s="3" t="s">
        <v>714</v>
      </c>
      <c r="C99" s="6">
        <v>0</v>
      </c>
      <c r="D99" s="6" t="s">
        <v>11</v>
      </c>
      <c r="E99" s="6">
        <v>0</v>
      </c>
      <c r="F99" s="6" t="s">
        <v>12</v>
      </c>
      <c r="G99" s="190">
        <v>120001</v>
      </c>
      <c r="H99" s="164">
        <v>17318</v>
      </c>
      <c r="I99" s="164">
        <v>1313</v>
      </c>
      <c r="J99" s="3">
        <v>15512</v>
      </c>
      <c r="K99" s="3">
        <v>1</v>
      </c>
    </row>
    <row r="100" spans="1:11" s="185" customFormat="1" ht="16.5">
      <c r="A100" s="3">
        <v>120009</v>
      </c>
      <c r="B100" s="3" t="s">
        <v>714</v>
      </c>
      <c r="C100" s="6">
        <v>0</v>
      </c>
      <c r="D100" s="6" t="s">
        <v>11</v>
      </c>
      <c r="E100" s="6">
        <v>0</v>
      </c>
      <c r="F100" s="6" t="s">
        <v>12</v>
      </c>
      <c r="G100" s="190">
        <v>120001</v>
      </c>
      <c r="H100" s="164">
        <v>17318</v>
      </c>
      <c r="I100" s="164">
        <v>1313</v>
      </c>
      <c r="J100" s="3">
        <v>15512</v>
      </c>
      <c r="K100" s="3">
        <v>1</v>
      </c>
    </row>
    <row r="101" spans="1:11" s="185" customFormat="1" ht="16.5">
      <c r="A101" s="3">
        <v>120010</v>
      </c>
      <c r="B101" s="3" t="s">
        <v>714</v>
      </c>
      <c r="C101" s="6">
        <v>0</v>
      </c>
      <c r="D101" s="6" t="s">
        <v>11</v>
      </c>
      <c r="E101" s="6">
        <v>0</v>
      </c>
      <c r="F101" s="6" t="s">
        <v>12</v>
      </c>
      <c r="G101" s="190">
        <v>120001</v>
      </c>
      <c r="H101" s="164">
        <v>17318</v>
      </c>
      <c r="I101" s="164">
        <v>1313</v>
      </c>
      <c r="J101" s="3">
        <v>15512</v>
      </c>
      <c r="K101" s="3">
        <v>1</v>
      </c>
    </row>
    <row r="102" spans="1:11" s="185" customFormat="1" ht="16.5">
      <c r="A102" s="3">
        <v>120011</v>
      </c>
      <c r="B102" s="3" t="s">
        <v>714</v>
      </c>
      <c r="C102" s="6">
        <v>0</v>
      </c>
      <c r="D102" s="6" t="s">
        <v>11</v>
      </c>
      <c r="E102" s="6">
        <v>0</v>
      </c>
      <c r="F102" s="6" t="s">
        <v>12</v>
      </c>
      <c r="G102" s="190">
        <v>120001</v>
      </c>
      <c r="H102" s="164">
        <v>17318</v>
      </c>
      <c r="I102" s="164">
        <v>1313</v>
      </c>
      <c r="J102" s="3">
        <v>15512</v>
      </c>
      <c r="K102" s="3">
        <v>1</v>
      </c>
    </row>
    <row r="103" spans="1:11" s="185" customFormat="1" ht="16.5">
      <c r="A103" s="3">
        <v>120012</v>
      </c>
      <c r="B103" s="3" t="s">
        <v>714</v>
      </c>
      <c r="C103" s="6">
        <v>0</v>
      </c>
      <c r="D103" s="6" t="s">
        <v>11</v>
      </c>
      <c r="E103" s="6">
        <v>0</v>
      </c>
      <c r="F103" s="6" t="s">
        <v>12</v>
      </c>
      <c r="G103" s="190">
        <v>120001</v>
      </c>
      <c r="H103" s="164">
        <v>17318</v>
      </c>
      <c r="I103" s="164">
        <v>1313</v>
      </c>
      <c r="J103" s="3">
        <v>15512</v>
      </c>
      <c r="K103" s="3">
        <v>1</v>
      </c>
    </row>
    <row r="104" spans="1:11" s="185" customFormat="1" ht="16.5">
      <c r="A104" s="3">
        <v>120013</v>
      </c>
      <c r="B104" s="3" t="s">
        <v>714</v>
      </c>
      <c r="C104" s="6">
        <v>0</v>
      </c>
      <c r="D104" s="6" t="s">
        <v>11</v>
      </c>
      <c r="E104" s="6">
        <v>0</v>
      </c>
      <c r="F104" s="6" t="s">
        <v>12</v>
      </c>
      <c r="G104" s="190">
        <v>120001</v>
      </c>
      <c r="H104" s="164">
        <v>17318</v>
      </c>
      <c r="I104" s="164">
        <v>1313</v>
      </c>
      <c r="J104" s="3">
        <v>15512</v>
      </c>
      <c r="K104" s="3">
        <v>1</v>
      </c>
    </row>
    <row r="105" spans="1:11" s="185" customFormat="1" ht="16.5">
      <c r="A105" s="3">
        <v>120014</v>
      </c>
      <c r="B105" s="3" t="s">
        <v>714</v>
      </c>
      <c r="C105" s="6">
        <v>0</v>
      </c>
      <c r="D105" s="6" t="s">
        <v>11</v>
      </c>
      <c r="E105" s="6">
        <v>0</v>
      </c>
      <c r="F105" s="6" t="s">
        <v>12</v>
      </c>
      <c r="G105" s="190">
        <v>120001</v>
      </c>
      <c r="H105" s="164">
        <v>17318</v>
      </c>
      <c r="I105" s="164">
        <v>1313</v>
      </c>
      <c r="J105" s="3">
        <v>15512</v>
      </c>
      <c r="K105" s="3">
        <v>1</v>
      </c>
    </row>
    <row r="106" spans="1:11" s="185" customFormat="1" ht="16.5">
      <c r="A106" s="3">
        <v>120015</v>
      </c>
      <c r="B106" s="3" t="s">
        <v>714</v>
      </c>
      <c r="C106" s="6">
        <v>0</v>
      </c>
      <c r="D106" s="6" t="s">
        <v>11</v>
      </c>
      <c r="E106" s="6">
        <v>0</v>
      </c>
      <c r="F106" s="6" t="s">
        <v>12</v>
      </c>
      <c r="G106" s="190">
        <v>120001</v>
      </c>
      <c r="H106" s="164">
        <v>17318</v>
      </c>
      <c r="I106" s="164">
        <v>1313</v>
      </c>
      <c r="J106" s="3">
        <v>15512</v>
      </c>
      <c r="K106" s="3">
        <v>1</v>
      </c>
    </row>
    <row r="107" spans="1:11" s="185" customFormat="1" ht="16.5">
      <c r="A107" s="3">
        <v>120016</v>
      </c>
      <c r="B107" s="3" t="s">
        <v>714</v>
      </c>
      <c r="C107" s="6">
        <v>0</v>
      </c>
      <c r="D107" s="6" t="s">
        <v>11</v>
      </c>
      <c r="E107" s="6">
        <v>0</v>
      </c>
      <c r="F107" s="6" t="s">
        <v>12</v>
      </c>
      <c r="G107" s="190">
        <v>120001</v>
      </c>
      <c r="H107" s="164">
        <v>17318</v>
      </c>
      <c r="I107" s="164">
        <v>1313</v>
      </c>
      <c r="J107" s="3">
        <v>15512</v>
      </c>
      <c r="K107" s="3">
        <v>1</v>
      </c>
    </row>
    <row r="108" spans="1:11" s="185" customFormat="1" ht="16.5">
      <c r="A108" s="3">
        <v>120017</v>
      </c>
      <c r="B108" s="3" t="s">
        <v>714</v>
      </c>
      <c r="C108" s="6">
        <v>0</v>
      </c>
      <c r="D108" s="6" t="s">
        <v>11</v>
      </c>
      <c r="E108" s="6">
        <v>0</v>
      </c>
      <c r="F108" s="6" t="s">
        <v>12</v>
      </c>
      <c r="G108" s="190">
        <v>120001</v>
      </c>
      <c r="H108" s="164">
        <v>17318</v>
      </c>
      <c r="I108" s="164">
        <v>1313</v>
      </c>
      <c r="J108" s="3">
        <v>15512</v>
      </c>
      <c r="K108" s="3">
        <v>1</v>
      </c>
    </row>
    <row r="109" spans="1:11" s="185" customFormat="1" ht="16.5">
      <c r="A109" s="3">
        <v>120018</v>
      </c>
      <c r="B109" s="3" t="s">
        <v>714</v>
      </c>
      <c r="C109" s="6">
        <v>0</v>
      </c>
      <c r="D109" s="6" t="s">
        <v>11</v>
      </c>
      <c r="E109" s="6">
        <v>0</v>
      </c>
      <c r="F109" s="6" t="s">
        <v>12</v>
      </c>
      <c r="G109" s="190">
        <v>120001</v>
      </c>
      <c r="H109" s="164">
        <v>17318</v>
      </c>
      <c r="I109" s="164">
        <v>1313</v>
      </c>
      <c r="J109" s="3">
        <v>15512</v>
      </c>
      <c r="K109" s="3">
        <v>1</v>
      </c>
    </row>
    <row r="110" spans="1:11" s="185" customFormat="1" ht="16.5">
      <c r="A110" s="3">
        <v>120019</v>
      </c>
      <c r="B110" s="3" t="s">
        <v>714</v>
      </c>
      <c r="C110" s="6">
        <v>0</v>
      </c>
      <c r="D110" s="6" t="s">
        <v>11</v>
      </c>
      <c r="E110" s="6">
        <v>0</v>
      </c>
      <c r="F110" s="6" t="s">
        <v>12</v>
      </c>
      <c r="G110" s="190">
        <v>120001</v>
      </c>
      <c r="H110" s="164">
        <v>17318</v>
      </c>
      <c r="I110" s="164">
        <v>1313</v>
      </c>
      <c r="J110" s="3">
        <v>15512</v>
      </c>
      <c r="K110" s="3">
        <v>1</v>
      </c>
    </row>
    <row r="111" spans="1:11" s="185" customFormat="1" ht="16.5">
      <c r="A111" s="3">
        <v>120020</v>
      </c>
      <c r="B111" s="3" t="s">
        <v>714</v>
      </c>
      <c r="C111" s="6">
        <v>0</v>
      </c>
      <c r="D111" s="6" t="s">
        <v>11</v>
      </c>
      <c r="E111" s="6">
        <v>0</v>
      </c>
      <c r="F111" s="6" t="s">
        <v>12</v>
      </c>
      <c r="G111" s="190">
        <v>120001</v>
      </c>
      <c r="H111" s="164">
        <v>17318</v>
      </c>
      <c r="I111" s="164">
        <v>1313</v>
      </c>
      <c r="J111" s="3">
        <v>15512</v>
      </c>
      <c r="K111" s="3">
        <v>1</v>
      </c>
    </row>
    <row r="112" spans="1:11" s="185" customFormat="1" ht="16.5">
      <c r="A112" s="3">
        <v>120021</v>
      </c>
      <c r="B112" s="3" t="s">
        <v>714</v>
      </c>
      <c r="C112" s="6">
        <v>0</v>
      </c>
      <c r="D112" s="6" t="s">
        <v>11</v>
      </c>
      <c r="E112" s="6">
        <v>0</v>
      </c>
      <c r="F112" s="6" t="s">
        <v>12</v>
      </c>
      <c r="G112" s="190">
        <v>120001</v>
      </c>
      <c r="H112" s="164">
        <v>17318</v>
      </c>
      <c r="I112" s="164">
        <v>1313</v>
      </c>
      <c r="J112" s="3">
        <v>15512</v>
      </c>
      <c r="K112" s="3">
        <v>1</v>
      </c>
    </row>
    <row r="113" spans="1:11" s="185" customFormat="1" ht="16.5">
      <c r="A113" s="3">
        <v>120022</v>
      </c>
      <c r="B113" s="3" t="s">
        <v>714</v>
      </c>
      <c r="C113" s="6">
        <v>0</v>
      </c>
      <c r="D113" s="6" t="s">
        <v>11</v>
      </c>
      <c r="E113" s="6">
        <v>0</v>
      </c>
      <c r="F113" s="6" t="s">
        <v>12</v>
      </c>
      <c r="G113" s="190">
        <v>120001</v>
      </c>
      <c r="H113" s="164">
        <v>17318</v>
      </c>
      <c r="I113" s="164">
        <v>1313</v>
      </c>
      <c r="J113" s="3">
        <v>15512</v>
      </c>
      <c r="K113" s="3">
        <v>1</v>
      </c>
    </row>
    <row r="114" spans="1:11" s="185" customFormat="1" ht="16.5">
      <c r="A114" s="3">
        <v>120023</v>
      </c>
      <c r="B114" s="3" t="s">
        <v>714</v>
      </c>
      <c r="C114" s="6">
        <v>0</v>
      </c>
      <c r="D114" s="6" t="s">
        <v>11</v>
      </c>
      <c r="E114" s="6">
        <v>0</v>
      </c>
      <c r="F114" s="6" t="s">
        <v>12</v>
      </c>
      <c r="G114" s="190">
        <v>120001</v>
      </c>
      <c r="H114" s="164">
        <v>17318</v>
      </c>
      <c r="I114" s="164">
        <v>1313</v>
      </c>
      <c r="J114" s="3">
        <v>15512</v>
      </c>
      <c r="K114" s="3">
        <v>1</v>
      </c>
    </row>
    <row r="115" spans="1:11" s="185" customFormat="1" ht="16.5">
      <c r="A115" s="3">
        <v>120024</v>
      </c>
      <c r="B115" s="3" t="s">
        <v>714</v>
      </c>
      <c r="C115" s="6">
        <v>0</v>
      </c>
      <c r="D115" s="6" t="s">
        <v>11</v>
      </c>
      <c r="E115" s="6">
        <v>0</v>
      </c>
      <c r="F115" s="6" t="s">
        <v>12</v>
      </c>
      <c r="G115" s="190">
        <v>120001</v>
      </c>
      <c r="H115" s="164">
        <v>17318</v>
      </c>
      <c r="I115" s="164">
        <v>1313</v>
      </c>
      <c r="J115" s="3">
        <v>15512</v>
      </c>
      <c r="K115" s="3">
        <v>1</v>
      </c>
    </row>
    <row r="116" spans="1:11" s="185" customFormat="1" ht="16.5">
      <c r="A116" s="3">
        <v>120025</v>
      </c>
      <c r="B116" s="3" t="s">
        <v>714</v>
      </c>
      <c r="C116" s="6">
        <v>0</v>
      </c>
      <c r="D116" s="6" t="s">
        <v>11</v>
      </c>
      <c r="E116" s="6">
        <v>0</v>
      </c>
      <c r="F116" s="6" t="s">
        <v>12</v>
      </c>
      <c r="G116" s="190">
        <v>120001</v>
      </c>
      <c r="H116" s="164">
        <v>17318</v>
      </c>
      <c r="I116" s="164">
        <v>1313</v>
      </c>
      <c r="J116" s="3">
        <v>15512</v>
      </c>
      <c r="K116" s="3">
        <v>1</v>
      </c>
    </row>
    <row r="117" spans="1:11" s="185" customFormat="1" ht="16.5">
      <c r="A117" s="3">
        <v>120026</v>
      </c>
      <c r="B117" s="3" t="s">
        <v>714</v>
      </c>
      <c r="C117" s="6">
        <v>0</v>
      </c>
      <c r="D117" s="6" t="s">
        <v>11</v>
      </c>
      <c r="E117" s="6">
        <v>0</v>
      </c>
      <c r="F117" s="6" t="s">
        <v>12</v>
      </c>
      <c r="G117" s="190">
        <v>120001</v>
      </c>
      <c r="H117" s="164">
        <v>17318</v>
      </c>
      <c r="I117" s="164">
        <v>1313</v>
      </c>
      <c r="J117" s="3">
        <v>15512</v>
      </c>
      <c r="K117" s="3">
        <v>1</v>
      </c>
    </row>
    <row r="118" spans="1:11" s="185" customFormat="1" ht="16.5">
      <c r="A118" s="3">
        <v>120027</v>
      </c>
      <c r="B118" s="3" t="s">
        <v>714</v>
      </c>
      <c r="C118" s="6">
        <v>0</v>
      </c>
      <c r="D118" s="6" t="s">
        <v>11</v>
      </c>
      <c r="E118" s="6">
        <v>0</v>
      </c>
      <c r="F118" s="6" t="s">
        <v>12</v>
      </c>
      <c r="G118" s="190">
        <v>120001</v>
      </c>
      <c r="H118" s="164">
        <v>17318</v>
      </c>
      <c r="I118" s="164">
        <v>1313</v>
      </c>
      <c r="J118" s="3">
        <v>15512</v>
      </c>
      <c r="K118" s="3">
        <v>1</v>
      </c>
    </row>
    <row r="119" spans="1:11" s="185" customFormat="1" ht="16.5">
      <c r="A119" s="3">
        <v>120028</v>
      </c>
      <c r="B119" s="3" t="s">
        <v>714</v>
      </c>
      <c r="C119" s="6">
        <v>0</v>
      </c>
      <c r="D119" s="6" t="s">
        <v>11</v>
      </c>
      <c r="E119" s="6">
        <v>0</v>
      </c>
      <c r="F119" s="6" t="s">
        <v>12</v>
      </c>
      <c r="G119" s="190">
        <v>120001</v>
      </c>
      <c r="H119" s="164">
        <v>17318</v>
      </c>
      <c r="I119" s="164">
        <v>1313</v>
      </c>
      <c r="J119" s="3">
        <v>15512</v>
      </c>
      <c r="K119" s="3">
        <v>1</v>
      </c>
    </row>
    <row r="120" spans="1:11" s="185" customFormat="1" ht="16.5">
      <c r="A120" s="3">
        <v>120029</v>
      </c>
      <c r="B120" s="3" t="s">
        <v>714</v>
      </c>
      <c r="C120" s="6">
        <v>0</v>
      </c>
      <c r="D120" s="6" t="s">
        <v>11</v>
      </c>
      <c r="E120" s="6">
        <v>0</v>
      </c>
      <c r="F120" s="6" t="s">
        <v>12</v>
      </c>
      <c r="G120" s="190">
        <v>120001</v>
      </c>
      <c r="H120" s="164">
        <v>17318</v>
      </c>
      <c r="I120" s="164">
        <v>1313</v>
      </c>
      <c r="J120" s="3">
        <v>15512</v>
      </c>
      <c r="K120" s="3">
        <v>1</v>
      </c>
    </row>
    <row r="121" spans="1:11" s="185" customFormat="1" ht="16.5">
      <c r="A121" s="3">
        <v>120030</v>
      </c>
      <c r="B121" s="3" t="s">
        <v>714</v>
      </c>
      <c r="C121" s="6">
        <v>0</v>
      </c>
      <c r="D121" s="6" t="s">
        <v>11</v>
      </c>
      <c r="E121" s="6">
        <v>0</v>
      </c>
      <c r="F121" s="6" t="s">
        <v>12</v>
      </c>
      <c r="G121" s="190">
        <v>120001</v>
      </c>
      <c r="H121" s="164">
        <v>17318</v>
      </c>
      <c r="I121" s="164">
        <v>1313</v>
      </c>
      <c r="J121" s="3">
        <v>15512</v>
      </c>
      <c r="K121" s="3">
        <v>1</v>
      </c>
    </row>
    <row r="122" spans="1:11" s="185" customFormat="1" ht="16.5">
      <c r="A122" s="3">
        <v>120031</v>
      </c>
      <c r="B122" s="3" t="s">
        <v>714</v>
      </c>
      <c r="C122" s="6">
        <v>0</v>
      </c>
      <c r="D122" s="6" t="s">
        <v>11</v>
      </c>
      <c r="E122" s="6">
        <v>0</v>
      </c>
      <c r="F122" s="6" t="s">
        <v>12</v>
      </c>
      <c r="G122" s="190">
        <v>120001</v>
      </c>
      <c r="H122" s="164">
        <v>17318</v>
      </c>
      <c r="I122" s="164">
        <v>1313</v>
      </c>
      <c r="J122" s="3">
        <v>15512</v>
      </c>
      <c r="K122" s="3">
        <v>1</v>
      </c>
    </row>
    <row r="123" spans="1:11" s="185" customFormat="1" ht="16.5">
      <c r="A123" s="3">
        <v>120032</v>
      </c>
      <c r="B123" s="3" t="s">
        <v>714</v>
      </c>
      <c r="C123" s="6">
        <v>0</v>
      </c>
      <c r="D123" s="6" t="s">
        <v>11</v>
      </c>
      <c r="E123" s="6">
        <v>0</v>
      </c>
      <c r="F123" s="6" t="s">
        <v>12</v>
      </c>
      <c r="G123" s="190">
        <v>120001</v>
      </c>
      <c r="H123" s="164">
        <v>17318</v>
      </c>
      <c r="I123" s="164">
        <v>1313</v>
      </c>
      <c r="J123" s="3">
        <v>15512</v>
      </c>
      <c r="K123" s="3">
        <v>1</v>
      </c>
    </row>
    <row r="124" spans="1:11" s="185" customFormat="1" ht="16.5">
      <c r="A124" s="3">
        <v>120033</v>
      </c>
      <c r="B124" s="3" t="s">
        <v>714</v>
      </c>
      <c r="C124" s="6">
        <v>0</v>
      </c>
      <c r="D124" s="6" t="s">
        <v>11</v>
      </c>
      <c r="E124" s="6">
        <v>0</v>
      </c>
      <c r="F124" s="6" t="s">
        <v>12</v>
      </c>
      <c r="G124" s="190">
        <v>120001</v>
      </c>
      <c r="H124" s="164">
        <v>17318</v>
      </c>
      <c r="I124" s="164">
        <v>1313</v>
      </c>
      <c r="J124" s="3">
        <v>15512</v>
      </c>
      <c r="K124" s="3">
        <v>1</v>
      </c>
    </row>
    <row r="125" spans="1:11" s="185" customFormat="1" ht="16.5">
      <c r="A125" s="3">
        <v>120034</v>
      </c>
      <c r="B125" s="3" t="s">
        <v>714</v>
      </c>
      <c r="C125" s="6">
        <v>0</v>
      </c>
      <c r="D125" s="6" t="s">
        <v>11</v>
      </c>
      <c r="E125" s="6">
        <v>0</v>
      </c>
      <c r="F125" s="6" t="s">
        <v>12</v>
      </c>
      <c r="G125" s="190">
        <v>120001</v>
      </c>
      <c r="H125" s="164">
        <v>17318</v>
      </c>
      <c r="I125" s="164">
        <v>1313</v>
      </c>
      <c r="J125" s="3">
        <v>15512</v>
      </c>
      <c r="K125" s="3">
        <v>1</v>
      </c>
    </row>
    <row r="126" spans="1:11" s="185" customFormat="1" ht="16.5">
      <c r="A126" s="3">
        <v>120035</v>
      </c>
      <c r="B126" s="3" t="s">
        <v>714</v>
      </c>
      <c r="C126" s="6">
        <v>0</v>
      </c>
      <c r="D126" s="6" t="s">
        <v>11</v>
      </c>
      <c r="E126" s="6">
        <v>0</v>
      </c>
      <c r="F126" s="6" t="s">
        <v>12</v>
      </c>
      <c r="G126" s="190">
        <v>120001</v>
      </c>
      <c r="H126" s="164">
        <v>17318</v>
      </c>
      <c r="I126" s="164">
        <v>1313</v>
      </c>
      <c r="J126" s="3">
        <v>15512</v>
      </c>
      <c r="K126" s="3">
        <v>1</v>
      </c>
    </row>
    <row r="127" spans="1:11" s="185" customFormat="1" ht="16.5">
      <c r="A127" s="3">
        <v>120036</v>
      </c>
      <c r="B127" s="3" t="s">
        <v>714</v>
      </c>
      <c r="C127" s="6">
        <v>0</v>
      </c>
      <c r="D127" s="6" t="s">
        <v>11</v>
      </c>
      <c r="E127" s="6">
        <v>0</v>
      </c>
      <c r="F127" s="6" t="s">
        <v>12</v>
      </c>
      <c r="G127" s="190">
        <v>120001</v>
      </c>
      <c r="H127" s="164">
        <v>17318</v>
      </c>
      <c r="I127" s="164">
        <v>1313</v>
      </c>
      <c r="J127" s="3">
        <v>15512</v>
      </c>
      <c r="K127" s="3">
        <v>1</v>
      </c>
    </row>
    <row r="128" spans="1:11" s="185" customFormat="1" ht="16.5">
      <c r="A128" s="3">
        <v>120037</v>
      </c>
      <c r="B128" s="3" t="s">
        <v>714</v>
      </c>
      <c r="C128" s="6">
        <v>0</v>
      </c>
      <c r="D128" s="6" t="s">
        <v>11</v>
      </c>
      <c r="E128" s="6">
        <v>0</v>
      </c>
      <c r="F128" s="6" t="s">
        <v>12</v>
      </c>
      <c r="G128" s="190">
        <v>120001</v>
      </c>
      <c r="H128" s="164">
        <v>17318</v>
      </c>
      <c r="I128" s="164">
        <v>1313</v>
      </c>
      <c r="J128" s="3">
        <v>15512</v>
      </c>
      <c r="K128" s="3">
        <v>1</v>
      </c>
    </row>
    <row r="129" spans="1:11" s="185" customFormat="1" ht="16.5">
      <c r="A129" s="3">
        <v>120038</v>
      </c>
      <c r="B129" s="3" t="s">
        <v>714</v>
      </c>
      <c r="C129" s="6">
        <v>0</v>
      </c>
      <c r="D129" s="6" t="s">
        <v>11</v>
      </c>
      <c r="E129" s="6">
        <v>0</v>
      </c>
      <c r="F129" s="6" t="s">
        <v>12</v>
      </c>
      <c r="G129" s="190">
        <v>120001</v>
      </c>
      <c r="H129" s="164">
        <v>17318</v>
      </c>
      <c r="I129" s="164">
        <v>1313</v>
      </c>
      <c r="J129" s="3">
        <v>15512</v>
      </c>
      <c r="K129" s="3">
        <v>1</v>
      </c>
    </row>
    <row r="130" spans="1:11" s="185" customFormat="1" ht="16.5">
      <c r="A130" s="3">
        <v>120039</v>
      </c>
      <c r="B130" s="3" t="s">
        <v>714</v>
      </c>
      <c r="C130" s="6">
        <v>0</v>
      </c>
      <c r="D130" s="6" t="s">
        <v>11</v>
      </c>
      <c r="E130" s="6">
        <v>0</v>
      </c>
      <c r="F130" s="6" t="s">
        <v>12</v>
      </c>
      <c r="G130" s="190">
        <v>120001</v>
      </c>
      <c r="H130" s="164">
        <v>17318</v>
      </c>
      <c r="I130" s="164">
        <v>1313</v>
      </c>
      <c r="J130" s="3">
        <v>15512</v>
      </c>
      <c r="K130" s="3">
        <v>1</v>
      </c>
    </row>
    <row r="131" spans="1:11" s="185" customFormat="1" ht="16.5">
      <c r="A131" s="3">
        <v>120040</v>
      </c>
      <c r="B131" s="3" t="s">
        <v>714</v>
      </c>
      <c r="C131" s="6">
        <v>0</v>
      </c>
      <c r="D131" s="6" t="s">
        <v>11</v>
      </c>
      <c r="E131" s="6">
        <v>0</v>
      </c>
      <c r="F131" s="6" t="s">
        <v>12</v>
      </c>
      <c r="G131" s="190">
        <v>120001</v>
      </c>
      <c r="H131" s="164">
        <v>17318</v>
      </c>
      <c r="I131" s="164">
        <v>1313</v>
      </c>
      <c r="J131" s="3">
        <v>15512</v>
      </c>
      <c r="K131" s="3">
        <v>1</v>
      </c>
    </row>
    <row r="132" spans="1:11" s="185" customFormat="1" ht="16.5">
      <c r="A132" s="3">
        <v>120041</v>
      </c>
      <c r="B132" s="3" t="s">
        <v>714</v>
      </c>
      <c r="C132" s="6">
        <v>0</v>
      </c>
      <c r="D132" s="6" t="s">
        <v>11</v>
      </c>
      <c r="E132" s="6">
        <v>0</v>
      </c>
      <c r="F132" s="6" t="s">
        <v>12</v>
      </c>
      <c r="G132" s="190">
        <v>120001</v>
      </c>
      <c r="H132" s="164">
        <v>17318</v>
      </c>
      <c r="I132" s="164">
        <v>1313</v>
      </c>
      <c r="J132" s="3">
        <v>15512</v>
      </c>
      <c r="K132" s="3">
        <v>1</v>
      </c>
    </row>
    <row r="133" spans="1:11" s="185" customFormat="1" ht="16.5">
      <c r="A133" s="3">
        <v>120042</v>
      </c>
      <c r="B133" s="3" t="s">
        <v>714</v>
      </c>
      <c r="C133" s="6">
        <v>0</v>
      </c>
      <c r="D133" s="6" t="s">
        <v>11</v>
      </c>
      <c r="E133" s="6">
        <v>0</v>
      </c>
      <c r="F133" s="6" t="s">
        <v>12</v>
      </c>
      <c r="G133" s="190">
        <v>120001</v>
      </c>
      <c r="H133" s="164">
        <v>17318</v>
      </c>
      <c r="I133" s="164">
        <v>1313</v>
      </c>
      <c r="J133" s="3">
        <v>15512</v>
      </c>
      <c r="K133" s="3">
        <v>1</v>
      </c>
    </row>
    <row r="134" spans="1:11" s="185" customFormat="1" ht="16.5">
      <c r="A134" s="3">
        <v>120043</v>
      </c>
      <c r="B134" s="3" t="s">
        <v>714</v>
      </c>
      <c r="C134" s="6">
        <v>0</v>
      </c>
      <c r="D134" s="6" t="s">
        <v>11</v>
      </c>
      <c r="E134" s="6">
        <v>0</v>
      </c>
      <c r="F134" s="6" t="s">
        <v>12</v>
      </c>
      <c r="G134" s="190">
        <v>120001</v>
      </c>
      <c r="H134" s="164">
        <v>17318</v>
      </c>
      <c r="I134" s="164">
        <v>1313</v>
      </c>
      <c r="J134" s="3">
        <v>15512</v>
      </c>
      <c r="K134" s="3">
        <v>1</v>
      </c>
    </row>
    <row r="135" spans="1:11" s="185" customFormat="1" ht="16.5">
      <c r="A135" s="3">
        <v>120044</v>
      </c>
      <c r="B135" s="3" t="s">
        <v>714</v>
      </c>
      <c r="C135" s="6">
        <v>0</v>
      </c>
      <c r="D135" s="6" t="s">
        <v>11</v>
      </c>
      <c r="E135" s="6">
        <v>0</v>
      </c>
      <c r="F135" s="6" t="s">
        <v>12</v>
      </c>
      <c r="G135" s="190">
        <v>120001</v>
      </c>
      <c r="H135" s="164">
        <v>17318</v>
      </c>
      <c r="I135" s="164">
        <v>1313</v>
      </c>
      <c r="J135" s="3">
        <v>15512</v>
      </c>
      <c r="K135" s="3">
        <v>1</v>
      </c>
    </row>
    <row r="136" spans="1:11" s="185" customFormat="1" ht="16.5">
      <c r="A136" s="3">
        <v>120045</v>
      </c>
      <c r="B136" s="3" t="s">
        <v>714</v>
      </c>
      <c r="C136" s="6">
        <v>0</v>
      </c>
      <c r="D136" s="6" t="s">
        <v>11</v>
      </c>
      <c r="E136" s="6">
        <v>0</v>
      </c>
      <c r="F136" s="6" t="s">
        <v>12</v>
      </c>
      <c r="G136" s="190">
        <v>120001</v>
      </c>
      <c r="H136" s="164">
        <v>17318</v>
      </c>
      <c r="I136" s="164">
        <v>1313</v>
      </c>
      <c r="J136" s="3">
        <v>15512</v>
      </c>
      <c r="K136" s="3">
        <v>1</v>
      </c>
    </row>
    <row r="137" spans="1:11" s="185" customFormat="1" ht="16.5">
      <c r="A137" s="3">
        <v>120046</v>
      </c>
      <c r="B137" s="3" t="s">
        <v>714</v>
      </c>
      <c r="C137" s="6">
        <v>0</v>
      </c>
      <c r="D137" s="6" t="s">
        <v>11</v>
      </c>
      <c r="E137" s="6">
        <v>0</v>
      </c>
      <c r="F137" s="6" t="s">
        <v>12</v>
      </c>
      <c r="G137" s="190">
        <v>120001</v>
      </c>
      <c r="H137" s="164">
        <v>17318</v>
      </c>
      <c r="I137" s="164">
        <v>1313</v>
      </c>
      <c r="J137" s="3">
        <v>15512</v>
      </c>
      <c r="K137" s="3">
        <v>1</v>
      </c>
    </row>
    <row r="138" spans="1:11" s="185" customFormat="1" ht="16.5">
      <c r="A138" s="3">
        <v>120047</v>
      </c>
      <c r="B138" s="3" t="s">
        <v>714</v>
      </c>
      <c r="C138" s="6">
        <v>0</v>
      </c>
      <c r="D138" s="6" t="s">
        <v>11</v>
      </c>
      <c r="E138" s="6">
        <v>0</v>
      </c>
      <c r="F138" s="6" t="s">
        <v>12</v>
      </c>
      <c r="G138" s="190">
        <v>120001</v>
      </c>
      <c r="H138" s="164">
        <v>17318</v>
      </c>
      <c r="I138" s="164">
        <v>1313</v>
      </c>
      <c r="J138" s="3">
        <v>15512</v>
      </c>
      <c r="K138" s="3">
        <v>1</v>
      </c>
    </row>
    <row r="139" spans="1:11" s="185" customFormat="1" ht="16.5">
      <c r="A139" s="3">
        <v>120048</v>
      </c>
      <c r="B139" s="3" t="s">
        <v>714</v>
      </c>
      <c r="C139" s="6">
        <v>0</v>
      </c>
      <c r="D139" s="6" t="s">
        <v>11</v>
      </c>
      <c r="E139" s="6">
        <v>0</v>
      </c>
      <c r="F139" s="6" t="s">
        <v>12</v>
      </c>
      <c r="G139" s="190">
        <v>120001</v>
      </c>
      <c r="H139" s="164">
        <v>17318</v>
      </c>
      <c r="I139" s="164">
        <v>1313</v>
      </c>
      <c r="J139" s="3">
        <v>15512</v>
      </c>
      <c r="K139" s="3">
        <v>1</v>
      </c>
    </row>
    <row r="140" spans="1:11" s="185" customFormat="1" ht="16.5">
      <c r="A140" s="3">
        <v>120049</v>
      </c>
      <c r="B140" s="3" t="s">
        <v>714</v>
      </c>
      <c r="C140" s="6">
        <v>0</v>
      </c>
      <c r="D140" s="6" t="s">
        <v>11</v>
      </c>
      <c r="E140" s="6">
        <v>0</v>
      </c>
      <c r="F140" s="6" t="s">
        <v>12</v>
      </c>
      <c r="G140" s="190">
        <v>120001</v>
      </c>
      <c r="H140" s="164">
        <v>17318</v>
      </c>
      <c r="I140" s="164">
        <v>1313</v>
      </c>
      <c r="J140" s="3">
        <v>15512</v>
      </c>
      <c r="K140" s="3">
        <v>1</v>
      </c>
    </row>
    <row r="141" spans="1:11" s="185" customFormat="1" ht="16.5">
      <c r="A141" s="3">
        <v>120050</v>
      </c>
      <c r="B141" s="3" t="s">
        <v>714</v>
      </c>
      <c r="C141" s="6">
        <v>0</v>
      </c>
      <c r="D141" s="6" t="s">
        <v>11</v>
      </c>
      <c r="E141" s="6">
        <v>0</v>
      </c>
      <c r="F141" s="6" t="s">
        <v>12</v>
      </c>
      <c r="G141" s="190">
        <v>120001</v>
      </c>
      <c r="H141" s="164">
        <v>17318</v>
      </c>
      <c r="I141" s="164">
        <v>1313</v>
      </c>
      <c r="J141" s="3">
        <v>15512</v>
      </c>
      <c r="K141" s="3">
        <v>1</v>
      </c>
    </row>
    <row r="142" spans="1:11" s="185" customFormat="1" ht="16.5">
      <c r="A142" s="3">
        <v>120051</v>
      </c>
      <c r="B142" s="3" t="s">
        <v>714</v>
      </c>
      <c r="C142" s="6">
        <v>0</v>
      </c>
      <c r="D142" s="6" t="s">
        <v>11</v>
      </c>
      <c r="E142" s="6">
        <v>0</v>
      </c>
      <c r="F142" s="6" t="s">
        <v>12</v>
      </c>
      <c r="G142" s="190">
        <v>120001</v>
      </c>
      <c r="H142" s="164">
        <v>17318</v>
      </c>
      <c r="I142" s="164">
        <v>1313</v>
      </c>
      <c r="J142" s="3">
        <v>15512</v>
      </c>
      <c r="K142" s="3">
        <v>1</v>
      </c>
    </row>
    <row r="143" spans="1:11" s="185" customFormat="1" ht="16.5">
      <c r="A143" s="3">
        <v>120052</v>
      </c>
      <c r="B143" s="3" t="s">
        <v>714</v>
      </c>
      <c r="C143" s="6">
        <v>0</v>
      </c>
      <c r="D143" s="6" t="s">
        <v>11</v>
      </c>
      <c r="E143" s="6">
        <v>0</v>
      </c>
      <c r="F143" s="6" t="s">
        <v>12</v>
      </c>
      <c r="G143" s="190">
        <v>120001</v>
      </c>
      <c r="H143" s="164">
        <v>17318</v>
      </c>
      <c r="I143" s="164">
        <v>1313</v>
      </c>
      <c r="J143" s="3">
        <v>15512</v>
      </c>
      <c r="K143" s="3">
        <v>1</v>
      </c>
    </row>
    <row r="144" spans="1:11" s="185" customFormat="1" ht="16.5">
      <c r="A144" s="3">
        <v>120053</v>
      </c>
      <c r="B144" s="3" t="s">
        <v>714</v>
      </c>
      <c r="C144" s="6">
        <v>0</v>
      </c>
      <c r="D144" s="6" t="s">
        <v>11</v>
      </c>
      <c r="E144" s="6">
        <v>0</v>
      </c>
      <c r="F144" s="6" t="s">
        <v>12</v>
      </c>
      <c r="G144" s="190">
        <v>120001</v>
      </c>
      <c r="H144" s="164">
        <v>17318</v>
      </c>
      <c r="I144" s="164">
        <v>1313</v>
      </c>
      <c r="J144" s="3">
        <v>15512</v>
      </c>
      <c r="K144" s="3">
        <v>1</v>
      </c>
    </row>
    <row r="145" spans="1:11" s="185" customFormat="1" ht="16.5">
      <c r="A145" s="3">
        <v>120054</v>
      </c>
      <c r="B145" s="3" t="s">
        <v>714</v>
      </c>
      <c r="C145" s="6">
        <v>0</v>
      </c>
      <c r="D145" s="6" t="s">
        <v>11</v>
      </c>
      <c r="E145" s="6">
        <v>0</v>
      </c>
      <c r="F145" s="6" t="s">
        <v>12</v>
      </c>
      <c r="G145" s="190">
        <v>120001</v>
      </c>
      <c r="H145" s="164">
        <v>17318</v>
      </c>
      <c r="I145" s="164">
        <v>1313</v>
      </c>
      <c r="J145" s="3">
        <v>15512</v>
      </c>
      <c r="K145" s="3">
        <v>1</v>
      </c>
    </row>
    <row r="146" spans="1:11" s="185" customFormat="1" ht="16.5">
      <c r="A146" s="3">
        <v>120055</v>
      </c>
      <c r="B146" s="3" t="s">
        <v>714</v>
      </c>
      <c r="C146" s="6">
        <v>0</v>
      </c>
      <c r="D146" s="6" t="s">
        <v>11</v>
      </c>
      <c r="E146" s="6">
        <v>0</v>
      </c>
      <c r="F146" s="6" t="s">
        <v>12</v>
      </c>
      <c r="G146" s="190">
        <v>120001</v>
      </c>
      <c r="H146" s="164">
        <v>17318</v>
      </c>
      <c r="I146" s="164">
        <v>1313</v>
      </c>
      <c r="J146" s="3">
        <v>15512</v>
      </c>
      <c r="K146" s="3">
        <v>1</v>
      </c>
    </row>
    <row r="147" spans="1:11" s="185" customFormat="1" ht="16.5">
      <c r="A147" s="3">
        <v>120056</v>
      </c>
      <c r="B147" s="3" t="s">
        <v>714</v>
      </c>
      <c r="C147" s="6">
        <v>0</v>
      </c>
      <c r="D147" s="6" t="s">
        <v>11</v>
      </c>
      <c r="E147" s="6">
        <v>0</v>
      </c>
      <c r="F147" s="6" t="s">
        <v>12</v>
      </c>
      <c r="G147" s="190">
        <v>120001</v>
      </c>
      <c r="H147" s="164">
        <v>17318</v>
      </c>
      <c r="I147" s="164">
        <v>1313</v>
      </c>
      <c r="J147" s="3">
        <v>15512</v>
      </c>
      <c r="K147" s="3">
        <v>1</v>
      </c>
    </row>
    <row r="148" spans="1:11" s="185" customFormat="1" ht="16.5">
      <c r="A148" s="61">
        <v>130001</v>
      </c>
      <c r="B148" s="61" t="s">
        <v>715</v>
      </c>
      <c r="C148" s="6">
        <v>0</v>
      </c>
      <c r="D148" s="6" t="s">
        <v>11</v>
      </c>
      <c r="E148" s="6">
        <v>0</v>
      </c>
      <c r="F148" s="6" t="s">
        <v>12</v>
      </c>
      <c r="G148" s="191">
        <v>130001</v>
      </c>
      <c r="H148" s="164">
        <v>17318</v>
      </c>
      <c r="I148" s="164">
        <v>1313</v>
      </c>
      <c r="J148" s="61">
        <v>15513</v>
      </c>
      <c r="K148" s="61">
        <v>1</v>
      </c>
    </row>
    <row r="149" spans="1:11" s="185" customFormat="1" ht="16.5">
      <c r="A149" s="61">
        <v>130002</v>
      </c>
      <c r="B149" s="61" t="s">
        <v>715</v>
      </c>
      <c r="C149" s="6">
        <v>0</v>
      </c>
      <c r="D149" s="6" t="s">
        <v>11</v>
      </c>
      <c r="E149" s="6">
        <v>0</v>
      </c>
      <c r="F149" s="6" t="s">
        <v>12</v>
      </c>
      <c r="G149" s="191">
        <v>130001</v>
      </c>
      <c r="H149" s="164">
        <v>17318</v>
      </c>
      <c r="I149" s="164">
        <v>1313</v>
      </c>
      <c r="J149" s="61">
        <v>15513</v>
      </c>
      <c r="K149" s="61">
        <v>1</v>
      </c>
    </row>
    <row r="150" spans="1:11" ht="16.5">
      <c r="A150" s="61">
        <v>130003</v>
      </c>
      <c r="B150" s="61" t="s">
        <v>715</v>
      </c>
      <c r="C150" s="6">
        <v>0</v>
      </c>
      <c r="D150" s="6" t="s">
        <v>11</v>
      </c>
      <c r="E150" s="6">
        <v>0</v>
      </c>
      <c r="F150" s="6" t="s">
        <v>12</v>
      </c>
      <c r="G150" s="191">
        <v>130001</v>
      </c>
      <c r="H150" s="164">
        <v>17318</v>
      </c>
      <c r="I150" s="164">
        <v>1313</v>
      </c>
      <c r="J150" s="61">
        <v>15513</v>
      </c>
      <c r="K150" s="61">
        <v>1</v>
      </c>
    </row>
    <row r="151" spans="1:11" ht="16.5">
      <c r="A151" s="61">
        <v>130004</v>
      </c>
      <c r="B151" s="61" t="s">
        <v>715</v>
      </c>
      <c r="C151" s="6">
        <v>0</v>
      </c>
      <c r="D151" s="6" t="s">
        <v>11</v>
      </c>
      <c r="E151" s="6">
        <v>0</v>
      </c>
      <c r="F151" s="6" t="s">
        <v>12</v>
      </c>
      <c r="G151" s="191">
        <v>130001</v>
      </c>
      <c r="H151" s="164">
        <v>17318</v>
      </c>
      <c r="I151" s="164">
        <v>1313</v>
      </c>
      <c r="J151" s="61">
        <v>15513</v>
      </c>
      <c r="K151" s="61">
        <v>1</v>
      </c>
    </row>
    <row r="152" spans="1:11" ht="16.5">
      <c r="A152" s="61">
        <v>130005</v>
      </c>
      <c r="B152" s="61" t="s">
        <v>715</v>
      </c>
      <c r="C152" s="6">
        <v>0</v>
      </c>
      <c r="D152" s="6" t="s">
        <v>11</v>
      </c>
      <c r="E152" s="6">
        <v>0</v>
      </c>
      <c r="F152" s="6" t="s">
        <v>12</v>
      </c>
      <c r="G152" s="191">
        <v>130001</v>
      </c>
      <c r="H152" s="164">
        <v>17318</v>
      </c>
      <c r="I152" s="164">
        <v>1313</v>
      </c>
      <c r="J152" s="61">
        <v>15513</v>
      </c>
      <c r="K152" s="61">
        <v>1</v>
      </c>
    </row>
    <row r="153" spans="1:11" ht="16.5">
      <c r="A153" s="61">
        <v>130006</v>
      </c>
      <c r="B153" s="61" t="s">
        <v>715</v>
      </c>
      <c r="C153" s="6">
        <v>0</v>
      </c>
      <c r="D153" s="6" t="s">
        <v>11</v>
      </c>
      <c r="E153" s="6">
        <v>0</v>
      </c>
      <c r="F153" s="6" t="s">
        <v>12</v>
      </c>
      <c r="G153" s="191">
        <v>130001</v>
      </c>
      <c r="H153" s="164">
        <v>17318</v>
      </c>
      <c r="I153" s="164">
        <v>1313</v>
      </c>
      <c r="J153" s="61">
        <v>15513</v>
      </c>
      <c r="K153" s="61">
        <v>1</v>
      </c>
    </row>
    <row r="154" spans="1:11" ht="16.5">
      <c r="A154" s="61">
        <v>130007</v>
      </c>
      <c r="B154" s="61" t="s">
        <v>715</v>
      </c>
      <c r="C154" s="6">
        <v>0</v>
      </c>
      <c r="D154" s="6" t="s">
        <v>11</v>
      </c>
      <c r="E154" s="6">
        <v>0</v>
      </c>
      <c r="F154" s="6" t="s">
        <v>12</v>
      </c>
      <c r="G154" s="191">
        <v>130001</v>
      </c>
      <c r="H154" s="164">
        <v>17318</v>
      </c>
      <c r="I154" s="164">
        <v>1313</v>
      </c>
      <c r="J154" s="61">
        <v>15513</v>
      </c>
      <c r="K154" s="61">
        <v>1</v>
      </c>
    </row>
    <row r="155" spans="1:11" ht="16.5">
      <c r="A155" s="61">
        <v>130008</v>
      </c>
      <c r="B155" s="61" t="s">
        <v>715</v>
      </c>
      <c r="C155" s="6">
        <v>0</v>
      </c>
      <c r="D155" s="6" t="s">
        <v>11</v>
      </c>
      <c r="E155" s="6">
        <v>0</v>
      </c>
      <c r="F155" s="6" t="s">
        <v>12</v>
      </c>
      <c r="G155" s="191">
        <v>130001</v>
      </c>
      <c r="H155" s="164">
        <v>17318</v>
      </c>
      <c r="I155" s="164">
        <v>1313</v>
      </c>
      <c r="J155" s="61">
        <v>15513</v>
      </c>
      <c r="K155" s="61">
        <v>1</v>
      </c>
    </row>
    <row r="156" spans="1:11" ht="16.5">
      <c r="A156" s="61">
        <v>130009</v>
      </c>
      <c r="B156" s="61" t="s">
        <v>715</v>
      </c>
      <c r="C156" s="6">
        <v>0</v>
      </c>
      <c r="D156" s="6" t="s">
        <v>11</v>
      </c>
      <c r="E156" s="6">
        <v>0</v>
      </c>
      <c r="F156" s="6" t="s">
        <v>12</v>
      </c>
      <c r="G156" s="191">
        <v>130001</v>
      </c>
      <c r="H156" s="164">
        <v>17318</v>
      </c>
      <c r="I156" s="164">
        <v>1313</v>
      </c>
      <c r="J156" s="61">
        <v>15513</v>
      </c>
      <c r="K156" s="61">
        <v>1</v>
      </c>
    </row>
    <row r="157" spans="1:11" ht="16.5">
      <c r="A157" s="61">
        <v>130010</v>
      </c>
      <c r="B157" s="61" t="s">
        <v>715</v>
      </c>
      <c r="C157" s="6">
        <v>0</v>
      </c>
      <c r="D157" s="6" t="s">
        <v>11</v>
      </c>
      <c r="E157" s="6">
        <v>0</v>
      </c>
      <c r="F157" s="6" t="s">
        <v>12</v>
      </c>
      <c r="G157" s="191">
        <v>130001</v>
      </c>
      <c r="H157" s="164">
        <v>17318</v>
      </c>
      <c r="I157" s="164">
        <v>1313</v>
      </c>
      <c r="J157" s="61">
        <v>15513</v>
      </c>
      <c r="K157" s="61">
        <v>1</v>
      </c>
    </row>
    <row r="158" spans="1:11" ht="16.5">
      <c r="A158" s="61">
        <v>130011</v>
      </c>
      <c r="B158" s="61" t="s">
        <v>715</v>
      </c>
      <c r="C158" s="6">
        <v>0</v>
      </c>
      <c r="D158" s="6" t="s">
        <v>11</v>
      </c>
      <c r="E158" s="6">
        <v>0</v>
      </c>
      <c r="F158" s="6" t="s">
        <v>12</v>
      </c>
      <c r="G158" s="191">
        <v>130001</v>
      </c>
      <c r="H158" s="164">
        <v>17318</v>
      </c>
      <c r="I158" s="164">
        <v>1313</v>
      </c>
      <c r="J158" s="61">
        <v>15513</v>
      </c>
      <c r="K158" s="61">
        <v>1</v>
      </c>
    </row>
    <row r="159" spans="1:11" ht="16.5">
      <c r="A159" s="61">
        <v>130012</v>
      </c>
      <c r="B159" s="61" t="s">
        <v>715</v>
      </c>
      <c r="C159" s="6">
        <v>0</v>
      </c>
      <c r="D159" s="6" t="s">
        <v>11</v>
      </c>
      <c r="E159" s="6">
        <v>0</v>
      </c>
      <c r="F159" s="6" t="s">
        <v>12</v>
      </c>
      <c r="G159" s="191">
        <v>130001</v>
      </c>
      <c r="H159" s="164">
        <v>17318</v>
      </c>
      <c r="I159" s="164">
        <v>1313</v>
      </c>
      <c r="J159" s="61">
        <v>15513</v>
      </c>
      <c r="K159" s="61">
        <v>1</v>
      </c>
    </row>
    <row r="160" spans="1:11" ht="16.5">
      <c r="A160" s="61">
        <v>130013</v>
      </c>
      <c r="B160" s="61" t="s">
        <v>715</v>
      </c>
      <c r="C160" s="6">
        <v>0</v>
      </c>
      <c r="D160" s="6" t="s">
        <v>11</v>
      </c>
      <c r="E160" s="6">
        <v>0</v>
      </c>
      <c r="F160" s="6" t="s">
        <v>12</v>
      </c>
      <c r="G160" s="191">
        <v>130001</v>
      </c>
      <c r="H160" s="164">
        <v>17318</v>
      </c>
      <c r="I160" s="164">
        <v>1313</v>
      </c>
      <c r="J160" s="61">
        <v>15513</v>
      </c>
      <c r="K160" s="61">
        <v>1</v>
      </c>
    </row>
    <row r="161" spans="1:11" ht="16.5">
      <c r="A161" s="61">
        <v>130014</v>
      </c>
      <c r="B161" s="61" t="s">
        <v>715</v>
      </c>
      <c r="C161" s="6">
        <v>0</v>
      </c>
      <c r="D161" s="6" t="s">
        <v>11</v>
      </c>
      <c r="E161" s="6">
        <v>0</v>
      </c>
      <c r="F161" s="6" t="s">
        <v>12</v>
      </c>
      <c r="G161" s="191">
        <v>130001</v>
      </c>
      <c r="H161" s="164">
        <v>17318</v>
      </c>
      <c r="I161" s="164">
        <v>1313</v>
      </c>
      <c r="J161" s="61">
        <v>15513</v>
      </c>
      <c r="K161" s="61">
        <v>1</v>
      </c>
    </row>
    <row r="162" spans="1:11" ht="16.5">
      <c r="A162" s="61">
        <v>130015</v>
      </c>
      <c r="B162" s="61" t="s">
        <v>715</v>
      </c>
      <c r="C162" s="6">
        <v>0</v>
      </c>
      <c r="D162" s="6" t="s">
        <v>11</v>
      </c>
      <c r="E162" s="6">
        <v>0</v>
      </c>
      <c r="F162" s="6" t="s">
        <v>12</v>
      </c>
      <c r="G162" s="191">
        <v>130001</v>
      </c>
      <c r="H162" s="164">
        <v>17318</v>
      </c>
      <c r="I162" s="164">
        <v>1313</v>
      </c>
      <c r="J162" s="61">
        <v>15513</v>
      </c>
      <c r="K162" s="61">
        <v>1</v>
      </c>
    </row>
    <row r="163" spans="1:11" ht="16.5">
      <c r="A163" s="61">
        <v>130016</v>
      </c>
      <c r="B163" s="61" t="s">
        <v>715</v>
      </c>
      <c r="C163" s="6">
        <v>0</v>
      </c>
      <c r="D163" s="6" t="s">
        <v>11</v>
      </c>
      <c r="E163" s="6">
        <v>0</v>
      </c>
      <c r="F163" s="6" t="s">
        <v>12</v>
      </c>
      <c r="G163" s="191">
        <v>130001</v>
      </c>
      <c r="H163" s="164">
        <v>17318</v>
      </c>
      <c r="I163" s="164">
        <v>1313</v>
      </c>
      <c r="J163" s="61">
        <v>15513</v>
      </c>
      <c r="K163" s="61">
        <v>1</v>
      </c>
    </row>
    <row r="164" spans="1:11" ht="16.5">
      <c r="A164" s="61">
        <v>130017</v>
      </c>
      <c r="B164" s="61" t="s">
        <v>715</v>
      </c>
      <c r="C164" s="6">
        <v>0</v>
      </c>
      <c r="D164" s="6" t="s">
        <v>11</v>
      </c>
      <c r="E164" s="6">
        <v>0</v>
      </c>
      <c r="F164" s="6" t="s">
        <v>12</v>
      </c>
      <c r="G164" s="191">
        <v>130001</v>
      </c>
      <c r="H164" s="164">
        <v>17318</v>
      </c>
      <c r="I164" s="164">
        <v>1313</v>
      </c>
      <c r="J164" s="61">
        <v>15513</v>
      </c>
      <c r="K164" s="61">
        <v>1</v>
      </c>
    </row>
    <row r="165" spans="1:11" ht="16.5">
      <c r="A165" s="61">
        <v>130018</v>
      </c>
      <c r="B165" s="61" t="s">
        <v>715</v>
      </c>
      <c r="C165" s="6">
        <v>0</v>
      </c>
      <c r="D165" s="6" t="s">
        <v>11</v>
      </c>
      <c r="E165" s="6">
        <v>0</v>
      </c>
      <c r="F165" s="6" t="s">
        <v>12</v>
      </c>
      <c r="G165" s="191">
        <v>130001</v>
      </c>
      <c r="H165" s="164">
        <v>17318</v>
      </c>
      <c r="I165" s="164">
        <v>1313</v>
      </c>
      <c r="J165" s="61">
        <v>15513</v>
      </c>
      <c r="K165" s="61">
        <v>1</v>
      </c>
    </row>
    <row r="166" spans="1:11" ht="16.5">
      <c r="A166" s="61">
        <v>130019</v>
      </c>
      <c r="B166" s="61" t="s">
        <v>715</v>
      </c>
      <c r="C166" s="6">
        <v>0</v>
      </c>
      <c r="D166" s="6" t="s">
        <v>11</v>
      </c>
      <c r="E166" s="6">
        <v>0</v>
      </c>
      <c r="F166" s="6" t="s">
        <v>12</v>
      </c>
      <c r="G166" s="191">
        <v>130001</v>
      </c>
      <c r="H166" s="164">
        <v>17318</v>
      </c>
      <c r="I166" s="164">
        <v>1313</v>
      </c>
      <c r="J166" s="61">
        <v>15513</v>
      </c>
      <c r="K166" s="61">
        <v>1</v>
      </c>
    </row>
    <row r="167" spans="1:11" ht="16.5">
      <c r="A167" s="61">
        <v>130020</v>
      </c>
      <c r="B167" s="61" t="s">
        <v>715</v>
      </c>
      <c r="C167" s="6">
        <v>0</v>
      </c>
      <c r="D167" s="6" t="s">
        <v>11</v>
      </c>
      <c r="E167" s="6">
        <v>0</v>
      </c>
      <c r="F167" s="6" t="s">
        <v>12</v>
      </c>
      <c r="G167" s="191">
        <v>130001</v>
      </c>
      <c r="H167" s="164">
        <v>17318</v>
      </c>
      <c r="I167" s="164">
        <v>1313</v>
      </c>
      <c r="J167" s="61">
        <v>15513</v>
      </c>
      <c r="K167" s="61">
        <v>1</v>
      </c>
    </row>
    <row r="168" spans="1:11" ht="16.5">
      <c r="A168" s="61">
        <v>130021</v>
      </c>
      <c r="B168" s="61" t="s">
        <v>715</v>
      </c>
      <c r="C168" s="6">
        <v>0</v>
      </c>
      <c r="D168" s="6" t="s">
        <v>11</v>
      </c>
      <c r="E168" s="6">
        <v>0</v>
      </c>
      <c r="F168" s="6" t="s">
        <v>12</v>
      </c>
      <c r="G168" s="191">
        <v>130001</v>
      </c>
      <c r="H168" s="164">
        <v>17318</v>
      </c>
      <c r="I168" s="164">
        <v>1313</v>
      </c>
      <c r="J168" s="61">
        <v>15513</v>
      </c>
      <c r="K168" s="61">
        <v>1</v>
      </c>
    </row>
    <row r="169" spans="1:11" ht="16.5">
      <c r="A169" s="61">
        <v>130022</v>
      </c>
      <c r="B169" s="61" t="s">
        <v>715</v>
      </c>
      <c r="C169" s="6">
        <v>0</v>
      </c>
      <c r="D169" s="6" t="s">
        <v>11</v>
      </c>
      <c r="E169" s="6">
        <v>0</v>
      </c>
      <c r="F169" s="6" t="s">
        <v>12</v>
      </c>
      <c r="G169" s="191">
        <v>130001</v>
      </c>
      <c r="H169" s="164">
        <v>17318</v>
      </c>
      <c r="I169" s="164">
        <v>1313</v>
      </c>
      <c r="J169" s="61">
        <v>15513</v>
      </c>
      <c r="K169" s="61">
        <v>1</v>
      </c>
    </row>
    <row r="170" spans="1:11" ht="16.5">
      <c r="A170" s="61">
        <v>130023</v>
      </c>
      <c r="B170" s="61" t="s">
        <v>715</v>
      </c>
      <c r="C170" s="6">
        <v>0</v>
      </c>
      <c r="D170" s="6" t="s">
        <v>11</v>
      </c>
      <c r="E170" s="6">
        <v>0</v>
      </c>
      <c r="F170" s="6" t="s">
        <v>12</v>
      </c>
      <c r="G170" s="191">
        <v>130001</v>
      </c>
      <c r="H170" s="164">
        <v>17318</v>
      </c>
      <c r="I170" s="164">
        <v>1313</v>
      </c>
      <c r="J170" s="61">
        <v>15513</v>
      </c>
      <c r="K170" s="61">
        <v>1</v>
      </c>
    </row>
    <row r="171" spans="1:11" ht="16.5">
      <c r="A171" s="61">
        <v>130024</v>
      </c>
      <c r="B171" s="61" t="s">
        <v>715</v>
      </c>
      <c r="C171" s="6">
        <v>0</v>
      </c>
      <c r="D171" s="6" t="s">
        <v>11</v>
      </c>
      <c r="E171" s="6">
        <v>0</v>
      </c>
      <c r="F171" s="6" t="s">
        <v>12</v>
      </c>
      <c r="G171" s="191">
        <v>130001</v>
      </c>
      <c r="H171" s="164">
        <v>17318</v>
      </c>
      <c r="I171" s="164">
        <v>1313</v>
      </c>
      <c r="J171" s="61">
        <v>15513</v>
      </c>
      <c r="K171" s="61">
        <v>1</v>
      </c>
    </row>
    <row r="172" spans="1:11" ht="16.5">
      <c r="A172" s="61">
        <v>130025</v>
      </c>
      <c r="B172" s="61" t="s">
        <v>715</v>
      </c>
      <c r="C172" s="6">
        <v>0</v>
      </c>
      <c r="D172" s="6" t="s">
        <v>11</v>
      </c>
      <c r="E172" s="6">
        <v>0</v>
      </c>
      <c r="F172" s="6" t="s">
        <v>12</v>
      </c>
      <c r="G172" s="191">
        <v>130001</v>
      </c>
      <c r="H172" s="164">
        <v>17318</v>
      </c>
      <c r="I172" s="164">
        <v>1313</v>
      </c>
      <c r="J172" s="61">
        <v>15513</v>
      </c>
      <c r="K172" s="61">
        <v>1</v>
      </c>
    </row>
    <row r="173" spans="1:11" ht="16.5">
      <c r="A173" s="61">
        <v>130026</v>
      </c>
      <c r="B173" s="61" t="s">
        <v>715</v>
      </c>
      <c r="C173" s="6">
        <v>0</v>
      </c>
      <c r="D173" s="6" t="s">
        <v>11</v>
      </c>
      <c r="E173" s="6">
        <v>0</v>
      </c>
      <c r="F173" s="6" t="s">
        <v>12</v>
      </c>
      <c r="G173" s="191">
        <v>130001</v>
      </c>
      <c r="H173" s="164">
        <v>17318</v>
      </c>
      <c r="I173" s="164">
        <v>1313</v>
      </c>
      <c r="J173" s="61">
        <v>15513</v>
      </c>
      <c r="K173" s="61">
        <v>1</v>
      </c>
    </row>
    <row r="174" spans="1:11" ht="16.5">
      <c r="A174" s="61">
        <v>130027</v>
      </c>
      <c r="B174" s="61" t="s">
        <v>715</v>
      </c>
      <c r="C174" s="6">
        <v>0</v>
      </c>
      <c r="D174" s="6" t="s">
        <v>11</v>
      </c>
      <c r="E174" s="6">
        <v>0</v>
      </c>
      <c r="F174" s="6" t="s">
        <v>12</v>
      </c>
      <c r="G174" s="191">
        <v>130001</v>
      </c>
      <c r="H174" s="164">
        <v>17318</v>
      </c>
      <c r="I174" s="164">
        <v>1313</v>
      </c>
      <c r="J174" s="61">
        <v>15513</v>
      </c>
      <c r="K174" s="61">
        <v>1</v>
      </c>
    </row>
    <row r="175" spans="1:11" ht="16.5">
      <c r="A175" s="61">
        <v>130028</v>
      </c>
      <c r="B175" s="61" t="s">
        <v>715</v>
      </c>
      <c r="C175" s="6">
        <v>0</v>
      </c>
      <c r="D175" s="6" t="s">
        <v>11</v>
      </c>
      <c r="E175" s="6">
        <v>0</v>
      </c>
      <c r="F175" s="6" t="s">
        <v>12</v>
      </c>
      <c r="G175" s="191">
        <v>130001</v>
      </c>
      <c r="H175" s="164">
        <v>17318</v>
      </c>
      <c r="I175" s="164">
        <v>1313</v>
      </c>
      <c r="J175" s="61">
        <v>15513</v>
      </c>
      <c r="K175" s="61">
        <v>1</v>
      </c>
    </row>
    <row r="176" spans="1:11" ht="16.5">
      <c r="A176" s="61">
        <v>130029</v>
      </c>
      <c r="B176" s="61" t="s">
        <v>715</v>
      </c>
      <c r="C176" s="6">
        <v>0</v>
      </c>
      <c r="D176" s="6" t="s">
        <v>11</v>
      </c>
      <c r="E176" s="6">
        <v>0</v>
      </c>
      <c r="F176" s="6" t="s">
        <v>12</v>
      </c>
      <c r="G176" s="191">
        <v>130001</v>
      </c>
      <c r="H176" s="164">
        <v>17318</v>
      </c>
      <c r="I176" s="164">
        <v>1313</v>
      </c>
      <c r="J176" s="61">
        <v>15513</v>
      </c>
      <c r="K176" s="61">
        <v>1</v>
      </c>
    </row>
    <row r="177" spans="1:11" ht="16.5">
      <c r="A177" s="61">
        <v>130030</v>
      </c>
      <c r="B177" s="61" t="s">
        <v>715</v>
      </c>
      <c r="C177" s="6">
        <v>0</v>
      </c>
      <c r="D177" s="6" t="s">
        <v>11</v>
      </c>
      <c r="E177" s="6">
        <v>0</v>
      </c>
      <c r="F177" s="6" t="s">
        <v>12</v>
      </c>
      <c r="G177" s="191">
        <v>130001</v>
      </c>
      <c r="H177" s="164">
        <v>17318</v>
      </c>
      <c r="I177" s="164">
        <v>1313</v>
      </c>
      <c r="J177" s="61">
        <v>15513</v>
      </c>
      <c r="K177" s="61">
        <v>1</v>
      </c>
    </row>
    <row r="178" spans="1:11" ht="16.5">
      <c r="A178" s="61">
        <v>130031</v>
      </c>
      <c r="B178" s="61" t="s">
        <v>715</v>
      </c>
      <c r="C178" s="6">
        <v>0</v>
      </c>
      <c r="D178" s="6" t="s">
        <v>11</v>
      </c>
      <c r="E178" s="6">
        <v>0</v>
      </c>
      <c r="F178" s="6" t="s">
        <v>12</v>
      </c>
      <c r="G178" s="191">
        <v>130001</v>
      </c>
      <c r="H178" s="164">
        <v>17318</v>
      </c>
      <c r="I178" s="164">
        <v>1313</v>
      </c>
      <c r="J178" s="61">
        <v>15513</v>
      </c>
      <c r="K178" s="61">
        <v>1</v>
      </c>
    </row>
    <row r="179" spans="1:11" ht="16.5">
      <c r="A179" s="61">
        <v>130032</v>
      </c>
      <c r="B179" s="61" t="s">
        <v>715</v>
      </c>
      <c r="C179" s="6">
        <v>0</v>
      </c>
      <c r="D179" s="6" t="s">
        <v>11</v>
      </c>
      <c r="E179" s="6">
        <v>0</v>
      </c>
      <c r="F179" s="6" t="s">
        <v>12</v>
      </c>
      <c r="G179" s="191">
        <v>130001</v>
      </c>
      <c r="H179" s="164">
        <v>17318</v>
      </c>
      <c r="I179" s="164">
        <v>1313</v>
      </c>
      <c r="J179" s="61">
        <v>15513</v>
      </c>
      <c r="K179" s="61">
        <v>1</v>
      </c>
    </row>
    <row r="180" spans="1:11" ht="16.5">
      <c r="A180" s="61">
        <v>130033</v>
      </c>
      <c r="B180" s="61" t="s">
        <v>715</v>
      </c>
      <c r="C180" s="6">
        <v>0</v>
      </c>
      <c r="D180" s="6" t="s">
        <v>11</v>
      </c>
      <c r="E180" s="6">
        <v>0</v>
      </c>
      <c r="F180" s="6" t="s">
        <v>12</v>
      </c>
      <c r="G180" s="191">
        <v>130001</v>
      </c>
      <c r="H180" s="164">
        <v>17318</v>
      </c>
      <c r="I180" s="164">
        <v>1313</v>
      </c>
      <c r="J180" s="61">
        <v>15513</v>
      </c>
      <c r="K180" s="61">
        <v>1</v>
      </c>
    </row>
    <row r="181" spans="1:11" ht="16.5">
      <c r="A181" s="61">
        <v>130034</v>
      </c>
      <c r="B181" s="61" t="s">
        <v>715</v>
      </c>
      <c r="C181" s="6">
        <v>0</v>
      </c>
      <c r="D181" s="6" t="s">
        <v>11</v>
      </c>
      <c r="E181" s="6">
        <v>0</v>
      </c>
      <c r="F181" s="6" t="s">
        <v>12</v>
      </c>
      <c r="G181" s="191">
        <v>130001</v>
      </c>
      <c r="H181" s="164">
        <v>17318</v>
      </c>
      <c r="I181" s="164">
        <v>1313</v>
      </c>
      <c r="J181" s="61">
        <v>15513</v>
      </c>
      <c r="K181" s="61">
        <v>1</v>
      </c>
    </row>
    <row r="182" spans="1:11" ht="16.5">
      <c r="A182" s="61">
        <v>130035</v>
      </c>
      <c r="B182" s="61" t="s">
        <v>715</v>
      </c>
      <c r="C182" s="6">
        <v>0</v>
      </c>
      <c r="D182" s="6" t="s">
        <v>11</v>
      </c>
      <c r="E182" s="6">
        <v>0</v>
      </c>
      <c r="F182" s="6" t="s">
        <v>12</v>
      </c>
      <c r="G182" s="191">
        <v>130001</v>
      </c>
      <c r="H182" s="164">
        <v>17318</v>
      </c>
      <c r="I182" s="164">
        <v>1313</v>
      </c>
      <c r="J182" s="61">
        <v>15513</v>
      </c>
      <c r="K182" s="61">
        <v>1</v>
      </c>
    </row>
    <row r="183" spans="1:11" ht="16.5">
      <c r="A183" s="61">
        <v>130036</v>
      </c>
      <c r="B183" s="61" t="s">
        <v>715</v>
      </c>
      <c r="C183" s="6">
        <v>0</v>
      </c>
      <c r="D183" s="6" t="s">
        <v>11</v>
      </c>
      <c r="E183" s="6">
        <v>0</v>
      </c>
      <c r="F183" s="6" t="s">
        <v>12</v>
      </c>
      <c r="G183" s="191">
        <v>130001</v>
      </c>
      <c r="H183" s="164">
        <v>17318</v>
      </c>
      <c r="I183" s="164">
        <v>1313</v>
      </c>
      <c r="J183" s="61">
        <v>15513</v>
      </c>
      <c r="K183" s="61">
        <v>1</v>
      </c>
    </row>
    <row r="184" spans="1:11" ht="16.5">
      <c r="A184" s="61">
        <v>130037</v>
      </c>
      <c r="B184" s="61" t="s">
        <v>715</v>
      </c>
      <c r="C184" s="6">
        <v>0</v>
      </c>
      <c r="D184" s="6" t="s">
        <v>11</v>
      </c>
      <c r="E184" s="6">
        <v>0</v>
      </c>
      <c r="F184" s="6" t="s">
        <v>12</v>
      </c>
      <c r="G184" s="191">
        <v>130001</v>
      </c>
      <c r="H184" s="164">
        <v>17318</v>
      </c>
      <c r="I184" s="164">
        <v>1313</v>
      </c>
      <c r="J184" s="61">
        <v>15513</v>
      </c>
      <c r="K184" s="61">
        <v>1</v>
      </c>
    </row>
    <row r="185" spans="1:11" ht="16.5">
      <c r="A185" s="61">
        <v>130038</v>
      </c>
      <c r="B185" s="61" t="s">
        <v>715</v>
      </c>
      <c r="C185" s="6">
        <v>0</v>
      </c>
      <c r="D185" s="6" t="s">
        <v>11</v>
      </c>
      <c r="E185" s="6">
        <v>0</v>
      </c>
      <c r="F185" s="6" t="s">
        <v>12</v>
      </c>
      <c r="G185" s="191">
        <v>130001</v>
      </c>
      <c r="H185" s="164">
        <v>17318</v>
      </c>
      <c r="I185" s="164">
        <v>1313</v>
      </c>
      <c r="J185" s="61">
        <v>15513</v>
      </c>
      <c r="K185" s="61">
        <v>1</v>
      </c>
    </row>
    <row r="186" spans="1:11" ht="16.5">
      <c r="A186" s="61">
        <v>130039</v>
      </c>
      <c r="B186" s="61" t="s">
        <v>715</v>
      </c>
      <c r="C186" s="6">
        <v>0</v>
      </c>
      <c r="D186" s="6" t="s">
        <v>11</v>
      </c>
      <c r="E186" s="6">
        <v>0</v>
      </c>
      <c r="F186" s="6" t="s">
        <v>12</v>
      </c>
      <c r="G186" s="191">
        <v>130001</v>
      </c>
      <c r="H186" s="164">
        <v>17318</v>
      </c>
      <c r="I186" s="164">
        <v>1313</v>
      </c>
      <c r="J186" s="61">
        <v>15513</v>
      </c>
      <c r="K186" s="61">
        <v>1</v>
      </c>
    </row>
    <row r="187" spans="1:11" ht="16.5">
      <c r="A187" s="61">
        <v>130040</v>
      </c>
      <c r="B187" s="61" t="s">
        <v>715</v>
      </c>
      <c r="C187" s="6">
        <v>0</v>
      </c>
      <c r="D187" s="6" t="s">
        <v>11</v>
      </c>
      <c r="E187" s="6">
        <v>0</v>
      </c>
      <c r="F187" s="6" t="s">
        <v>12</v>
      </c>
      <c r="G187" s="191">
        <v>130001</v>
      </c>
      <c r="H187" s="164">
        <v>17318</v>
      </c>
      <c r="I187" s="164">
        <v>1313</v>
      </c>
      <c r="J187" s="61">
        <v>15513</v>
      </c>
      <c r="K187" s="61">
        <v>1</v>
      </c>
    </row>
    <row r="188" spans="1:11" ht="16.5">
      <c r="A188" s="61">
        <v>130041</v>
      </c>
      <c r="B188" s="61" t="s">
        <v>715</v>
      </c>
      <c r="C188" s="6">
        <v>0</v>
      </c>
      <c r="D188" s="6" t="s">
        <v>11</v>
      </c>
      <c r="E188" s="6">
        <v>0</v>
      </c>
      <c r="F188" s="6" t="s">
        <v>12</v>
      </c>
      <c r="G188" s="191">
        <v>130001</v>
      </c>
      <c r="H188" s="164">
        <v>17318</v>
      </c>
      <c r="I188" s="164">
        <v>1313</v>
      </c>
      <c r="J188" s="61">
        <v>15513</v>
      </c>
      <c r="K188" s="61">
        <v>1</v>
      </c>
    </row>
    <row r="189" spans="1:11" ht="16.5">
      <c r="A189" s="61">
        <v>130042</v>
      </c>
      <c r="B189" s="61" t="s">
        <v>715</v>
      </c>
      <c r="C189" s="6">
        <v>0</v>
      </c>
      <c r="D189" s="6" t="s">
        <v>11</v>
      </c>
      <c r="E189" s="6">
        <v>0</v>
      </c>
      <c r="F189" s="6" t="s">
        <v>12</v>
      </c>
      <c r="G189" s="191">
        <v>130001</v>
      </c>
      <c r="H189" s="164">
        <v>17318</v>
      </c>
      <c r="I189" s="164">
        <v>1313</v>
      </c>
      <c r="J189" s="61">
        <v>15513</v>
      </c>
      <c r="K189" s="61">
        <v>1</v>
      </c>
    </row>
    <row r="190" spans="1:11" ht="16.5">
      <c r="A190" s="61">
        <v>130043</v>
      </c>
      <c r="B190" s="61" t="s">
        <v>715</v>
      </c>
      <c r="C190" s="6">
        <v>0</v>
      </c>
      <c r="D190" s="6" t="s">
        <v>11</v>
      </c>
      <c r="E190" s="6">
        <v>0</v>
      </c>
      <c r="F190" s="6" t="s">
        <v>12</v>
      </c>
      <c r="G190" s="191">
        <v>130001</v>
      </c>
      <c r="H190" s="164">
        <v>17318</v>
      </c>
      <c r="I190" s="164">
        <v>1313</v>
      </c>
      <c r="J190" s="61">
        <v>15513</v>
      </c>
      <c r="K190" s="61">
        <v>1</v>
      </c>
    </row>
    <row r="191" spans="1:11" ht="16.5">
      <c r="A191" s="61">
        <v>130044</v>
      </c>
      <c r="B191" s="61" t="s">
        <v>715</v>
      </c>
      <c r="C191" s="6">
        <v>0</v>
      </c>
      <c r="D191" s="6" t="s">
        <v>11</v>
      </c>
      <c r="E191" s="6">
        <v>0</v>
      </c>
      <c r="F191" s="6" t="s">
        <v>12</v>
      </c>
      <c r="G191" s="191">
        <v>130001</v>
      </c>
      <c r="H191" s="164">
        <v>17318</v>
      </c>
      <c r="I191" s="164">
        <v>1313</v>
      </c>
      <c r="J191" s="61">
        <v>15513</v>
      </c>
      <c r="K191" s="61">
        <v>1</v>
      </c>
    </row>
    <row r="192" spans="1:11" ht="16.5">
      <c r="A192" s="61">
        <v>130045</v>
      </c>
      <c r="B192" s="61" t="s">
        <v>715</v>
      </c>
      <c r="C192" s="6">
        <v>0</v>
      </c>
      <c r="D192" s="6" t="s">
        <v>11</v>
      </c>
      <c r="E192" s="6">
        <v>0</v>
      </c>
      <c r="F192" s="6" t="s">
        <v>12</v>
      </c>
      <c r="G192" s="191">
        <v>130001</v>
      </c>
      <c r="H192" s="164">
        <v>17318</v>
      </c>
      <c r="I192" s="164">
        <v>1313</v>
      </c>
      <c r="J192" s="61">
        <v>15513</v>
      </c>
      <c r="K192" s="61">
        <v>1</v>
      </c>
    </row>
    <row r="193" spans="1:11" ht="16.5">
      <c r="A193" s="61">
        <v>130046</v>
      </c>
      <c r="B193" s="61" t="s">
        <v>715</v>
      </c>
      <c r="C193" s="6">
        <v>0</v>
      </c>
      <c r="D193" s="6" t="s">
        <v>11</v>
      </c>
      <c r="E193" s="6">
        <v>0</v>
      </c>
      <c r="F193" s="6" t="s">
        <v>12</v>
      </c>
      <c r="G193" s="191">
        <v>130001</v>
      </c>
      <c r="H193" s="164">
        <v>17318</v>
      </c>
      <c r="I193" s="164">
        <v>1313</v>
      </c>
      <c r="J193" s="61">
        <v>15513</v>
      </c>
      <c r="K193" s="61">
        <v>1</v>
      </c>
    </row>
    <row r="194" spans="1:11" ht="16.5">
      <c r="A194" s="61">
        <v>130047</v>
      </c>
      <c r="B194" s="61" t="s">
        <v>715</v>
      </c>
      <c r="C194" s="6">
        <v>0</v>
      </c>
      <c r="D194" s="6" t="s">
        <v>11</v>
      </c>
      <c r="E194" s="6">
        <v>0</v>
      </c>
      <c r="F194" s="6" t="s">
        <v>12</v>
      </c>
      <c r="G194" s="191">
        <v>130001</v>
      </c>
      <c r="H194" s="164">
        <v>17318</v>
      </c>
      <c r="I194" s="164">
        <v>1313</v>
      </c>
      <c r="J194" s="61">
        <v>15513</v>
      </c>
      <c r="K194" s="61">
        <v>1</v>
      </c>
    </row>
    <row r="195" spans="1:11" ht="16.5">
      <c r="A195" s="61">
        <v>130048</v>
      </c>
      <c r="B195" s="61" t="s">
        <v>715</v>
      </c>
      <c r="C195" s="6">
        <v>0</v>
      </c>
      <c r="D195" s="6" t="s">
        <v>11</v>
      </c>
      <c r="E195" s="6">
        <v>0</v>
      </c>
      <c r="F195" s="6" t="s">
        <v>12</v>
      </c>
      <c r="G195" s="191">
        <v>130001</v>
      </c>
      <c r="H195" s="164">
        <v>17318</v>
      </c>
      <c r="I195" s="164">
        <v>1313</v>
      </c>
      <c r="J195" s="61">
        <v>15513</v>
      </c>
      <c r="K195" s="61">
        <v>1</v>
      </c>
    </row>
    <row r="196" spans="1:11" ht="16.5">
      <c r="A196" s="61">
        <v>130049</v>
      </c>
      <c r="B196" s="61" t="s">
        <v>715</v>
      </c>
      <c r="C196" s="6">
        <v>0</v>
      </c>
      <c r="D196" s="6" t="s">
        <v>11</v>
      </c>
      <c r="E196" s="6">
        <v>0</v>
      </c>
      <c r="F196" s="6" t="s">
        <v>12</v>
      </c>
      <c r="G196" s="191">
        <v>130001</v>
      </c>
      <c r="H196" s="164">
        <v>17318</v>
      </c>
      <c r="I196" s="164">
        <v>1313</v>
      </c>
      <c r="J196" s="61">
        <v>15513</v>
      </c>
      <c r="K196" s="61">
        <v>1</v>
      </c>
    </row>
    <row r="197" spans="1:11" ht="16.5">
      <c r="A197" s="61">
        <v>130050</v>
      </c>
      <c r="B197" s="61" t="s">
        <v>715</v>
      </c>
      <c r="C197" s="6">
        <v>0</v>
      </c>
      <c r="D197" s="6" t="s">
        <v>11</v>
      </c>
      <c r="E197" s="6">
        <v>0</v>
      </c>
      <c r="F197" s="6" t="s">
        <v>12</v>
      </c>
      <c r="G197" s="191">
        <v>130001</v>
      </c>
      <c r="H197" s="164">
        <v>17318</v>
      </c>
      <c r="I197" s="164">
        <v>1313</v>
      </c>
      <c r="J197" s="61">
        <v>15513</v>
      </c>
      <c r="K197" s="61">
        <v>1</v>
      </c>
    </row>
    <row r="198" spans="1:11" ht="16.5">
      <c r="A198" s="61">
        <v>130051</v>
      </c>
      <c r="B198" s="61" t="s">
        <v>715</v>
      </c>
      <c r="C198" s="6">
        <v>0</v>
      </c>
      <c r="D198" s="6" t="s">
        <v>11</v>
      </c>
      <c r="E198" s="6">
        <v>0</v>
      </c>
      <c r="F198" s="6" t="s">
        <v>12</v>
      </c>
      <c r="G198" s="191">
        <v>130001</v>
      </c>
      <c r="H198" s="164">
        <v>17318</v>
      </c>
      <c r="I198" s="164">
        <v>1313</v>
      </c>
      <c r="J198" s="61">
        <v>15513</v>
      </c>
      <c r="K198" s="61">
        <v>1</v>
      </c>
    </row>
    <row r="199" spans="1:11" ht="16.5">
      <c r="A199" s="61">
        <v>130052</v>
      </c>
      <c r="B199" s="61" t="s">
        <v>715</v>
      </c>
      <c r="C199" s="6">
        <v>0</v>
      </c>
      <c r="D199" s="6" t="s">
        <v>11</v>
      </c>
      <c r="E199" s="6">
        <v>0</v>
      </c>
      <c r="F199" s="6" t="s">
        <v>12</v>
      </c>
      <c r="G199" s="191">
        <v>130001</v>
      </c>
      <c r="H199" s="164">
        <v>17318</v>
      </c>
      <c r="I199" s="164">
        <v>1313</v>
      </c>
      <c r="J199" s="61">
        <v>15513</v>
      </c>
      <c r="K199" s="61">
        <v>1</v>
      </c>
    </row>
    <row r="200" spans="1:11" ht="16.5">
      <c r="A200" s="61">
        <v>130053</v>
      </c>
      <c r="B200" s="61" t="s">
        <v>715</v>
      </c>
      <c r="C200" s="6">
        <v>0</v>
      </c>
      <c r="D200" s="6" t="s">
        <v>11</v>
      </c>
      <c r="E200" s="6">
        <v>0</v>
      </c>
      <c r="F200" s="6" t="s">
        <v>12</v>
      </c>
      <c r="G200" s="191">
        <v>130001</v>
      </c>
      <c r="H200" s="164">
        <v>17318</v>
      </c>
      <c r="I200" s="164">
        <v>1313</v>
      </c>
      <c r="J200" s="61">
        <v>15513</v>
      </c>
      <c r="K200" s="61">
        <v>1</v>
      </c>
    </row>
    <row r="201" spans="1:11" ht="16.5">
      <c r="A201" s="61">
        <v>130054</v>
      </c>
      <c r="B201" s="61" t="s">
        <v>715</v>
      </c>
      <c r="C201" s="6">
        <v>0</v>
      </c>
      <c r="D201" s="6" t="s">
        <v>11</v>
      </c>
      <c r="E201" s="6">
        <v>0</v>
      </c>
      <c r="F201" s="6" t="s">
        <v>12</v>
      </c>
      <c r="G201" s="191">
        <v>130001</v>
      </c>
      <c r="H201" s="164">
        <v>17318</v>
      </c>
      <c r="I201" s="164">
        <v>1313</v>
      </c>
      <c r="J201" s="61">
        <v>15513</v>
      </c>
      <c r="K201" s="61">
        <v>1</v>
      </c>
    </row>
    <row r="202" spans="1:11" ht="16.5">
      <c r="A202" s="61">
        <v>130055</v>
      </c>
      <c r="B202" s="61" t="s">
        <v>715</v>
      </c>
      <c r="C202" s="6">
        <v>0</v>
      </c>
      <c r="D202" s="6" t="s">
        <v>11</v>
      </c>
      <c r="E202" s="6">
        <v>0</v>
      </c>
      <c r="F202" s="6" t="s">
        <v>12</v>
      </c>
      <c r="G202" s="191">
        <v>130001</v>
      </c>
      <c r="H202" s="164">
        <v>17318</v>
      </c>
      <c r="I202" s="164">
        <v>1313</v>
      </c>
      <c r="J202" s="61">
        <v>15513</v>
      </c>
      <c r="K202" s="61">
        <v>1</v>
      </c>
    </row>
    <row r="203" spans="1:11" ht="16.5">
      <c r="A203" s="61">
        <v>130056</v>
      </c>
      <c r="B203" s="61" t="s">
        <v>715</v>
      </c>
      <c r="C203" s="6">
        <v>0</v>
      </c>
      <c r="D203" s="6" t="s">
        <v>11</v>
      </c>
      <c r="E203" s="6">
        <v>0</v>
      </c>
      <c r="F203" s="6" t="s">
        <v>12</v>
      </c>
      <c r="G203" s="191">
        <v>130001</v>
      </c>
      <c r="H203" s="164">
        <v>17318</v>
      </c>
      <c r="I203" s="164">
        <v>1313</v>
      </c>
      <c r="J203" s="61">
        <v>15513</v>
      </c>
      <c r="K203" s="61">
        <v>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O81"/>
  <sheetViews>
    <sheetView workbookViewId="0">
      <pane ySplit="1" topLeftCell="A2" activePane="bottomLeft" state="frozen"/>
      <selection pane="bottomLeft" activeCell="C20" sqref="C20"/>
    </sheetView>
  </sheetViews>
  <sheetFormatPr defaultColWidth="9" defaultRowHeight="15"/>
  <cols>
    <col min="1" max="1" width="7.42578125" customWidth="1"/>
    <col min="2" max="2" width="55.5703125" customWidth="1"/>
    <col min="3" max="3" width="14.140625" customWidth="1"/>
    <col min="4" max="4" width="9" bestFit="1" customWidth="1"/>
    <col min="6" max="6" width="8.85546875" customWidth="1"/>
    <col min="8" max="8" width="5.28515625" customWidth="1"/>
    <col min="9" max="9" width="12.85546875" customWidth="1"/>
    <col min="10" max="11" width="13" customWidth="1"/>
    <col min="12" max="14" width="11.5703125" customWidth="1"/>
    <col min="15" max="15" width="53.7109375" customWidth="1"/>
  </cols>
  <sheetData>
    <row r="1" spans="1:15">
      <c r="A1" s="8" t="s">
        <v>0</v>
      </c>
      <c r="B1" s="8" t="s">
        <v>13</v>
      </c>
      <c r="C1" s="8" t="s">
        <v>14</v>
      </c>
      <c r="D1" s="8" t="s">
        <v>15</v>
      </c>
      <c r="E1" s="8" t="s">
        <v>16</v>
      </c>
      <c r="F1" s="8" t="s">
        <v>17</v>
      </c>
      <c r="G1" s="8" t="s">
        <v>6</v>
      </c>
      <c r="H1" t="s">
        <v>18</v>
      </c>
      <c r="I1" s="48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</row>
    <row r="2" spans="1:15" ht="16.5">
      <c r="A2" s="8">
        <v>10001</v>
      </c>
      <c r="B2" s="166" t="s">
        <v>26</v>
      </c>
      <c r="C2" s="166"/>
      <c r="D2" s="8">
        <v>15000</v>
      </c>
      <c r="E2" s="8">
        <v>1</v>
      </c>
      <c r="F2" s="1">
        <v>49001</v>
      </c>
      <c r="G2" s="8">
        <v>1</v>
      </c>
      <c r="H2">
        <v>1</v>
      </c>
      <c r="O2" s="174" t="s">
        <v>27</v>
      </c>
    </row>
    <row r="3" spans="1:15" ht="16.5">
      <c r="A3" s="8">
        <v>10002</v>
      </c>
      <c r="B3" s="166" t="s">
        <v>28</v>
      </c>
      <c r="C3" s="166"/>
      <c r="D3" s="8">
        <v>40000</v>
      </c>
      <c r="E3" s="8">
        <v>1</v>
      </c>
      <c r="F3" s="1">
        <v>49002</v>
      </c>
      <c r="G3" s="8">
        <v>1</v>
      </c>
      <c r="H3">
        <v>2</v>
      </c>
      <c r="O3" s="174" t="s">
        <v>29</v>
      </c>
    </row>
    <row r="4" spans="1:15" ht="16.5">
      <c r="A4" s="8">
        <v>10003</v>
      </c>
      <c r="B4" s="166" t="s">
        <v>30</v>
      </c>
      <c r="C4" s="166"/>
      <c r="D4" s="8">
        <v>60000</v>
      </c>
      <c r="E4" s="8">
        <v>1</v>
      </c>
      <c r="F4" s="1">
        <v>49003</v>
      </c>
      <c r="G4" s="8">
        <v>1</v>
      </c>
      <c r="H4">
        <v>3</v>
      </c>
      <c r="O4" s="174" t="s">
        <v>31</v>
      </c>
    </row>
    <row r="5" spans="1:15" ht="16.5">
      <c r="A5" s="8">
        <v>10004</v>
      </c>
      <c r="B5" s="166" t="s">
        <v>32</v>
      </c>
      <c r="C5" s="166"/>
      <c r="D5" s="8">
        <v>100000</v>
      </c>
      <c r="E5" s="8">
        <v>1</v>
      </c>
      <c r="F5" s="1">
        <v>49004</v>
      </c>
      <c r="G5" s="8">
        <v>1</v>
      </c>
      <c r="H5">
        <v>4</v>
      </c>
      <c r="O5" s="174" t="s">
        <v>33</v>
      </c>
    </row>
    <row r="6" spans="1:15" ht="16.5">
      <c r="A6" s="8">
        <v>10005</v>
      </c>
      <c r="B6" s="166" t="s">
        <v>34</v>
      </c>
      <c r="C6" s="166"/>
      <c r="D6" s="8">
        <v>150000</v>
      </c>
      <c r="E6" s="8">
        <v>1</v>
      </c>
      <c r="F6" s="1">
        <v>49005</v>
      </c>
      <c r="G6" s="8">
        <v>1</v>
      </c>
      <c r="H6">
        <v>5</v>
      </c>
      <c r="O6" s="174" t="s">
        <v>35</v>
      </c>
    </row>
    <row r="7" spans="1:15" ht="16.5">
      <c r="A7" s="8">
        <v>10007</v>
      </c>
      <c r="B7" s="166" t="s">
        <v>36</v>
      </c>
      <c r="C7" s="166"/>
      <c r="D7" s="8">
        <v>300000</v>
      </c>
      <c r="E7" s="8">
        <v>1</v>
      </c>
      <c r="F7" s="1">
        <v>49007</v>
      </c>
      <c r="G7" s="8">
        <v>1</v>
      </c>
      <c r="H7" s="8">
        <v>7</v>
      </c>
      <c r="I7" s="8"/>
      <c r="O7" s="174" t="s">
        <v>37</v>
      </c>
    </row>
    <row r="8" spans="1:15" ht="16.5">
      <c r="A8" s="167">
        <v>11001</v>
      </c>
      <c r="B8" s="168" t="s">
        <v>38</v>
      </c>
      <c r="C8" s="168"/>
      <c r="D8" s="167">
        <v>3000</v>
      </c>
      <c r="E8" s="167">
        <v>1</v>
      </c>
      <c r="F8" s="167">
        <v>55001</v>
      </c>
      <c r="G8" s="167">
        <v>2</v>
      </c>
      <c r="H8" s="16">
        <v>1</v>
      </c>
      <c r="I8" s="16"/>
    </row>
    <row r="9" spans="1:15" ht="16.5">
      <c r="A9" s="167">
        <v>11002</v>
      </c>
      <c r="B9" s="168" t="s">
        <v>39</v>
      </c>
      <c r="C9" s="168"/>
      <c r="D9" s="167">
        <v>25000</v>
      </c>
      <c r="E9" s="167">
        <v>1</v>
      </c>
      <c r="F9" s="167">
        <v>55002</v>
      </c>
      <c r="G9" s="167">
        <v>2</v>
      </c>
      <c r="H9" s="16">
        <v>2</v>
      </c>
      <c r="I9" s="16"/>
    </row>
    <row r="10" spans="1:15" ht="16.5">
      <c r="A10" s="167">
        <v>11003</v>
      </c>
      <c r="B10" s="168" t="s">
        <v>40</v>
      </c>
      <c r="C10" s="168"/>
      <c r="D10" s="167">
        <v>60000</v>
      </c>
      <c r="E10" s="167">
        <v>3</v>
      </c>
      <c r="F10" s="167">
        <v>55003</v>
      </c>
      <c r="G10" s="167">
        <v>2</v>
      </c>
      <c r="H10" s="16">
        <v>3</v>
      </c>
      <c r="I10" s="16"/>
    </row>
    <row r="11" spans="1:15" ht="16.5">
      <c r="A11" s="167">
        <v>11004</v>
      </c>
      <c r="B11" s="168" t="s">
        <v>41</v>
      </c>
      <c r="C11" s="168"/>
      <c r="D11" s="167">
        <v>100000</v>
      </c>
      <c r="E11" s="167">
        <v>3</v>
      </c>
      <c r="F11" s="167">
        <v>55004</v>
      </c>
      <c r="G11" s="167">
        <v>2</v>
      </c>
      <c r="H11" s="16">
        <v>4</v>
      </c>
      <c r="I11" s="16"/>
    </row>
    <row r="12" spans="1:15" ht="16.5">
      <c r="A12" s="167">
        <v>11005</v>
      </c>
      <c r="B12" s="168" t="s">
        <v>42</v>
      </c>
      <c r="C12" s="168"/>
      <c r="D12" s="167">
        <v>150000</v>
      </c>
      <c r="E12" s="167">
        <v>3</v>
      </c>
      <c r="F12" s="167">
        <v>55005</v>
      </c>
      <c r="G12" s="167">
        <v>2</v>
      </c>
      <c r="H12" s="16">
        <v>5</v>
      </c>
      <c r="I12" s="16"/>
    </row>
    <row r="13" spans="1:15" ht="16.5">
      <c r="A13" s="167">
        <v>11007</v>
      </c>
      <c r="B13" s="168" t="s">
        <v>43</v>
      </c>
      <c r="C13" s="168"/>
      <c r="D13" s="167">
        <v>300000</v>
      </c>
      <c r="E13" s="167">
        <v>3</v>
      </c>
      <c r="F13" s="167">
        <v>55007</v>
      </c>
      <c r="G13" s="167">
        <v>2</v>
      </c>
      <c r="H13" s="136">
        <v>7</v>
      </c>
      <c r="I13" s="136"/>
    </row>
    <row r="14" spans="1:15" ht="16.5">
      <c r="A14" s="71">
        <v>20001</v>
      </c>
      <c r="B14" s="70" t="s">
        <v>44</v>
      </c>
      <c r="C14" s="70">
        <v>700002</v>
      </c>
      <c r="D14" s="13">
        <v>150000</v>
      </c>
      <c r="E14" s="13">
        <v>1</v>
      </c>
      <c r="F14" s="13">
        <v>57001</v>
      </c>
      <c r="G14" s="13">
        <v>20001</v>
      </c>
      <c r="H14" s="169">
        <v>4</v>
      </c>
      <c r="I14" s="169"/>
    </row>
    <row r="15" spans="1:15" ht="16.5">
      <c r="A15" s="71">
        <v>20002</v>
      </c>
      <c r="B15" s="70" t="s">
        <v>45</v>
      </c>
      <c r="C15" s="70">
        <v>700004</v>
      </c>
      <c r="D15" s="13">
        <v>150000</v>
      </c>
      <c r="E15" s="13">
        <v>1</v>
      </c>
      <c r="F15" s="13">
        <v>57002</v>
      </c>
      <c r="G15" s="13">
        <v>20001</v>
      </c>
      <c r="H15" s="169">
        <v>5</v>
      </c>
      <c r="I15" s="169"/>
    </row>
    <row r="16" spans="1:15" ht="16.5">
      <c r="A16" s="71">
        <v>20003</v>
      </c>
      <c r="B16" s="70" t="s">
        <v>46</v>
      </c>
      <c r="C16" s="70">
        <v>700005</v>
      </c>
      <c r="D16" s="13">
        <v>150000</v>
      </c>
      <c r="E16" s="13">
        <v>1</v>
      </c>
      <c r="F16" s="13">
        <v>57003</v>
      </c>
      <c r="G16" s="13">
        <v>20001</v>
      </c>
      <c r="H16" s="169">
        <v>1</v>
      </c>
      <c r="I16" s="169"/>
    </row>
    <row r="17" spans="1:14" ht="16.5">
      <c r="A17" s="71">
        <v>20004</v>
      </c>
      <c r="B17" s="70" t="s">
        <v>47</v>
      </c>
      <c r="C17" s="70">
        <v>700006</v>
      </c>
      <c r="D17" s="13">
        <v>150000</v>
      </c>
      <c r="E17" s="13">
        <v>1</v>
      </c>
      <c r="F17" s="13">
        <v>57004</v>
      </c>
      <c r="G17" s="13">
        <v>20001</v>
      </c>
      <c r="H17" s="169">
        <v>2</v>
      </c>
      <c r="I17" s="169"/>
    </row>
    <row r="18" spans="1:14" ht="16.5">
      <c r="A18" s="71">
        <v>20005</v>
      </c>
      <c r="B18" s="70" t="s">
        <v>48</v>
      </c>
      <c r="C18" s="70">
        <v>700007</v>
      </c>
      <c r="D18" s="13">
        <v>150000</v>
      </c>
      <c r="E18" s="13">
        <v>1</v>
      </c>
      <c r="F18" s="13">
        <v>57005</v>
      </c>
      <c r="G18" s="13">
        <v>20001</v>
      </c>
      <c r="H18" s="169">
        <v>3</v>
      </c>
      <c r="I18" s="169"/>
    </row>
    <row r="19" spans="1:14" ht="16.5">
      <c r="A19" s="71">
        <v>20006</v>
      </c>
      <c r="B19" s="70" t="s">
        <v>49</v>
      </c>
      <c r="C19" s="70">
        <v>700008</v>
      </c>
      <c r="D19" s="13">
        <v>150000</v>
      </c>
      <c r="E19" s="13">
        <v>1</v>
      </c>
      <c r="F19" s="13">
        <v>57006</v>
      </c>
      <c r="G19" s="13">
        <v>20001</v>
      </c>
      <c r="H19" s="169">
        <v>6</v>
      </c>
      <c r="I19" s="169"/>
    </row>
    <row r="20" spans="1:14" ht="16.5">
      <c r="A20" s="71">
        <v>20007</v>
      </c>
      <c r="B20" s="70" t="s">
        <v>50</v>
      </c>
      <c r="C20" s="70">
        <v>700009</v>
      </c>
      <c r="D20" s="13">
        <v>150000</v>
      </c>
      <c r="E20" s="13">
        <v>1</v>
      </c>
      <c r="F20" s="13">
        <v>57007</v>
      </c>
      <c r="G20" s="13">
        <v>20001</v>
      </c>
      <c r="H20" s="169">
        <v>7</v>
      </c>
      <c r="I20" s="169"/>
    </row>
    <row r="21" spans="1:14" ht="16.5">
      <c r="A21" s="71">
        <v>20008</v>
      </c>
      <c r="B21" s="70" t="s">
        <v>51</v>
      </c>
      <c r="C21" s="70">
        <v>700010</v>
      </c>
      <c r="D21" s="13">
        <v>150000</v>
      </c>
      <c r="E21" s="13">
        <v>1</v>
      </c>
      <c r="F21" s="13">
        <v>57008</v>
      </c>
      <c r="G21" s="13">
        <v>20001</v>
      </c>
      <c r="H21" s="169">
        <v>8</v>
      </c>
      <c r="I21" s="169"/>
    </row>
    <row r="22" spans="1:14" ht="16.5">
      <c r="A22" s="71">
        <v>20009</v>
      </c>
      <c r="B22" s="70" t="s">
        <v>52</v>
      </c>
      <c r="C22" s="70">
        <v>700011</v>
      </c>
      <c r="D22" s="13">
        <v>150000</v>
      </c>
      <c r="E22" s="13">
        <v>1</v>
      </c>
      <c r="F22" s="13">
        <v>57009</v>
      </c>
      <c r="G22" s="13">
        <v>20001</v>
      </c>
      <c r="H22" s="169">
        <v>9</v>
      </c>
      <c r="I22" s="169"/>
    </row>
    <row r="23" spans="1:14" ht="16.5">
      <c r="A23" s="71">
        <v>20010</v>
      </c>
      <c r="B23" s="70" t="s">
        <v>53</v>
      </c>
      <c r="C23" s="70">
        <v>700012</v>
      </c>
      <c r="D23" s="13">
        <v>150000</v>
      </c>
      <c r="E23" s="13">
        <v>1</v>
      </c>
      <c r="F23" s="13">
        <v>57010</v>
      </c>
      <c r="G23" s="13">
        <v>20001</v>
      </c>
      <c r="H23" s="169">
        <v>10</v>
      </c>
      <c r="I23" s="169"/>
    </row>
    <row r="24" spans="1:14" ht="16.5">
      <c r="A24" s="71">
        <v>20011</v>
      </c>
      <c r="B24" s="70" t="s">
        <v>54</v>
      </c>
      <c r="C24" s="70">
        <v>700013</v>
      </c>
      <c r="D24" s="13">
        <v>150000</v>
      </c>
      <c r="E24" s="13">
        <v>1</v>
      </c>
      <c r="F24" s="13">
        <v>57011</v>
      </c>
      <c r="G24" s="13">
        <v>20001</v>
      </c>
      <c r="H24" s="169">
        <v>11</v>
      </c>
      <c r="I24" s="169"/>
    </row>
    <row r="25" spans="1:14" ht="16.5">
      <c r="A25" s="71">
        <v>20012</v>
      </c>
      <c r="B25" s="70" t="s">
        <v>55</v>
      </c>
      <c r="C25" s="70">
        <v>700014</v>
      </c>
      <c r="D25" s="13">
        <v>150000</v>
      </c>
      <c r="E25" s="13">
        <v>1</v>
      </c>
      <c r="F25" s="13">
        <v>57012</v>
      </c>
      <c r="G25" s="13">
        <v>20001</v>
      </c>
      <c r="H25" s="169">
        <v>12</v>
      </c>
      <c r="I25" s="169"/>
    </row>
    <row r="26" spans="1:14" ht="16.5">
      <c r="A26" s="71">
        <v>20013</v>
      </c>
      <c r="B26" s="70" t="s">
        <v>56</v>
      </c>
      <c r="C26" s="70">
        <v>700015</v>
      </c>
      <c r="D26" s="13">
        <v>150000</v>
      </c>
      <c r="E26" s="13">
        <v>1</v>
      </c>
      <c r="F26" s="13">
        <v>57013</v>
      </c>
      <c r="G26" s="13">
        <v>20001</v>
      </c>
      <c r="H26" s="169">
        <v>13</v>
      </c>
      <c r="I26" s="169"/>
    </row>
    <row r="27" spans="1:14" ht="16.5">
      <c r="A27" s="71">
        <v>20014</v>
      </c>
      <c r="B27" s="70" t="s">
        <v>57</v>
      </c>
      <c r="C27" s="70">
        <v>700016</v>
      </c>
      <c r="D27" s="13">
        <v>150000</v>
      </c>
      <c r="E27" s="13">
        <v>1</v>
      </c>
      <c r="F27" s="13">
        <v>57014</v>
      </c>
      <c r="G27" s="13">
        <v>20001</v>
      </c>
      <c r="H27" s="169">
        <v>14</v>
      </c>
      <c r="I27" s="169"/>
    </row>
    <row r="28" spans="1:14" ht="16.5">
      <c r="A28" s="71">
        <v>20015</v>
      </c>
      <c r="B28" s="70" t="s">
        <v>58</v>
      </c>
      <c r="C28" s="70">
        <v>700017</v>
      </c>
      <c r="D28" s="13">
        <v>150000</v>
      </c>
      <c r="E28" s="13">
        <v>1</v>
      </c>
      <c r="F28" s="13">
        <v>57015</v>
      </c>
      <c r="G28" s="13">
        <v>20001</v>
      </c>
      <c r="H28" s="169">
        <v>15</v>
      </c>
      <c r="I28" s="169"/>
    </row>
    <row r="29" spans="1:14" ht="16.5">
      <c r="A29" s="71">
        <v>20016</v>
      </c>
      <c r="B29" s="70" t="s">
        <v>59</v>
      </c>
      <c r="C29" s="70">
        <v>700018</v>
      </c>
      <c r="D29" s="13">
        <v>150000</v>
      </c>
      <c r="E29" s="13">
        <v>1</v>
      </c>
      <c r="F29" s="13">
        <v>57016</v>
      </c>
      <c r="G29" s="13">
        <v>20001</v>
      </c>
      <c r="H29" s="169">
        <v>16</v>
      </c>
      <c r="I29" s="169"/>
    </row>
    <row r="30" spans="1:14" ht="16.5">
      <c r="A30" s="71">
        <v>20017</v>
      </c>
      <c r="B30" s="70" t="s">
        <v>60</v>
      </c>
      <c r="C30" s="70">
        <v>700019</v>
      </c>
      <c r="D30" s="13">
        <v>150000</v>
      </c>
      <c r="E30" s="13">
        <v>1</v>
      </c>
      <c r="F30" s="13">
        <v>57017</v>
      </c>
      <c r="G30" s="13">
        <v>20001</v>
      </c>
      <c r="H30" s="169">
        <v>17</v>
      </c>
      <c r="I30" s="169"/>
    </row>
    <row r="31" spans="1:14" ht="16.5">
      <c r="A31" s="170">
        <v>40001</v>
      </c>
      <c r="B31" s="171" t="s">
        <v>61</v>
      </c>
      <c r="C31" s="9"/>
      <c r="D31" s="9">
        <v>3000</v>
      </c>
      <c r="E31" s="9">
        <v>1</v>
      </c>
      <c r="F31" s="9">
        <v>59001</v>
      </c>
      <c r="G31" s="9">
        <v>40001</v>
      </c>
      <c r="H31" s="9">
        <v>1</v>
      </c>
      <c r="I31" s="9"/>
      <c r="N31">
        <v>20</v>
      </c>
    </row>
    <row r="32" spans="1:14" ht="16.5">
      <c r="A32" s="170">
        <v>40002</v>
      </c>
      <c r="B32" s="171" t="s">
        <v>62</v>
      </c>
      <c r="C32" s="9"/>
      <c r="D32" s="9">
        <v>15000</v>
      </c>
      <c r="E32" s="9">
        <v>3</v>
      </c>
      <c r="F32" s="9">
        <v>59002</v>
      </c>
      <c r="G32" s="9">
        <v>40001</v>
      </c>
      <c r="H32" s="9">
        <v>2</v>
      </c>
      <c r="I32" s="9"/>
    </row>
    <row r="33" spans="1:9" ht="16.5">
      <c r="A33" s="170">
        <v>40003</v>
      </c>
      <c r="B33" s="171" t="s">
        <v>63</v>
      </c>
      <c r="C33" s="9"/>
      <c r="D33" s="9">
        <v>60000</v>
      </c>
      <c r="E33" s="9">
        <v>3</v>
      </c>
      <c r="F33" s="9">
        <v>59003</v>
      </c>
      <c r="G33" s="9">
        <v>40001</v>
      </c>
      <c r="H33" s="9">
        <v>4</v>
      </c>
      <c r="I33" s="9"/>
    </row>
    <row r="34" spans="1:9" ht="16.5">
      <c r="A34" s="170">
        <v>40004</v>
      </c>
      <c r="B34" s="171" t="s">
        <v>64</v>
      </c>
      <c r="C34" s="9"/>
      <c r="D34" s="9">
        <v>150000</v>
      </c>
      <c r="E34" s="9">
        <v>3</v>
      </c>
      <c r="F34" s="9">
        <v>59004</v>
      </c>
      <c r="G34" s="9">
        <v>40001</v>
      </c>
      <c r="H34" s="9">
        <v>5</v>
      </c>
      <c r="I34" s="9"/>
    </row>
    <row r="35" spans="1:9" ht="16.5">
      <c r="A35" s="170">
        <v>40005</v>
      </c>
      <c r="B35" s="171" t="s">
        <v>65</v>
      </c>
      <c r="C35" s="9"/>
      <c r="D35" s="9">
        <v>300000</v>
      </c>
      <c r="E35" s="9">
        <v>3</v>
      </c>
      <c r="F35" s="9">
        <v>59005</v>
      </c>
      <c r="G35" s="9">
        <v>40001</v>
      </c>
      <c r="H35" s="9">
        <v>6</v>
      </c>
      <c r="I35" s="9"/>
    </row>
    <row r="36" spans="1:9" ht="16.5">
      <c r="A36" s="167">
        <v>50001</v>
      </c>
      <c r="B36" s="172" t="s">
        <v>66</v>
      </c>
      <c r="C36" s="16"/>
      <c r="D36" s="16">
        <v>3000</v>
      </c>
      <c r="E36" s="16">
        <v>1</v>
      </c>
      <c r="F36" s="16">
        <v>60001</v>
      </c>
      <c r="G36" s="16">
        <v>50001</v>
      </c>
      <c r="H36" s="16">
        <v>1</v>
      </c>
      <c r="I36" s="16"/>
    </row>
    <row r="37" spans="1:9" ht="16.5">
      <c r="A37" s="167">
        <v>50002</v>
      </c>
      <c r="B37" s="172" t="s">
        <v>67</v>
      </c>
      <c r="C37" s="16"/>
      <c r="D37" s="16">
        <v>15000</v>
      </c>
      <c r="E37" s="16">
        <v>3</v>
      </c>
      <c r="F37" s="16">
        <v>60002</v>
      </c>
      <c r="G37" s="16">
        <v>50001</v>
      </c>
      <c r="H37" s="16">
        <v>2</v>
      </c>
      <c r="I37" s="16"/>
    </row>
    <row r="38" spans="1:9" ht="16.5">
      <c r="A38" s="167">
        <v>50003</v>
      </c>
      <c r="B38" s="172" t="s">
        <v>68</v>
      </c>
      <c r="C38" s="16"/>
      <c r="D38" s="16">
        <v>60000</v>
      </c>
      <c r="E38" s="16">
        <v>3</v>
      </c>
      <c r="F38" s="16">
        <v>60003</v>
      </c>
      <c r="G38" s="16">
        <v>50001</v>
      </c>
      <c r="H38" s="16">
        <v>4</v>
      </c>
      <c r="I38" s="16"/>
    </row>
    <row r="39" spans="1:9" ht="16.5">
      <c r="A39" s="167">
        <v>50004</v>
      </c>
      <c r="B39" s="172" t="s">
        <v>69</v>
      </c>
      <c r="C39" s="16"/>
      <c r="D39" s="16">
        <v>150000</v>
      </c>
      <c r="E39" s="16">
        <v>3</v>
      </c>
      <c r="F39" s="16">
        <v>60004</v>
      </c>
      <c r="G39" s="16">
        <v>50001</v>
      </c>
      <c r="H39" s="16">
        <v>5</v>
      </c>
      <c r="I39" s="16"/>
    </row>
    <row r="40" spans="1:9" ht="16.5">
      <c r="A40" s="167">
        <v>50005</v>
      </c>
      <c r="B40" s="172" t="s">
        <v>70</v>
      </c>
      <c r="C40" s="16"/>
      <c r="D40" s="16">
        <v>300000</v>
      </c>
      <c r="E40" s="16">
        <v>3</v>
      </c>
      <c r="F40" s="16">
        <v>60005</v>
      </c>
      <c r="G40" s="16">
        <v>50001</v>
      </c>
      <c r="H40" s="16">
        <v>6</v>
      </c>
      <c r="I40" s="16"/>
    </row>
    <row r="41" spans="1:9" ht="16.5">
      <c r="A41" s="6">
        <v>60001</v>
      </c>
      <c r="B41" s="4" t="s">
        <v>71</v>
      </c>
      <c r="C41" s="2"/>
      <c r="D41" s="2">
        <v>3000</v>
      </c>
      <c r="E41" s="2">
        <v>1</v>
      </c>
      <c r="F41" s="2">
        <v>70001</v>
      </c>
      <c r="G41" s="2">
        <v>60001</v>
      </c>
      <c r="H41" s="2">
        <v>1</v>
      </c>
      <c r="I41" s="2"/>
    </row>
    <row r="42" spans="1:9" ht="16.5">
      <c r="A42" s="6">
        <v>60002</v>
      </c>
      <c r="B42" s="4" t="s">
        <v>72</v>
      </c>
      <c r="C42" s="2"/>
      <c r="D42" s="2">
        <v>15000</v>
      </c>
      <c r="E42" s="2">
        <v>3</v>
      </c>
      <c r="F42" s="2">
        <v>70002</v>
      </c>
      <c r="G42" s="2">
        <v>60001</v>
      </c>
      <c r="H42" s="2">
        <v>2</v>
      </c>
      <c r="I42" s="2"/>
    </row>
    <row r="43" spans="1:9" ht="16.5">
      <c r="A43" s="6">
        <v>60003</v>
      </c>
      <c r="B43" s="4" t="s">
        <v>73</v>
      </c>
      <c r="C43" s="2"/>
      <c r="D43" s="2">
        <v>60000</v>
      </c>
      <c r="E43" s="2">
        <v>3</v>
      </c>
      <c r="F43" s="2">
        <v>70003</v>
      </c>
      <c r="G43" s="2">
        <v>60001</v>
      </c>
      <c r="H43" s="2">
        <v>4</v>
      </c>
      <c r="I43" s="2"/>
    </row>
    <row r="44" spans="1:9" ht="16.5">
      <c r="A44" s="6">
        <v>60004</v>
      </c>
      <c r="B44" s="4" t="s">
        <v>74</v>
      </c>
      <c r="C44" s="2"/>
      <c r="D44" s="2">
        <v>150000</v>
      </c>
      <c r="E44" s="2">
        <v>3</v>
      </c>
      <c r="F44" s="2">
        <v>70004</v>
      </c>
      <c r="G44" s="2">
        <v>60001</v>
      </c>
      <c r="H44" s="2">
        <v>5</v>
      </c>
      <c r="I44" s="2"/>
    </row>
    <row r="45" spans="1:9" ht="16.5">
      <c r="A45" s="6">
        <v>60005</v>
      </c>
      <c r="B45" s="4" t="s">
        <v>75</v>
      </c>
      <c r="C45" s="2"/>
      <c r="D45" s="2">
        <v>300000</v>
      </c>
      <c r="E45" s="2">
        <v>-1</v>
      </c>
      <c r="F45" s="2">
        <v>70005</v>
      </c>
      <c r="G45" s="2">
        <v>60001</v>
      </c>
      <c r="H45" s="2">
        <v>6</v>
      </c>
      <c r="I45" s="2"/>
    </row>
    <row r="46" spans="1:9" ht="16.5">
      <c r="A46" s="57">
        <v>70001</v>
      </c>
      <c r="B46" s="56" t="s">
        <v>76</v>
      </c>
      <c r="C46" s="45"/>
      <c r="D46" s="45">
        <v>3000</v>
      </c>
      <c r="E46" s="45">
        <v>1</v>
      </c>
      <c r="F46" s="45">
        <v>80001</v>
      </c>
      <c r="G46" s="45">
        <v>70001</v>
      </c>
      <c r="H46" s="45">
        <v>1</v>
      </c>
      <c r="I46" s="45"/>
    </row>
    <row r="47" spans="1:9" ht="16.5">
      <c r="A47" s="57">
        <v>70002</v>
      </c>
      <c r="B47" s="56" t="s">
        <v>77</v>
      </c>
      <c r="C47" s="45"/>
      <c r="D47" s="45">
        <v>15000</v>
      </c>
      <c r="E47" s="45">
        <v>3</v>
      </c>
      <c r="F47" s="45">
        <v>80002</v>
      </c>
      <c r="G47" s="45">
        <v>70001</v>
      </c>
      <c r="H47" s="45">
        <v>2</v>
      </c>
      <c r="I47" s="45"/>
    </row>
    <row r="48" spans="1:9" ht="16.5">
      <c r="A48" s="57">
        <v>70003</v>
      </c>
      <c r="B48" s="56" t="s">
        <v>78</v>
      </c>
      <c r="C48" s="45"/>
      <c r="D48" s="45">
        <v>60000</v>
      </c>
      <c r="E48" s="45">
        <v>3</v>
      </c>
      <c r="F48" s="45">
        <v>80003</v>
      </c>
      <c r="G48" s="45">
        <v>70001</v>
      </c>
      <c r="H48" s="45">
        <v>4</v>
      </c>
      <c r="I48" s="45"/>
    </row>
    <row r="49" spans="1:14" ht="16.5">
      <c r="A49" s="57">
        <v>70004</v>
      </c>
      <c r="B49" s="56" t="s">
        <v>79</v>
      </c>
      <c r="C49" s="45"/>
      <c r="D49" s="45">
        <v>150000</v>
      </c>
      <c r="E49" s="45">
        <v>3</v>
      </c>
      <c r="F49" s="45">
        <v>80004</v>
      </c>
      <c r="G49" s="45">
        <v>70001</v>
      </c>
      <c r="H49" s="45">
        <v>5</v>
      </c>
      <c r="I49" s="45"/>
    </row>
    <row r="50" spans="1:14" ht="16.5">
      <c r="A50" s="57">
        <v>70005</v>
      </c>
      <c r="B50" s="56" t="s">
        <v>80</v>
      </c>
      <c r="C50" s="45"/>
      <c r="D50" s="45">
        <v>300000</v>
      </c>
      <c r="E50" s="45">
        <v>-1</v>
      </c>
      <c r="F50" s="45">
        <v>80005</v>
      </c>
      <c r="G50" s="45">
        <v>70001</v>
      </c>
      <c r="H50" s="45">
        <v>6</v>
      </c>
      <c r="I50" s="45"/>
    </row>
    <row r="51" spans="1:14" ht="16.5">
      <c r="A51" s="6">
        <v>80002</v>
      </c>
      <c r="B51" s="4" t="s">
        <v>81</v>
      </c>
      <c r="C51" s="2"/>
      <c r="D51" s="2">
        <v>15000</v>
      </c>
      <c r="E51" s="2">
        <v>1</v>
      </c>
      <c r="F51" s="2">
        <v>90002</v>
      </c>
      <c r="G51" s="2">
        <v>80001</v>
      </c>
      <c r="H51" s="2">
        <v>2</v>
      </c>
      <c r="I51" s="2"/>
    </row>
    <row r="52" spans="1:14" ht="16.5">
      <c r="A52" s="6">
        <v>80003</v>
      </c>
      <c r="B52" s="4" t="s">
        <v>82</v>
      </c>
      <c r="C52" s="2"/>
      <c r="D52" s="2">
        <v>60000</v>
      </c>
      <c r="E52" s="2">
        <v>3</v>
      </c>
      <c r="F52" s="2">
        <v>90003</v>
      </c>
      <c r="G52" s="2">
        <v>80001</v>
      </c>
      <c r="H52" s="2">
        <v>4</v>
      </c>
      <c r="I52" s="2"/>
    </row>
    <row r="53" spans="1:14" ht="16.5">
      <c r="A53" s="6">
        <v>80004</v>
      </c>
      <c r="B53" s="4" t="s">
        <v>83</v>
      </c>
      <c r="C53" s="2"/>
      <c r="D53" s="2">
        <v>150000</v>
      </c>
      <c r="E53" s="2">
        <v>3</v>
      </c>
      <c r="F53" s="2">
        <v>90004</v>
      </c>
      <c r="G53" s="2">
        <v>80001</v>
      </c>
      <c r="H53" s="2">
        <v>5</v>
      </c>
      <c r="I53" s="2"/>
    </row>
    <row r="54" spans="1:14" ht="16.5">
      <c r="A54" s="6">
        <v>80005</v>
      </c>
      <c r="B54" s="4" t="s">
        <v>84</v>
      </c>
      <c r="C54" s="2"/>
      <c r="D54" s="2">
        <v>300000</v>
      </c>
      <c r="E54" s="2">
        <v>3</v>
      </c>
      <c r="F54" s="2">
        <v>90005</v>
      </c>
      <c r="G54" s="2">
        <v>80001</v>
      </c>
      <c r="H54" s="2">
        <v>6</v>
      </c>
      <c r="I54" s="2"/>
    </row>
    <row r="55" spans="1:14" ht="16.5">
      <c r="A55" s="167">
        <v>90001</v>
      </c>
      <c r="B55" s="172" t="s">
        <v>85</v>
      </c>
      <c r="C55" s="16"/>
      <c r="D55" s="16">
        <v>500</v>
      </c>
      <c r="E55" s="16">
        <v>1</v>
      </c>
      <c r="F55" s="16">
        <v>91001</v>
      </c>
      <c r="G55" s="16">
        <v>90001</v>
      </c>
      <c r="H55" s="16">
        <v>1</v>
      </c>
      <c r="I55" s="16"/>
      <c r="N55">
        <v>15</v>
      </c>
    </row>
    <row r="56" spans="1:14" ht="16.5">
      <c r="A56" s="167">
        <v>90002</v>
      </c>
      <c r="B56" s="172" t="s">
        <v>86</v>
      </c>
      <c r="C56" s="16"/>
      <c r="D56" s="16">
        <v>3000</v>
      </c>
      <c r="E56" s="16">
        <v>1</v>
      </c>
      <c r="F56" s="16">
        <v>91002</v>
      </c>
      <c r="G56" s="16">
        <v>90001</v>
      </c>
      <c r="H56" s="16">
        <v>2</v>
      </c>
      <c r="I56" s="16"/>
      <c r="N56">
        <v>20</v>
      </c>
    </row>
    <row r="57" spans="1:14" ht="16.5">
      <c r="A57" s="167">
        <v>90003</v>
      </c>
      <c r="B57" s="172" t="s">
        <v>87</v>
      </c>
      <c r="C57" s="16"/>
      <c r="D57" s="16">
        <v>6000</v>
      </c>
      <c r="E57" s="16">
        <v>1</v>
      </c>
      <c r="F57" s="16">
        <v>91003</v>
      </c>
      <c r="G57" s="16">
        <v>90001</v>
      </c>
      <c r="H57" s="16">
        <v>3</v>
      </c>
      <c r="I57" s="16"/>
      <c r="N57">
        <v>30</v>
      </c>
    </row>
    <row r="58" spans="1:14" ht="16.5">
      <c r="A58" s="167">
        <v>90004</v>
      </c>
      <c r="B58" s="172" t="s">
        <v>88</v>
      </c>
      <c r="C58" s="16"/>
      <c r="D58" s="16">
        <v>15000</v>
      </c>
      <c r="E58" s="16">
        <v>1</v>
      </c>
      <c r="F58" s="16">
        <v>91004</v>
      </c>
      <c r="G58" s="16">
        <v>90001</v>
      </c>
      <c r="H58" s="16">
        <v>4</v>
      </c>
      <c r="I58" s="16"/>
      <c r="N58">
        <v>40</v>
      </c>
    </row>
    <row r="59" spans="1:14" ht="16.5">
      <c r="A59" s="167">
        <v>90005</v>
      </c>
      <c r="B59" s="172" t="s">
        <v>89</v>
      </c>
      <c r="C59" s="16"/>
      <c r="D59" s="16">
        <v>50000</v>
      </c>
      <c r="E59" s="16">
        <v>1</v>
      </c>
      <c r="F59" s="16">
        <v>91005</v>
      </c>
      <c r="G59" s="16">
        <v>90001</v>
      </c>
      <c r="H59" s="16">
        <v>5</v>
      </c>
      <c r="I59" s="16"/>
      <c r="N59">
        <v>50</v>
      </c>
    </row>
    <row r="60" spans="1:14" ht="16.5">
      <c r="A60" s="71">
        <v>100007</v>
      </c>
      <c r="B60" s="70" t="s">
        <v>90</v>
      </c>
      <c r="C60" s="13"/>
      <c r="D60" s="13"/>
      <c r="E60" s="13">
        <v>2</v>
      </c>
      <c r="F60" s="13"/>
      <c r="G60" s="13">
        <v>100001</v>
      </c>
      <c r="H60" s="13">
        <v>1</v>
      </c>
      <c r="I60" s="13">
        <v>500</v>
      </c>
    </row>
    <row r="61" spans="1:14" ht="16.5">
      <c r="A61" s="71">
        <v>100001</v>
      </c>
      <c r="B61" s="70" t="s">
        <v>91</v>
      </c>
      <c r="C61" s="13"/>
      <c r="D61" s="84">
        <v>15000</v>
      </c>
      <c r="E61" s="84">
        <v>1</v>
      </c>
      <c r="F61" s="173">
        <v>225001</v>
      </c>
      <c r="G61" s="13">
        <v>100001</v>
      </c>
      <c r="H61" s="13">
        <v>2</v>
      </c>
      <c r="I61" s="13"/>
    </row>
    <row r="62" spans="1:14" ht="16.5">
      <c r="A62" s="71">
        <v>100002</v>
      </c>
      <c r="B62" s="70" t="s">
        <v>92</v>
      </c>
      <c r="C62" s="13"/>
      <c r="D62" s="84">
        <v>40000</v>
      </c>
      <c r="E62" s="84">
        <v>1</v>
      </c>
      <c r="F62" s="173">
        <v>225002</v>
      </c>
      <c r="G62" s="13">
        <v>100001</v>
      </c>
      <c r="H62" s="13">
        <v>3</v>
      </c>
      <c r="I62" s="13"/>
    </row>
    <row r="63" spans="1:14" ht="16.5">
      <c r="A63" s="71">
        <v>100003</v>
      </c>
      <c r="B63" s="70" t="s">
        <v>93</v>
      </c>
      <c r="D63" s="84">
        <v>60000</v>
      </c>
      <c r="E63" s="84">
        <v>2</v>
      </c>
      <c r="F63" s="173">
        <v>225003</v>
      </c>
      <c r="G63" s="13">
        <v>100001</v>
      </c>
      <c r="H63" s="13">
        <v>4</v>
      </c>
      <c r="I63" s="13"/>
    </row>
    <row r="64" spans="1:14" ht="16.5">
      <c r="A64" s="71">
        <v>100004</v>
      </c>
      <c r="B64" s="70" t="s">
        <v>94</v>
      </c>
      <c r="C64" s="13"/>
      <c r="D64" s="84">
        <v>150000</v>
      </c>
      <c r="E64" s="84">
        <v>2</v>
      </c>
      <c r="F64" s="173">
        <v>225004</v>
      </c>
      <c r="G64" s="13">
        <v>100001</v>
      </c>
      <c r="H64" s="13">
        <v>5</v>
      </c>
      <c r="I64" s="13"/>
    </row>
    <row r="65" spans="1:15" ht="16.5">
      <c r="A65" s="71">
        <v>100005</v>
      </c>
      <c r="B65" s="70" t="s">
        <v>95</v>
      </c>
      <c r="C65" s="13"/>
      <c r="D65" s="84">
        <v>300000</v>
      </c>
      <c r="E65" s="84">
        <v>2</v>
      </c>
      <c r="F65" s="173">
        <v>225005</v>
      </c>
      <c r="G65" s="13">
        <v>100001</v>
      </c>
      <c r="H65" s="13">
        <v>6</v>
      </c>
      <c r="I65" s="13"/>
    </row>
    <row r="66" spans="1:15" ht="16.5">
      <c r="A66" s="6">
        <v>110001</v>
      </c>
      <c r="B66" s="175" t="s">
        <v>96</v>
      </c>
      <c r="C66" s="2"/>
      <c r="D66" s="2"/>
      <c r="E66" s="73">
        <v>2</v>
      </c>
      <c r="F66" s="2"/>
      <c r="G66" s="6">
        <v>110001</v>
      </c>
      <c r="H66" s="2">
        <v>1</v>
      </c>
      <c r="I66" s="2">
        <v>800</v>
      </c>
      <c r="O66" s="24" t="s">
        <v>97</v>
      </c>
    </row>
    <row r="67" spans="1:15" ht="16.5">
      <c r="A67" s="6">
        <v>110002</v>
      </c>
      <c r="B67" s="175" t="s">
        <v>98</v>
      </c>
      <c r="C67" s="2"/>
      <c r="D67" s="2"/>
      <c r="E67" s="73">
        <v>2</v>
      </c>
      <c r="F67" s="2"/>
      <c r="G67" s="6">
        <v>110001</v>
      </c>
      <c r="H67" s="2">
        <v>2</v>
      </c>
      <c r="I67" s="2">
        <v>800</v>
      </c>
      <c r="O67" s="24" t="s">
        <v>99</v>
      </c>
    </row>
    <row r="68" spans="1:15" ht="16.5">
      <c r="A68" s="6">
        <v>110003</v>
      </c>
      <c r="B68" s="175" t="s">
        <v>100</v>
      </c>
      <c r="C68" s="2"/>
      <c r="D68" s="2"/>
      <c r="E68" s="73">
        <v>3</v>
      </c>
      <c r="F68" s="2"/>
      <c r="G68" s="6">
        <v>110001</v>
      </c>
      <c r="H68" s="2">
        <v>3</v>
      </c>
      <c r="I68" s="2">
        <v>550</v>
      </c>
      <c r="O68" s="24" t="s">
        <v>101</v>
      </c>
    </row>
    <row r="69" spans="1:15" ht="16.5">
      <c r="A69" s="6">
        <v>110004</v>
      </c>
      <c r="B69" s="175" t="s">
        <v>102</v>
      </c>
      <c r="C69" s="2"/>
      <c r="D69">
        <v>15000</v>
      </c>
      <c r="E69" s="73">
        <v>1</v>
      </c>
      <c r="F69" s="6">
        <v>91006</v>
      </c>
      <c r="G69" s="6">
        <v>110001</v>
      </c>
      <c r="H69" s="2">
        <v>4</v>
      </c>
      <c r="I69" s="2"/>
      <c r="O69" s="24" t="s">
        <v>103</v>
      </c>
    </row>
    <row r="70" spans="1:15" ht="16.5">
      <c r="A70" s="6">
        <v>110005</v>
      </c>
      <c r="B70" s="175" t="s">
        <v>104</v>
      </c>
      <c r="C70" s="2"/>
      <c r="D70">
        <v>50000</v>
      </c>
      <c r="E70" s="73">
        <v>1</v>
      </c>
      <c r="F70" s="6">
        <v>91007</v>
      </c>
      <c r="G70" s="6">
        <v>110001</v>
      </c>
      <c r="H70" s="2">
        <v>5</v>
      </c>
      <c r="I70" s="2"/>
      <c r="O70" s="24" t="s">
        <v>105</v>
      </c>
    </row>
    <row r="71" spans="1:15" ht="16.5">
      <c r="A71" s="6">
        <v>110006</v>
      </c>
      <c r="B71" s="176" t="s">
        <v>106</v>
      </c>
      <c r="D71">
        <v>100000</v>
      </c>
      <c r="E71" s="73">
        <v>1</v>
      </c>
      <c r="F71" s="6">
        <v>91008</v>
      </c>
      <c r="G71" s="6">
        <v>110001</v>
      </c>
      <c r="H71" s="2">
        <v>6</v>
      </c>
      <c r="O71" s="24" t="s">
        <v>107</v>
      </c>
    </row>
    <row r="72" spans="1:15" ht="16.5">
      <c r="A72" s="177">
        <v>120001</v>
      </c>
      <c r="B72" s="178" t="s">
        <v>108</v>
      </c>
      <c r="C72" s="179"/>
      <c r="D72" s="179">
        <v>0</v>
      </c>
      <c r="E72" s="180">
        <v>1</v>
      </c>
      <c r="F72" s="179"/>
      <c r="G72" s="177">
        <v>120001</v>
      </c>
      <c r="H72" s="179">
        <v>1</v>
      </c>
      <c r="I72" s="179">
        <v>3000</v>
      </c>
      <c r="O72" s="24" t="s">
        <v>109</v>
      </c>
    </row>
    <row r="73" spans="1:15" ht="16.5">
      <c r="A73" s="177">
        <v>120002</v>
      </c>
      <c r="B73" s="178" t="s">
        <v>110</v>
      </c>
      <c r="C73" s="179"/>
      <c r="D73" s="179">
        <v>0</v>
      </c>
      <c r="E73" s="180">
        <v>2</v>
      </c>
      <c r="F73" s="179"/>
      <c r="G73" s="177">
        <v>120001</v>
      </c>
      <c r="H73" s="179">
        <v>2</v>
      </c>
      <c r="I73" s="179">
        <v>140</v>
      </c>
      <c r="O73" s="24" t="s">
        <v>111</v>
      </c>
    </row>
    <row r="74" spans="1:15" ht="16.5">
      <c r="A74" s="177">
        <v>120003</v>
      </c>
      <c r="B74" s="178" t="s">
        <v>112</v>
      </c>
      <c r="C74" s="179"/>
      <c r="D74" s="179">
        <v>15000</v>
      </c>
      <c r="E74" s="180">
        <v>1</v>
      </c>
      <c r="F74" s="177">
        <v>91009</v>
      </c>
      <c r="G74" s="177">
        <v>120001</v>
      </c>
      <c r="H74" s="179">
        <v>3</v>
      </c>
      <c r="I74" s="179"/>
      <c r="O74" s="24" t="s">
        <v>113</v>
      </c>
    </row>
    <row r="75" spans="1:15" ht="16.5">
      <c r="A75" s="177">
        <v>120004</v>
      </c>
      <c r="B75" s="178" t="s">
        <v>114</v>
      </c>
      <c r="C75" s="179"/>
      <c r="D75" s="179">
        <v>50000</v>
      </c>
      <c r="E75" s="180">
        <v>1</v>
      </c>
      <c r="F75" s="177">
        <v>91010</v>
      </c>
      <c r="G75" s="177">
        <v>120001</v>
      </c>
      <c r="H75" s="179">
        <v>4</v>
      </c>
      <c r="I75" s="179"/>
      <c r="O75" s="24" t="s">
        <v>115</v>
      </c>
    </row>
    <row r="76" spans="1:15" ht="16.5">
      <c r="A76" s="177">
        <v>120005</v>
      </c>
      <c r="B76" s="178" t="s">
        <v>116</v>
      </c>
      <c r="C76" s="179"/>
      <c r="D76" s="179">
        <v>100000</v>
      </c>
      <c r="E76" s="180">
        <v>1</v>
      </c>
      <c r="F76" s="177">
        <v>91011</v>
      </c>
      <c r="G76" s="177">
        <v>120001</v>
      </c>
      <c r="H76" s="179">
        <v>5</v>
      </c>
      <c r="I76" s="179"/>
      <c r="O76" s="24" t="s">
        <v>117</v>
      </c>
    </row>
    <row r="77" spans="1:15" ht="16.5">
      <c r="A77" s="181">
        <v>130001</v>
      </c>
      <c r="B77" s="182" t="s">
        <v>118</v>
      </c>
      <c r="C77" s="183"/>
      <c r="D77" s="183"/>
      <c r="E77" s="184">
        <v>3</v>
      </c>
      <c r="F77" s="183"/>
      <c r="G77" s="181">
        <v>130001</v>
      </c>
      <c r="H77" s="183">
        <v>1</v>
      </c>
      <c r="I77" s="183">
        <v>650</v>
      </c>
      <c r="O77" s="24" t="s">
        <v>119</v>
      </c>
    </row>
    <row r="78" spans="1:15" ht="16.5">
      <c r="A78" s="181">
        <v>130002</v>
      </c>
      <c r="B78" s="182" t="s">
        <v>120</v>
      </c>
      <c r="C78" s="183"/>
      <c r="D78" s="183"/>
      <c r="E78" s="184">
        <v>2</v>
      </c>
      <c r="F78" s="183"/>
      <c r="G78" s="181">
        <v>130001</v>
      </c>
      <c r="H78" s="183">
        <v>2</v>
      </c>
      <c r="I78" s="183">
        <v>2200</v>
      </c>
      <c r="O78" s="24" t="s">
        <v>121</v>
      </c>
    </row>
    <row r="79" spans="1:15" ht="16.5">
      <c r="A79" s="181">
        <v>130003</v>
      </c>
      <c r="B79" s="182" t="s">
        <v>122</v>
      </c>
      <c r="C79" s="183"/>
      <c r="D79" s="183">
        <v>15000</v>
      </c>
      <c r="E79" s="184">
        <v>1</v>
      </c>
      <c r="F79" s="181">
        <v>91012</v>
      </c>
      <c r="G79" s="181">
        <v>130001</v>
      </c>
      <c r="H79" s="183">
        <v>3</v>
      </c>
      <c r="I79" s="183"/>
      <c r="O79" s="24" t="s">
        <v>123</v>
      </c>
    </row>
    <row r="80" spans="1:15" ht="16.5">
      <c r="A80" s="181">
        <v>130004</v>
      </c>
      <c r="B80" s="182" t="s">
        <v>124</v>
      </c>
      <c r="C80" s="183"/>
      <c r="D80" s="183">
        <v>50000</v>
      </c>
      <c r="E80" s="184">
        <v>1</v>
      </c>
      <c r="F80" s="181">
        <v>91013</v>
      </c>
      <c r="G80" s="181">
        <v>130001</v>
      </c>
      <c r="H80" s="183">
        <v>4</v>
      </c>
      <c r="I80" s="183"/>
      <c r="O80" s="24" t="s">
        <v>125</v>
      </c>
    </row>
    <row r="81" spans="1:15" ht="16.5">
      <c r="A81" s="181">
        <v>130005</v>
      </c>
      <c r="B81" s="182" t="s">
        <v>126</v>
      </c>
      <c r="C81" s="183"/>
      <c r="D81" s="183">
        <v>100000</v>
      </c>
      <c r="E81" s="184">
        <v>1</v>
      </c>
      <c r="F81" s="181">
        <v>91014</v>
      </c>
      <c r="G81" s="181">
        <v>130001</v>
      </c>
      <c r="H81" s="183">
        <v>5</v>
      </c>
      <c r="I81" s="183"/>
      <c r="O81" s="24" t="s">
        <v>127</v>
      </c>
    </row>
  </sheetData>
  <conditionalFormatting sqref="F61:F65">
    <cfRule type="duplicateValues" dxfId="43" priority="1"/>
    <cfRule type="duplicateValues" dxfId="42" priority="2"/>
    <cfRule type="duplicateValues" dxfId="41" priority="3"/>
    <cfRule type="cellIs" dxfId="40" priority="4" operator="equal">
      <formula>110509</formula>
    </cfRule>
  </conditionalFormatting>
  <conditionalFormatting sqref="F69:F71">
    <cfRule type="duplicateValues" dxfId="39" priority="13"/>
    <cfRule type="duplicateValues" dxfId="38" priority="14"/>
    <cfRule type="duplicateValues" dxfId="37" priority="15"/>
    <cfRule type="cellIs" dxfId="36" priority="16" operator="equal">
      <formula>110509</formula>
    </cfRule>
  </conditionalFormatting>
  <conditionalFormatting sqref="F74:F76">
    <cfRule type="duplicateValues" dxfId="35" priority="9"/>
    <cfRule type="duplicateValues" dxfId="34" priority="10"/>
    <cfRule type="duplicateValues" dxfId="33" priority="11"/>
    <cfRule type="cellIs" dxfId="32" priority="12" operator="equal">
      <formula>110509</formula>
    </cfRule>
  </conditionalFormatting>
  <conditionalFormatting sqref="F79:F81">
    <cfRule type="duplicateValues" dxfId="31" priority="5"/>
    <cfRule type="duplicateValues" dxfId="30" priority="6"/>
    <cfRule type="duplicateValues" dxfId="29" priority="7"/>
    <cfRule type="cellIs" dxfId="28" priority="8" operator="equal">
      <formula>110509</formula>
    </cfRule>
  </conditionalFormatting>
  <pageMargins left="0.7" right="0.7" top="0.75" bottom="0.75" header="0.3" footer="0.3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L129"/>
  <sheetViews>
    <sheetView workbookViewId="0">
      <pane ySplit="1" topLeftCell="A77" activePane="bottomLeft" state="frozen"/>
      <selection pane="bottomLeft" activeCell="E100" sqref="E100"/>
    </sheetView>
  </sheetViews>
  <sheetFormatPr defaultColWidth="9" defaultRowHeight="15"/>
  <cols>
    <col min="1" max="1" width="7" style="50" bestFit="1" customWidth="1"/>
    <col min="2" max="2" width="27.5703125" style="50" bestFit="1" customWidth="1"/>
    <col min="3" max="3" width="9.28515625" style="50" customWidth="1"/>
    <col min="4" max="4" width="19.7109375" style="50" customWidth="1"/>
    <col min="5" max="6" width="19.5703125" style="50" customWidth="1"/>
    <col min="7" max="7" width="7.42578125" style="50" customWidth="1"/>
    <col min="8" max="8" width="9.28515625" style="50" customWidth="1"/>
    <col min="9" max="9" width="7.42578125" style="50" customWidth="1"/>
    <col min="10" max="10" width="13.28515625" style="50" customWidth="1"/>
    <col min="11" max="11" width="17.5703125" style="50" customWidth="1"/>
    <col min="12" max="16384" width="9" style="50"/>
  </cols>
  <sheetData>
    <row r="1" spans="1:11" ht="16.5">
      <c r="A1" s="50" t="s">
        <v>0</v>
      </c>
      <c r="B1" s="50" t="s">
        <v>1</v>
      </c>
      <c r="C1" s="53" t="s">
        <v>128</v>
      </c>
      <c r="D1" s="53" t="s">
        <v>3</v>
      </c>
      <c r="E1" s="53" t="s">
        <v>5</v>
      </c>
      <c r="F1" s="53" t="s">
        <v>6</v>
      </c>
      <c r="G1" s="53" t="s">
        <v>7</v>
      </c>
      <c r="H1" s="53" t="s">
        <v>8</v>
      </c>
      <c r="I1" s="53" t="s">
        <v>9</v>
      </c>
      <c r="J1" s="53" t="s">
        <v>10</v>
      </c>
      <c r="K1" s="53" t="s">
        <v>129</v>
      </c>
    </row>
    <row r="2" spans="1:11" ht="16.5">
      <c r="A2" s="50">
        <v>10001</v>
      </c>
      <c r="B2" s="50" t="s">
        <v>655</v>
      </c>
      <c r="C2" s="53">
        <v>8</v>
      </c>
      <c r="D2" s="51" t="s">
        <v>130</v>
      </c>
      <c r="E2" s="51" t="s">
        <v>131</v>
      </c>
      <c r="F2" s="53">
        <v>1</v>
      </c>
      <c r="G2" s="53">
        <v>10020</v>
      </c>
      <c r="H2" s="53">
        <v>1037</v>
      </c>
      <c r="I2" s="53">
        <v>17301</v>
      </c>
      <c r="J2" s="53">
        <v>1</v>
      </c>
      <c r="K2" s="53">
        <v>1</v>
      </c>
    </row>
    <row r="3" spans="1:11" ht="16.5">
      <c r="A3" s="50">
        <v>10002</v>
      </c>
      <c r="B3" s="50" t="s">
        <v>655</v>
      </c>
      <c r="C3" s="53">
        <v>8</v>
      </c>
      <c r="D3" s="51" t="s">
        <v>132</v>
      </c>
      <c r="E3" s="51" t="s">
        <v>133</v>
      </c>
      <c r="F3" s="53">
        <v>1</v>
      </c>
      <c r="G3" s="53">
        <v>10020</v>
      </c>
      <c r="H3" s="53">
        <v>1037</v>
      </c>
      <c r="I3" s="53">
        <v>17301</v>
      </c>
      <c r="J3" s="53">
        <v>1</v>
      </c>
      <c r="K3" s="53">
        <v>1</v>
      </c>
    </row>
    <row r="4" spans="1:11" ht="16.5">
      <c r="A4" s="50">
        <v>10003</v>
      </c>
      <c r="B4" s="50" t="s">
        <v>655</v>
      </c>
      <c r="C4" s="53">
        <v>8</v>
      </c>
      <c r="D4" s="51" t="s">
        <v>134</v>
      </c>
      <c r="E4" s="51" t="s">
        <v>135</v>
      </c>
      <c r="F4" s="53">
        <v>1</v>
      </c>
      <c r="G4" s="53">
        <v>10020</v>
      </c>
      <c r="H4" s="53">
        <v>1037</v>
      </c>
      <c r="I4" s="53">
        <v>17301</v>
      </c>
      <c r="J4" s="53">
        <v>1</v>
      </c>
      <c r="K4" s="53">
        <v>1</v>
      </c>
    </row>
    <row r="5" spans="1:11" ht="16.5">
      <c r="A5" s="50">
        <v>10004</v>
      </c>
      <c r="B5" s="50" t="s">
        <v>655</v>
      </c>
      <c r="C5" s="53">
        <v>8</v>
      </c>
      <c r="D5" s="51" t="s">
        <v>136</v>
      </c>
      <c r="E5" s="51" t="s">
        <v>137</v>
      </c>
      <c r="F5" s="53">
        <v>1</v>
      </c>
      <c r="G5" s="53">
        <v>10020</v>
      </c>
      <c r="H5" s="53">
        <v>1037</v>
      </c>
      <c r="I5" s="53">
        <v>17301</v>
      </c>
      <c r="J5" s="53">
        <v>1</v>
      </c>
      <c r="K5" s="53">
        <v>1</v>
      </c>
    </row>
    <row r="6" spans="1:11" ht="16.5">
      <c r="A6" s="50">
        <v>10005</v>
      </c>
      <c r="B6" s="50" t="s">
        <v>655</v>
      </c>
      <c r="C6" s="53">
        <v>8</v>
      </c>
      <c r="D6" s="51" t="s">
        <v>138</v>
      </c>
      <c r="E6" s="51" t="s">
        <v>139</v>
      </c>
      <c r="F6" s="53">
        <v>1</v>
      </c>
      <c r="G6" s="53">
        <v>10020</v>
      </c>
      <c r="H6" s="53">
        <v>1037</v>
      </c>
      <c r="I6" s="53">
        <v>17301</v>
      </c>
      <c r="J6" s="53">
        <v>1</v>
      </c>
      <c r="K6" s="53">
        <v>1</v>
      </c>
    </row>
    <row r="7" spans="1:11" ht="16.5">
      <c r="A7" s="50">
        <v>10006</v>
      </c>
      <c r="B7" s="50" t="s">
        <v>655</v>
      </c>
      <c r="C7" s="53">
        <v>8</v>
      </c>
      <c r="D7" s="51" t="s">
        <v>140</v>
      </c>
      <c r="E7" s="51" t="s">
        <v>141</v>
      </c>
      <c r="F7" s="53">
        <v>1</v>
      </c>
      <c r="G7" s="53">
        <v>10020</v>
      </c>
      <c r="H7" s="53">
        <v>1037</v>
      </c>
      <c r="I7" s="53">
        <v>17301</v>
      </c>
      <c r="J7" s="53">
        <v>1</v>
      </c>
      <c r="K7" s="53">
        <v>1</v>
      </c>
    </row>
    <row r="8" spans="1:11" ht="16.5">
      <c r="A8" s="50">
        <v>10007</v>
      </c>
      <c r="B8" s="50" t="s">
        <v>655</v>
      </c>
      <c r="C8" s="53">
        <v>8</v>
      </c>
      <c r="D8" s="51" t="s">
        <v>142</v>
      </c>
      <c r="E8" s="51" t="s">
        <v>143</v>
      </c>
      <c r="F8" s="53">
        <v>1</v>
      </c>
      <c r="G8" s="53">
        <v>10020</v>
      </c>
      <c r="H8" s="53">
        <v>1037</v>
      </c>
      <c r="I8" s="53">
        <v>17301</v>
      </c>
      <c r="J8" s="53">
        <v>1</v>
      </c>
      <c r="K8" s="53">
        <v>1</v>
      </c>
    </row>
    <row r="9" spans="1:11" ht="16.5">
      <c r="A9" s="50">
        <v>10008</v>
      </c>
      <c r="B9" s="50" t="s">
        <v>655</v>
      </c>
      <c r="C9" s="53">
        <v>8</v>
      </c>
      <c r="D9" s="51" t="s">
        <v>144</v>
      </c>
      <c r="E9" s="51" t="s">
        <v>145</v>
      </c>
      <c r="F9" s="53">
        <v>1</v>
      </c>
      <c r="G9" s="53">
        <v>10020</v>
      </c>
      <c r="H9" s="53">
        <v>1037</v>
      </c>
      <c r="I9" s="53">
        <v>17301</v>
      </c>
      <c r="J9" s="53">
        <v>1</v>
      </c>
      <c r="K9" s="53">
        <v>1</v>
      </c>
    </row>
    <row r="10" spans="1:11" ht="16.5">
      <c r="A10" s="50">
        <v>10009</v>
      </c>
      <c r="B10" s="50" t="s">
        <v>655</v>
      </c>
      <c r="C10" s="53">
        <v>8</v>
      </c>
      <c r="D10" s="51" t="s">
        <v>146</v>
      </c>
      <c r="E10" s="51" t="s">
        <v>147</v>
      </c>
      <c r="F10" s="53">
        <v>1</v>
      </c>
      <c r="G10" s="53">
        <v>10020</v>
      </c>
      <c r="H10" s="53">
        <v>1037</v>
      </c>
      <c r="I10" s="53">
        <v>17301</v>
      </c>
      <c r="J10" s="53">
        <v>1</v>
      </c>
      <c r="K10" s="53">
        <v>1</v>
      </c>
    </row>
    <row r="11" spans="1:11" ht="16.5">
      <c r="A11" s="50">
        <v>10010</v>
      </c>
      <c r="B11" s="50" t="s">
        <v>655</v>
      </c>
      <c r="C11" s="53">
        <v>8</v>
      </c>
      <c r="D11" s="137" t="s">
        <v>148</v>
      </c>
      <c r="E11" s="137" t="s">
        <v>149</v>
      </c>
      <c r="F11" s="53">
        <v>1</v>
      </c>
      <c r="G11" s="53">
        <v>10020</v>
      </c>
      <c r="H11" s="53">
        <v>1037</v>
      </c>
      <c r="I11" s="53">
        <v>17301</v>
      </c>
      <c r="J11" s="53">
        <v>1</v>
      </c>
      <c r="K11" s="53">
        <v>1</v>
      </c>
    </row>
    <row r="12" spans="1:11" ht="16.5">
      <c r="A12" s="50">
        <v>10011</v>
      </c>
      <c r="B12" s="50" t="s">
        <v>655</v>
      </c>
      <c r="C12" s="53">
        <v>8</v>
      </c>
      <c r="D12" s="137" t="s">
        <v>150</v>
      </c>
      <c r="E12" s="137" t="s">
        <v>151</v>
      </c>
      <c r="F12" s="53">
        <v>1</v>
      </c>
      <c r="G12" s="53">
        <v>10020</v>
      </c>
      <c r="H12" s="53">
        <v>1037</v>
      </c>
      <c r="I12" s="53">
        <v>17301</v>
      </c>
      <c r="J12" s="53">
        <v>1</v>
      </c>
      <c r="K12" s="53">
        <v>1</v>
      </c>
    </row>
    <row r="13" spans="1:11" ht="16.5">
      <c r="A13" s="50">
        <v>10012</v>
      </c>
      <c r="B13" s="50" t="s">
        <v>655</v>
      </c>
      <c r="C13" s="53">
        <v>8</v>
      </c>
      <c r="D13" s="137" t="s">
        <v>152</v>
      </c>
      <c r="E13" s="137" t="s">
        <v>153</v>
      </c>
      <c r="F13" s="53">
        <v>1</v>
      </c>
      <c r="G13" s="53">
        <v>10020</v>
      </c>
      <c r="H13" s="53">
        <v>1037</v>
      </c>
      <c r="I13" s="53">
        <v>17301</v>
      </c>
      <c r="J13" s="53">
        <v>1</v>
      </c>
      <c r="K13" s="53">
        <v>1</v>
      </c>
    </row>
    <row r="14" spans="1:11" ht="16.5">
      <c r="A14" s="50">
        <v>10013</v>
      </c>
      <c r="B14" s="50" t="s">
        <v>655</v>
      </c>
      <c r="C14" s="53">
        <v>8</v>
      </c>
      <c r="D14" s="137" t="s">
        <v>154</v>
      </c>
      <c r="E14" s="137" t="s">
        <v>155</v>
      </c>
      <c r="F14" s="53">
        <v>1</v>
      </c>
      <c r="G14" s="53">
        <v>10020</v>
      </c>
      <c r="H14" s="53">
        <v>1037</v>
      </c>
      <c r="I14" s="53">
        <v>17301</v>
      </c>
      <c r="J14" s="53">
        <v>1</v>
      </c>
      <c r="K14" s="53">
        <v>1</v>
      </c>
    </row>
    <row r="15" spans="1:11" ht="16.5">
      <c r="A15" s="135">
        <v>10014</v>
      </c>
      <c r="B15" s="135" t="s">
        <v>655</v>
      </c>
      <c r="C15" s="138">
        <v>8</v>
      </c>
      <c r="D15" s="139" t="s">
        <v>156</v>
      </c>
      <c r="E15" s="139" t="s">
        <v>157</v>
      </c>
      <c r="F15" s="138">
        <v>1</v>
      </c>
      <c r="G15" s="138">
        <v>10020</v>
      </c>
      <c r="H15" s="138">
        <v>1037</v>
      </c>
      <c r="I15" s="138">
        <v>17301</v>
      </c>
      <c r="J15" s="138">
        <v>1</v>
      </c>
      <c r="K15" s="138">
        <v>1</v>
      </c>
    </row>
    <row r="16" spans="1:11" ht="16.5">
      <c r="A16" s="135">
        <v>10015</v>
      </c>
      <c r="B16" s="135" t="s">
        <v>655</v>
      </c>
      <c r="C16" s="138">
        <v>8</v>
      </c>
      <c r="D16" s="139" t="s">
        <v>158</v>
      </c>
      <c r="E16" s="139" t="s">
        <v>159</v>
      </c>
      <c r="F16" s="138">
        <v>1</v>
      </c>
      <c r="G16" s="138">
        <v>10020</v>
      </c>
      <c r="H16" s="138">
        <v>1037</v>
      </c>
      <c r="I16" s="138">
        <v>17301</v>
      </c>
      <c r="J16" s="138">
        <v>1</v>
      </c>
      <c r="K16" s="138">
        <v>1</v>
      </c>
    </row>
    <row r="17" spans="1:12" ht="16.5">
      <c r="A17" s="140">
        <v>10016</v>
      </c>
      <c r="B17" s="140" t="s">
        <v>655</v>
      </c>
      <c r="C17" s="141">
        <v>8</v>
      </c>
      <c r="D17" s="142" t="s">
        <v>160</v>
      </c>
      <c r="E17" s="142" t="s">
        <v>716</v>
      </c>
      <c r="F17" s="141">
        <v>1</v>
      </c>
      <c r="G17" s="141">
        <v>10020</v>
      </c>
      <c r="H17" s="141">
        <v>1037</v>
      </c>
      <c r="I17" s="141">
        <v>17301</v>
      </c>
      <c r="J17" s="141">
        <v>1</v>
      </c>
      <c r="K17" s="141">
        <v>1</v>
      </c>
      <c r="L17" s="13"/>
    </row>
    <row r="18" spans="1:12" ht="16.5">
      <c r="A18" s="50">
        <v>20001</v>
      </c>
      <c r="B18" s="50" t="s">
        <v>656</v>
      </c>
      <c r="C18" s="48">
        <v>22</v>
      </c>
      <c r="D18" s="51" t="s">
        <v>727</v>
      </c>
      <c r="E18" s="51" t="s">
        <v>728</v>
      </c>
      <c r="F18" s="48">
        <v>2</v>
      </c>
      <c r="G18" s="53">
        <v>10020</v>
      </c>
      <c r="H18" s="53">
        <v>1037</v>
      </c>
      <c r="I18" s="53">
        <v>17302</v>
      </c>
      <c r="J18" s="48">
        <v>1</v>
      </c>
      <c r="K18" s="48">
        <v>1</v>
      </c>
    </row>
    <row r="19" spans="1:12" ht="16.5">
      <c r="A19" s="50">
        <v>20002</v>
      </c>
      <c r="B19" s="50" t="s">
        <v>656</v>
      </c>
      <c r="C19" s="48">
        <v>22</v>
      </c>
      <c r="D19" s="51" t="s">
        <v>161</v>
      </c>
      <c r="E19" s="51" t="s">
        <v>162</v>
      </c>
      <c r="F19" s="48">
        <v>2</v>
      </c>
      <c r="G19" s="53">
        <v>10020</v>
      </c>
      <c r="H19" s="53">
        <v>1037</v>
      </c>
      <c r="I19" s="53">
        <v>17302</v>
      </c>
      <c r="J19" s="48">
        <v>1</v>
      </c>
      <c r="K19" s="48">
        <v>1</v>
      </c>
    </row>
    <row r="20" spans="1:12" ht="16.5">
      <c r="A20" s="50">
        <v>20003</v>
      </c>
      <c r="B20" s="50" t="s">
        <v>656</v>
      </c>
      <c r="C20" s="48">
        <v>22</v>
      </c>
      <c r="D20" s="51" t="s">
        <v>134</v>
      </c>
      <c r="E20" s="51" t="s">
        <v>135</v>
      </c>
      <c r="F20" s="48">
        <v>2</v>
      </c>
      <c r="G20" s="53">
        <v>10020</v>
      </c>
      <c r="H20" s="53">
        <v>1037</v>
      </c>
      <c r="I20" s="53">
        <v>17302</v>
      </c>
      <c r="J20" s="48">
        <v>1</v>
      </c>
      <c r="K20" s="48">
        <v>1</v>
      </c>
    </row>
    <row r="21" spans="1:12" ht="16.5">
      <c r="A21" s="50">
        <v>20004</v>
      </c>
      <c r="B21" s="50" t="s">
        <v>656</v>
      </c>
      <c r="C21" s="48">
        <v>61</v>
      </c>
      <c r="D21" s="51" t="s">
        <v>144</v>
      </c>
      <c r="E21" s="51" t="s">
        <v>145</v>
      </c>
      <c r="F21" s="48">
        <v>2</v>
      </c>
      <c r="G21" s="53">
        <v>10020</v>
      </c>
      <c r="H21" s="53">
        <v>1037</v>
      </c>
      <c r="I21" s="53">
        <v>17302</v>
      </c>
      <c r="J21" s="48">
        <v>1</v>
      </c>
      <c r="K21" s="48">
        <v>1</v>
      </c>
    </row>
    <row r="22" spans="1:12" ht="16.5">
      <c r="A22" s="50">
        <v>20005</v>
      </c>
      <c r="B22" s="50" t="s">
        <v>656</v>
      </c>
      <c r="C22" s="48">
        <v>61</v>
      </c>
      <c r="D22" s="51" t="s">
        <v>163</v>
      </c>
      <c r="E22" s="51" t="s">
        <v>164</v>
      </c>
      <c r="F22" s="48">
        <v>2</v>
      </c>
      <c r="G22" s="53">
        <v>10020</v>
      </c>
      <c r="H22" s="53">
        <v>1037</v>
      </c>
      <c r="I22" s="53">
        <v>17302</v>
      </c>
      <c r="J22" s="48">
        <v>1</v>
      </c>
      <c r="K22" s="48">
        <v>1</v>
      </c>
    </row>
    <row r="23" spans="1:12" ht="16.5">
      <c r="A23" s="50">
        <v>20006</v>
      </c>
      <c r="B23" s="50" t="s">
        <v>656</v>
      </c>
      <c r="C23" s="48">
        <v>61</v>
      </c>
      <c r="D23" s="51" t="s">
        <v>165</v>
      </c>
      <c r="E23" s="51" t="s">
        <v>166</v>
      </c>
      <c r="F23" s="48">
        <v>2</v>
      </c>
      <c r="G23" s="53">
        <v>10020</v>
      </c>
      <c r="H23" s="53">
        <v>1037</v>
      </c>
      <c r="I23" s="53">
        <v>17302</v>
      </c>
      <c r="J23" s="48">
        <v>1</v>
      </c>
      <c r="K23" s="48">
        <v>1</v>
      </c>
    </row>
    <row r="24" spans="1:12" ht="16.5">
      <c r="A24" s="50">
        <v>20007</v>
      </c>
      <c r="B24" s="50" t="s">
        <v>656</v>
      </c>
      <c r="C24" s="48">
        <v>61</v>
      </c>
      <c r="D24" s="51" t="s">
        <v>167</v>
      </c>
      <c r="E24" s="51" t="s">
        <v>168</v>
      </c>
      <c r="F24" s="48">
        <v>2</v>
      </c>
      <c r="G24" s="53">
        <v>10020</v>
      </c>
      <c r="H24" s="53">
        <v>1037</v>
      </c>
      <c r="I24" s="53">
        <v>17302</v>
      </c>
      <c r="J24" s="48">
        <v>1</v>
      </c>
      <c r="K24" s="48">
        <v>1</v>
      </c>
    </row>
    <row r="25" spans="1:12" ht="16.5">
      <c r="A25" s="50">
        <v>20008</v>
      </c>
      <c r="B25" s="50" t="s">
        <v>656</v>
      </c>
      <c r="C25" s="48">
        <v>61</v>
      </c>
      <c r="D25" s="58" t="s">
        <v>169</v>
      </c>
      <c r="E25" s="58" t="s">
        <v>170</v>
      </c>
      <c r="F25" s="48">
        <v>2</v>
      </c>
      <c r="G25" s="53">
        <v>10020</v>
      </c>
      <c r="H25" s="53">
        <v>1037</v>
      </c>
      <c r="I25" s="53">
        <v>17302</v>
      </c>
      <c r="J25" s="48">
        <v>1</v>
      </c>
      <c r="K25" s="48">
        <v>1</v>
      </c>
    </row>
    <row r="26" spans="1:12" s="45" customFormat="1" ht="16.5">
      <c r="A26" s="50">
        <v>20009</v>
      </c>
      <c r="B26" s="45" t="s">
        <v>656</v>
      </c>
      <c r="C26" s="54">
        <v>61</v>
      </c>
      <c r="D26" s="55" t="s">
        <v>171</v>
      </c>
      <c r="E26" s="55" t="s">
        <v>172</v>
      </c>
      <c r="F26" s="54">
        <v>2</v>
      </c>
      <c r="G26" s="57">
        <v>10020</v>
      </c>
      <c r="H26" s="57">
        <v>1037</v>
      </c>
      <c r="I26" s="57">
        <v>17302</v>
      </c>
      <c r="J26" s="54">
        <v>1</v>
      </c>
      <c r="K26" s="54">
        <v>1</v>
      </c>
    </row>
    <row r="27" spans="1:12" s="45" customFormat="1" ht="16.5">
      <c r="A27" s="50">
        <v>20010</v>
      </c>
      <c r="B27" s="45" t="s">
        <v>656</v>
      </c>
      <c r="C27" s="54">
        <v>61</v>
      </c>
      <c r="D27" s="55" t="s">
        <v>173</v>
      </c>
      <c r="E27" s="55" t="s">
        <v>174</v>
      </c>
      <c r="F27" s="54">
        <v>2</v>
      </c>
      <c r="G27" s="57">
        <v>10020</v>
      </c>
      <c r="H27" s="57">
        <v>1037</v>
      </c>
      <c r="I27" s="57">
        <v>17302</v>
      </c>
      <c r="J27" s="54">
        <v>1</v>
      </c>
      <c r="K27" s="54">
        <v>1</v>
      </c>
    </row>
    <row r="28" spans="1:12" ht="16.5">
      <c r="A28" s="50">
        <v>30001</v>
      </c>
      <c r="B28" s="50" t="s">
        <v>657</v>
      </c>
      <c r="C28" s="48">
        <v>15</v>
      </c>
      <c r="D28" s="51" t="s">
        <v>175</v>
      </c>
      <c r="E28" s="51" t="s">
        <v>717</v>
      </c>
      <c r="F28" s="48">
        <v>3</v>
      </c>
      <c r="G28" s="53">
        <v>10020</v>
      </c>
      <c r="H28" s="53">
        <v>1037</v>
      </c>
      <c r="I28" s="53">
        <v>17303</v>
      </c>
      <c r="J28" s="48">
        <v>1</v>
      </c>
      <c r="K28" s="48">
        <v>1</v>
      </c>
    </row>
    <row r="29" spans="1:12" ht="16.5">
      <c r="A29" s="50">
        <v>40001</v>
      </c>
      <c r="B29" s="50" t="s">
        <v>658</v>
      </c>
      <c r="C29" s="48">
        <v>8</v>
      </c>
      <c r="D29" s="51" t="s">
        <v>169</v>
      </c>
      <c r="E29" s="51" t="s">
        <v>170</v>
      </c>
      <c r="F29" s="48">
        <v>4</v>
      </c>
      <c r="G29" s="53">
        <v>10020</v>
      </c>
      <c r="H29" s="53">
        <v>1037</v>
      </c>
      <c r="I29" s="53">
        <v>17304</v>
      </c>
      <c r="J29" s="48">
        <v>1</v>
      </c>
      <c r="K29" s="48">
        <v>1</v>
      </c>
    </row>
    <row r="30" spans="1:12" ht="16.5">
      <c r="A30" s="50">
        <v>40002</v>
      </c>
      <c r="B30" s="50" t="s">
        <v>658</v>
      </c>
      <c r="C30" s="48">
        <v>8</v>
      </c>
      <c r="D30" s="51" t="s">
        <v>176</v>
      </c>
      <c r="E30" s="51" t="s">
        <v>177</v>
      </c>
      <c r="F30" s="48">
        <v>4</v>
      </c>
      <c r="G30" s="53">
        <v>10020</v>
      </c>
      <c r="H30" s="53">
        <v>1037</v>
      </c>
      <c r="I30" s="53">
        <v>17304</v>
      </c>
      <c r="J30" s="48">
        <v>1</v>
      </c>
      <c r="K30" s="48">
        <v>1</v>
      </c>
    </row>
    <row r="31" spans="1:12" ht="16.5">
      <c r="A31" s="50">
        <v>40003</v>
      </c>
      <c r="B31" s="50" t="s">
        <v>658</v>
      </c>
      <c r="C31" s="48">
        <v>8</v>
      </c>
      <c r="D31" s="51" t="s">
        <v>178</v>
      </c>
      <c r="E31" s="51" t="s">
        <v>179</v>
      </c>
      <c r="F31" s="48">
        <v>4</v>
      </c>
      <c r="G31" s="53">
        <v>10020</v>
      </c>
      <c r="H31" s="53">
        <v>1037</v>
      </c>
      <c r="I31" s="53">
        <v>17304</v>
      </c>
      <c r="J31" s="48">
        <v>1</v>
      </c>
      <c r="K31" s="48">
        <v>1</v>
      </c>
    </row>
    <row r="32" spans="1:12" ht="16.5">
      <c r="A32" s="50">
        <v>40004</v>
      </c>
      <c r="B32" s="50" t="s">
        <v>658</v>
      </c>
      <c r="C32" s="48">
        <v>8</v>
      </c>
      <c r="D32" s="51" t="s">
        <v>180</v>
      </c>
      <c r="E32" s="51" t="s">
        <v>181</v>
      </c>
      <c r="F32" s="48">
        <v>4</v>
      </c>
      <c r="G32" s="53">
        <v>10020</v>
      </c>
      <c r="H32" s="53">
        <v>1037</v>
      </c>
      <c r="I32" s="53">
        <v>17304</v>
      </c>
      <c r="J32" s="48">
        <v>1</v>
      </c>
      <c r="K32" s="48">
        <v>1</v>
      </c>
    </row>
    <row r="33" spans="1:11" ht="16.5">
      <c r="A33" s="50">
        <v>40005</v>
      </c>
      <c r="B33" s="50" t="s">
        <v>658</v>
      </c>
      <c r="C33" s="48">
        <v>8</v>
      </c>
      <c r="D33" s="51" t="s">
        <v>182</v>
      </c>
      <c r="E33" s="51" t="s">
        <v>183</v>
      </c>
      <c r="F33" s="48">
        <v>4</v>
      </c>
      <c r="G33" s="53">
        <v>10020</v>
      </c>
      <c r="H33" s="53">
        <v>1037</v>
      </c>
      <c r="I33" s="53">
        <v>17304</v>
      </c>
      <c r="J33" s="48">
        <v>1</v>
      </c>
      <c r="K33" s="48">
        <v>1</v>
      </c>
    </row>
    <row r="34" spans="1:11" ht="16.5">
      <c r="A34" s="50">
        <v>40006</v>
      </c>
      <c r="B34" s="50" t="s">
        <v>658</v>
      </c>
      <c r="C34" s="48">
        <v>8</v>
      </c>
      <c r="D34" s="51" t="s">
        <v>184</v>
      </c>
      <c r="E34" s="51" t="s">
        <v>185</v>
      </c>
      <c r="F34" s="48">
        <v>4</v>
      </c>
      <c r="G34" s="53">
        <v>10020</v>
      </c>
      <c r="H34" s="53">
        <v>1037</v>
      </c>
      <c r="I34" s="53">
        <v>17304</v>
      </c>
      <c r="J34" s="48">
        <v>1</v>
      </c>
      <c r="K34" s="48">
        <v>1</v>
      </c>
    </row>
    <row r="35" spans="1:11" ht="16.5">
      <c r="A35" s="50">
        <v>40007</v>
      </c>
      <c r="B35" s="50" t="s">
        <v>658</v>
      </c>
      <c r="C35" s="48">
        <v>8</v>
      </c>
      <c r="D35" s="51" t="s">
        <v>186</v>
      </c>
      <c r="E35" s="51" t="s">
        <v>187</v>
      </c>
      <c r="F35" s="48">
        <v>4</v>
      </c>
      <c r="G35" s="53">
        <v>10020</v>
      </c>
      <c r="H35" s="53">
        <v>1037</v>
      </c>
      <c r="I35" s="53">
        <v>17304</v>
      </c>
      <c r="J35" s="48">
        <v>1</v>
      </c>
      <c r="K35" s="48">
        <v>1</v>
      </c>
    </row>
    <row r="36" spans="1:11" ht="16.5">
      <c r="A36" s="50">
        <v>40008</v>
      </c>
      <c r="B36" s="50" t="s">
        <v>658</v>
      </c>
      <c r="C36" s="48">
        <v>8</v>
      </c>
      <c r="D36" s="51" t="s">
        <v>188</v>
      </c>
      <c r="E36" s="51" t="s">
        <v>189</v>
      </c>
      <c r="F36" s="48">
        <v>4</v>
      </c>
      <c r="G36" s="53">
        <v>10020</v>
      </c>
      <c r="H36" s="53">
        <v>1037</v>
      </c>
      <c r="I36" s="53">
        <v>17304</v>
      </c>
      <c r="J36" s="48">
        <v>1</v>
      </c>
      <c r="K36" s="48">
        <v>1</v>
      </c>
    </row>
    <row r="37" spans="1:11" ht="16.5">
      <c r="A37" s="50">
        <v>40009</v>
      </c>
      <c r="B37" s="50" t="s">
        <v>658</v>
      </c>
      <c r="C37" s="48">
        <v>8</v>
      </c>
      <c r="D37" s="51" t="s">
        <v>190</v>
      </c>
      <c r="E37" s="51" t="s">
        <v>191</v>
      </c>
      <c r="F37" s="48">
        <v>4</v>
      </c>
      <c r="G37" s="53">
        <v>10020</v>
      </c>
      <c r="H37" s="53">
        <v>1037</v>
      </c>
      <c r="I37" s="53">
        <v>17304</v>
      </c>
      <c r="J37" s="48">
        <v>1</v>
      </c>
      <c r="K37" s="48">
        <v>1</v>
      </c>
    </row>
    <row r="38" spans="1:11" ht="16.5">
      <c r="A38" s="50">
        <v>40010</v>
      </c>
      <c r="B38" s="50" t="s">
        <v>658</v>
      </c>
      <c r="C38" s="48">
        <v>8</v>
      </c>
      <c r="D38" s="51" t="s">
        <v>192</v>
      </c>
      <c r="E38" s="51" t="s">
        <v>193</v>
      </c>
      <c r="F38" s="48">
        <v>4</v>
      </c>
      <c r="G38" s="53">
        <v>10020</v>
      </c>
      <c r="H38" s="53">
        <v>1037</v>
      </c>
      <c r="I38" s="53">
        <v>17304</v>
      </c>
      <c r="J38" s="48">
        <v>1</v>
      </c>
      <c r="K38" s="48">
        <v>1</v>
      </c>
    </row>
    <row r="39" spans="1:11" ht="16.5">
      <c r="A39" s="2">
        <v>40011</v>
      </c>
      <c r="B39" s="2" t="s">
        <v>658</v>
      </c>
      <c r="C39" s="3">
        <v>8</v>
      </c>
      <c r="D39" s="58" t="s">
        <v>194</v>
      </c>
      <c r="E39" s="58" t="s">
        <v>195</v>
      </c>
      <c r="F39" s="3">
        <v>4</v>
      </c>
      <c r="G39" s="6">
        <v>10020</v>
      </c>
      <c r="H39" s="6">
        <v>1037</v>
      </c>
      <c r="I39" s="6">
        <v>17304</v>
      </c>
      <c r="J39" s="3">
        <v>1</v>
      </c>
      <c r="K39" s="3">
        <v>1</v>
      </c>
    </row>
    <row r="40" spans="1:11" ht="16.5">
      <c r="A40" s="2">
        <v>40012</v>
      </c>
      <c r="B40" s="2" t="s">
        <v>658</v>
      </c>
      <c r="C40" s="3">
        <v>8</v>
      </c>
      <c r="D40" s="58" t="s">
        <v>196</v>
      </c>
      <c r="E40" s="58" t="s">
        <v>197</v>
      </c>
      <c r="F40" s="3">
        <v>4</v>
      </c>
      <c r="G40" s="6">
        <v>10020</v>
      </c>
      <c r="H40" s="6">
        <v>1037</v>
      </c>
      <c r="I40" s="6">
        <v>17304</v>
      </c>
      <c r="J40" s="3">
        <v>1</v>
      </c>
      <c r="K40" s="3">
        <v>1</v>
      </c>
    </row>
    <row r="41" spans="1:11" s="45" customFormat="1" ht="12.95" customHeight="1">
      <c r="A41" s="45">
        <v>40013</v>
      </c>
      <c r="B41" s="45" t="s">
        <v>658</v>
      </c>
      <c r="C41" s="54">
        <v>8</v>
      </c>
      <c r="D41" s="55" t="s">
        <v>171</v>
      </c>
      <c r="E41" s="55" t="s">
        <v>172</v>
      </c>
      <c r="F41" s="54">
        <v>4</v>
      </c>
      <c r="G41" s="57">
        <v>10020</v>
      </c>
      <c r="H41" s="57">
        <v>1037</v>
      </c>
      <c r="I41" s="57">
        <v>17304</v>
      </c>
      <c r="J41" s="54">
        <v>1</v>
      </c>
      <c r="K41" s="54">
        <v>1</v>
      </c>
    </row>
    <row r="42" spans="1:11" s="2" customFormat="1" ht="12.95" customHeight="1">
      <c r="A42" s="2">
        <v>40014</v>
      </c>
      <c r="B42" s="2" t="s">
        <v>658</v>
      </c>
      <c r="C42" s="3">
        <v>8</v>
      </c>
      <c r="D42" s="143" t="s">
        <v>198</v>
      </c>
      <c r="E42" s="143" t="s">
        <v>199</v>
      </c>
      <c r="F42" s="3">
        <v>4</v>
      </c>
      <c r="G42" s="6">
        <v>10020</v>
      </c>
      <c r="H42" s="6">
        <v>1037</v>
      </c>
      <c r="I42" s="6">
        <v>17304</v>
      </c>
      <c r="J42" s="3">
        <v>1</v>
      </c>
      <c r="K42" s="3">
        <v>1</v>
      </c>
    </row>
    <row r="43" spans="1:11" s="2" customFormat="1" ht="12.95" customHeight="1">
      <c r="A43" s="2">
        <v>40015</v>
      </c>
      <c r="B43" s="2" t="s">
        <v>658</v>
      </c>
      <c r="C43" s="3">
        <v>8</v>
      </c>
      <c r="D43" s="144" t="s">
        <v>200</v>
      </c>
      <c r="E43" s="142" t="s">
        <v>718</v>
      </c>
      <c r="F43" s="3">
        <v>4</v>
      </c>
      <c r="G43" s="6">
        <v>10020</v>
      </c>
      <c r="H43" s="6">
        <v>1037</v>
      </c>
      <c r="I43" s="6">
        <v>17304</v>
      </c>
      <c r="J43" s="3">
        <v>1</v>
      </c>
      <c r="K43" s="3">
        <v>1</v>
      </c>
    </row>
    <row r="44" spans="1:11" ht="16.5">
      <c r="A44" s="145">
        <v>50001</v>
      </c>
      <c r="B44" s="145" t="s">
        <v>659</v>
      </c>
      <c r="C44" s="146">
        <v>0</v>
      </c>
      <c r="D44" s="137" t="s">
        <v>201</v>
      </c>
      <c r="E44" s="137" t="s">
        <v>202</v>
      </c>
      <c r="F44" s="146">
        <v>6</v>
      </c>
      <c r="G44" s="147">
        <v>10020</v>
      </c>
      <c r="H44" s="147">
        <v>1037</v>
      </c>
      <c r="I44" s="53">
        <v>17306</v>
      </c>
      <c r="J44" s="146">
        <v>1</v>
      </c>
      <c r="K44" s="146">
        <v>1</v>
      </c>
    </row>
    <row r="45" spans="1:11" ht="16.5">
      <c r="A45" s="145">
        <v>50002</v>
      </c>
      <c r="B45" s="145" t="s">
        <v>660</v>
      </c>
      <c r="C45" s="146">
        <v>0</v>
      </c>
      <c r="D45" s="137" t="s">
        <v>203</v>
      </c>
      <c r="E45" s="137" t="s">
        <v>204</v>
      </c>
      <c r="F45" s="146">
        <v>6</v>
      </c>
      <c r="G45" s="147">
        <v>10020</v>
      </c>
      <c r="H45" s="147">
        <v>1037</v>
      </c>
      <c r="I45" s="53">
        <v>17306</v>
      </c>
      <c r="J45" s="146">
        <v>1</v>
      </c>
      <c r="K45" s="146">
        <v>1</v>
      </c>
    </row>
    <row r="46" spans="1:11" ht="16.5">
      <c r="A46" s="145">
        <v>50003</v>
      </c>
      <c r="B46" s="145" t="s">
        <v>661</v>
      </c>
      <c r="C46" s="146">
        <v>0</v>
      </c>
      <c r="D46" s="137" t="s">
        <v>146</v>
      </c>
      <c r="E46" s="137" t="s">
        <v>147</v>
      </c>
      <c r="F46" s="146">
        <v>6</v>
      </c>
      <c r="G46" s="147">
        <v>10020</v>
      </c>
      <c r="H46" s="147">
        <v>1037</v>
      </c>
      <c r="I46" s="53">
        <v>17306</v>
      </c>
      <c r="J46" s="146">
        <v>1</v>
      </c>
      <c r="K46" s="146">
        <v>1</v>
      </c>
    </row>
    <row r="47" spans="1:11" ht="16.5">
      <c r="A47" s="145">
        <v>50004</v>
      </c>
      <c r="B47" s="145" t="s">
        <v>662</v>
      </c>
      <c r="C47" s="146">
        <v>0</v>
      </c>
      <c r="D47" s="137" t="s">
        <v>148</v>
      </c>
      <c r="E47" s="137" t="s">
        <v>149</v>
      </c>
      <c r="F47" s="146">
        <v>6</v>
      </c>
      <c r="G47" s="147">
        <v>10020</v>
      </c>
      <c r="H47" s="147">
        <v>1037</v>
      </c>
      <c r="I47" s="53">
        <v>17306</v>
      </c>
      <c r="J47" s="146">
        <v>1</v>
      </c>
      <c r="K47" s="146">
        <v>1</v>
      </c>
    </row>
    <row r="48" spans="1:11" ht="16.5">
      <c r="A48" s="145">
        <v>50005</v>
      </c>
      <c r="B48" s="145" t="s">
        <v>663</v>
      </c>
      <c r="C48" s="146">
        <v>0</v>
      </c>
      <c r="D48" s="137" t="s">
        <v>205</v>
      </c>
      <c r="E48" s="137" t="s">
        <v>206</v>
      </c>
      <c r="F48" s="146">
        <v>6</v>
      </c>
      <c r="G48" s="147">
        <v>10020</v>
      </c>
      <c r="H48" s="147">
        <v>1037</v>
      </c>
      <c r="I48" s="53">
        <v>17306</v>
      </c>
      <c r="J48" s="146">
        <v>1</v>
      </c>
      <c r="K48" s="146">
        <v>1</v>
      </c>
    </row>
    <row r="49" spans="1:11" ht="16.5">
      <c r="A49" s="145">
        <v>50006</v>
      </c>
      <c r="B49" s="145" t="s">
        <v>663</v>
      </c>
      <c r="C49" s="146">
        <v>0</v>
      </c>
      <c r="D49" s="51" t="s">
        <v>207</v>
      </c>
      <c r="E49" s="51" t="s">
        <v>208</v>
      </c>
      <c r="F49" s="146">
        <v>6</v>
      </c>
      <c r="G49" s="147">
        <v>10020</v>
      </c>
      <c r="H49" s="147">
        <v>1037</v>
      </c>
      <c r="I49" s="53">
        <v>17306</v>
      </c>
      <c r="J49" s="146">
        <v>1</v>
      </c>
      <c r="K49" s="146">
        <v>1</v>
      </c>
    </row>
    <row r="50" spans="1:11" ht="16.5">
      <c r="A50" s="145">
        <v>50007</v>
      </c>
      <c r="B50" s="145" t="s">
        <v>664</v>
      </c>
      <c r="C50" s="146">
        <v>0</v>
      </c>
      <c r="D50" s="148" t="s">
        <v>209</v>
      </c>
      <c r="E50" s="148" t="s">
        <v>719</v>
      </c>
      <c r="F50" s="146">
        <v>6</v>
      </c>
      <c r="G50" s="147">
        <v>10020</v>
      </c>
      <c r="H50" s="147">
        <v>1037</v>
      </c>
      <c r="I50" s="53">
        <v>17306</v>
      </c>
      <c r="J50" s="146">
        <v>1</v>
      </c>
      <c r="K50" s="146">
        <v>1</v>
      </c>
    </row>
    <row r="51" spans="1:11" ht="16.5">
      <c r="A51" s="50">
        <v>60001</v>
      </c>
      <c r="B51" s="50" t="s">
        <v>665</v>
      </c>
      <c r="C51" s="48">
        <v>15</v>
      </c>
      <c r="D51" s="51" t="s">
        <v>201</v>
      </c>
      <c r="E51" s="51" t="s">
        <v>210</v>
      </c>
      <c r="F51" s="48">
        <v>3</v>
      </c>
      <c r="G51" s="53">
        <v>10020</v>
      </c>
      <c r="H51" s="53">
        <v>1037</v>
      </c>
      <c r="I51" s="53">
        <v>17307</v>
      </c>
      <c r="J51" s="48">
        <v>1</v>
      </c>
      <c r="K51" s="48">
        <v>1</v>
      </c>
    </row>
    <row r="52" spans="1:11" ht="16.5">
      <c r="A52" s="50">
        <v>60002</v>
      </c>
      <c r="B52" s="50" t="s">
        <v>665</v>
      </c>
      <c r="C52" s="48">
        <v>15</v>
      </c>
      <c r="D52" s="51" t="s">
        <v>201</v>
      </c>
      <c r="E52" s="51" t="s">
        <v>210</v>
      </c>
      <c r="F52" s="48">
        <v>3</v>
      </c>
      <c r="G52" s="53">
        <v>10020</v>
      </c>
      <c r="H52" s="53">
        <v>1037</v>
      </c>
      <c r="I52" s="53">
        <v>17307</v>
      </c>
      <c r="J52" s="48">
        <v>1</v>
      </c>
      <c r="K52" s="48">
        <v>1</v>
      </c>
    </row>
    <row r="53" spans="1:11" ht="16.5">
      <c r="A53" s="50">
        <v>60003</v>
      </c>
      <c r="B53" s="50" t="s">
        <v>665</v>
      </c>
      <c r="C53" s="48">
        <v>15</v>
      </c>
      <c r="D53" s="51" t="s">
        <v>211</v>
      </c>
      <c r="E53" s="51" t="s">
        <v>212</v>
      </c>
      <c r="F53" s="48">
        <v>3</v>
      </c>
      <c r="G53" s="53">
        <v>10020</v>
      </c>
      <c r="H53" s="53">
        <v>1037</v>
      </c>
      <c r="I53" s="53">
        <v>17307</v>
      </c>
      <c r="J53" s="48">
        <v>1</v>
      </c>
      <c r="K53" s="48">
        <v>1</v>
      </c>
    </row>
    <row r="54" spans="1:11" ht="16.5">
      <c r="A54" s="50">
        <v>60004</v>
      </c>
      <c r="B54" s="50" t="s">
        <v>665</v>
      </c>
      <c r="C54" s="48">
        <v>15</v>
      </c>
      <c r="D54" s="51" t="s">
        <v>136</v>
      </c>
      <c r="E54" s="51" t="s">
        <v>137</v>
      </c>
      <c r="F54" s="48">
        <v>3</v>
      </c>
      <c r="G54" s="53">
        <v>10020</v>
      </c>
      <c r="H54" s="53">
        <v>1037</v>
      </c>
      <c r="I54" s="53">
        <v>17307</v>
      </c>
      <c r="J54" s="48">
        <v>1</v>
      </c>
      <c r="K54" s="48">
        <v>1</v>
      </c>
    </row>
    <row r="55" spans="1:11" ht="16.5">
      <c r="A55" s="50">
        <v>60005</v>
      </c>
      <c r="B55" s="50" t="s">
        <v>665</v>
      </c>
      <c r="C55" s="48">
        <v>15</v>
      </c>
      <c r="D55" s="51" t="s">
        <v>138</v>
      </c>
      <c r="E55" s="51" t="s">
        <v>139</v>
      </c>
      <c r="F55" s="48">
        <v>3</v>
      </c>
      <c r="G55" s="53">
        <v>10020</v>
      </c>
      <c r="H55" s="53">
        <v>1037</v>
      </c>
      <c r="I55" s="53">
        <v>17307</v>
      </c>
      <c r="J55" s="48">
        <v>1</v>
      </c>
      <c r="K55" s="48">
        <v>1</v>
      </c>
    </row>
    <row r="56" spans="1:11" ht="16.5">
      <c r="A56" s="50">
        <v>60006</v>
      </c>
      <c r="B56" s="50" t="s">
        <v>665</v>
      </c>
      <c r="C56" s="48">
        <v>15</v>
      </c>
      <c r="D56" s="51" t="s">
        <v>213</v>
      </c>
      <c r="E56" s="51" t="s">
        <v>214</v>
      </c>
      <c r="F56" s="48">
        <v>3</v>
      </c>
      <c r="G56" s="53">
        <v>10020</v>
      </c>
      <c r="H56" s="53">
        <v>1037</v>
      </c>
      <c r="I56" s="53">
        <v>17307</v>
      </c>
      <c r="J56" s="48">
        <v>1</v>
      </c>
      <c r="K56" s="48">
        <v>1</v>
      </c>
    </row>
    <row r="57" spans="1:11" ht="16.5">
      <c r="A57" s="50">
        <v>60007</v>
      </c>
      <c r="B57" s="50" t="s">
        <v>665</v>
      </c>
      <c r="C57" s="48">
        <v>15</v>
      </c>
      <c r="D57" s="51" t="s">
        <v>215</v>
      </c>
      <c r="E57" s="51" t="s">
        <v>216</v>
      </c>
      <c r="F57" s="48">
        <v>3</v>
      </c>
      <c r="G57" s="53">
        <v>10020</v>
      </c>
      <c r="H57" s="53">
        <v>1037</v>
      </c>
      <c r="I57" s="53">
        <v>17307</v>
      </c>
      <c r="J57" s="48">
        <v>1</v>
      </c>
      <c r="K57" s="48">
        <v>1</v>
      </c>
    </row>
    <row r="58" spans="1:11" ht="16.5">
      <c r="A58" s="50">
        <v>60008</v>
      </c>
      <c r="B58" s="50" t="s">
        <v>665</v>
      </c>
      <c r="C58" s="48">
        <v>15</v>
      </c>
      <c r="D58" s="51" t="s">
        <v>203</v>
      </c>
      <c r="E58" s="51" t="s">
        <v>204</v>
      </c>
      <c r="F58" s="48">
        <v>3</v>
      </c>
      <c r="G58" s="53">
        <v>10020</v>
      </c>
      <c r="H58" s="53">
        <v>1037</v>
      </c>
      <c r="I58" s="53">
        <v>17307</v>
      </c>
      <c r="J58" s="48">
        <v>1</v>
      </c>
      <c r="K58" s="48">
        <v>1</v>
      </c>
    </row>
    <row r="59" spans="1:11" ht="16.5">
      <c r="A59" s="50">
        <v>60009</v>
      </c>
      <c r="B59" s="50" t="s">
        <v>665</v>
      </c>
      <c r="C59" s="48">
        <v>15</v>
      </c>
      <c r="D59" s="51" t="s">
        <v>146</v>
      </c>
      <c r="E59" s="51" t="s">
        <v>147</v>
      </c>
      <c r="F59" s="48">
        <v>3</v>
      </c>
      <c r="G59" s="53">
        <v>10020</v>
      </c>
      <c r="H59" s="53">
        <v>1037</v>
      </c>
      <c r="I59" s="53">
        <v>17307</v>
      </c>
      <c r="J59" s="48">
        <v>1</v>
      </c>
      <c r="K59" s="48">
        <v>1</v>
      </c>
    </row>
    <row r="60" spans="1:11" ht="16.5">
      <c r="A60" s="50">
        <v>60010</v>
      </c>
      <c r="B60" s="50" t="s">
        <v>665</v>
      </c>
      <c r="C60" s="48">
        <v>15</v>
      </c>
      <c r="D60" s="51" t="s">
        <v>165</v>
      </c>
      <c r="E60" s="51" t="s">
        <v>166</v>
      </c>
      <c r="F60" s="48">
        <v>3</v>
      </c>
      <c r="G60" s="53">
        <v>10020</v>
      </c>
      <c r="H60" s="53">
        <v>1037</v>
      </c>
      <c r="I60" s="53">
        <v>17307</v>
      </c>
      <c r="J60" s="48">
        <v>1</v>
      </c>
      <c r="K60" s="48">
        <v>1</v>
      </c>
    </row>
    <row r="61" spans="1:11" s="2" customFormat="1" ht="16.5">
      <c r="A61" s="2">
        <v>60011</v>
      </c>
      <c r="B61" s="2" t="s">
        <v>665</v>
      </c>
      <c r="C61" s="3">
        <v>15</v>
      </c>
      <c r="D61" s="58" t="s">
        <v>217</v>
      </c>
      <c r="E61" s="58" t="s">
        <v>170</v>
      </c>
      <c r="F61" s="3">
        <v>3</v>
      </c>
      <c r="G61" s="6">
        <v>10020</v>
      </c>
      <c r="H61" s="6">
        <v>1037</v>
      </c>
      <c r="I61" s="6">
        <v>17307</v>
      </c>
      <c r="J61" s="3">
        <v>1</v>
      </c>
      <c r="K61" s="3">
        <v>1</v>
      </c>
    </row>
    <row r="62" spans="1:11" s="2" customFormat="1" ht="16.5">
      <c r="A62" s="2">
        <v>60012</v>
      </c>
      <c r="B62" s="2" t="s">
        <v>665</v>
      </c>
      <c r="C62" s="3">
        <v>15</v>
      </c>
      <c r="D62" s="58" t="s">
        <v>218</v>
      </c>
      <c r="E62" s="58" t="s">
        <v>219</v>
      </c>
      <c r="F62" s="3">
        <v>3</v>
      </c>
      <c r="G62" s="6">
        <v>10020</v>
      </c>
      <c r="H62" s="6">
        <v>1037</v>
      </c>
      <c r="I62" s="6">
        <v>17307</v>
      </c>
      <c r="J62" s="3">
        <v>1</v>
      </c>
      <c r="K62" s="3">
        <v>1</v>
      </c>
    </row>
    <row r="63" spans="1:11" s="2" customFormat="1" ht="16.5">
      <c r="A63" s="2">
        <v>60013</v>
      </c>
      <c r="B63" s="2" t="s">
        <v>665</v>
      </c>
      <c r="C63" s="3">
        <v>15</v>
      </c>
      <c r="D63" s="58" t="s">
        <v>220</v>
      </c>
      <c r="E63" s="58" t="s">
        <v>174</v>
      </c>
      <c r="F63" s="3">
        <v>3</v>
      </c>
      <c r="G63" s="6">
        <v>10020</v>
      </c>
      <c r="H63" s="6">
        <v>1037</v>
      </c>
      <c r="I63" s="6">
        <v>17307</v>
      </c>
      <c r="J63" s="3">
        <v>1</v>
      </c>
      <c r="K63" s="3">
        <v>1</v>
      </c>
    </row>
    <row r="64" spans="1:11" ht="16.5">
      <c r="A64" s="50">
        <v>70003</v>
      </c>
      <c r="B64" s="50" t="s">
        <v>666</v>
      </c>
      <c r="C64" s="3">
        <v>15</v>
      </c>
      <c r="D64" s="51" t="s">
        <v>221</v>
      </c>
      <c r="E64" s="51" t="s">
        <v>222</v>
      </c>
      <c r="F64" s="48">
        <v>7</v>
      </c>
      <c r="G64" s="53">
        <v>10020</v>
      </c>
      <c r="H64" s="53">
        <v>1037</v>
      </c>
      <c r="I64" s="53">
        <v>17308</v>
      </c>
      <c r="J64" s="48">
        <v>1</v>
      </c>
      <c r="K64" s="48">
        <v>1</v>
      </c>
    </row>
    <row r="65" spans="1:11" ht="16.5">
      <c r="A65" s="50">
        <v>70004</v>
      </c>
      <c r="B65" s="50" t="s">
        <v>666</v>
      </c>
      <c r="C65" s="3">
        <v>15</v>
      </c>
      <c r="D65" s="51" t="s">
        <v>223</v>
      </c>
      <c r="E65" s="51" t="s">
        <v>224</v>
      </c>
      <c r="F65" s="48">
        <v>7</v>
      </c>
      <c r="G65" s="53">
        <v>10020</v>
      </c>
      <c r="H65" s="53">
        <v>1037</v>
      </c>
      <c r="I65" s="53">
        <v>17308</v>
      </c>
      <c r="J65" s="48">
        <v>1</v>
      </c>
      <c r="K65" s="48">
        <v>1</v>
      </c>
    </row>
    <row r="66" spans="1:11" ht="16.5">
      <c r="A66" s="50">
        <v>70005</v>
      </c>
      <c r="B66" s="50" t="s">
        <v>666</v>
      </c>
      <c r="C66" s="3">
        <v>15</v>
      </c>
      <c r="D66" s="51" t="s">
        <v>225</v>
      </c>
      <c r="E66" s="51" t="s">
        <v>226</v>
      </c>
      <c r="F66" s="48">
        <v>7</v>
      </c>
      <c r="G66" s="53">
        <v>10020</v>
      </c>
      <c r="H66" s="53">
        <v>1037</v>
      </c>
      <c r="I66" s="53">
        <v>17308</v>
      </c>
      <c r="J66" s="48">
        <v>1</v>
      </c>
      <c r="K66" s="48">
        <v>1</v>
      </c>
    </row>
    <row r="67" spans="1:11" ht="16.5">
      <c r="A67" s="50">
        <v>70006</v>
      </c>
      <c r="B67" s="50" t="s">
        <v>666</v>
      </c>
      <c r="C67" s="3">
        <v>15</v>
      </c>
      <c r="D67" s="51" t="s">
        <v>227</v>
      </c>
      <c r="E67" s="51" t="s">
        <v>228</v>
      </c>
      <c r="F67" s="48">
        <v>7</v>
      </c>
      <c r="G67" s="53">
        <v>10020</v>
      </c>
      <c r="H67" s="53">
        <v>1037</v>
      </c>
      <c r="I67" s="53">
        <v>17308</v>
      </c>
      <c r="J67" s="48">
        <v>1</v>
      </c>
      <c r="K67" s="48">
        <v>1</v>
      </c>
    </row>
    <row r="68" spans="1:11" ht="16.5">
      <c r="A68" s="50">
        <v>70007</v>
      </c>
      <c r="B68" s="50" t="s">
        <v>666</v>
      </c>
      <c r="C68" s="3">
        <v>15</v>
      </c>
      <c r="D68" s="137" t="s">
        <v>148</v>
      </c>
      <c r="E68" s="137" t="s">
        <v>149</v>
      </c>
      <c r="F68" s="48">
        <v>7</v>
      </c>
      <c r="G68" s="53">
        <v>10020</v>
      </c>
      <c r="H68" s="53">
        <v>1037</v>
      </c>
      <c r="I68" s="53">
        <v>17308</v>
      </c>
      <c r="J68" s="48">
        <v>1</v>
      </c>
      <c r="K68" s="48">
        <v>1</v>
      </c>
    </row>
    <row r="69" spans="1:11" ht="16.5">
      <c r="A69" s="50">
        <v>70008</v>
      </c>
      <c r="B69" s="50" t="s">
        <v>666</v>
      </c>
      <c r="C69" s="3">
        <v>15</v>
      </c>
      <c r="D69" s="137" t="s">
        <v>205</v>
      </c>
      <c r="E69" s="137" t="s">
        <v>206</v>
      </c>
      <c r="F69" s="48">
        <v>7</v>
      </c>
      <c r="G69" s="53">
        <v>10020</v>
      </c>
      <c r="H69" s="53">
        <v>1037</v>
      </c>
      <c r="I69" s="53">
        <v>17308</v>
      </c>
      <c r="J69" s="48">
        <v>1</v>
      </c>
      <c r="K69" s="48">
        <v>1</v>
      </c>
    </row>
    <row r="70" spans="1:11" ht="16.5">
      <c r="A70" s="2">
        <v>70009</v>
      </c>
      <c r="B70" s="2" t="s">
        <v>666</v>
      </c>
      <c r="C70" s="3">
        <v>15</v>
      </c>
      <c r="D70" s="149" t="s">
        <v>229</v>
      </c>
      <c r="E70" s="149" t="s">
        <v>230</v>
      </c>
      <c r="F70" s="3">
        <v>7</v>
      </c>
      <c r="G70" s="6">
        <v>10020</v>
      </c>
      <c r="H70" s="6">
        <v>1037</v>
      </c>
      <c r="I70" s="6">
        <v>17308</v>
      </c>
      <c r="J70" s="3">
        <v>1</v>
      </c>
      <c r="K70" s="3">
        <v>1</v>
      </c>
    </row>
    <row r="71" spans="1:11" ht="16.5">
      <c r="A71" s="2">
        <v>70010</v>
      </c>
      <c r="B71" s="2" t="s">
        <v>666</v>
      </c>
      <c r="C71" s="3">
        <v>15</v>
      </c>
      <c r="D71" s="149" t="s">
        <v>196</v>
      </c>
      <c r="E71" s="149" t="s">
        <v>197</v>
      </c>
      <c r="F71" s="3">
        <v>7</v>
      </c>
      <c r="G71" s="6">
        <v>10020</v>
      </c>
      <c r="H71" s="6">
        <v>1037</v>
      </c>
      <c r="I71" s="6">
        <v>17308</v>
      </c>
      <c r="J71" s="3">
        <v>1</v>
      </c>
      <c r="K71" s="3">
        <v>1</v>
      </c>
    </row>
    <row r="72" spans="1:11" s="45" customFormat="1" ht="16.5">
      <c r="A72" s="45">
        <v>70011</v>
      </c>
      <c r="B72" s="45" t="s">
        <v>666</v>
      </c>
      <c r="C72" s="54">
        <v>15</v>
      </c>
      <c r="D72" s="150" t="s">
        <v>171</v>
      </c>
      <c r="E72" s="150" t="s">
        <v>172</v>
      </c>
      <c r="F72" s="54">
        <v>7</v>
      </c>
      <c r="G72" s="57">
        <v>10020</v>
      </c>
      <c r="H72" s="57">
        <v>1037</v>
      </c>
      <c r="I72" s="57">
        <v>17308</v>
      </c>
      <c r="J72" s="54">
        <v>1</v>
      </c>
      <c r="K72" s="54">
        <v>1</v>
      </c>
    </row>
    <row r="73" spans="1:11" s="45" customFormat="1" ht="16.5">
      <c r="A73" s="45">
        <v>70012</v>
      </c>
      <c r="B73" s="45" t="s">
        <v>666</v>
      </c>
      <c r="C73" s="54">
        <v>15</v>
      </c>
      <c r="D73" s="150" t="s">
        <v>231</v>
      </c>
      <c r="E73" s="150" t="s">
        <v>232</v>
      </c>
      <c r="F73" s="54">
        <v>7</v>
      </c>
      <c r="G73" s="57">
        <v>10020</v>
      </c>
      <c r="H73" s="57">
        <v>1037</v>
      </c>
      <c r="I73" s="57">
        <v>17308</v>
      </c>
      <c r="J73" s="54">
        <v>1</v>
      </c>
      <c r="K73" s="54">
        <v>1</v>
      </c>
    </row>
    <row r="74" spans="1:11" s="45" customFormat="1" ht="16.5">
      <c r="A74" s="45">
        <v>70013</v>
      </c>
      <c r="B74" s="45" t="s">
        <v>666</v>
      </c>
      <c r="C74" s="54">
        <v>15</v>
      </c>
      <c r="D74" s="144" t="s">
        <v>233</v>
      </c>
      <c r="E74" s="142" t="s">
        <v>718</v>
      </c>
      <c r="F74" s="54">
        <v>7</v>
      </c>
      <c r="G74" s="57">
        <v>10020</v>
      </c>
      <c r="H74" s="57">
        <v>1037</v>
      </c>
      <c r="I74" s="57">
        <v>17308</v>
      </c>
      <c r="J74" s="54">
        <v>1</v>
      </c>
      <c r="K74" s="54">
        <v>1</v>
      </c>
    </row>
    <row r="75" spans="1:11" ht="16.5">
      <c r="A75" s="50">
        <v>80001</v>
      </c>
      <c r="B75" s="50" t="s">
        <v>667</v>
      </c>
      <c r="C75" s="48">
        <v>0</v>
      </c>
      <c r="D75" s="51" t="s">
        <v>221</v>
      </c>
      <c r="E75" s="51" t="s">
        <v>234</v>
      </c>
      <c r="F75" s="48">
        <v>8</v>
      </c>
      <c r="G75" s="53">
        <v>10020</v>
      </c>
      <c r="H75" s="53">
        <v>1037</v>
      </c>
      <c r="I75" s="53">
        <v>17309</v>
      </c>
      <c r="J75" s="48">
        <v>1</v>
      </c>
      <c r="K75" s="48">
        <v>1</v>
      </c>
    </row>
    <row r="76" spans="1:11" ht="16.5">
      <c r="A76" s="50">
        <v>80002</v>
      </c>
      <c r="B76" s="50" t="s">
        <v>668</v>
      </c>
      <c r="C76" s="48">
        <v>0</v>
      </c>
      <c r="D76" s="51" t="s">
        <v>235</v>
      </c>
      <c r="E76" s="51" t="s">
        <v>236</v>
      </c>
      <c r="F76" s="48">
        <v>8</v>
      </c>
      <c r="G76" s="53">
        <v>10020</v>
      </c>
      <c r="H76" s="53">
        <v>1037</v>
      </c>
      <c r="I76" s="53">
        <v>17309</v>
      </c>
      <c r="J76" s="48">
        <v>1</v>
      </c>
      <c r="K76" s="48">
        <v>1</v>
      </c>
    </row>
    <row r="77" spans="1:11" ht="16.5">
      <c r="A77" s="50">
        <v>80003</v>
      </c>
      <c r="B77" s="50" t="s">
        <v>669</v>
      </c>
      <c r="C77" s="48">
        <v>0</v>
      </c>
      <c r="D77" s="51" t="s">
        <v>237</v>
      </c>
      <c r="E77" s="51" t="s">
        <v>238</v>
      </c>
      <c r="F77" s="48">
        <v>8</v>
      </c>
      <c r="G77" s="53">
        <v>10020</v>
      </c>
      <c r="H77" s="53">
        <v>1037</v>
      </c>
      <c r="I77" s="53">
        <v>17309</v>
      </c>
      <c r="J77" s="48">
        <v>1</v>
      </c>
      <c r="K77" s="48">
        <v>1</v>
      </c>
    </row>
    <row r="78" spans="1:11" ht="16.5">
      <c r="A78" s="50">
        <v>80004</v>
      </c>
      <c r="B78" s="50" t="s">
        <v>670</v>
      </c>
      <c r="C78" s="48">
        <v>0</v>
      </c>
      <c r="D78" s="51" t="s">
        <v>239</v>
      </c>
      <c r="E78" s="51" t="s">
        <v>240</v>
      </c>
      <c r="F78" s="48">
        <v>8</v>
      </c>
      <c r="G78" s="53">
        <v>10020</v>
      </c>
      <c r="H78" s="53">
        <v>1037</v>
      </c>
      <c r="I78" s="53">
        <v>17309</v>
      </c>
      <c r="J78" s="48">
        <v>1</v>
      </c>
      <c r="K78" s="48">
        <v>1</v>
      </c>
    </row>
    <row r="79" spans="1:11" ht="16.5">
      <c r="A79" s="50">
        <v>80005</v>
      </c>
      <c r="B79" s="50" t="s">
        <v>667</v>
      </c>
      <c r="C79" s="48">
        <v>0</v>
      </c>
      <c r="D79" s="51" t="s">
        <v>188</v>
      </c>
      <c r="E79" s="51" t="s">
        <v>241</v>
      </c>
      <c r="F79" s="48">
        <v>8</v>
      </c>
      <c r="G79" s="53">
        <v>10020</v>
      </c>
      <c r="H79" s="53">
        <v>1037</v>
      </c>
      <c r="I79" s="53">
        <v>17309</v>
      </c>
      <c r="J79" s="48">
        <v>1</v>
      </c>
      <c r="K79" s="48">
        <v>1</v>
      </c>
    </row>
    <row r="80" spans="1:11" ht="16.5">
      <c r="A80" s="50">
        <v>80006</v>
      </c>
      <c r="B80" s="50" t="s">
        <v>667</v>
      </c>
      <c r="C80" s="48">
        <v>0</v>
      </c>
      <c r="D80" s="51" t="s">
        <v>152</v>
      </c>
      <c r="E80" s="51" t="s">
        <v>153</v>
      </c>
      <c r="F80" s="48">
        <v>8</v>
      </c>
      <c r="G80" s="53">
        <v>10020</v>
      </c>
      <c r="H80" s="53">
        <v>1037</v>
      </c>
      <c r="I80" s="53">
        <v>17309</v>
      </c>
      <c r="J80" s="48">
        <v>1</v>
      </c>
      <c r="K80" s="48">
        <v>1</v>
      </c>
    </row>
    <row r="81" spans="1:11" ht="16.5">
      <c r="A81" s="50">
        <v>80007</v>
      </c>
      <c r="B81" s="50" t="s">
        <v>667</v>
      </c>
      <c r="C81" s="48">
        <v>0</v>
      </c>
      <c r="D81" s="51" t="s">
        <v>242</v>
      </c>
      <c r="E81" s="51" t="s">
        <v>155</v>
      </c>
      <c r="F81" s="48">
        <v>8</v>
      </c>
      <c r="G81" s="53">
        <v>10020</v>
      </c>
      <c r="H81" s="53">
        <v>1037</v>
      </c>
      <c r="I81" s="53">
        <v>17309</v>
      </c>
      <c r="J81" s="48">
        <v>1</v>
      </c>
      <c r="K81" s="48">
        <v>1</v>
      </c>
    </row>
    <row r="82" spans="1:11" s="45" customFormat="1" ht="16.5">
      <c r="A82" s="45">
        <v>80008</v>
      </c>
      <c r="B82" s="45" t="s">
        <v>667</v>
      </c>
      <c r="C82" s="54">
        <v>0</v>
      </c>
      <c r="D82" s="151" t="s">
        <v>158</v>
      </c>
      <c r="E82" s="151" t="s">
        <v>159</v>
      </c>
      <c r="F82" s="54">
        <v>8</v>
      </c>
      <c r="G82" s="57">
        <v>10020</v>
      </c>
      <c r="H82" s="57">
        <v>1037</v>
      </c>
      <c r="I82" s="57">
        <v>17309</v>
      </c>
      <c r="J82" s="54">
        <v>1</v>
      </c>
      <c r="K82" s="54">
        <v>1</v>
      </c>
    </row>
    <row r="83" spans="1:11" s="13" customFormat="1" ht="16.5">
      <c r="A83" s="45">
        <v>80009</v>
      </c>
      <c r="B83" s="13" t="s">
        <v>667</v>
      </c>
      <c r="C83" s="68">
        <v>0</v>
      </c>
      <c r="D83" s="152" t="s">
        <v>173</v>
      </c>
      <c r="E83" s="152" t="s">
        <v>174</v>
      </c>
      <c r="F83" s="68">
        <v>8</v>
      </c>
      <c r="G83" s="71">
        <v>10020</v>
      </c>
      <c r="H83" s="71">
        <v>1037</v>
      </c>
      <c r="I83" s="71">
        <v>17309</v>
      </c>
      <c r="J83" s="68">
        <v>1</v>
      </c>
      <c r="K83" s="68">
        <v>1</v>
      </c>
    </row>
    <row r="84" spans="1:11" s="13" customFormat="1" ht="16.5">
      <c r="A84" s="45">
        <v>80010</v>
      </c>
      <c r="B84" s="13" t="s">
        <v>667</v>
      </c>
      <c r="C84" s="68">
        <v>0</v>
      </c>
      <c r="D84" s="144" t="s">
        <v>209</v>
      </c>
      <c r="E84" s="142" t="s">
        <v>719</v>
      </c>
      <c r="F84" s="68">
        <v>8</v>
      </c>
      <c r="G84" s="71">
        <v>10020</v>
      </c>
      <c r="H84" s="71">
        <v>1037</v>
      </c>
      <c r="I84" s="71">
        <v>17309</v>
      </c>
      <c r="J84" s="68">
        <v>1</v>
      </c>
      <c r="K84" s="68">
        <v>1</v>
      </c>
    </row>
    <row r="85" spans="1:11" ht="16.5">
      <c r="A85" s="50">
        <v>90001</v>
      </c>
      <c r="B85" s="50" t="s">
        <v>671</v>
      </c>
      <c r="C85" s="48">
        <v>8</v>
      </c>
      <c r="D85" s="51" t="s">
        <v>243</v>
      </c>
      <c r="E85" s="51" t="s">
        <v>244</v>
      </c>
      <c r="F85" s="48">
        <v>9</v>
      </c>
      <c r="G85" s="53">
        <v>10020</v>
      </c>
      <c r="H85" s="53">
        <v>1037</v>
      </c>
      <c r="I85" s="53">
        <v>17310</v>
      </c>
      <c r="J85" s="48">
        <v>1</v>
      </c>
      <c r="K85" s="48">
        <v>1</v>
      </c>
    </row>
    <row r="86" spans="1:11" ht="18" customHeight="1">
      <c r="A86" s="50">
        <v>90002</v>
      </c>
      <c r="B86" s="50" t="s">
        <v>672</v>
      </c>
      <c r="C86" s="48">
        <v>8</v>
      </c>
      <c r="D86" s="51" t="s">
        <v>158</v>
      </c>
      <c r="E86" s="51" t="s">
        <v>159</v>
      </c>
      <c r="F86" s="48">
        <v>9</v>
      </c>
      <c r="G86" s="53">
        <v>10020</v>
      </c>
      <c r="H86" s="53">
        <v>1037</v>
      </c>
      <c r="I86" s="53">
        <v>17310</v>
      </c>
      <c r="J86" s="48">
        <v>1</v>
      </c>
      <c r="K86" s="48">
        <v>1</v>
      </c>
    </row>
    <row r="87" spans="1:11" s="135" customFormat="1" ht="16.5">
      <c r="A87" s="135">
        <v>100012</v>
      </c>
      <c r="B87" s="135" t="s">
        <v>673</v>
      </c>
      <c r="C87" s="153">
        <v>0</v>
      </c>
      <c r="D87" s="139" t="s">
        <v>245</v>
      </c>
      <c r="E87" s="139" t="s">
        <v>246</v>
      </c>
      <c r="F87" s="153">
        <v>1007</v>
      </c>
      <c r="G87" s="138">
        <v>10020</v>
      </c>
      <c r="H87" s="138">
        <v>1037</v>
      </c>
      <c r="I87" s="138">
        <v>17305</v>
      </c>
      <c r="J87" s="153">
        <v>0</v>
      </c>
      <c r="K87" s="153">
        <v>1</v>
      </c>
    </row>
    <row r="88" spans="1:11" s="135" customFormat="1" ht="16.5">
      <c r="A88" s="154">
        <v>100013</v>
      </c>
      <c r="B88" s="154" t="s">
        <v>673</v>
      </c>
      <c r="C88" s="155">
        <v>0</v>
      </c>
      <c r="D88" s="90" t="s">
        <v>247</v>
      </c>
      <c r="E88" s="90" t="s">
        <v>159</v>
      </c>
      <c r="F88" s="155">
        <v>1008</v>
      </c>
      <c r="G88" s="91">
        <v>10020</v>
      </c>
      <c r="H88" s="91">
        <v>1037</v>
      </c>
      <c r="I88" s="91">
        <v>17305</v>
      </c>
      <c r="J88" s="155">
        <v>0</v>
      </c>
      <c r="K88" s="155">
        <v>1</v>
      </c>
    </row>
    <row r="89" spans="1:11" s="135" customFormat="1" ht="16.5">
      <c r="A89" s="154">
        <v>100014</v>
      </c>
      <c r="B89" s="154" t="s">
        <v>673</v>
      </c>
      <c r="C89" s="155">
        <v>0</v>
      </c>
      <c r="D89" s="156" t="s">
        <v>248</v>
      </c>
      <c r="E89" s="156" t="s">
        <v>718</v>
      </c>
      <c r="F89" s="155">
        <v>1009</v>
      </c>
      <c r="G89" s="91">
        <v>10020</v>
      </c>
      <c r="H89" s="91">
        <v>1037</v>
      </c>
      <c r="I89" s="91">
        <v>17305</v>
      </c>
      <c r="J89" s="155">
        <v>0</v>
      </c>
      <c r="K89" s="155">
        <v>1</v>
      </c>
    </row>
    <row r="90" spans="1:11">
      <c r="A90" s="50">
        <v>110001</v>
      </c>
      <c r="B90" s="50" t="s">
        <v>674</v>
      </c>
      <c r="C90" s="50">
        <v>15</v>
      </c>
      <c r="D90" s="51" t="s">
        <v>249</v>
      </c>
      <c r="E90" s="51" t="s">
        <v>250</v>
      </c>
      <c r="F90" s="50">
        <v>11</v>
      </c>
      <c r="G90" s="50">
        <v>10020</v>
      </c>
      <c r="H90" s="50">
        <v>1037</v>
      </c>
      <c r="I90" s="50">
        <v>17311</v>
      </c>
      <c r="J90" s="50">
        <v>1</v>
      </c>
      <c r="K90" s="50">
        <v>1</v>
      </c>
    </row>
    <row r="91" spans="1:11">
      <c r="A91" s="50">
        <v>110002</v>
      </c>
      <c r="B91" s="50" t="s">
        <v>674</v>
      </c>
      <c r="C91" s="50">
        <v>15</v>
      </c>
      <c r="D91" s="51" t="s">
        <v>140</v>
      </c>
      <c r="E91" s="51" t="s">
        <v>141</v>
      </c>
      <c r="F91" s="50">
        <v>11</v>
      </c>
      <c r="G91" s="50">
        <v>10020</v>
      </c>
      <c r="H91" s="50">
        <v>1037</v>
      </c>
      <c r="I91" s="50">
        <v>17311</v>
      </c>
      <c r="J91" s="50">
        <v>1</v>
      </c>
      <c r="K91" s="50">
        <v>1</v>
      </c>
    </row>
    <row r="92" spans="1:11">
      <c r="A92" s="50">
        <v>110003</v>
      </c>
      <c r="B92" s="50" t="s">
        <v>674</v>
      </c>
      <c r="C92" s="50">
        <v>15</v>
      </c>
      <c r="D92" s="51" t="s">
        <v>142</v>
      </c>
      <c r="E92" s="51" t="s">
        <v>143</v>
      </c>
      <c r="F92" s="50">
        <v>11</v>
      </c>
      <c r="G92" s="50">
        <v>10020</v>
      </c>
      <c r="H92" s="50">
        <v>1037</v>
      </c>
      <c r="I92" s="50">
        <v>17311</v>
      </c>
      <c r="J92" s="50">
        <v>1</v>
      </c>
      <c r="K92" s="50">
        <v>1</v>
      </c>
    </row>
    <row r="93" spans="1:11">
      <c r="A93" s="50">
        <v>110004</v>
      </c>
      <c r="B93" s="50" t="s">
        <v>674</v>
      </c>
      <c r="C93" s="50">
        <v>15</v>
      </c>
      <c r="D93" s="51" t="s">
        <v>144</v>
      </c>
      <c r="E93" s="51" t="s">
        <v>145</v>
      </c>
      <c r="F93" s="50">
        <v>11</v>
      </c>
      <c r="G93" s="50">
        <v>10020</v>
      </c>
      <c r="H93" s="50">
        <v>1037</v>
      </c>
      <c r="I93" s="50">
        <v>17311</v>
      </c>
      <c r="J93" s="50">
        <v>1</v>
      </c>
      <c r="K93" s="50">
        <v>1</v>
      </c>
    </row>
    <row r="94" spans="1:11">
      <c r="A94" s="50">
        <v>110005</v>
      </c>
      <c r="B94" s="50" t="s">
        <v>674</v>
      </c>
      <c r="C94" s="50">
        <v>15</v>
      </c>
      <c r="D94" s="51" t="s">
        <v>163</v>
      </c>
      <c r="E94" s="51" t="s">
        <v>164</v>
      </c>
      <c r="F94" s="50">
        <v>11</v>
      </c>
      <c r="G94" s="50">
        <v>10020</v>
      </c>
      <c r="H94" s="50">
        <v>1037</v>
      </c>
      <c r="I94" s="50">
        <v>17311</v>
      </c>
      <c r="J94" s="50">
        <v>1</v>
      </c>
      <c r="K94" s="50">
        <v>1</v>
      </c>
    </row>
    <row r="95" spans="1:11">
      <c r="A95" s="50">
        <v>110006</v>
      </c>
      <c r="B95" s="50" t="s">
        <v>674</v>
      </c>
      <c r="C95" s="50">
        <v>15</v>
      </c>
      <c r="D95" s="51" t="s">
        <v>150</v>
      </c>
      <c r="E95" s="51" t="s">
        <v>151</v>
      </c>
      <c r="F95" s="50">
        <v>11</v>
      </c>
      <c r="G95" s="50">
        <v>10020</v>
      </c>
      <c r="H95" s="50">
        <v>1037</v>
      </c>
      <c r="I95" s="50">
        <v>17311</v>
      </c>
      <c r="J95" s="50">
        <v>1</v>
      </c>
      <c r="K95" s="50">
        <v>1</v>
      </c>
    </row>
    <row r="96" spans="1:11">
      <c r="A96" s="50">
        <v>110007</v>
      </c>
      <c r="B96" s="50" t="s">
        <v>674</v>
      </c>
      <c r="C96" s="50">
        <v>15</v>
      </c>
      <c r="D96" s="51" t="s">
        <v>207</v>
      </c>
      <c r="E96" s="51" t="s">
        <v>208</v>
      </c>
      <c r="F96" s="50">
        <v>11</v>
      </c>
      <c r="G96" s="50">
        <v>10020</v>
      </c>
      <c r="H96" s="50">
        <v>1037</v>
      </c>
      <c r="I96" s="50">
        <v>17311</v>
      </c>
      <c r="J96" s="50">
        <v>1</v>
      </c>
      <c r="K96" s="50">
        <v>1</v>
      </c>
    </row>
    <row r="97" spans="1:11" customFormat="1">
      <c r="A97" s="50">
        <v>110008</v>
      </c>
      <c r="B97" s="50" t="s">
        <v>674</v>
      </c>
      <c r="C97" s="50">
        <v>15</v>
      </c>
      <c r="D97" s="51" t="s">
        <v>251</v>
      </c>
      <c r="E97" s="51" t="s">
        <v>252</v>
      </c>
      <c r="F97" s="50">
        <v>11</v>
      </c>
      <c r="G97" s="50">
        <v>10020</v>
      </c>
      <c r="H97" s="50">
        <v>1037</v>
      </c>
      <c r="I97" s="50">
        <v>17311</v>
      </c>
      <c r="J97" s="50">
        <v>1</v>
      </c>
      <c r="K97" s="50">
        <v>1</v>
      </c>
    </row>
    <row r="98" spans="1:11" s="45" customFormat="1">
      <c r="A98" s="45">
        <v>110009</v>
      </c>
      <c r="B98" s="45" t="s">
        <v>674</v>
      </c>
      <c r="C98" s="45">
        <v>15</v>
      </c>
      <c r="D98" s="58" t="s">
        <v>253</v>
      </c>
      <c r="E98" s="58" t="s">
        <v>246</v>
      </c>
      <c r="F98" s="45">
        <v>11</v>
      </c>
      <c r="G98" s="45">
        <v>10020</v>
      </c>
      <c r="H98" s="45">
        <v>1037</v>
      </c>
      <c r="I98" s="45">
        <v>17311</v>
      </c>
      <c r="J98" s="45">
        <v>1</v>
      </c>
      <c r="K98" s="45">
        <v>1</v>
      </c>
    </row>
    <row r="99" spans="1:11" s="45" customFormat="1">
      <c r="A99" s="45">
        <v>110010</v>
      </c>
      <c r="B99" s="45" t="s">
        <v>674</v>
      </c>
      <c r="C99" s="45">
        <v>15</v>
      </c>
      <c r="D99" s="22" t="s">
        <v>254</v>
      </c>
      <c r="E99" s="22" t="s">
        <v>255</v>
      </c>
      <c r="F99" s="45">
        <v>11</v>
      </c>
      <c r="G99" s="45">
        <v>10020</v>
      </c>
      <c r="H99" s="45">
        <v>1037</v>
      </c>
      <c r="I99" s="45">
        <v>17311</v>
      </c>
      <c r="J99" s="45">
        <v>1</v>
      </c>
      <c r="K99" s="45">
        <v>1</v>
      </c>
    </row>
    <row r="100" spans="1:11" s="45" customFormat="1">
      <c r="A100" s="45">
        <v>110011</v>
      </c>
      <c r="B100" s="45" t="s">
        <v>674</v>
      </c>
      <c r="C100" s="45">
        <v>15</v>
      </c>
      <c r="D100" s="156" t="s">
        <v>729</v>
      </c>
      <c r="E100" s="156" t="s">
        <v>730</v>
      </c>
      <c r="F100" s="45">
        <v>11</v>
      </c>
      <c r="G100" s="45">
        <v>10020</v>
      </c>
      <c r="H100" s="45">
        <v>1037</v>
      </c>
      <c r="I100" s="45">
        <v>17311</v>
      </c>
      <c r="J100" s="45">
        <v>1</v>
      </c>
      <c r="K100" s="45">
        <v>1</v>
      </c>
    </row>
    <row r="101" spans="1:11" s="2" customFormat="1" ht="15" customHeight="1">
      <c r="A101" s="2">
        <v>120001</v>
      </c>
      <c r="B101" s="2" t="s">
        <v>675</v>
      </c>
      <c r="C101" s="2">
        <v>0</v>
      </c>
      <c r="D101" s="58" t="s">
        <v>245</v>
      </c>
      <c r="E101" s="58" t="s">
        <v>246</v>
      </c>
      <c r="F101" s="2">
        <v>12</v>
      </c>
      <c r="G101" s="2">
        <v>10020</v>
      </c>
      <c r="H101" s="2">
        <v>1037</v>
      </c>
      <c r="I101" s="2">
        <v>17312</v>
      </c>
      <c r="J101" s="2">
        <v>1</v>
      </c>
      <c r="K101" s="2">
        <v>1</v>
      </c>
    </row>
    <row r="102" spans="1:11" s="2" customFormat="1" ht="15" customHeight="1">
      <c r="A102" s="2">
        <v>120002</v>
      </c>
      <c r="B102" s="2" t="s">
        <v>676</v>
      </c>
      <c r="C102" s="2">
        <v>0</v>
      </c>
      <c r="D102" s="58" t="s">
        <v>256</v>
      </c>
      <c r="E102" s="58" t="s">
        <v>174</v>
      </c>
      <c r="F102" s="2">
        <v>22</v>
      </c>
      <c r="G102" s="2">
        <v>10020</v>
      </c>
      <c r="H102" s="2">
        <v>1037</v>
      </c>
      <c r="I102" s="2">
        <v>17312</v>
      </c>
      <c r="J102" s="2">
        <v>1</v>
      </c>
      <c r="K102" s="2">
        <v>1</v>
      </c>
    </row>
    <row r="103" spans="1:11" s="48" customFormat="1">
      <c r="A103" s="48">
        <v>130001</v>
      </c>
      <c r="B103" s="48" t="s">
        <v>677</v>
      </c>
      <c r="C103" s="48">
        <v>1</v>
      </c>
      <c r="D103" s="51" t="s">
        <v>169</v>
      </c>
      <c r="E103" s="51" t="s">
        <v>170</v>
      </c>
      <c r="F103" s="48">
        <v>13</v>
      </c>
      <c r="G103" s="50">
        <v>10020</v>
      </c>
      <c r="H103" s="50">
        <v>1037</v>
      </c>
      <c r="I103" s="50">
        <v>17313</v>
      </c>
      <c r="J103" s="48">
        <v>1</v>
      </c>
      <c r="K103" s="48">
        <v>1</v>
      </c>
    </row>
    <row r="104" spans="1:11" s="54" customFormat="1">
      <c r="A104" s="54">
        <v>130002</v>
      </c>
      <c r="B104" s="54" t="s">
        <v>677</v>
      </c>
      <c r="C104" s="54">
        <v>1</v>
      </c>
      <c r="D104" s="51" t="s">
        <v>171</v>
      </c>
      <c r="E104" s="51" t="s">
        <v>172</v>
      </c>
      <c r="F104" s="54">
        <v>13</v>
      </c>
      <c r="G104" s="45">
        <v>10020</v>
      </c>
      <c r="H104" s="45">
        <v>1037</v>
      </c>
      <c r="I104" s="45">
        <v>17313</v>
      </c>
      <c r="J104" s="54">
        <v>1</v>
      </c>
      <c r="K104" s="54">
        <v>1</v>
      </c>
    </row>
    <row r="105" spans="1:11" s="3" customFormat="1">
      <c r="A105" s="3">
        <v>130003</v>
      </c>
      <c r="B105" s="3" t="s">
        <v>677</v>
      </c>
      <c r="C105" s="3">
        <v>1</v>
      </c>
      <c r="D105" s="58" t="s">
        <v>231</v>
      </c>
      <c r="E105" s="58" t="s">
        <v>232</v>
      </c>
      <c r="F105" s="3">
        <v>13</v>
      </c>
      <c r="G105" s="2">
        <v>10020</v>
      </c>
      <c r="H105" s="2">
        <v>1037</v>
      </c>
      <c r="I105" s="2">
        <v>17313</v>
      </c>
      <c r="J105" s="3">
        <v>1</v>
      </c>
      <c r="K105" s="3">
        <v>1</v>
      </c>
    </row>
    <row r="106" spans="1:11" s="3" customFormat="1">
      <c r="A106" s="3">
        <v>130004</v>
      </c>
      <c r="B106" s="3" t="s">
        <v>677</v>
      </c>
      <c r="C106" s="3">
        <v>1</v>
      </c>
      <c r="D106" s="144" t="s">
        <v>200</v>
      </c>
      <c r="E106" s="142" t="s">
        <v>718</v>
      </c>
      <c r="F106" s="3">
        <v>13</v>
      </c>
      <c r="G106" s="2">
        <v>10020</v>
      </c>
      <c r="H106" s="2">
        <v>1037</v>
      </c>
      <c r="I106" s="2">
        <v>17313</v>
      </c>
      <c r="J106" s="3">
        <v>1</v>
      </c>
      <c r="K106" s="3">
        <v>1</v>
      </c>
    </row>
    <row r="107" spans="1:11" s="48" customFormat="1">
      <c r="A107" s="48">
        <v>140001</v>
      </c>
      <c r="B107" s="48" t="s">
        <v>678</v>
      </c>
      <c r="C107" s="48">
        <v>1</v>
      </c>
      <c r="D107" s="157" t="s">
        <v>167</v>
      </c>
      <c r="E107" s="157" t="s">
        <v>168</v>
      </c>
      <c r="F107" s="48">
        <v>14</v>
      </c>
      <c r="G107" s="50">
        <v>10020</v>
      </c>
      <c r="H107" s="50">
        <v>1037</v>
      </c>
      <c r="I107" s="50">
        <v>17314</v>
      </c>
      <c r="J107" s="48">
        <v>1</v>
      </c>
      <c r="K107" s="48">
        <v>1</v>
      </c>
    </row>
    <row r="108" spans="1:11" s="48" customFormat="1">
      <c r="A108" s="48">
        <v>140002</v>
      </c>
      <c r="B108" s="48" t="s">
        <v>678</v>
      </c>
      <c r="C108" s="48">
        <v>1</v>
      </c>
      <c r="D108" s="51" t="s">
        <v>207</v>
      </c>
      <c r="E108" s="51" t="s">
        <v>208</v>
      </c>
      <c r="F108" s="48">
        <v>14</v>
      </c>
      <c r="G108" s="50">
        <v>10020</v>
      </c>
      <c r="H108" s="50">
        <v>1037</v>
      </c>
      <c r="I108" s="50">
        <v>17314</v>
      </c>
      <c r="J108" s="48">
        <v>1</v>
      </c>
      <c r="K108" s="48">
        <v>1</v>
      </c>
    </row>
    <row r="109" spans="1:11" s="48" customFormat="1">
      <c r="A109" s="48">
        <v>140003</v>
      </c>
      <c r="B109" s="48" t="s">
        <v>678</v>
      </c>
      <c r="C109" s="48">
        <v>1</v>
      </c>
      <c r="D109" s="51" t="s">
        <v>257</v>
      </c>
      <c r="E109" s="51" t="s">
        <v>258</v>
      </c>
      <c r="F109" s="48">
        <v>14</v>
      </c>
      <c r="G109" s="50">
        <v>10020</v>
      </c>
      <c r="H109" s="50">
        <v>1037</v>
      </c>
      <c r="I109" s="50">
        <v>17314</v>
      </c>
      <c r="J109" s="48">
        <v>1</v>
      </c>
      <c r="K109" s="48">
        <v>1</v>
      </c>
    </row>
    <row r="110" spans="1:11" s="48" customFormat="1">
      <c r="A110" s="48">
        <v>140004</v>
      </c>
      <c r="B110" s="48" t="s">
        <v>678</v>
      </c>
      <c r="C110" s="48">
        <v>1</v>
      </c>
      <c r="D110" s="51" t="s">
        <v>169</v>
      </c>
      <c r="E110" s="51" t="s">
        <v>170</v>
      </c>
      <c r="F110" s="48">
        <v>14</v>
      </c>
      <c r="G110" s="50">
        <v>10020</v>
      </c>
      <c r="H110" s="50">
        <v>1037</v>
      </c>
      <c r="I110" s="50">
        <v>17314</v>
      </c>
      <c r="J110" s="48">
        <v>1</v>
      </c>
      <c r="K110" s="48">
        <v>1</v>
      </c>
    </row>
    <row r="111" spans="1:11" s="48" customFormat="1">
      <c r="A111" s="48">
        <v>140005</v>
      </c>
      <c r="B111" s="48" t="s">
        <v>678</v>
      </c>
      <c r="C111" s="48">
        <v>1</v>
      </c>
      <c r="D111" s="51" t="s">
        <v>171</v>
      </c>
      <c r="E111" s="51" t="s">
        <v>172</v>
      </c>
      <c r="F111" s="48">
        <v>14</v>
      </c>
      <c r="G111" s="50">
        <v>10020</v>
      </c>
      <c r="H111" s="50">
        <v>1037</v>
      </c>
      <c r="I111" s="50">
        <v>17314</v>
      </c>
      <c r="J111" s="48">
        <v>1</v>
      </c>
      <c r="K111" s="48">
        <v>1</v>
      </c>
    </row>
    <row r="112" spans="1:11" s="3" customFormat="1">
      <c r="A112" s="3">
        <v>140006</v>
      </c>
      <c r="B112" s="3" t="s">
        <v>678</v>
      </c>
      <c r="C112" s="3">
        <v>1</v>
      </c>
      <c r="D112" s="144" t="s">
        <v>259</v>
      </c>
      <c r="E112" s="144" t="s">
        <v>255</v>
      </c>
      <c r="F112" s="3">
        <v>14</v>
      </c>
      <c r="G112" s="2">
        <v>10020</v>
      </c>
      <c r="H112" s="2">
        <v>1037</v>
      </c>
      <c r="I112" s="2">
        <v>17314</v>
      </c>
      <c r="J112" s="3">
        <v>1</v>
      </c>
      <c r="K112" s="3">
        <v>1</v>
      </c>
    </row>
    <row r="113" spans="1:11" s="3" customFormat="1">
      <c r="A113" s="3">
        <v>140007</v>
      </c>
      <c r="B113" s="3" t="s">
        <v>678</v>
      </c>
      <c r="C113" s="3">
        <v>1</v>
      </c>
      <c r="D113" s="144" t="s">
        <v>200</v>
      </c>
      <c r="E113" s="142" t="s">
        <v>718</v>
      </c>
      <c r="F113" s="3">
        <v>14</v>
      </c>
      <c r="G113" s="2">
        <v>10020</v>
      </c>
      <c r="H113" s="2">
        <v>1037</v>
      </c>
      <c r="I113" s="2">
        <v>17314</v>
      </c>
      <c r="J113" s="3">
        <v>1</v>
      </c>
      <c r="K113" s="3">
        <v>1</v>
      </c>
    </row>
    <row r="114" spans="1:11" s="48" customFormat="1">
      <c r="A114" s="48">
        <v>150001</v>
      </c>
      <c r="B114" s="48" t="s">
        <v>679</v>
      </c>
      <c r="C114" s="48">
        <v>1</v>
      </c>
      <c r="D114" s="49" t="s">
        <v>260</v>
      </c>
      <c r="E114" s="49" t="s">
        <v>261</v>
      </c>
      <c r="F114" s="48">
        <v>15</v>
      </c>
      <c r="G114" s="48">
        <v>10020</v>
      </c>
      <c r="H114" s="48">
        <v>1037</v>
      </c>
      <c r="I114" s="48">
        <v>17315</v>
      </c>
      <c r="J114" s="48">
        <v>1</v>
      </c>
      <c r="K114" s="48">
        <v>1</v>
      </c>
    </row>
    <row r="115" spans="1:11" s="48" customFormat="1">
      <c r="A115" s="48">
        <v>150002</v>
      </c>
      <c r="B115" s="48" t="s">
        <v>679</v>
      </c>
      <c r="C115" s="48">
        <v>1</v>
      </c>
      <c r="D115" s="49" t="s">
        <v>262</v>
      </c>
      <c r="E115" s="49" t="s">
        <v>263</v>
      </c>
      <c r="F115" s="48">
        <v>15</v>
      </c>
      <c r="G115" s="48">
        <v>10020</v>
      </c>
      <c r="H115" s="48">
        <v>1037</v>
      </c>
      <c r="I115" s="48">
        <v>17315</v>
      </c>
      <c r="J115" s="48">
        <v>1</v>
      </c>
      <c r="K115" s="48">
        <v>1</v>
      </c>
    </row>
    <row r="116" spans="1:11" s="54" customFormat="1">
      <c r="A116" s="54">
        <v>150003</v>
      </c>
      <c r="B116" s="54" t="s">
        <v>679</v>
      </c>
      <c r="C116" s="54">
        <v>1</v>
      </c>
      <c r="D116" s="51" t="s">
        <v>171</v>
      </c>
      <c r="E116" s="51" t="s">
        <v>172</v>
      </c>
      <c r="F116" s="54">
        <v>15</v>
      </c>
      <c r="G116" s="54">
        <v>10020</v>
      </c>
      <c r="H116" s="54">
        <v>1037</v>
      </c>
      <c r="I116" s="54">
        <v>17315</v>
      </c>
      <c r="J116" s="54">
        <v>1</v>
      </c>
      <c r="K116" s="54">
        <v>1</v>
      </c>
    </row>
    <row r="117" spans="1:11" s="3" customFormat="1">
      <c r="A117" s="3">
        <v>150004</v>
      </c>
      <c r="B117" s="3" t="s">
        <v>679</v>
      </c>
      <c r="C117" s="3">
        <v>1</v>
      </c>
      <c r="D117" s="143" t="s">
        <v>259</v>
      </c>
      <c r="E117" s="143" t="s">
        <v>255</v>
      </c>
      <c r="F117" s="3">
        <v>15</v>
      </c>
      <c r="G117" s="3">
        <v>10020</v>
      </c>
      <c r="H117" s="3">
        <v>1037</v>
      </c>
      <c r="I117" s="3">
        <v>17315</v>
      </c>
      <c r="J117" s="3">
        <v>1</v>
      </c>
      <c r="K117" s="3">
        <v>1</v>
      </c>
    </row>
    <row r="118" spans="1:11" s="3" customFormat="1">
      <c r="A118" s="3">
        <v>150005</v>
      </c>
      <c r="B118" s="3" t="s">
        <v>679</v>
      </c>
      <c r="C118" s="3">
        <v>1</v>
      </c>
      <c r="D118" s="144" t="s">
        <v>200</v>
      </c>
      <c r="E118" s="142" t="s">
        <v>718</v>
      </c>
      <c r="F118" s="3">
        <v>15</v>
      </c>
      <c r="G118" s="3">
        <v>10020</v>
      </c>
      <c r="H118" s="3">
        <v>1037</v>
      </c>
      <c r="I118" s="3">
        <v>17315</v>
      </c>
      <c r="J118" s="3">
        <v>1</v>
      </c>
      <c r="K118" s="3">
        <v>1</v>
      </c>
    </row>
    <row r="119" spans="1:11" s="48" customFormat="1">
      <c r="A119" s="48">
        <v>160001</v>
      </c>
      <c r="B119" s="158" t="s">
        <v>680</v>
      </c>
      <c r="C119" s="48">
        <v>0</v>
      </c>
      <c r="D119" s="139" t="s">
        <v>264</v>
      </c>
      <c r="E119" s="139" t="s">
        <v>265</v>
      </c>
      <c r="F119" s="48">
        <v>16</v>
      </c>
      <c r="G119" s="48">
        <v>10020</v>
      </c>
      <c r="H119" s="48">
        <v>1037</v>
      </c>
      <c r="I119" s="48">
        <v>17316</v>
      </c>
      <c r="J119" s="48">
        <v>1</v>
      </c>
      <c r="K119" s="48">
        <v>1</v>
      </c>
    </row>
    <row r="120" spans="1:11" s="3" customFormat="1">
      <c r="A120" s="3">
        <v>160002</v>
      </c>
      <c r="B120" s="159" t="s">
        <v>680</v>
      </c>
      <c r="C120" s="3">
        <v>0</v>
      </c>
      <c r="D120" s="22" t="s">
        <v>266</v>
      </c>
      <c r="E120" s="22" t="s">
        <v>199</v>
      </c>
      <c r="F120" s="3">
        <v>16</v>
      </c>
      <c r="G120" s="3">
        <v>10020</v>
      </c>
      <c r="H120" s="3">
        <v>1037</v>
      </c>
      <c r="I120" s="3">
        <v>17316</v>
      </c>
      <c r="J120" s="3">
        <v>1</v>
      </c>
      <c r="K120" s="3">
        <v>1</v>
      </c>
    </row>
    <row r="121" spans="1:11" s="136" customFormat="1">
      <c r="A121" s="136">
        <v>160003</v>
      </c>
      <c r="B121" s="160" t="s">
        <v>680</v>
      </c>
      <c r="C121" s="136">
        <v>0</v>
      </c>
      <c r="D121" s="156" t="s">
        <v>267</v>
      </c>
      <c r="E121" s="156" t="s">
        <v>716</v>
      </c>
      <c r="F121" s="136">
        <v>16</v>
      </c>
      <c r="G121" s="136">
        <v>10020</v>
      </c>
      <c r="H121" s="136">
        <v>1037</v>
      </c>
      <c r="I121" s="136">
        <v>17316</v>
      </c>
      <c r="J121" s="136">
        <v>1</v>
      </c>
      <c r="K121" s="136">
        <v>1</v>
      </c>
    </row>
    <row r="122" spans="1:11" s="44" customFormat="1">
      <c r="A122" s="61">
        <v>180001</v>
      </c>
      <c r="B122" s="161" t="s">
        <v>681</v>
      </c>
      <c r="C122" s="161">
        <v>0</v>
      </c>
      <c r="D122" s="43" t="s">
        <v>268</v>
      </c>
      <c r="E122" s="43" t="s">
        <v>269</v>
      </c>
      <c r="F122" s="161">
        <v>18</v>
      </c>
      <c r="G122" s="161">
        <v>10064</v>
      </c>
      <c r="H122" s="161">
        <v>1312</v>
      </c>
      <c r="I122" s="161">
        <v>17317</v>
      </c>
      <c r="J122" s="161">
        <v>1</v>
      </c>
      <c r="K122" s="161">
        <v>1</v>
      </c>
    </row>
    <row r="123" spans="1:11" s="2" customFormat="1">
      <c r="A123" s="3">
        <v>190001</v>
      </c>
      <c r="B123" s="162" t="s">
        <v>682</v>
      </c>
      <c r="C123" s="162">
        <v>0</v>
      </c>
      <c r="D123" s="149" t="s">
        <v>270</v>
      </c>
      <c r="E123" s="163" t="s">
        <v>720</v>
      </c>
      <c r="F123" s="162">
        <v>19</v>
      </c>
      <c r="G123" s="162">
        <v>17318</v>
      </c>
      <c r="H123" s="162">
        <v>1313</v>
      </c>
      <c r="I123" s="162">
        <v>17318</v>
      </c>
      <c r="J123" s="162">
        <v>1</v>
      </c>
      <c r="K123" s="162">
        <v>1</v>
      </c>
    </row>
    <row r="124" spans="1:11" ht="16.5">
      <c r="A124" s="132">
        <v>200001</v>
      </c>
      <c r="B124" s="164" t="s">
        <v>683</v>
      </c>
      <c r="C124" s="164">
        <v>30</v>
      </c>
      <c r="D124" s="165" t="s">
        <v>171</v>
      </c>
      <c r="E124" s="165" t="s">
        <v>172</v>
      </c>
      <c r="F124" s="164">
        <v>20</v>
      </c>
      <c r="G124" s="164">
        <v>17319</v>
      </c>
      <c r="H124" s="164">
        <v>1314</v>
      </c>
      <c r="I124" s="164">
        <v>17319</v>
      </c>
      <c r="J124" s="164">
        <v>1</v>
      </c>
      <c r="K124" s="164">
        <v>1</v>
      </c>
    </row>
    <row r="125" spans="1:11">
      <c r="A125" s="132">
        <v>200002</v>
      </c>
      <c r="B125" s="164" t="s">
        <v>683</v>
      </c>
      <c r="C125" s="164">
        <v>30</v>
      </c>
      <c r="D125" s="144" t="s">
        <v>200</v>
      </c>
      <c r="E125" s="142" t="s">
        <v>718</v>
      </c>
      <c r="F125" s="164">
        <v>20</v>
      </c>
      <c r="G125" s="164">
        <v>17319</v>
      </c>
      <c r="H125" s="164">
        <v>1314</v>
      </c>
      <c r="I125" s="164">
        <v>17319</v>
      </c>
      <c r="J125" s="164">
        <v>1</v>
      </c>
      <c r="K125" s="164">
        <v>1</v>
      </c>
    </row>
    <row r="126" spans="1:11" ht="16.5">
      <c r="A126" s="50">
        <v>210001</v>
      </c>
      <c r="B126" s="164" t="s">
        <v>684</v>
      </c>
      <c r="C126" s="164">
        <v>0</v>
      </c>
      <c r="D126" s="165" t="s">
        <v>271</v>
      </c>
      <c r="E126" s="165" t="s">
        <v>721</v>
      </c>
      <c r="F126" s="164">
        <v>21</v>
      </c>
      <c r="G126" s="164">
        <v>17319</v>
      </c>
      <c r="H126" s="164">
        <v>1314</v>
      </c>
      <c r="I126" s="164">
        <v>17320</v>
      </c>
      <c r="J126" s="164">
        <v>1</v>
      </c>
      <c r="K126" s="164">
        <v>1</v>
      </c>
    </row>
    <row r="127" spans="1:11" s="2" customFormat="1">
      <c r="A127" s="3">
        <v>170001</v>
      </c>
      <c r="B127" s="164" t="s">
        <v>685</v>
      </c>
      <c r="C127" s="164">
        <v>15</v>
      </c>
      <c r="D127" s="149" t="s">
        <v>247</v>
      </c>
      <c r="E127" s="149" t="s">
        <v>269</v>
      </c>
      <c r="F127" s="164">
        <v>17</v>
      </c>
      <c r="G127" s="164">
        <v>10053</v>
      </c>
      <c r="H127" s="164">
        <v>1312</v>
      </c>
      <c r="I127" s="164">
        <v>17341</v>
      </c>
      <c r="J127" s="164">
        <v>1</v>
      </c>
      <c r="K127" s="164">
        <v>1</v>
      </c>
    </row>
    <row r="128" spans="1:11">
      <c r="A128" s="3">
        <v>170002</v>
      </c>
      <c r="B128" s="164" t="s">
        <v>685</v>
      </c>
      <c r="C128" s="164">
        <v>15</v>
      </c>
      <c r="D128" s="149" t="s">
        <v>231</v>
      </c>
      <c r="E128" s="149" t="s">
        <v>232</v>
      </c>
      <c r="F128" s="164">
        <v>17</v>
      </c>
      <c r="G128" s="164">
        <v>10053</v>
      </c>
      <c r="H128" s="164">
        <v>1312</v>
      </c>
      <c r="I128" s="164">
        <v>17341</v>
      </c>
      <c r="J128" s="164">
        <v>1</v>
      </c>
      <c r="K128" s="164">
        <v>1</v>
      </c>
    </row>
    <row r="129" spans="1:11">
      <c r="A129" s="3">
        <v>170003</v>
      </c>
      <c r="B129" s="164" t="s">
        <v>685</v>
      </c>
      <c r="C129" s="164">
        <v>15</v>
      </c>
      <c r="D129" s="144" t="s">
        <v>200</v>
      </c>
      <c r="E129" s="142" t="s">
        <v>718</v>
      </c>
      <c r="F129" s="50">
        <v>17</v>
      </c>
      <c r="G129" s="164">
        <v>10053</v>
      </c>
      <c r="H129" s="164">
        <v>1312</v>
      </c>
      <c r="I129" s="164">
        <v>17341</v>
      </c>
      <c r="J129" s="164">
        <v>1</v>
      </c>
      <c r="K129" s="164">
        <v>1</v>
      </c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124"/>
  <sheetViews>
    <sheetView workbookViewId="0">
      <pane ySplit="1" topLeftCell="A2" activePane="bottomLeft" state="frozen"/>
      <selection pane="bottomLeft" activeCell="D20" sqref="D20"/>
    </sheetView>
  </sheetViews>
  <sheetFormatPr defaultColWidth="9" defaultRowHeight="15"/>
  <cols>
    <col min="1" max="1" width="8.140625" customWidth="1"/>
    <col min="2" max="2" width="61.85546875" style="21" customWidth="1"/>
    <col min="3" max="3" width="11.85546875" customWidth="1"/>
    <col min="4" max="4" width="7" bestFit="1" customWidth="1"/>
    <col min="6" max="6" width="8.85546875" customWidth="1"/>
    <col min="8" max="8" width="5.28515625" customWidth="1"/>
    <col min="9" max="10" width="13" customWidth="1"/>
    <col min="11" max="11" width="11.5703125" customWidth="1"/>
    <col min="12" max="12" width="45.42578125" customWidth="1"/>
    <col min="13" max="15" width="12.5703125"/>
  </cols>
  <sheetData>
    <row r="1" spans="1:12">
      <c r="A1" s="48" t="s">
        <v>0</v>
      </c>
      <c r="B1" s="49" t="s">
        <v>13</v>
      </c>
      <c r="C1" s="48" t="s">
        <v>272</v>
      </c>
      <c r="D1" s="48" t="s">
        <v>15</v>
      </c>
      <c r="E1" s="48" t="s">
        <v>16</v>
      </c>
      <c r="F1" s="48" t="s">
        <v>17</v>
      </c>
      <c r="G1" s="48" t="s">
        <v>6</v>
      </c>
      <c r="H1" s="50" t="s">
        <v>18</v>
      </c>
      <c r="I1" s="48" t="s">
        <v>19</v>
      </c>
      <c r="J1" s="50" t="s">
        <v>20</v>
      </c>
      <c r="K1" s="50" t="s">
        <v>23</v>
      </c>
      <c r="L1" s="50" t="s">
        <v>273</v>
      </c>
    </row>
    <row r="2" spans="1:12" ht="16.5">
      <c r="A2" s="48">
        <v>10001</v>
      </c>
      <c r="B2" s="51" t="s">
        <v>732</v>
      </c>
      <c r="C2" s="52"/>
      <c r="D2" s="48">
        <v>3000</v>
      </c>
      <c r="E2" s="48">
        <v>3</v>
      </c>
      <c r="F2" s="53">
        <v>49101</v>
      </c>
      <c r="G2" s="48">
        <v>1</v>
      </c>
      <c r="H2" s="50">
        <v>1</v>
      </c>
      <c r="I2" s="50"/>
      <c r="J2" s="50"/>
      <c r="K2" s="50"/>
      <c r="L2" s="24" t="s">
        <v>274</v>
      </c>
    </row>
    <row r="3" spans="1:12" ht="16.5">
      <c r="A3" s="48">
        <v>10002</v>
      </c>
      <c r="B3" s="51" t="s">
        <v>275</v>
      </c>
      <c r="C3" s="52"/>
      <c r="D3" s="48">
        <v>15000</v>
      </c>
      <c r="E3" s="48">
        <v>3</v>
      </c>
      <c r="F3" s="53">
        <v>49102</v>
      </c>
      <c r="G3" s="48">
        <v>1</v>
      </c>
      <c r="H3" s="50">
        <v>2</v>
      </c>
      <c r="I3" s="50"/>
      <c r="J3" s="50"/>
      <c r="K3" s="50"/>
      <c r="L3" s="24" t="s">
        <v>276</v>
      </c>
    </row>
    <row r="4" spans="1:12" ht="16.5">
      <c r="A4" s="48">
        <v>10003</v>
      </c>
      <c r="B4" s="51" t="s">
        <v>733</v>
      </c>
      <c r="C4" s="52"/>
      <c r="D4" s="48">
        <v>25000</v>
      </c>
      <c r="E4" s="48">
        <v>3</v>
      </c>
      <c r="F4" s="53">
        <v>49103</v>
      </c>
      <c r="G4" s="48">
        <v>1</v>
      </c>
      <c r="H4" s="50">
        <v>3</v>
      </c>
      <c r="I4" s="50"/>
      <c r="J4" s="50"/>
      <c r="K4" s="50"/>
      <c r="L4" s="24" t="s">
        <v>277</v>
      </c>
    </row>
    <row r="5" spans="1:12" ht="16.5">
      <c r="A5" s="48">
        <v>10004</v>
      </c>
      <c r="B5" s="51" t="s">
        <v>734</v>
      </c>
      <c r="C5" s="52"/>
      <c r="D5" s="48">
        <v>100000</v>
      </c>
      <c r="E5" s="48">
        <v>3</v>
      </c>
      <c r="F5" s="53">
        <v>49104</v>
      </c>
      <c r="G5" s="48">
        <v>1</v>
      </c>
      <c r="H5" s="50">
        <v>4</v>
      </c>
      <c r="I5" s="50"/>
      <c r="J5" s="50"/>
      <c r="K5" s="50"/>
      <c r="L5" s="24" t="s">
        <v>278</v>
      </c>
    </row>
    <row r="6" spans="1:12" ht="16.5">
      <c r="A6" s="48">
        <v>10005</v>
      </c>
      <c r="B6" s="51" t="s">
        <v>735</v>
      </c>
      <c r="C6" s="52"/>
      <c r="D6" s="48">
        <v>200000</v>
      </c>
      <c r="E6" s="48">
        <v>3</v>
      </c>
      <c r="F6" s="53">
        <v>49105</v>
      </c>
      <c r="G6" s="48">
        <v>1</v>
      </c>
      <c r="H6" s="50">
        <v>5</v>
      </c>
      <c r="I6" s="50"/>
      <c r="J6" s="50"/>
      <c r="K6" s="50"/>
      <c r="L6" s="24" t="s">
        <v>279</v>
      </c>
    </row>
    <row r="7" spans="1:12" ht="16.5">
      <c r="A7" s="48">
        <v>10006</v>
      </c>
      <c r="B7" s="51" t="s">
        <v>736</v>
      </c>
      <c r="C7" s="52"/>
      <c r="D7" s="48">
        <v>500000</v>
      </c>
      <c r="E7" s="48">
        <v>3</v>
      </c>
      <c r="F7" s="53">
        <v>49106</v>
      </c>
      <c r="G7" s="48">
        <v>1</v>
      </c>
      <c r="H7" s="50">
        <v>6</v>
      </c>
      <c r="I7" s="50"/>
      <c r="J7" s="50"/>
      <c r="K7" s="50"/>
      <c r="L7" s="24" t="s">
        <v>280</v>
      </c>
    </row>
    <row r="8" spans="1:12" ht="16.5">
      <c r="A8" s="48">
        <v>11001</v>
      </c>
      <c r="B8" s="51" t="s">
        <v>737</v>
      </c>
      <c r="C8" s="52"/>
      <c r="D8" s="48">
        <v>3000</v>
      </c>
      <c r="E8" s="48">
        <v>1</v>
      </c>
      <c r="F8" s="53">
        <v>49201</v>
      </c>
      <c r="G8" s="48">
        <v>2</v>
      </c>
      <c r="H8" s="50">
        <v>1</v>
      </c>
      <c r="I8" s="50"/>
      <c r="J8" s="50"/>
      <c r="K8" s="50"/>
      <c r="L8" s="50" t="s">
        <v>281</v>
      </c>
    </row>
    <row r="9" spans="1:12" ht="16.5">
      <c r="A9" s="48">
        <v>11002</v>
      </c>
      <c r="B9" s="51" t="s">
        <v>738</v>
      </c>
      <c r="C9" s="52"/>
      <c r="D9" s="48">
        <v>25000</v>
      </c>
      <c r="E9" s="48">
        <v>3</v>
      </c>
      <c r="F9" s="53">
        <v>49202</v>
      </c>
      <c r="G9" s="48">
        <v>2</v>
      </c>
      <c r="H9" s="50">
        <v>3</v>
      </c>
      <c r="I9" s="50"/>
      <c r="J9" s="50"/>
      <c r="K9" s="50"/>
      <c r="L9" s="50" t="s">
        <v>282</v>
      </c>
    </row>
    <row r="10" spans="1:12" ht="16.5">
      <c r="A10" s="48">
        <v>11003</v>
      </c>
      <c r="B10" s="51" t="s">
        <v>739</v>
      </c>
      <c r="C10" s="52"/>
      <c r="D10" s="48">
        <v>100000</v>
      </c>
      <c r="E10" s="48">
        <v>3</v>
      </c>
      <c r="F10" s="53">
        <v>49203</v>
      </c>
      <c r="G10" s="48">
        <v>2</v>
      </c>
      <c r="H10" s="50">
        <v>4</v>
      </c>
      <c r="I10" s="50"/>
      <c r="J10" s="50"/>
      <c r="K10" s="50"/>
      <c r="L10" s="50" t="s">
        <v>283</v>
      </c>
    </row>
    <row r="11" spans="1:12" ht="16.5">
      <c r="A11" s="48">
        <v>11004</v>
      </c>
      <c r="B11" s="51" t="s">
        <v>740</v>
      </c>
      <c r="C11" s="52"/>
      <c r="D11" s="48">
        <v>200000</v>
      </c>
      <c r="E11" s="48">
        <v>3</v>
      </c>
      <c r="F11" s="53">
        <v>49204</v>
      </c>
      <c r="G11" s="48">
        <v>2</v>
      </c>
      <c r="H11" s="50">
        <v>5</v>
      </c>
      <c r="I11" s="50"/>
      <c r="J11" s="50"/>
      <c r="K11" s="50"/>
      <c r="L11" s="50" t="s">
        <v>284</v>
      </c>
    </row>
    <row r="12" spans="1:12" ht="16.5">
      <c r="A12" s="48">
        <v>11005</v>
      </c>
      <c r="B12" s="51" t="s">
        <v>741</v>
      </c>
      <c r="C12" s="52"/>
      <c r="D12" s="48">
        <v>500000</v>
      </c>
      <c r="E12" s="48">
        <v>-1</v>
      </c>
      <c r="F12" s="53">
        <v>49205</v>
      </c>
      <c r="G12" s="48">
        <v>2</v>
      </c>
      <c r="H12" s="50">
        <v>6</v>
      </c>
      <c r="I12" s="50"/>
      <c r="J12" s="50"/>
      <c r="K12" s="50"/>
      <c r="L12" s="50" t="s">
        <v>285</v>
      </c>
    </row>
    <row r="13" spans="1:12" ht="16.5">
      <c r="A13" s="54">
        <v>12001</v>
      </c>
      <c r="B13" s="55" t="s">
        <v>742</v>
      </c>
      <c r="C13" s="56"/>
      <c r="D13" s="54">
        <v>3000</v>
      </c>
      <c r="E13" s="54">
        <v>1</v>
      </c>
      <c r="F13" s="57">
        <v>49301</v>
      </c>
      <c r="G13" s="54">
        <v>3</v>
      </c>
      <c r="H13" s="45">
        <v>1</v>
      </c>
      <c r="I13" s="45"/>
      <c r="J13" s="50"/>
      <c r="K13" s="50"/>
      <c r="L13" s="24" t="s">
        <v>286</v>
      </c>
    </row>
    <row r="14" spans="1:12" ht="16.5">
      <c r="A14" s="54">
        <v>12002</v>
      </c>
      <c r="B14" s="55" t="s">
        <v>287</v>
      </c>
      <c r="C14" s="56"/>
      <c r="D14" s="54">
        <v>15000</v>
      </c>
      <c r="E14" s="54">
        <v>3</v>
      </c>
      <c r="F14" s="57">
        <v>49302</v>
      </c>
      <c r="G14" s="54">
        <v>3</v>
      </c>
      <c r="H14" s="45">
        <v>3</v>
      </c>
      <c r="I14" s="45"/>
      <c r="J14" s="50"/>
      <c r="K14" s="50"/>
      <c r="L14" s="24" t="s">
        <v>288</v>
      </c>
    </row>
    <row r="15" spans="1:12" ht="16.5">
      <c r="A15" s="54">
        <v>12003</v>
      </c>
      <c r="B15" s="55" t="s">
        <v>743</v>
      </c>
      <c r="C15" s="56"/>
      <c r="D15" s="54">
        <v>100000</v>
      </c>
      <c r="E15" s="54">
        <v>3</v>
      </c>
      <c r="F15" s="57">
        <v>49303</v>
      </c>
      <c r="G15" s="54">
        <v>3</v>
      </c>
      <c r="H15" s="45">
        <v>4</v>
      </c>
      <c r="I15" s="45"/>
      <c r="J15" s="50"/>
      <c r="K15" s="50"/>
      <c r="L15" s="24" t="s">
        <v>289</v>
      </c>
    </row>
    <row r="16" spans="1:12" ht="16.5">
      <c r="A16" s="54">
        <v>12004</v>
      </c>
      <c r="B16" s="55" t="s">
        <v>744</v>
      </c>
      <c r="C16" s="56"/>
      <c r="D16" s="54">
        <v>200000</v>
      </c>
      <c r="E16" s="54">
        <v>3</v>
      </c>
      <c r="F16" s="57">
        <v>49304</v>
      </c>
      <c r="G16" s="54">
        <v>3</v>
      </c>
      <c r="H16" s="45">
        <v>5</v>
      </c>
      <c r="I16" s="45"/>
      <c r="J16" s="50"/>
      <c r="K16" s="50"/>
      <c r="L16" s="24" t="s">
        <v>290</v>
      </c>
    </row>
    <row r="17" spans="1:12" ht="16.5">
      <c r="A17" s="54">
        <v>12005</v>
      </c>
      <c r="B17" s="55" t="s">
        <v>745</v>
      </c>
      <c r="C17" s="56"/>
      <c r="D17" s="54">
        <v>500000</v>
      </c>
      <c r="E17" s="54">
        <v>-1</v>
      </c>
      <c r="F17" s="57">
        <v>49305</v>
      </c>
      <c r="G17" s="54">
        <v>3</v>
      </c>
      <c r="H17" s="45">
        <v>6</v>
      </c>
      <c r="I17" s="45"/>
      <c r="J17" s="50"/>
      <c r="K17" s="50"/>
      <c r="L17" s="24" t="s">
        <v>291</v>
      </c>
    </row>
    <row r="18" spans="1:12" s="2" customFormat="1" ht="16.5">
      <c r="A18" s="48">
        <v>13001</v>
      </c>
      <c r="B18" s="58" t="s">
        <v>746</v>
      </c>
      <c r="C18" s="4"/>
      <c r="D18" s="3">
        <v>3000</v>
      </c>
      <c r="E18" s="3">
        <v>1</v>
      </c>
      <c r="F18" s="6">
        <v>49401</v>
      </c>
      <c r="G18" s="3">
        <v>4</v>
      </c>
      <c r="H18" s="2">
        <v>1</v>
      </c>
      <c r="L18" s="2" t="s">
        <v>292</v>
      </c>
    </row>
    <row r="19" spans="1:12" s="2" customFormat="1" ht="16.5">
      <c r="A19" s="48">
        <v>13002</v>
      </c>
      <c r="B19" s="58" t="s">
        <v>293</v>
      </c>
      <c r="C19" s="4"/>
      <c r="D19" s="3">
        <v>15000</v>
      </c>
      <c r="E19" s="3">
        <v>3</v>
      </c>
      <c r="F19" s="6">
        <v>49402</v>
      </c>
      <c r="G19" s="3">
        <v>4</v>
      </c>
      <c r="H19" s="2">
        <v>2</v>
      </c>
      <c r="L19" s="2" t="s">
        <v>294</v>
      </c>
    </row>
    <row r="20" spans="1:12" s="2" customFormat="1" ht="16.5">
      <c r="A20" s="48">
        <v>13003</v>
      </c>
      <c r="B20" s="58" t="s">
        <v>747</v>
      </c>
      <c r="C20" s="4"/>
      <c r="D20" s="3">
        <v>100000</v>
      </c>
      <c r="E20" s="3">
        <v>3</v>
      </c>
      <c r="F20" s="6">
        <v>49403</v>
      </c>
      <c r="G20" s="3">
        <v>4</v>
      </c>
      <c r="H20" s="2">
        <v>3</v>
      </c>
      <c r="L20" s="2" t="s">
        <v>295</v>
      </c>
    </row>
    <row r="21" spans="1:12" s="44" customFormat="1" ht="16.5">
      <c r="A21" s="48">
        <v>13004</v>
      </c>
      <c r="B21" s="59" t="s">
        <v>296</v>
      </c>
      <c r="C21" s="60"/>
      <c r="D21" s="61">
        <v>100000</v>
      </c>
      <c r="E21" s="61">
        <v>3</v>
      </c>
      <c r="F21" s="6">
        <v>49404</v>
      </c>
      <c r="G21" s="61">
        <v>4</v>
      </c>
      <c r="H21" s="44">
        <v>4</v>
      </c>
      <c r="L21" s="44" t="s">
        <v>297</v>
      </c>
    </row>
    <row r="22" spans="1:12" s="2" customFormat="1" ht="16.5">
      <c r="A22" s="48">
        <v>13005</v>
      </c>
      <c r="B22" s="58" t="s">
        <v>748</v>
      </c>
      <c r="C22" s="4"/>
      <c r="D22" s="3">
        <v>200000</v>
      </c>
      <c r="E22" s="3">
        <v>3</v>
      </c>
      <c r="F22" s="6">
        <v>49405</v>
      </c>
      <c r="G22" s="3">
        <v>4</v>
      </c>
      <c r="H22" s="2">
        <v>5</v>
      </c>
      <c r="L22" s="2" t="s">
        <v>298</v>
      </c>
    </row>
    <row r="23" spans="1:12" s="44" customFormat="1" ht="16.5">
      <c r="A23" s="48">
        <v>13006</v>
      </c>
      <c r="B23" s="59" t="s">
        <v>749</v>
      </c>
      <c r="C23" s="60"/>
      <c r="D23" s="61">
        <v>200000</v>
      </c>
      <c r="E23" s="61">
        <v>3</v>
      </c>
      <c r="F23" s="6">
        <v>49406</v>
      </c>
      <c r="G23" s="61">
        <v>4</v>
      </c>
      <c r="H23" s="44">
        <v>6</v>
      </c>
      <c r="L23" s="44" t="s">
        <v>299</v>
      </c>
    </row>
    <row r="24" spans="1:12" s="2" customFormat="1" ht="16.5">
      <c r="A24" s="48">
        <v>13007</v>
      </c>
      <c r="B24" s="58" t="s">
        <v>750</v>
      </c>
      <c r="C24" s="4"/>
      <c r="D24" s="3">
        <v>500000</v>
      </c>
      <c r="E24" s="3">
        <v>-1</v>
      </c>
      <c r="F24" s="6">
        <v>49407</v>
      </c>
      <c r="G24" s="3">
        <v>4</v>
      </c>
      <c r="H24" s="2">
        <v>7</v>
      </c>
      <c r="L24" s="2" t="s">
        <v>300</v>
      </c>
    </row>
    <row r="25" spans="1:12" s="45" customFormat="1" ht="16.5">
      <c r="A25" s="48">
        <v>14001</v>
      </c>
      <c r="B25" s="62" t="s">
        <v>751</v>
      </c>
      <c r="C25" s="52"/>
      <c r="D25" s="48">
        <v>3000</v>
      </c>
      <c r="E25" s="48">
        <v>1</v>
      </c>
      <c r="F25" s="53">
        <v>49501</v>
      </c>
      <c r="G25" s="48">
        <v>6</v>
      </c>
      <c r="H25" s="50">
        <v>1</v>
      </c>
      <c r="I25" s="50"/>
      <c r="J25" s="50"/>
      <c r="K25" s="50"/>
      <c r="L25" s="50"/>
    </row>
    <row r="26" spans="1:12" s="45" customFormat="1" ht="16.5">
      <c r="A26" s="48">
        <v>14002</v>
      </c>
      <c r="B26" s="62" t="s">
        <v>752</v>
      </c>
      <c r="C26" s="52"/>
      <c r="D26" s="48">
        <v>25000</v>
      </c>
      <c r="E26" s="48">
        <v>3</v>
      </c>
      <c r="F26" s="53">
        <v>49502</v>
      </c>
      <c r="G26" s="48">
        <v>6</v>
      </c>
      <c r="H26" s="50">
        <v>3</v>
      </c>
      <c r="I26" s="50"/>
      <c r="J26" s="50"/>
      <c r="K26" s="50"/>
      <c r="L26" s="50"/>
    </row>
    <row r="27" spans="1:12" s="45" customFormat="1" ht="16.5">
      <c r="A27" s="48">
        <v>14003</v>
      </c>
      <c r="B27" s="62" t="s">
        <v>753</v>
      </c>
      <c r="C27" s="52"/>
      <c r="D27" s="48">
        <v>100000</v>
      </c>
      <c r="E27" s="48">
        <v>3</v>
      </c>
      <c r="F27" s="53">
        <v>49503</v>
      </c>
      <c r="G27" s="48">
        <v>6</v>
      </c>
      <c r="H27" s="50">
        <v>4</v>
      </c>
      <c r="I27" s="50"/>
      <c r="J27" s="50"/>
      <c r="K27" s="50"/>
      <c r="L27" s="50"/>
    </row>
    <row r="28" spans="1:12" s="45" customFormat="1" ht="16.5">
      <c r="A28" s="48">
        <v>14004</v>
      </c>
      <c r="B28" s="62" t="s">
        <v>754</v>
      </c>
      <c r="C28" s="52"/>
      <c r="D28" s="48">
        <v>200000</v>
      </c>
      <c r="E28" s="48">
        <v>3</v>
      </c>
      <c r="F28" s="53">
        <v>49504</v>
      </c>
      <c r="G28" s="48">
        <v>6</v>
      </c>
      <c r="H28" s="50">
        <v>5</v>
      </c>
      <c r="I28" s="50"/>
      <c r="J28" s="50"/>
      <c r="K28" s="50"/>
      <c r="L28" s="50"/>
    </row>
    <row r="29" spans="1:12" s="45" customFormat="1" ht="16.5">
      <c r="A29" s="48">
        <v>14005</v>
      </c>
      <c r="B29" s="62" t="s">
        <v>755</v>
      </c>
      <c r="C29" s="52"/>
      <c r="D29" s="48">
        <v>500000</v>
      </c>
      <c r="E29" s="48">
        <v>-1</v>
      </c>
      <c r="F29" s="53">
        <v>49505</v>
      </c>
      <c r="G29" s="48">
        <v>6</v>
      </c>
      <c r="H29" s="50">
        <v>6</v>
      </c>
      <c r="I29" s="50"/>
      <c r="J29" s="50"/>
      <c r="K29" s="50"/>
      <c r="L29" s="50"/>
    </row>
    <row r="30" spans="1:12" s="46" customFormat="1" ht="16.5">
      <c r="A30" s="63">
        <v>20001</v>
      </c>
      <c r="B30" s="64" t="s">
        <v>756</v>
      </c>
      <c r="C30" s="65">
        <v>56000101</v>
      </c>
      <c r="D30" s="63">
        <v>500000</v>
      </c>
      <c r="E30" s="63">
        <v>7</v>
      </c>
      <c r="F30" s="66">
        <v>58001</v>
      </c>
      <c r="G30" s="63">
        <v>1007</v>
      </c>
      <c r="H30" s="46">
        <v>1</v>
      </c>
    </row>
    <row r="31" spans="1:12" s="46" customFormat="1" ht="16.5">
      <c r="A31" s="63">
        <v>20002</v>
      </c>
      <c r="B31" s="67" t="s">
        <v>757</v>
      </c>
      <c r="C31" s="65">
        <v>49000101</v>
      </c>
      <c r="D31" s="63">
        <v>500000</v>
      </c>
      <c r="E31" s="63">
        <v>7</v>
      </c>
      <c r="F31" s="66">
        <v>58003</v>
      </c>
      <c r="G31" s="63">
        <v>1008</v>
      </c>
      <c r="H31" s="46">
        <v>1</v>
      </c>
    </row>
    <row r="32" spans="1:12" s="46" customFormat="1" ht="16.5">
      <c r="A32" s="63">
        <v>220003</v>
      </c>
      <c r="B32" s="67" t="s">
        <v>758</v>
      </c>
      <c r="C32" s="65">
        <v>57000101</v>
      </c>
      <c r="D32" s="63">
        <v>500000</v>
      </c>
      <c r="E32" s="63">
        <v>7</v>
      </c>
      <c r="F32" s="53">
        <v>58004</v>
      </c>
      <c r="G32" s="63">
        <v>1009</v>
      </c>
      <c r="H32" s="46">
        <v>1</v>
      </c>
      <c r="L32" s="46" t="s">
        <v>301</v>
      </c>
    </row>
    <row r="33" spans="1:14" s="46" customFormat="1" ht="16.5">
      <c r="A33" s="63">
        <v>220004</v>
      </c>
      <c r="B33" s="67" t="s">
        <v>759</v>
      </c>
      <c r="C33" s="65">
        <v>45000101</v>
      </c>
      <c r="D33" s="63">
        <v>500000</v>
      </c>
      <c r="E33" s="63">
        <v>7</v>
      </c>
      <c r="F33" s="53">
        <v>58005</v>
      </c>
      <c r="G33" s="63">
        <v>1009</v>
      </c>
      <c r="H33" s="46">
        <v>1</v>
      </c>
      <c r="L33" s="46" t="s">
        <v>302</v>
      </c>
    </row>
    <row r="34" spans="1:14" ht="16.5">
      <c r="A34" s="68">
        <v>15001</v>
      </c>
      <c r="B34" s="69" t="s">
        <v>760</v>
      </c>
      <c r="C34" s="70"/>
      <c r="D34" s="68">
        <v>3000</v>
      </c>
      <c r="E34" s="68">
        <v>1</v>
      </c>
      <c r="F34" s="71">
        <v>49601</v>
      </c>
      <c r="G34" s="68">
        <v>7</v>
      </c>
      <c r="H34" s="13">
        <v>1</v>
      </c>
      <c r="I34" s="13"/>
      <c r="J34" s="50"/>
      <c r="K34" s="50"/>
      <c r="L34" s="50"/>
    </row>
    <row r="35" spans="1:14" ht="16.5">
      <c r="A35" s="68">
        <v>15002</v>
      </c>
      <c r="B35" s="69" t="s">
        <v>761</v>
      </c>
      <c r="C35" s="70"/>
      <c r="D35" s="68">
        <v>25000</v>
      </c>
      <c r="E35" s="68">
        <v>3</v>
      </c>
      <c r="F35" s="71">
        <v>49602</v>
      </c>
      <c r="G35" s="68">
        <v>7</v>
      </c>
      <c r="H35" s="13">
        <v>3</v>
      </c>
      <c r="I35" s="13"/>
      <c r="J35" s="50"/>
      <c r="K35" s="50"/>
      <c r="L35" s="50"/>
    </row>
    <row r="36" spans="1:14" ht="16.5">
      <c r="A36" s="68">
        <v>15003</v>
      </c>
      <c r="B36" s="69" t="s">
        <v>762</v>
      </c>
      <c r="C36" s="70"/>
      <c r="D36" s="68">
        <v>100000</v>
      </c>
      <c r="E36" s="68">
        <v>3</v>
      </c>
      <c r="F36" s="71">
        <v>49603</v>
      </c>
      <c r="G36" s="68">
        <v>7</v>
      </c>
      <c r="H36" s="13">
        <v>4</v>
      </c>
      <c r="I36" s="13"/>
      <c r="J36" s="50"/>
      <c r="K36" s="50"/>
      <c r="L36" s="50"/>
    </row>
    <row r="37" spans="1:14" ht="16.5">
      <c r="A37" s="68">
        <v>15004</v>
      </c>
      <c r="B37" s="69" t="s">
        <v>763</v>
      </c>
      <c r="C37" s="70"/>
      <c r="D37" s="68">
        <v>200000</v>
      </c>
      <c r="E37" s="68">
        <v>3</v>
      </c>
      <c r="F37" s="71">
        <v>49604</v>
      </c>
      <c r="G37" s="68">
        <v>7</v>
      </c>
      <c r="H37" s="13">
        <v>5</v>
      </c>
      <c r="I37" s="13"/>
      <c r="J37" s="50"/>
      <c r="K37" s="50"/>
      <c r="L37" s="50"/>
    </row>
    <row r="38" spans="1:14" ht="16.5">
      <c r="A38" s="68">
        <v>15005</v>
      </c>
      <c r="B38" s="69" t="s">
        <v>764</v>
      </c>
      <c r="C38" s="70"/>
      <c r="D38" s="68">
        <v>500000</v>
      </c>
      <c r="E38" s="68">
        <v>-1</v>
      </c>
      <c r="F38" s="71">
        <v>49605</v>
      </c>
      <c r="G38" s="68">
        <v>7</v>
      </c>
      <c r="H38" s="13">
        <v>6</v>
      </c>
      <c r="I38" s="13"/>
      <c r="J38" s="50"/>
      <c r="K38" s="50"/>
      <c r="L38" s="50"/>
    </row>
    <row r="39" spans="1:14" ht="16.5">
      <c r="A39" s="48">
        <v>16001</v>
      </c>
      <c r="B39" s="51" t="s">
        <v>303</v>
      </c>
      <c r="C39" s="52"/>
      <c r="D39" s="48">
        <v>3000</v>
      </c>
      <c r="E39" s="48">
        <v>1</v>
      </c>
      <c r="F39" s="53">
        <v>49701</v>
      </c>
      <c r="G39" s="48">
        <v>8</v>
      </c>
      <c r="H39" s="50">
        <v>1</v>
      </c>
      <c r="I39" s="50"/>
      <c r="J39" s="50"/>
      <c r="K39" s="50"/>
      <c r="L39" s="50"/>
    </row>
    <row r="40" spans="1:14" ht="16.5">
      <c r="A40" s="48">
        <v>16002</v>
      </c>
      <c r="B40" s="51" t="s">
        <v>765</v>
      </c>
      <c r="C40" s="52"/>
      <c r="D40" s="48">
        <v>25000</v>
      </c>
      <c r="E40" s="48">
        <v>3</v>
      </c>
      <c r="F40" s="53">
        <v>49702</v>
      </c>
      <c r="G40" s="48">
        <v>8</v>
      </c>
      <c r="H40" s="50">
        <v>3</v>
      </c>
      <c r="I40" s="50"/>
      <c r="J40" s="50"/>
      <c r="K40" s="50"/>
      <c r="L40" s="50"/>
    </row>
    <row r="41" spans="1:14" ht="16.5">
      <c r="A41" s="48">
        <v>16003</v>
      </c>
      <c r="B41" s="62" t="s">
        <v>766</v>
      </c>
      <c r="C41" s="52"/>
      <c r="D41" s="48">
        <v>100000</v>
      </c>
      <c r="E41" s="48">
        <v>3</v>
      </c>
      <c r="F41" s="53">
        <v>49703</v>
      </c>
      <c r="G41" s="48">
        <v>8</v>
      </c>
      <c r="H41" s="50">
        <v>4</v>
      </c>
      <c r="I41" s="50"/>
      <c r="J41" s="50"/>
      <c r="K41" s="50"/>
      <c r="L41" s="50"/>
    </row>
    <row r="42" spans="1:14" ht="16.5">
      <c r="A42" s="48">
        <v>16004</v>
      </c>
      <c r="B42" s="62" t="s">
        <v>767</v>
      </c>
      <c r="C42" s="52"/>
      <c r="D42" s="48">
        <v>200000</v>
      </c>
      <c r="E42" s="48">
        <v>3</v>
      </c>
      <c r="F42" s="53">
        <v>49704</v>
      </c>
      <c r="G42" s="48">
        <v>8</v>
      </c>
      <c r="H42" s="50">
        <v>5</v>
      </c>
      <c r="I42" s="50"/>
      <c r="J42" s="50"/>
      <c r="K42" s="50"/>
      <c r="L42" s="50"/>
    </row>
    <row r="43" spans="1:14" ht="16.5">
      <c r="A43" s="48">
        <v>16005</v>
      </c>
      <c r="B43" s="51" t="s">
        <v>768</v>
      </c>
      <c r="C43" s="52"/>
      <c r="D43" s="48">
        <v>500000</v>
      </c>
      <c r="E43" s="48">
        <v>3</v>
      </c>
      <c r="F43" s="53">
        <v>49705</v>
      </c>
      <c r="G43" s="48">
        <v>8</v>
      </c>
      <c r="H43" s="50">
        <v>6</v>
      </c>
      <c r="I43" s="50"/>
      <c r="J43" s="50"/>
      <c r="K43" s="50"/>
      <c r="L43" s="50"/>
    </row>
    <row r="44" spans="1:14" ht="16.5">
      <c r="A44" s="3">
        <v>17001</v>
      </c>
      <c r="B44" s="72" t="s">
        <v>304</v>
      </c>
      <c r="C44" s="4"/>
      <c r="D44" s="3">
        <v>3000</v>
      </c>
      <c r="E44" s="73">
        <v>1</v>
      </c>
      <c r="F44" s="6">
        <v>49801</v>
      </c>
      <c r="G44" s="3">
        <v>9</v>
      </c>
      <c r="H44" s="2">
        <v>1</v>
      </c>
      <c r="I44" s="2"/>
      <c r="L44" s="24" t="s">
        <v>305</v>
      </c>
      <c r="M44">
        <f>6/10</f>
        <v>0.6</v>
      </c>
    </row>
    <row r="45" spans="1:14" ht="16.5">
      <c r="A45" s="3">
        <v>17002</v>
      </c>
      <c r="B45" s="72" t="s">
        <v>769</v>
      </c>
      <c r="C45" s="4"/>
      <c r="D45" s="3">
        <v>25000</v>
      </c>
      <c r="E45" s="73">
        <v>2</v>
      </c>
      <c r="F45" s="6">
        <v>49802</v>
      </c>
      <c r="G45" s="3">
        <v>9</v>
      </c>
      <c r="H45" s="2">
        <v>3</v>
      </c>
      <c r="I45" s="2"/>
      <c r="L45" s="24" t="s">
        <v>306</v>
      </c>
      <c r="M45">
        <f>45/N45</f>
        <v>11.25</v>
      </c>
      <c r="N45">
        <f>60/15</f>
        <v>4</v>
      </c>
    </row>
    <row r="46" spans="1:14" ht="16.5">
      <c r="A46" s="3">
        <v>17003</v>
      </c>
      <c r="B46" s="72" t="s">
        <v>770</v>
      </c>
      <c r="C46" s="4"/>
      <c r="D46" s="3">
        <v>100000</v>
      </c>
      <c r="E46" s="73">
        <v>2</v>
      </c>
      <c r="F46" s="6">
        <v>49803</v>
      </c>
      <c r="G46" s="3">
        <v>9</v>
      </c>
      <c r="H46" s="2">
        <v>4</v>
      </c>
      <c r="I46" s="2"/>
      <c r="L46" s="24" t="s">
        <v>307</v>
      </c>
      <c r="M46">
        <f>128/N46</f>
        <v>12.8</v>
      </c>
      <c r="N46">
        <f>150/15</f>
        <v>10</v>
      </c>
    </row>
    <row r="47" spans="1:14" ht="16.5">
      <c r="A47" s="48">
        <v>17005</v>
      </c>
      <c r="B47" s="72" t="s">
        <v>771</v>
      </c>
      <c r="C47" s="4"/>
      <c r="D47" s="3">
        <v>500000</v>
      </c>
      <c r="E47" s="73">
        <v>-1</v>
      </c>
      <c r="F47" s="53">
        <v>49805</v>
      </c>
      <c r="G47" s="3">
        <v>9</v>
      </c>
      <c r="H47" s="2">
        <v>5</v>
      </c>
      <c r="I47" s="2"/>
      <c r="L47" s="24" t="s">
        <v>308</v>
      </c>
      <c r="M47">
        <f>648/N47</f>
        <v>12.96</v>
      </c>
      <c r="N47">
        <f>750/15</f>
        <v>50</v>
      </c>
    </row>
    <row r="48" spans="1:14" ht="16.5">
      <c r="A48" s="48">
        <v>17006</v>
      </c>
      <c r="B48" s="72" t="s">
        <v>772</v>
      </c>
      <c r="C48" s="4"/>
      <c r="D48" s="3">
        <v>500000</v>
      </c>
      <c r="E48" s="73">
        <v>1</v>
      </c>
      <c r="F48" s="53">
        <v>49806</v>
      </c>
      <c r="G48" s="3">
        <v>9</v>
      </c>
      <c r="H48" s="2">
        <v>7</v>
      </c>
      <c r="I48" s="2"/>
      <c r="L48" s="24" t="s">
        <v>309</v>
      </c>
    </row>
    <row r="49" spans="1:16" ht="16.5">
      <c r="A49" s="74">
        <v>18001</v>
      </c>
      <c r="B49" s="75" t="s">
        <v>310</v>
      </c>
      <c r="C49" s="76"/>
      <c r="D49" s="77">
        <v>0</v>
      </c>
      <c r="E49" s="77">
        <v>-1</v>
      </c>
      <c r="F49" s="78"/>
      <c r="G49" s="79">
        <v>11</v>
      </c>
      <c r="H49" s="74">
        <v>1</v>
      </c>
      <c r="I49" s="74">
        <v>50</v>
      </c>
    </row>
    <row r="50" spans="1:16">
      <c r="A50" s="74">
        <v>18002</v>
      </c>
      <c r="B50" s="75" t="s">
        <v>311</v>
      </c>
      <c r="C50" s="74"/>
      <c r="D50" s="77">
        <v>40000</v>
      </c>
      <c r="E50" s="77">
        <v>3</v>
      </c>
      <c r="F50" s="74">
        <v>49901</v>
      </c>
      <c r="G50" s="79">
        <v>11</v>
      </c>
      <c r="H50" s="74">
        <v>2</v>
      </c>
      <c r="I50" s="74"/>
    </row>
    <row r="51" spans="1:16">
      <c r="A51" s="74">
        <v>18003</v>
      </c>
      <c r="B51" s="75" t="s">
        <v>773</v>
      </c>
      <c r="C51" s="74"/>
      <c r="D51" s="77">
        <v>100000</v>
      </c>
      <c r="E51" s="77">
        <v>3</v>
      </c>
      <c r="F51" s="74">
        <v>49902</v>
      </c>
      <c r="G51" s="79">
        <v>11</v>
      </c>
      <c r="H51" s="74">
        <v>3</v>
      </c>
      <c r="I51" s="74"/>
    </row>
    <row r="52" spans="1:16">
      <c r="A52" s="74">
        <v>18004</v>
      </c>
      <c r="B52" s="75" t="s">
        <v>774</v>
      </c>
      <c r="C52" s="74"/>
      <c r="D52" s="77">
        <v>200000</v>
      </c>
      <c r="E52" s="77">
        <v>3</v>
      </c>
      <c r="F52" s="74">
        <v>49903</v>
      </c>
      <c r="G52" s="79">
        <v>11</v>
      </c>
      <c r="H52" s="74">
        <v>4</v>
      </c>
      <c r="I52" s="74"/>
    </row>
    <row r="53" spans="1:16">
      <c r="A53" s="74">
        <v>18005</v>
      </c>
      <c r="B53" s="75" t="s">
        <v>775</v>
      </c>
      <c r="C53" s="74"/>
      <c r="D53" s="77">
        <v>500000</v>
      </c>
      <c r="E53" s="77">
        <v>3</v>
      </c>
      <c r="F53" s="74">
        <v>49904</v>
      </c>
      <c r="G53" s="79">
        <v>11</v>
      </c>
      <c r="H53" s="74">
        <v>5</v>
      </c>
      <c r="I53" s="74"/>
    </row>
    <row r="54" spans="1:16" ht="16.5">
      <c r="A54" s="68">
        <v>19001</v>
      </c>
      <c r="B54" s="69" t="s">
        <v>776</v>
      </c>
      <c r="C54" s="70"/>
      <c r="D54" s="68">
        <v>3000</v>
      </c>
      <c r="E54" s="68">
        <v>1</v>
      </c>
      <c r="F54" s="71">
        <v>49911</v>
      </c>
      <c r="G54" s="68">
        <v>12</v>
      </c>
      <c r="H54" s="13">
        <v>1</v>
      </c>
      <c r="L54" t="s">
        <v>312</v>
      </c>
    </row>
    <row r="55" spans="1:16" ht="16.5">
      <c r="A55" s="68">
        <v>19002</v>
      </c>
      <c r="B55" s="69" t="s">
        <v>777</v>
      </c>
      <c r="C55" s="70"/>
      <c r="D55" s="68">
        <v>15000</v>
      </c>
      <c r="E55" s="68">
        <v>3</v>
      </c>
      <c r="F55" s="71">
        <v>49912</v>
      </c>
      <c r="G55" s="68">
        <v>12</v>
      </c>
      <c r="H55" s="13">
        <v>3</v>
      </c>
      <c r="L55" t="s">
        <v>313</v>
      </c>
    </row>
    <row r="56" spans="1:16" ht="16.5">
      <c r="A56" s="68">
        <v>19003</v>
      </c>
      <c r="B56" s="69" t="s">
        <v>778</v>
      </c>
      <c r="C56" s="70"/>
      <c r="D56" s="68">
        <v>100000</v>
      </c>
      <c r="E56" s="68">
        <v>3</v>
      </c>
      <c r="F56" s="71">
        <v>49913</v>
      </c>
      <c r="G56" s="68">
        <v>12</v>
      </c>
      <c r="H56" s="13">
        <v>4</v>
      </c>
      <c r="L56" t="s">
        <v>314</v>
      </c>
    </row>
    <row r="57" spans="1:16" ht="16.5">
      <c r="A57" s="68">
        <v>19004</v>
      </c>
      <c r="B57" s="69" t="s">
        <v>779</v>
      </c>
      <c r="C57" s="70"/>
      <c r="D57" s="68">
        <v>200000</v>
      </c>
      <c r="E57" s="68">
        <v>3</v>
      </c>
      <c r="F57" s="71">
        <v>49914</v>
      </c>
      <c r="G57" s="68">
        <v>12</v>
      </c>
      <c r="H57" s="13">
        <v>5</v>
      </c>
      <c r="L57" t="s">
        <v>315</v>
      </c>
    </row>
    <row r="58" spans="1:16" ht="16.5">
      <c r="A58" s="68">
        <v>19005</v>
      </c>
      <c r="B58" s="69" t="s">
        <v>780</v>
      </c>
      <c r="C58" s="70"/>
      <c r="D58" s="68">
        <v>500000</v>
      </c>
      <c r="E58" s="68">
        <v>-1</v>
      </c>
      <c r="F58" s="71">
        <v>49915</v>
      </c>
      <c r="G58" s="68">
        <v>12</v>
      </c>
      <c r="H58" s="13">
        <v>6</v>
      </c>
      <c r="L58" t="s">
        <v>316</v>
      </c>
    </row>
    <row r="59" spans="1:16" s="2" customFormat="1" ht="16.5">
      <c r="A59" s="3">
        <v>20001</v>
      </c>
      <c r="B59" s="58" t="s">
        <v>781</v>
      </c>
      <c r="C59" s="4"/>
      <c r="D59" s="3">
        <v>3000</v>
      </c>
      <c r="E59" s="3">
        <v>1</v>
      </c>
      <c r="F59" s="71">
        <v>49916</v>
      </c>
      <c r="G59" s="3">
        <v>22</v>
      </c>
      <c r="H59" s="2">
        <v>1</v>
      </c>
      <c r="L59" s="24" t="s">
        <v>317</v>
      </c>
      <c r="M59" s="84"/>
      <c r="N59" s="84"/>
      <c r="O59" s="84"/>
      <c r="P59" s="84"/>
    </row>
    <row r="60" spans="1:16" s="2" customFormat="1" ht="16.5">
      <c r="A60" s="3">
        <v>20002</v>
      </c>
      <c r="B60" s="58" t="s">
        <v>782</v>
      </c>
      <c r="C60" s="4"/>
      <c r="D60" s="3">
        <v>15000</v>
      </c>
      <c r="E60" s="3">
        <v>3</v>
      </c>
      <c r="F60" s="71">
        <v>49917</v>
      </c>
      <c r="G60" s="3">
        <v>22</v>
      </c>
      <c r="H60" s="2">
        <v>3</v>
      </c>
      <c r="L60" s="24" t="s">
        <v>318</v>
      </c>
      <c r="M60" s="84"/>
      <c r="N60" s="84"/>
      <c r="O60" s="84"/>
      <c r="P60" s="84"/>
    </row>
    <row r="61" spans="1:16" s="2" customFormat="1" ht="16.5">
      <c r="A61" s="3">
        <v>20003</v>
      </c>
      <c r="B61" s="58" t="s">
        <v>783</v>
      </c>
      <c r="C61" s="4"/>
      <c r="D61" s="3">
        <v>100000</v>
      </c>
      <c r="E61" s="3">
        <v>3</v>
      </c>
      <c r="F61" s="71">
        <v>49918</v>
      </c>
      <c r="G61" s="3">
        <v>22</v>
      </c>
      <c r="H61" s="2">
        <v>4</v>
      </c>
      <c r="L61" s="24" t="s">
        <v>319</v>
      </c>
      <c r="M61" s="84"/>
      <c r="N61" s="84"/>
      <c r="O61" s="84"/>
      <c r="P61" s="84"/>
    </row>
    <row r="62" spans="1:16" s="2" customFormat="1" ht="16.5">
      <c r="A62" s="3">
        <v>20004</v>
      </c>
      <c r="B62" s="58" t="s">
        <v>784</v>
      </c>
      <c r="C62" s="4"/>
      <c r="D62" s="3">
        <v>200000</v>
      </c>
      <c r="E62" s="3">
        <v>3</v>
      </c>
      <c r="F62" s="71">
        <v>49919</v>
      </c>
      <c r="G62" s="3">
        <v>22</v>
      </c>
      <c r="H62" s="2">
        <v>5</v>
      </c>
      <c r="L62" s="24" t="s">
        <v>320</v>
      </c>
      <c r="M62" s="84"/>
      <c r="N62" s="84"/>
      <c r="O62" s="84"/>
      <c r="P62" s="84"/>
    </row>
    <row r="63" spans="1:16" s="2" customFormat="1" ht="16.5">
      <c r="A63" s="3">
        <v>20005</v>
      </c>
      <c r="B63" s="58" t="s">
        <v>785</v>
      </c>
      <c r="C63" s="4"/>
      <c r="D63" s="3">
        <v>500000</v>
      </c>
      <c r="E63" s="3">
        <v>-1</v>
      </c>
      <c r="F63" s="71">
        <v>49920</v>
      </c>
      <c r="G63" s="3">
        <v>22</v>
      </c>
      <c r="H63" s="2">
        <v>6</v>
      </c>
      <c r="L63" s="24" t="s">
        <v>321</v>
      </c>
      <c r="M63" s="84"/>
      <c r="N63" s="84"/>
      <c r="O63" s="84"/>
      <c r="P63" s="84"/>
    </row>
    <row r="64" spans="1:16" s="47" customFormat="1" ht="16.5">
      <c r="A64" s="80">
        <v>130001</v>
      </c>
      <c r="B64" s="81" t="s">
        <v>786</v>
      </c>
      <c r="C64" s="82"/>
      <c r="D64" s="82">
        <v>15000</v>
      </c>
      <c r="E64" s="82">
        <v>1</v>
      </c>
      <c r="F64" s="83">
        <v>96002</v>
      </c>
      <c r="G64" s="83">
        <v>13</v>
      </c>
      <c r="H64" s="82">
        <v>2</v>
      </c>
      <c r="L64" s="47" t="s">
        <v>322</v>
      </c>
    </row>
    <row r="65" spans="1:12" s="47" customFormat="1" ht="16.5">
      <c r="A65" s="80">
        <v>130002</v>
      </c>
      <c r="B65" s="81" t="s">
        <v>787</v>
      </c>
      <c r="C65" s="82"/>
      <c r="D65" s="82">
        <v>15000</v>
      </c>
      <c r="E65" s="82">
        <v>1</v>
      </c>
      <c r="F65" s="83">
        <v>96003</v>
      </c>
      <c r="G65" s="83">
        <v>13</v>
      </c>
      <c r="H65" s="82">
        <v>3</v>
      </c>
      <c r="L65" s="47" t="s">
        <v>323</v>
      </c>
    </row>
    <row r="66" spans="1:12" s="47" customFormat="1" ht="16.5">
      <c r="A66" s="80">
        <v>130003</v>
      </c>
      <c r="B66" s="81" t="s">
        <v>788</v>
      </c>
      <c r="C66" s="82"/>
      <c r="D66" s="82">
        <v>100000</v>
      </c>
      <c r="E66" s="82">
        <v>3</v>
      </c>
      <c r="F66" s="83">
        <v>96004</v>
      </c>
      <c r="G66" s="83">
        <v>13</v>
      </c>
      <c r="H66" s="82">
        <v>5</v>
      </c>
      <c r="L66" s="47" t="s">
        <v>324</v>
      </c>
    </row>
    <row r="67" spans="1:12" s="47" customFormat="1" ht="16.5">
      <c r="A67" s="80">
        <v>130004</v>
      </c>
      <c r="B67" s="81" t="s">
        <v>789</v>
      </c>
      <c r="C67" s="82"/>
      <c r="D67" s="82">
        <v>100000</v>
      </c>
      <c r="E67" s="82">
        <v>3</v>
      </c>
      <c r="F67" s="83">
        <v>96005</v>
      </c>
      <c r="G67" s="83">
        <v>13</v>
      </c>
      <c r="H67" s="82">
        <v>6</v>
      </c>
      <c r="L67" s="47" t="s">
        <v>325</v>
      </c>
    </row>
    <row r="68" spans="1:12" s="47" customFormat="1" ht="16.5">
      <c r="A68" s="80">
        <v>130005</v>
      </c>
      <c r="B68" s="81" t="s">
        <v>790</v>
      </c>
      <c r="C68" s="82"/>
      <c r="D68" s="82">
        <v>100000</v>
      </c>
      <c r="E68" s="82">
        <v>3</v>
      </c>
      <c r="F68" s="83">
        <v>96006</v>
      </c>
      <c r="G68" s="83">
        <v>13</v>
      </c>
      <c r="H68" s="82">
        <v>8</v>
      </c>
      <c r="L68" s="47" t="s">
        <v>326</v>
      </c>
    </row>
    <row r="69" spans="1:12" s="47" customFormat="1" ht="16.5">
      <c r="A69" s="80">
        <v>130006</v>
      </c>
      <c r="B69" s="81" t="s">
        <v>791</v>
      </c>
      <c r="C69" s="82"/>
      <c r="D69" s="82">
        <v>100000</v>
      </c>
      <c r="E69" s="82">
        <v>3</v>
      </c>
      <c r="F69" s="83">
        <v>96007</v>
      </c>
      <c r="G69" s="83">
        <v>13</v>
      </c>
      <c r="H69" s="82">
        <v>9</v>
      </c>
      <c r="L69" s="47" t="s">
        <v>327</v>
      </c>
    </row>
    <row r="70" spans="1:12" s="47" customFormat="1" ht="16.5">
      <c r="A70" s="80">
        <v>130007</v>
      </c>
      <c r="B70" s="81" t="s">
        <v>792</v>
      </c>
      <c r="C70" s="82"/>
      <c r="D70" s="82">
        <v>200000</v>
      </c>
      <c r="E70" s="82">
        <v>3</v>
      </c>
      <c r="F70" s="83">
        <v>96008</v>
      </c>
      <c r="G70" s="83">
        <v>13</v>
      </c>
      <c r="H70" s="82">
        <v>11</v>
      </c>
      <c r="L70" s="47" t="s">
        <v>328</v>
      </c>
    </row>
    <row r="71" spans="1:12" s="47" customFormat="1" ht="16.5">
      <c r="A71" s="80">
        <v>130008</v>
      </c>
      <c r="B71" s="81" t="s">
        <v>793</v>
      </c>
      <c r="C71" s="82"/>
      <c r="D71" s="82">
        <v>200000</v>
      </c>
      <c r="E71" s="82">
        <v>3</v>
      </c>
      <c r="F71" s="83">
        <v>96009</v>
      </c>
      <c r="G71" s="83">
        <v>13</v>
      </c>
      <c r="H71" s="82">
        <v>12</v>
      </c>
      <c r="L71" s="47" t="s">
        <v>329</v>
      </c>
    </row>
    <row r="72" spans="1:12" s="47" customFormat="1" ht="16.5">
      <c r="A72" s="80">
        <v>130009</v>
      </c>
      <c r="B72" s="81" t="s">
        <v>794</v>
      </c>
      <c r="C72" s="82"/>
      <c r="D72" s="82">
        <v>500000</v>
      </c>
      <c r="E72" s="82">
        <v>3</v>
      </c>
      <c r="F72" s="83">
        <v>96010</v>
      </c>
      <c r="G72" s="83">
        <v>13</v>
      </c>
      <c r="H72" s="82">
        <v>14</v>
      </c>
      <c r="L72" s="47" t="s">
        <v>330</v>
      </c>
    </row>
    <row r="73" spans="1:12" s="47" customFormat="1" ht="16.5">
      <c r="A73" s="80">
        <v>130010</v>
      </c>
      <c r="B73" s="81" t="s">
        <v>795</v>
      </c>
      <c r="C73" s="82"/>
      <c r="D73" s="82">
        <v>500000</v>
      </c>
      <c r="E73" s="82">
        <v>3</v>
      </c>
      <c r="F73" s="83">
        <v>96011</v>
      </c>
      <c r="G73" s="83">
        <v>13</v>
      </c>
      <c r="H73" s="82">
        <v>18</v>
      </c>
      <c r="L73" s="47" t="s">
        <v>331</v>
      </c>
    </row>
    <row r="74" spans="1:12" s="2" customFormat="1" ht="16.5">
      <c r="A74" s="3">
        <v>130012</v>
      </c>
      <c r="B74" s="58" t="s">
        <v>796</v>
      </c>
      <c r="C74" s="5"/>
      <c r="D74" s="5">
        <v>25000</v>
      </c>
      <c r="E74" s="5">
        <v>1</v>
      </c>
      <c r="F74" s="6">
        <v>96012</v>
      </c>
      <c r="G74" s="6">
        <v>999</v>
      </c>
      <c r="H74" s="5">
        <v>4</v>
      </c>
    </row>
    <row r="75" spans="1:12" s="2" customFormat="1" ht="16.5">
      <c r="A75" s="3">
        <v>130013</v>
      </c>
      <c r="B75" s="58" t="s">
        <v>797</v>
      </c>
      <c r="C75" s="5"/>
      <c r="D75" s="5">
        <v>100000</v>
      </c>
      <c r="E75" s="5">
        <v>3</v>
      </c>
      <c r="F75" s="6">
        <v>96013</v>
      </c>
      <c r="G75" s="6">
        <v>999</v>
      </c>
      <c r="H75" s="5">
        <v>7</v>
      </c>
    </row>
    <row r="76" spans="1:12" s="2" customFormat="1" ht="16.5">
      <c r="A76" s="3">
        <v>130014</v>
      </c>
      <c r="B76" s="58" t="s">
        <v>798</v>
      </c>
      <c r="C76" s="5"/>
      <c r="D76" s="5">
        <v>100000</v>
      </c>
      <c r="E76" s="5">
        <v>3</v>
      </c>
      <c r="F76" s="6">
        <v>96014</v>
      </c>
      <c r="G76" s="6">
        <v>999</v>
      </c>
      <c r="H76" s="5">
        <v>10</v>
      </c>
    </row>
    <row r="77" spans="1:12" s="2" customFormat="1" ht="16.5">
      <c r="A77" s="3">
        <v>130015</v>
      </c>
      <c r="B77" s="58" t="s">
        <v>799</v>
      </c>
      <c r="C77" s="5"/>
      <c r="D77" s="5">
        <v>200000</v>
      </c>
      <c r="E77" s="5">
        <v>3</v>
      </c>
      <c r="F77" s="6">
        <v>96015</v>
      </c>
      <c r="G77" s="6">
        <v>999</v>
      </c>
      <c r="H77" s="5">
        <v>13</v>
      </c>
    </row>
    <row r="78" spans="1:12" s="2" customFormat="1" ht="16.5">
      <c r="A78" s="3">
        <v>130016</v>
      </c>
      <c r="B78" s="58" t="s">
        <v>800</v>
      </c>
      <c r="C78" s="5"/>
      <c r="D78" s="5">
        <v>500000</v>
      </c>
      <c r="E78" s="5">
        <v>3</v>
      </c>
      <c r="F78" s="6">
        <v>96016</v>
      </c>
      <c r="G78" s="6">
        <v>999</v>
      </c>
      <c r="H78" s="5">
        <v>16</v>
      </c>
    </row>
    <row r="79" spans="1:12" ht="16.5">
      <c r="A79" s="85">
        <v>140001</v>
      </c>
      <c r="B79" s="86" t="s">
        <v>337</v>
      </c>
      <c r="C79" s="87"/>
      <c r="D79" s="88">
        <v>100000</v>
      </c>
      <c r="E79" s="87">
        <v>1</v>
      </c>
      <c r="F79" s="89">
        <v>97001</v>
      </c>
      <c r="G79" s="89">
        <v>14</v>
      </c>
      <c r="H79" s="87">
        <v>1</v>
      </c>
    </row>
    <row r="80" spans="1:12" ht="16.5">
      <c r="A80" s="85">
        <v>140002</v>
      </c>
      <c r="B80" s="86" t="s">
        <v>338</v>
      </c>
      <c r="C80" s="87"/>
      <c r="D80" s="88">
        <v>200000</v>
      </c>
      <c r="E80" s="87">
        <v>1</v>
      </c>
      <c r="F80" s="89">
        <v>97002</v>
      </c>
      <c r="G80" s="89">
        <v>14</v>
      </c>
      <c r="H80" s="87">
        <v>2</v>
      </c>
    </row>
    <row r="81" spans="1:12" ht="16.5">
      <c r="A81" s="85">
        <v>140003</v>
      </c>
      <c r="B81" s="86" t="s">
        <v>339</v>
      </c>
      <c r="C81" s="87"/>
      <c r="D81" s="88">
        <v>500000</v>
      </c>
      <c r="E81" s="87">
        <v>-1</v>
      </c>
      <c r="F81" s="89">
        <v>97003</v>
      </c>
      <c r="G81" s="89">
        <v>14</v>
      </c>
      <c r="H81" s="87">
        <v>3</v>
      </c>
    </row>
    <row r="82" spans="1:12" ht="16.5">
      <c r="A82" s="3">
        <v>150001</v>
      </c>
      <c r="B82" s="90" t="s">
        <v>340</v>
      </c>
      <c r="C82" s="87"/>
      <c r="D82" s="88">
        <v>15000</v>
      </c>
      <c r="E82" s="87">
        <v>1</v>
      </c>
      <c r="F82" s="91">
        <v>98001</v>
      </c>
      <c r="G82" s="6">
        <v>15</v>
      </c>
      <c r="H82" s="87">
        <v>1</v>
      </c>
    </row>
    <row r="83" spans="1:12" ht="16.5">
      <c r="A83" s="3">
        <v>150002</v>
      </c>
      <c r="B83" s="92" t="s">
        <v>801</v>
      </c>
      <c r="C83" s="87"/>
      <c r="D83" s="88">
        <v>50000</v>
      </c>
      <c r="E83" s="87">
        <v>7</v>
      </c>
      <c r="F83" s="91">
        <v>98002</v>
      </c>
      <c r="G83" s="6">
        <v>15</v>
      </c>
      <c r="H83" s="87">
        <v>2</v>
      </c>
    </row>
    <row r="84" spans="1:12" ht="16.5">
      <c r="A84" s="3">
        <v>150003</v>
      </c>
      <c r="B84" s="90" t="s">
        <v>802</v>
      </c>
      <c r="C84" s="5"/>
      <c r="D84" s="5">
        <v>200000</v>
      </c>
      <c r="E84" s="5">
        <v>7</v>
      </c>
      <c r="F84" s="91">
        <v>98003</v>
      </c>
      <c r="G84" s="6">
        <v>15</v>
      </c>
      <c r="H84" s="87">
        <v>3</v>
      </c>
    </row>
    <row r="85" spans="1:12" ht="16.5">
      <c r="A85" s="3">
        <v>150004</v>
      </c>
      <c r="B85" s="90" t="s">
        <v>803</v>
      </c>
      <c r="C85" s="5"/>
      <c r="D85" s="5">
        <v>500000</v>
      </c>
      <c r="E85" s="5">
        <v>7</v>
      </c>
      <c r="F85" s="91">
        <v>98004</v>
      </c>
      <c r="G85" s="6">
        <v>15</v>
      </c>
      <c r="H85" s="87">
        <v>4</v>
      </c>
    </row>
    <row r="86" spans="1:12" ht="16.5">
      <c r="A86" s="68">
        <v>160001</v>
      </c>
      <c r="B86" s="93" t="s">
        <v>804</v>
      </c>
      <c r="C86" s="70"/>
      <c r="D86" s="68">
        <v>15000</v>
      </c>
      <c r="E86" s="68">
        <v>3</v>
      </c>
      <c r="F86" s="71">
        <v>99001</v>
      </c>
      <c r="G86" s="68">
        <v>16</v>
      </c>
      <c r="H86" s="13">
        <v>3</v>
      </c>
    </row>
    <row r="87" spans="1:12" ht="16.5">
      <c r="A87" s="68">
        <v>160002</v>
      </c>
      <c r="B87" s="93" t="s">
        <v>805</v>
      </c>
      <c r="C87" s="70"/>
      <c r="D87" s="68">
        <v>100000</v>
      </c>
      <c r="E87" s="68">
        <v>3</v>
      </c>
      <c r="F87" s="71">
        <v>99002</v>
      </c>
      <c r="G87" s="68">
        <v>16</v>
      </c>
      <c r="H87" s="13">
        <v>4</v>
      </c>
    </row>
    <row r="88" spans="1:12" ht="16.5">
      <c r="A88" s="68">
        <v>160003</v>
      </c>
      <c r="B88" s="93" t="s">
        <v>806</v>
      </c>
      <c r="C88" s="70"/>
      <c r="D88" s="68">
        <v>200000</v>
      </c>
      <c r="E88" s="68">
        <v>3</v>
      </c>
      <c r="F88" s="71">
        <v>99003</v>
      </c>
      <c r="G88" s="68">
        <v>16</v>
      </c>
      <c r="H88" s="13">
        <v>5</v>
      </c>
    </row>
    <row r="89" spans="1:12" ht="16.5">
      <c r="A89" s="68">
        <v>160004</v>
      </c>
      <c r="B89" s="93" t="s">
        <v>807</v>
      </c>
      <c r="C89" s="70"/>
      <c r="D89" s="68">
        <v>500000</v>
      </c>
      <c r="E89" s="68">
        <v>-1</v>
      </c>
      <c r="F89" s="71">
        <v>99004</v>
      </c>
      <c r="G89" s="68">
        <v>16</v>
      </c>
      <c r="H89" s="13">
        <v>6</v>
      </c>
    </row>
    <row r="90" spans="1:12">
      <c r="A90" s="94">
        <v>170001</v>
      </c>
      <c r="B90" s="95" t="s">
        <v>341</v>
      </c>
      <c r="C90" s="94"/>
      <c r="D90" s="94">
        <v>3000</v>
      </c>
      <c r="E90" s="94">
        <v>3</v>
      </c>
      <c r="F90" s="94">
        <v>71001</v>
      </c>
      <c r="G90" s="96">
        <v>17</v>
      </c>
      <c r="H90" s="94">
        <v>1</v>
      </c>
      <c r="L90" t="s">
        <v>342</v>
      </c>
    </row>
    <row r="91" spans="1:12">
      <c r="A91" s="94">
        <v>170002</v>
      </c>
      <c r="B91" s="97" t="s">
        <v>808</v>
      </c>
      <c r="C91" s="98"/>
      <c r="D91" s="98">
        <v>25000</v>
      </c>
      <c r="E91" s="98">
        <v>3</v>
      </c>
      <c r="F91" s="94">
        <v>71002</v>
      </c>
      <c r="G91" s="96">
        <v>17</v>
      </c>
      <c r="H91" s="98">
        <v>2</v>
      </c>
      <c r="L91" t="s">
        <v>343</v>
      </c>
    </row>
    <row r="92" spans="1:12">
      <c r="A92" s="94">
        <v>170003</v>
      </c>
      <c r="B92" s="97" t="s">
        <v>809</v>
      </c>
      <c r="C92" s="98"/>
      <c r="D92" s="98">
        <v>100000</v>
      </c>
      <c r="E92" s="98">
        <v>1</v>
      </c>
      <c r="F92" s="94">
        <v>71003</v>
      </c>
      <c r="G92" s="96">
        <v>17</v>
      </c>
      <c r="H92" s="98">
        <v>3</v>
      </c>
      <c r="L92" t="s">
        <v>344</v>
      </c>
    </row>
    <row r="93" spans="1:12">
      <c r="A93" s="94">
        <v>170004</v>
      </c>
      <c r="B93" s="95" t="s">
        <v>345</v>
      </c>
      <c r="C93" s="98"/>
      <c r="D93" s="98">
        <v>100000</v>
      </c>
      <c r="E93" s="98">
        <v>3</v>
      </c>
      <c r="F93" s="94">
        <v>71004</v>
      </c>
      <c r="G93" s="96">
        <v>17</v>
      </c>
      <c r="H93" s="98">
        <v>4</v>
      </c>
      <c r="L93" t="s">
        <v>346</v>
      </c>
    </row>
    <row r="94" spans="1:12">
      <c r="A94" s="94">
        <v>170005</v>
      </c>
      <c r="B94" s="97" t="s">
        <v>810</v>
      </c>
      <c r="C94" s="98"/>
      <c r="D94" s="98">
        <v>200000</v>
      </c>
      <c r="E94" s="98">
        <v>3</v>
      </c>
      <c r="F94" s="94">
        <v>71005</v>
      </c>
      <c r="G94" s="96">
        <v>17</v>
      </c>
      <c r="H94" s="98">
        <v>5</v>
      </c>
      <c r="L94" t="s">
        <v>347</v>
      </c>
    </row>
    <row r="95" spans="1:12">
      <c r="A95" s="94">
        <v>170006</v>
      </c>
      <c r="B95" s="97" t="s">
        <v>811</v>
      </c>
      <c r="C95" s="98"/>
      <c r="D95" s="98">
        <v>500000</v>
      </c>
      <c r="E95" s="98">
        <v>3</v>
      </c>
      <c r="F95" s="94">
        <v>71006</v>
      </c>
      <c r="G95" s="96">
        <v>17</v>
      </c>
      <c r="H95" s="98">
        <v>7</v>
      </c>
      <c r="L95" t="s">
        <v>348</v>
      </c>
    </row>
    <row r="96" spans="1:12" s="45" customFormat="1">
      <c r="A96" s="99">
        <v>180001</v>
      </c>
      <c r="B96" s="100" t="s">
        <v>349</v>
      </c>
      <c r="C96" s="101"/>
      <c r="D96" s="101"/>
      <c r="E96" s="101">
        <v>20</v>
      </c>
      <c r="F96" s="102"/>
      <c r="G96" s="103">
        <v>18</v>
      </c>
      <c r="H96" s="102">
        <v>1</v>
      </c>
      <c r="I96" s="129">
        <v>100</v>
      </c>
    </row>
    <row r="97" spans="1:15" s="45" customFormat="1">
      <c r="A97" s="99">
        <v>180002</v>
      </c>
      <c r="B97" s="100" t="s">
        <v>350</v>
      </c>
      <c r="C97" s="101"/>
      <c r="D97" s="101"/>
      <c r="E97" s="101">
        <v>10</v>
      </c>
      <c r="F97" s="102"/>
      <c r="G97" s="103">
        <v>18</v>
      </c>
      <c r="H97" s="102">
        <v>2</v>
      </c>
      <c r="I97" s="129">
        <v>500</v>
      </c>
    </row>
    <row r="98" spans="1:15" s="45" customFormat="1" ht="15.75">
      <c r="A98" s="99">
        <v>180003</v>
      </c>
      <c r="B98" s="104" t="s">
        <v>812</v>
      </c>
      <c r="C98" s="102"/>
      <c r="D98" s="102">
        <v>3000</v>
      </c>
      <c r="E98" s="105">
        <v>1</v>
      </c>
      <c r="F98" s="102">
        <v>72001</v>
      </c>
      <c r="G98" s="103">
        <v>18</v>
      </c>
      <c r="H98" s="102">
        <v>3</v>
      </c>
      <c r="I98" s="129"/>
      <c r="L98" s="130" t="s">
        <v>351</v>
      </c>
    </row>
    <row r="99" spans="1:15" s="45" customFormat="1" ht="15.75">
      <c r="A99" s="99">
        <v>180004</v>
      </c>
      <c r="B99" s="104" t="s">
        <v>352</v>
      </c>
      <c r="C99" s="101"/>
      <c r="D99" s="101">
        <v>15000</v>
      </c>
      <c r="E99" s="105">
        <v>2</v>
      </c>
      <c r="F99" s="102">
        <v>72002</v>
      </c>
      <c r="G99" s="103">
        <v>18</v>
      </c>
      <c r="H99" s="102">
        <v>4</v>
      </c>
      <c r="I99" s="129"/>
      <c r="L99" s="131" t="s">
        <v>353</v>
      </c>
    </row>
    <row r="100" spans="1:15" s="45" customFormat="1" ht="15.75">
      <c r="A100" s="99">
        <v>180005</v>
      </c>
      <c r="B100" s="104" t="s">
        <v>813</v>
      </c>
      <c r="C100" s="101"/>
      <c r="D100" s="101">
        <v>100000</v>
      </c>
      <c r="E100" s="105">
        <v>3</v>
      </c>
      <c r="F100" s="102">
        <v>72003</v>
      </c>
      <c r="G100" s="103">
        <v>18</v>
      </c>
      <c r="H100" s="102">
        <v>5</v>
      </c>
      <c r="I100" s="129"/>
      <c r="L100" s="130" t="s">
        <v>354</v>
      </c>
      <c r="O100" s="45">
        <f>128/30</f>
        <v>4.2666666666666702</v>
      </c>
    </row>
    <row r="101" spans="1:15" s="45" customFormat="1" ht="15.75">
      <c r="A101" s="99">
        <v>180006</v>
      </c>
      <c r="B101" s="104" t="s">
        <v>355</v>
      </c>
      <c r="C101" s="101"/>
      <c r="D101" s="101">
        <v>100000</v>
      </c>
      <c r="E101" s="105">
        <v>2</v>
      </c>
      <c r="F101" s="102">
        <v>72004</v>
      </c>
      <c r="G101" s="103">
        <v>18</v>
      </c>
      <c r="H101" s="102">
        <v>6</v>
      </c>
      <c r="I101" s="129"/>
      <c r="L101" s="130" t="s">
        <v>356</v>
      </c>
    </row>
    <row r="102" spans="1:15" s="45" customFormat="1" ht="15.75">
      <c r="A102" s="99">
        <v>180007</v>
      </c>
      <c r="B102" s="104" t="s">
        <v>814</v>
      </c>
      <c r="C102" s="101"/>
      <c r="D102" s="101">
        <v>200000</v>
      </c>
      <c r="E102" s="105">
        <v>10</v>
      </c>
      <c r="F102" s="102">
        <v>72005</v>
      </c>
      <c r="G102" s="103">
        <v>18</v>
      </c>
      <c r="H102" s="102">
        <v>7</v>
      </c>
      <c r="I102" s="129"/>
      <c r="L102" s="131" t="s">
        <v>357</v>
      </c>
      <c r="O102" s="45">
        <f>328/80</f>
        <v>4.0999999999999996</v>
      </c>
    </row>
    <row r="103" spans="1:15" s="45" customFormat="1">
      <c r="A103" s="106">
        <v>180008</v>
      </c>
      <c r="B103" s="107" t="s">
        <v>815</v>
      </c>
      <c r="C103" s="108"/>
      <c r="D103" s="108">
        <v>500000</v>
      </c>
      <c r="E103" s="109">
        <v>-1</v>
      </c>
      <c r="F103" s="110">
        <v>72006</v>
      </c>
      <c r="G103" s="111">
        <v>18</v>
      </c>
      <c r="H103" s="110">
        <v>8</v>
      </c>
      <c r="I103" s="129"/>
      <c r="L103" s="130" t="s">
        <v>358</v>
      </c>
      <c r="O103" s="45">
        <f>648/160</f>
        <v>4.05</v>
      </c>
    </row>
    <row r="104" spans="1:15" s="2" customFormat="1" ht="15.75">
      <c r="A104" s="112">
        <v>190001</v>
      </c>
      <c r="B104" s="113" t="s">
        <v>96</v>
      </c>
      <c r="C104" s="114"/>
      <c r="D104" s="114"/>
      <c r="E104" s="115">
        <v>2</v>
      </c>
      <c r="F104" s="116"/>
      <c r="G104" s="117">
        <v>19</v>
      </c>
      <c r="H104" s="112">
        <v>1</v>
      </c>
      <c r="I104" s="114">
        <v>800</v>
      </c>
      <c r="J104" s="132"/>
    </row>
    <row r="105" spans="1:15" s="2" customFormat="1" ht="15.75">
      <c r="A105" s="112">
        <v>190002</v>
      </c>
      <c r="B105" s="113" t="s">
        <v>98</v>
      </c>
      <c r="C105" s="114"/>
      <c r="D105" s="114"/>
      <c r="E105" s="115">
        <v>2</v>
      </c>
      <c r="F105" s="116"/>
      <c r="G105" s="117">
        <v>19</v>
      </c>
      <c r="H105" s="112">
        <v>2</v>
      </c>
      <c r="I105" s="114">
        <v>800</v>
      </c>
      <c r="J105" s="132"/>
    </row>
    <row r="106" spans="1:15" s="2" customFormat="1" ht="15.75">
      <c r="A106" s="112">
        <v>190003</v>
      </c>
      <c r="B106" s="118" t="s">
        <v>100</v>
      </c>
      <c r="C106" s="119"/>
      <c r="D106" s="119"/>
      <c r="E106" s="120">
        <v>3</v>
      </c>
      <c r="F106" s="119"/>
      <c r="G106" s="121">
        <v>19</v>
      </c>
      <c r="H106" s="121">
        <v>3</v>
      </c>
      <c r="I106" s="133">
        <v>550</v>
      </c>
      <c r="J106" s="121"/>
    </row>
    <row r="107" spans="1:15" ht="15.75">
      <c r="A107" s="112">
        <v>190004</v>
      </c>
      <c r="B107" s="122" t="s">
        <v>102</v>
      </c>
      <c r="C107" s="123"/>
      <c r="D107" s="123">
        <v>15000</v>
      </c>
      <c r="E107" s="124">
        <v>1</v>
      </c>
      <c r="F107" s="125">
        <v>73001</v>
      </c>
      <c r="G107" s="123">
        <v>19</v>
      </c>
      <c r="H107" s="114">
        <v>4</v>
      </c>
      <c r="I107" s="123"/>
      <c r="J107" s="124"/>
      <c r="K107" s="134"/>
      <c r="L107" s="134"/>
    </row>
    <row r="108" spans="1:15" ht="15.75">
      <c r="A108" s="112">
        <v>190005</v>
      </c>
      <c r="B108" s="122" t="s">
        <v>104</v>
      </c>
      <c r="C108" s="123"/>
      <c r="D108" s="123">
        <v>50000</v>
      </c>
      <c r="E108" s="124">
        <v>1</v>
      </c>
      <c r="F108" s="125">
        <v>73002</v>
      </c>
      <c r="G108" s="123">
        <v>19</v>
      </c>
      <c r="H108" s="114">
        <v>5</v>
      </c>
      <c r="I108" s="123"/>
      <c r="J108" s="124"/>
      <c r="K108" s="134"/>
      <c r="L108" s="134"/>
    </row>
    <row r="109" spans="1:15" ht="15.75">
      <c r="A109" s="112">
        <v>190006</v>
      </c>
      <c r="B109" s="122" t="s">
        <v>106</v>
      </c>
      <c r="C109" s="123"/>
      <c r="D109" s="123">
        <v>100000</v>
      </c>
      <c r="E109" s="124">
        <v>1</v>
      </c>
      <c r="F109" s="125">
        <v>73003</v>
      </c>
      <c r="G109" s="123">
        <v>19</v>
      </c>
      <c r="H109" s="114">
        <v>6</v>
      </c>
      <c r="I109" s="123"/>
      <c r="J109" s="124"/>
      <c r="K109" s="134"/>
      <c r="L109" s="134"/>
    </row>
    <row r="110" spans="1:15" ht="15.75">
      <c r="A110">
        <v>200001</v>
      </c>
      <c r="B110" s="24" t="s">
        <v>359</v>
      </c>
      <c r="E110" s="84">
        <v>2</v>
      </c>
      <c r="G110">
        <v>20</v>
      </c>
      <c r="H110">
        <v>1</v>
      </c>
      <c r="I110" s="84">
        <v>400</v>
      </c>
      <c r="L110" s="24" t="s">
        <v>360</v>
      </c>
    </row>
    <row r="111" spans="1:15" ht="15.75">
      <c r="A111">
        <v>200002</v>
      </c>
      <c r="B111" s="24" t="s">
        <v>361</v>
      </c>
      <c r="E111" s="84">
        <v>1</v>
      </c>
      <c r="G111">
        <v>20</v>
      </c>
      <c r="H111">
        <v>3</v>
      </c>
      <c r="I111" s="84">
        <v>1000</v>
      </c>
      <c r="L111" s="24" t="s">
        <v>362</v>
      </c>
    </row>
    <row r="112" spans="1:15" ht="15.75">
      <c r="A112">
        <v>200003</v>
      </c>
      <c r="B112" s="24" t="s">
        <v>363</v>
      </c>
      <c r="E112" s="84">
        <v>1</v>
      </c>
      <c r="G112">
        <v>20</v>
      </c>
      <c r="H112">
        <v>2</v>
      </c>
      <c r="I112" s="84">
        <v>1500</v>
      </c>
      <c r="L112" s="24" t="s">
        <v>364</v>
      </c>
    </row>
    <row r="113" spans="1:12" ht="15.75">
      <c r="A113">
        <v>200004</v>
      </c>
      <c r="B113" s="24" t="s">
        <v>365</v>
      </c>
      <c r="D113" s="84">
        <v>6000</v>
      </c>
      <c r="E113" s="84">
        <v>1</v>
      </c>
      <c r="F113" s="126">
        <v>73101</v>
      </c>
      <c r="G113">
        <v>20</v>
      </c>
      <c r="H113">
        <v>4</v>
      </c>
      <c r="L113" s="24" t="s">
        <v>366</v>
      </c>
    </row>
    <row r="114" spans="1:12" ht="15.75">
      <c r="A114">
        <v>200005</v>
      </c>
      <c r="B114" s="24" t="s">
        <v>367</v>
      </c>
      <c r="D114" s="84">
        <v>6000</v>
      </c>
      <c r="E114" s="84">
        <v>1</v>
      </c>
      <c r="F114" s="126">
        <v>73102</v>
      </c>
      <c r="G114">
        <v>20</v>
      </c>
      <c r="H114">
        <v>5</v>
      </c>
      <c r="L114" s="24" t="s">
        <v>368</v>
      </c>
    </row>
    <row r="115" spans="1:12" ht="15.75">
      <c r="A115">
        <v>200006</v>
      </c>
      <c r="B115" s="24" t="s">
        <v>369</v>
      </c>
      <c r="D115" s="84">
        <v>6000</v>
      </c>
      <c r="E115" s="84">
        <v>1</v>
      </c>
      <c r="F115" s="126">
        <v>73103</v>
      </c>
      <c r="G115">
        <v>20</v>
      </c>
      <c r="H115">
        <v>6</v>
      </c>
      <c r="L115" s="24" t="s">
        <v>370</v>
      </c>
    </row>
    <row r="116" spans="1:12" s="2" customFormat="1" ht="15.75">
      <c r="A116" s="2">
        <v>200007</v>
      </c>
      <c r="B116" s="31" t="s">
        <v>371</v>
      </c>
      <c r="D116" s="127">
        <v>50000</v>
      </c>
      <c r="E116" s="127">
        <v>1</v>
      </c>
      <c r="F116" s="126">
        <v>73104</v>
      </c>
      <c r="G116" s="2">
        <v>20</v>
      </c>
      <c r="H116" s="2">
        <v>7</v>
      </c>
      <c r="L116" s="31" t="s">
        <v>372</v>
      </c>
    </row>
    <row r="117" spans="1:12" s="2" customFormat="1" ht="15.75">
      <c r="A117" s="2">
        <v>200008</v>
      </c>
      <c r="B117" s="31" t="s">
        <v>373</v>
      </c>
      <c r="D117" s="127">
        <v>50000</v>
      </c>
      <c r="E117" s="127">
        <v>1</v>
      </c>
      <c r="F117" s="126">
        <v>73105</v>
      </c>
      <c r="G117" s="2">
        <v>20</v>
      </c>
      <c r="H117" s="2">
        <v>8</v>
      </c>
      <c r="L117" s="31" t="s">
        <v>374</v>
      </c>
    </row>
    <row r="118" spans="1:12" s="2" customFormat="1" ht="15.75">
      <c r="A118" s="2">
        <v>200009</v>
      </c>
      <c r="B118" s="31" t="s">
        <v>375</v>
      </c>
      <c r="D118" s="127">
        <v>50000</v>
      </c>
      <c r="E118" s="127">
        <v>1</v>
      </c>
      <c r="F118" s="126">
        <v>73106</v>
      </c>
      <c r="G118" s="2">
        <v>20</v>
      </c>
      <c r="H118" s="2">
        <v>9</v>
      </c>
      <c r="L118" s="31" t="s">
        <v>376</v>
      </c>
    </row>
    <row r="119" spans="1:12" s="2" customFormat="1" ht="15.75">
      <c r="A119" s="2">
        <v>200010</v>
      </c>
      <c r="B119" s="31" t="s">
        <v>377</v>
      </c>
      <c r="D119" s="127">
        <v>50000</v>
      </c>
      <c r="E119" s="127">
        <v>1</v>
      </c>
      <c r="F119" s="126">
        <v>73107</v>
      </c>
      <c r="G119" s="2">
        <v>20</v>
      </c>
      <c r="H119" s="2">
        <v>10</v>
      </c>
      <c r="L119" s="31" t="s">
        <v>378</v>
      </c>
    </row>
    <row r="120" spans="1:12" s="2" customFormat="1" ht="15.75">
      <c r="A120" s="2">
        <v>200011</v>
      </c>
      <c r="B120" s="31" t="s">
        <v>379</v>
      </c>
      <c r="D120" s="128">
        <v>50000</v>
      </c>
      <c r="E120" s="127">
        <v>1</v>
      </c>
      <c r="F120" s="126">
        <v>73108</v>
      </c>
      <c r="G120" s="2">
        <v>20</v>
      </c>
      <c r="H120" s="2">
        <v>11</v>
      </c>
      <c r="L120" s="31" t="s">
        <v>380</v>
      </c>
    </row>
    <row r="121" spans="1:12" s="2" customFormat="1" ht="15.75">
      <c r="A121" s="2">
        <v>200012</v>
      </c>
      <c r="B121" s="31" t="s">
        <v>381</v>
      </c>
      <c r="D121" s="128">
        <v>50000</v>
      </c>
      <c r="E121" s="127">
        <v>1</v>
      </c>
      <c r="F121" s="126">
        <v>73109</v>
      </c>
      <c r="G121" s="2">
        <v>20</v>
      </c>
      <c r="H121" s="2">
        <v>12</v>
      </c>
      <c r="L121" s="31" t="s">
        <v>382</v>
      </c>
    </row>
    <row r="122" spans="1:12" s="2" customFormat="1" ht="15.75">
      <c r="A122" s="2">
        <v>200013</v>
      </c>
      <c r="B122" s="31" t="s">
        <v>383</v>
      </c>
      <c r="D122" s="127">
        <v>500000</v>
      </c>
      <c r="E122" s="127">
        <v>1</v>
      </c>
      <c r="F122" s="126">
        <v>73110</v>
      </c>
      <c r="G122" s="2">
        <v>20</v>
      </c>
      <c r="H122" s="2">
        <v>13</v>
      </c>
      <c r="L122" s="31" t="s">
        <v>384</v>
      </c>
    </row>
    <row r="123" spans="1:12" s="2" customFormat="1" ht="15.75">
      <c r="A123" s="2">
        <v>200014</v>
      </c>
      <c r="B123" s="31" t="s">
        <v>385</v>
      </c>
      <c r="D123" s="127">
        <v>500000</v>
      </c>
      <c r="E123" s="127">
        <v>1</v>
      </c>
      <c r="F123" s="126">
        <v>73111</v>
      </c>
      <c r="G123" s="2">
        <v>20</v>
      </c>
      <c r="H123" s="2">
        <v>14</v>
      </c>
      <c r="L123" s="31" t="s">
        <v>386</v>
      </c>
    </row>
    <row r="124" spans="1:12" s="2" customFormat="1" ht="15.75">
      <c r="A124" s="2">
        <v>200015</v>
      </c>
      <c r="B124" s="31" t="s">
        <v>387</v>
      </c>
      <c r="D124" s="127">
        <v>500000</v>
      </c>
      <c r="E124" s="127">
        <v>1</v>
      </c>
      <c r="F124" s="126">
        <v>73112</v>
      </c>
      <c r="G124" s="2">
        <v>20</v>
      </c>
      <c r="H124" s="2">
        <v>15</v>
      </c>
      <c r="L124" s="31" t="s">
        <v>388</v>
      </c>
    </row>
  </sheetData>
  <conditionalFormatting sqref="A18:A24">
    <cfRule type="cellIs" dxfId="27" priority="32" operator="equal">
      <formula>110509</formula>
    </cfRule>
    <cfRule type="duplicateValues" dxfId="26" priority="31"/>
    <cfRule type="duplicateValues" dxfId="25" priority="30"/>
    <cfRule type="duplicateValues" dxfId="24" priority="29"/>
  </conditionalFormatting>
  <conditionalFormatting sqref="F32:F33">
    <cfRule type="cellIs" dxfId="23" priority="4" operator="equal">
      <formula>110509</formula>
    </cfRule>
    <cfRule type="duplicateValues" dxfId="22" priority="3"/>
    <cfRule type="duplicateValues" dxfId="21" priority="2"/>
    <cfRule type="duplicateValues" dxfId="20" priority="1"/>
  </conditionalFormatting>
  <conditionalFormatting sqref="F90:F97">
    <cfRule type="duplicateValues" dxfId="19" priority="33"/>
    <cfRule type="duplicateValues" dxfId="18" priority="34"/>
    <cfRule type="duplicateValues" dxfId="17" priority="35"/>
    <cfRule type="cellIs" dxfId="16" priority="36" operator="equal">
      <formula>110509</formula>
    </cfRule>
  </conditionalFormatting>
  <conditionalFormatting sqref="F98:F103">
    <cfRule type="duplicateValues" dxfId="15" priority="21"/>
    <cfRule type="duplicateValues" dxfId="14" priority="22"/>
    <cfRule type="duplicateValues" dxfId="13" priority="23"/>
    <cfRule type="cellIs" dxfId="12" priority="24" operator="equal">
      <formula>110509</formula>
    </cfRule>
  </conditionalFormatting>
  <conditionalFormatting sqref="F104:F105">
    <cfRule type="duplicateValues" dxfId="11" priority="17"/>
    <cfRule type="duplicateValues" dxfId="10" priority="18"/>
    <cfRule type="duplicateValues" dxfId="9" priority="19"/>
    <cfRule type="cellIs" dxfId="8" priority="20" operator="equal">
      <formula>110509</formula>
    </cfRule>
  </conditionalFormatting>
  <conditionalFormatting sqref="F107:F109">
    <cfRule type="duplicateValues" dxfId="7" priority="9"/>
    <cfRule type="duplicateValues" dxfId="6" priority="10"/>
    <cfRule type="duplicateValues" dxfId="5" priority="11"/>
    <cfRule type="cellIs" dxfId="4" priority="12" operator="equal">
      <formula>110509</formula>
    </cfRule>
  </conditionalFormatting>
  <conditionalFormatting sqref="F113:F124">
    <cfRule type="duplicateValues" dxfId="3" priority="5"/>
    <cfRule type="duplicateValues" dxfId="2" priority="6"/>
    <cfRule type="duplicateValues" dxfId="1" priority="7"/>
    <cfRule type="cellIs" dxfId="0" priority="8" operator="equal">
      <formula>110509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L7"/>
  <sheetViews>
    <sheetView tabSelected="1" workbookViewId="0">
      <selection activeCell="E9" sqref="E9"/>
    </sheetView>
  </sheetViews>
  <sheetFormatPr defaultColWidth="9" defaultRowHeight="15"/>
  <cols>
    <col min="1" max="1" width="7.5703125" customWidth="1"/>
    <col min="2" max="2" width="17.28515625" customWidth="1"/>
    <col min="3" max="3" width="9.28515625" customWidth="1"/>
    <col min="4" max="5" width="21.5703125" customWidth="1"/>
    <col min="6" max="6" width="9.28515625" customWidth="1"/>
    <col min="7" max="7" width="7.42578125" customWidth="1"/>
    <col min="8" max="8" width="9.28515625" customWidth="1"/>
    <col min="9" max="9" width="7.42578125" customWidth="1"/>
    <col min="10" max="10" width="17.5703125" customWidth="1"/>
    <col min="11" max="11" width="43" customWidth="1"/>
    <col min="12" max="12" width="40.28515625" customWidth="1"/>
  </cols>
  <sheetData>
    <row r="1" spans="1:12" ht="16.5">
      <c r="A1" t="s">
        <v>0</v>
      </c>
      <c r="B1" t="s">
        <v>1</v>
      </c>
      <c r="C1" s="1" t="s">
        <v>128</v>
      </c>
      <c r="D1" s="1" t="s">
        <v>3</v>
      </c>
      <c r="E1" s="1" t="s">
        <v>5</v>
      </c>
      <c r="F1" s="1" t="s">
        <v>389</v>
      </c>
      <c r="G1" s="1" t="s">
        <v>7</v>
      </c>
      <c r="H1" s="1" t="s">
        <v>8</v>
      </c>
      <c r="I1" s="1" t="s">
        <v>9</v>
      </c>
      <c r="J1" s="1" t="s">
        <v>129</v>
      </c>
      <c r="K1" s="8" t="s">
        <v>390</v>
      </c>
      <c r="L1" s="8" t="s">
        <v>391</v>
      </c>
    </row>
    <row r="2" spans="1:12" ht="16.5">
      <c r="A2">
        <v>100001</v>
      </c>
      <c r="B2" s="192" t="s">
        <v>686</v>
      </c>
      <c r="C2" s="1">
        <v>0</v>
      </c>
      <c r="D2" s="7" t="s">
        <v>392</v>
      </c>
      <c r="E2" s="7" t="s">
        <v>722</v>
      </c>
      <c r="F2" s="1">
        <v>1</v>
      </c>
      <c r="G2" s="1">
        <v>10020</v>
      </c>
      <c r="H2" s="1">
        <v>1037</v>
      </c>
      <c r="I2" s="1">
        <v>18301</v>
      </c>
      <c r="J2" s="1">
        <v>1</v>
      </c>
      <c r="K2" s="8" t="s">
        <v>692</v>
      </c>
      <c r="L2" s="8" t="s">
        <v>393</v>
      </c>
    </row>
    <row r="3" spans="1:12" ht="16.5">
      <c r="A3">
        <v>100002</v>
      </c>
      <c r="B3" t="s">
        <v>687</v>
      </c>
      <c r="C3" s="1">
        <v>8</v>
      </c>
      <c r="D3" s="7" t="s">
        <v>394</v>
      </c>
      <c r="E3" s="7" t="s">
        <v>723</v>
      </c>
      <c r="F3" s="1">
        <v>2</v>
      </c>
      <c r="G3" s="1">
        <v>10020</v>
      </c>
      <c r="H3" s="1">
        <v>1037</v>
      </c>
      <c r="I3" s="1">
        <v>18301</v>
      </c>
      <c r="J3" s="1">
        <v>1</v>
      </c>
      <c r="K3" s="8" t="s">
        <v>693</v>
      </c>
      <c r="L3" s="8" t="s">
        <v>395</v>
      </c>
    </row>
    <row r="4" spans="1:12" ht="16.5">
      <c r="A4">
        <v>100003</v>
      </c>
      <c r="B4" t="s">
        <v>688</v>
      </c>
      <c r="C4" s="1">
        <v>8</v>
      </c>
      <c r="D4" s="7" t="s">
        <v>731</v>
      </c>
      <c r="E4" s="7" t="s">
        <v>816</v>
      </c>
      <c r="F4" s="1">
        <v>6</v>
      </c>
      <c r="G4" s="1">
        <v>10020</v>
      </c>
      <c r="H4" s="1">
        <v>1037</v>
      </c>
      <c r="I4" s="1">
        <v>18301</v>
      </c>
      <c r="J4" s="1">
        <v>1</v>
      </c>
      <c r="K4" s="8" t="s">
        <v>694</v>
      </c>
      <c r="L4" s="8">
        <v>100099</v>
      </c>
    </row>
    <row r="5" spans="1:12" ht="16.5">
      <c r="A5">
        <v>100004</v>
      </c>
      <c r="B5" t="s">
        <v>689</v>
      </c>
      <c r="C5" s="1">
        <v>8</v>
      </c>
      <c r="D5" s="7" t="s">
        <v>138</v>
      </c>
      <c r="E5" s="7" t="s">
        <v>724</v>
      </c>
      <c r="F5" s="1">
        <v>4</v>
      </c>
      <c r="G5" s="1">
        <v>10020</v>
      </c>
      <c r="H5" s="1">
        <v>1037</v>
      </c>
      <c r="I5" s="1">
        <v>18301</v>
      </c>
      <c r="J5" s="1">
        <v>1</v>
      </c>
      <c r="K5" s="8" t="s">
        <v>695</v>
      </c>
      <c r="L5" s="8" t="s">
        <v>396</v>
      </c>
    </row>
    <row r="6" spans="1:12" ht="15" customHeight="1">
      <c r="A6">
        <v>100005</v>
      </c>
      <c r="B6" t="s">
        <v>690</v>
      </c>
      <c r="C6" s="1">
        <v>8</v>
      </c>
      <c r="D6" s="7" t="s">
        <v>213</v>
      </c>
      <c r="E6" s="7" t="s">
        <v>725</v>
      </c>
      <c r="F6" s="1">
        <v>5</v>
      </c>
      <c r="G6" s="1">
        <v>10020</v>
      </c>
      <c r="H6" s="1">
        <v>1037</v>
      </c>
      <c r="I6" s="1">
        <v>18301</v>
      </c>
      <c r="J6" s="1">
        <v>1</v>
      </c>
      <c r="K6" s="8" t="s">
        <v>696</v>
      </c>
      <c r="L6" s="8" t="s">
        <v>397</v>
      </c>
    </row>
    <row r="7" spans="1:12" ht="16.5">
      <c r="A7">
        <v>100006</v>
      </c>
      <c r="B7" t="s">
        <v>691</v>
      </c>
      <c r="C7" s="1">
        <v>0</v>
      </c>
      <c r="D7" s="7" t="s">
        <v>138</v>
      </c>
      <c r="E7" s="7" t="s">
        <v>726</v>
      </c>
      <c r="F7" s="1">
        <v>7</v>
      </c>
      <c r="G7" s="1">
        <v>10020</v>
      </c>
      <c r="H7" s="1">
        <v>1037</v>
      </c>
      <c r="I7" s="1">
        <v>18302</v>
      </c>
      <c r="J7" s="1">
        <v>1</v>
      </c>
      <c r="K7" s="8" t="s">
        <v>697</v>
      </c>
      <c r="L7" s="8">
        <v>590022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M156"/>
  <sheetViews>
    <sheetView topLeftCell="A16" workbookViewId="0">
      <selection activeCell="D144" sqref="D144"/>
    </sheetView>
  </sheetViews>
  <sheetFormatPr defaultColWidth="9" defaultRowHeight="15"/>
  <cols>
    <col min="2" max="2" width="14.85546875" customWidth="1"/>
    <col min="3" max="3" width="10" customWidth="1"/>
    <col min="4" max="4" width="59.5703125" customWidth="1"/>
    <col min="6" max="6" width="17.28515625" customWidth="1"/>
    <col min="7" max="7" width="11.140625" customWidth="1"/>
    <col min="8" max="8" width="48.85546875" customWidth="1"/>
    <col min="10" max="10" width="12.5703125"/>
  </cols>
  <sheetData>
    <row r="1" spans="1:8">
      <c r="A1" t="s">
        <v>0</v>
      </c>
      <c r="B1" t="s">
        <v>13</v>
      </c>
      <c r="C1" t="s">
        <v>398</v>
      </c>
      <c r="D1" t="s">
        <v>399</v>
      </c>
      <c r="E1" t="s">
        <v>389</v>
      </c>
      <c r="F1" t="s">
        <v>400</v>
      </c>
      <c r="G1" t="s">
        <v>401</v>
      </c>
      <c r="H1" t="s">
        <v>273</v>
      </c>
    </row>
    <row r="2" spans="1:8">
      <c r="A2" s="9">
        <v>10001</v>
      </c>
      <c r="B2" s="9" t="s">
        <v>108</v>
      </c>
      <c r="C2" s="9">
        <v>10</v>
      </c>
      <c r="D2" s="11" t="s">
        <v>402</v>
      </c>
      <c r="E2" s="9">
        <v>1</v>
      </c>
      <c r="F2" s="9"/>
      <c r="G2" s="9">
        <v>1</v>
      </c>
      <c r="H2" s="12" t="s">
        <v>109</v>
      </c>
    </row>
    <row r="3" spans="1:8">
      <c r="A3" s="9">
        <v>10002</v>
      </c>
      <c r="B3" s="9" t="s">
        <v>403</v>
      </c>
      <c r="C3" s="9">
        <v>10</v>
      </c>
      <c r="D3" s="11" t="s">
        <v>404</v>
      </c>
      <c r="E3" s="9">
        <v>1</v>
      </c>
      <c r="F3" s="11"/>
      <c r="G3" s="9">
        <v>1</v>
      </c>
      <c r="H3" s="12" t="s">
        <v>405</v>
      </c>
    </row>
    <row r="4" spans="1:8">
      <c r="A4" s="9">
        <v>10003</v>
      </c>
      <c r="B4" s="9" t="s">
        <v>406</v>
      </c>
      <c r="C4" s="9">
        <v>10</v>
      </c>
      <c r="D4" s="11" t="s">
        <v>404</v>
      </c>
      <c r="E4" s="9">
        <v>1</v>
      </c>
      <c r="F4" s="11"/>
      <c r="G4" s="9">
        <v>1</v>
      </c>
      <c r="H4" s="12" t="s">
        <v>407</v>
      </c>
    </row>
    <row r="5" spans="1:8">
      <c r="A5" s="9">
        <v>10004</v>
      </c>
      <c r="B5" s="9" t="s">
        <v>408</v>
      </c>
      <c r="C5" s="9">
        <v>10</v>
      </c>
      <c r="D5" s="11" t="s">
        <v>404</v>
      </c>
      <c r="E5" s="9">
        <v>1</v>
      </c>
      <c r="F5" s="11"/>
      <c r="G5" s="9">
        <v>1</v>
      </c>
      <c r="H5" s="12" t="s">
        <v>409</v>
      </c>
    </row>
    <row r="6" spans="1:8">
      <c r="A6" s="9">
        <v>10005</v>
      </c>
      <c r="B6" s="9" t="s">
        <v>410</v>
      </c>
      <c r="C6" s="9">
        <v>10</v>
      </c>
      <c r="D6" s="11" t="s">
        <v>411</v>
      </c>
      <c r="E6" s="9">
        <v>1</v>
      </c>
      <c r="F6" s="11"/>
      <c r="G6" s="9">
        <v>1</v>
      </c>
      <c r="H6" s="12" t="s">
        <v>412</v>
      </c>
    </row>
    <row r="7" spans="1:8">
      <c r="A7" s="9">
        <v>10006</v>
      </c>
      <c r="B7" s="9" t="s">
        <v>413</v>
      </c>
      <c r="C7" s="9">
        <v>10</v>
      </c>
      <c r="D7" s="11" t="s">
        <v>411</v>
      </c>
      <c r="E7" s="9">
        <v>1</v>
      </c>
      <c r="F7" s="11"/>
      <c r="G7" s="9">
        <v>1</v>
      </c>
      <c r="H7" s="12" t="s">
        <v>414</v>
      </c>
    </row>
    <row r="8" spans="1:8">
      <c r="A8" s="13">
        <v>11001</v>
      </c>
      <c r="B8" s="13" t="s">
        <v>415</v>
      </c>
      <c r="C8" s="13">
        <v>99</v>
      </c>
      <c r="D8" s="14" t="s">
        <v>416</v>
      </c>
      <c r="E8" s="13">
        <v>1</v>
      </c>
      <c r="F8" s="14"/>
      <c r="G8" s="13">
        <v>2</v>
      </c>
      <c r="H8" s="15" t="s">
        <v>417</v>
      </c>
    </row>
    <row r="9" spans="1:8">
      <c r="A9" s="13">
        <v>11002</v>
      </c>
      <c r="B9" s="13" t="s">
        <v>418</v>
      </c>
      <c r="C9" s="13">
        <v>99</v>
      </c>
      <c r="D9" s="14" t="s">
        <v>419</v>
      </c>
      <c r="E9" s="13">
        <v>1</v>
      </c>
      <c r="F9" s="14"/>
      <c r="G9" s="13">
        <v>2</v>
      </c>
      <c r="H9" s="15" t="s">
        <v>420</v>
      </c>
    </row>
    <row r="10" spans="1:8">
      <c r="A10" s="13">
        <v>11003</v>
      </c>
      <c r="B10" s="13" t="s">
        <v>421</v>
      </c>
      <c r="C10" s="13">
        <v>199</v>
      </c>
      <c r="D10" s="14" t="s">
        <v>416</v>
      </c>
      <c r="E10" s="13">
        <v>1</v>
      </c>
      <c r="F10" s="14"/>
      <c r="G10" s="13">
        <v>2</v>
      </c>
      <c r="H10" s="15" t="s">
        <v>422</v>
      </c>
    </row>
    <row r="11" spans="1:8">
      <c r="A11" s="13">
        <v>11004</v>
      </c>
      <c r="B11" s="13" t="s">
        <v>423</v>
      </c>
      <c r="C11" s="13">
        <v>199</v>
      </c>
      <c r="D11" s="14" t="s">
        <v>416</v>
      </c>
      <c r="E11" s="13">
        <v>1</v>
      </c>
      <c r="F11" s="14"/>
      <c r="G11" s="13">
        <v>2</v>
      </c>
      <c r="H11" s="15" t="s">
        <v>424</v>
      </c>
    </row>
    <row r="12" spans="1:8">
      <c r="A12" s="16">
        <v>12001</v>
      </c>
      <c r="B12" s="16" t="s">
        <v>425</v>
      </c>
      <c r="C12" s="16">
        <v>10</v>
      </c>
      <c r="D12" s="17" t="s">
        <v>426</v>
      </c>
      <c r="E12" s="16">
        <v>1</v>
      </c>
      <c r="F12" s="16"/>
      <c r="G12" s="16">
        <v>3</v>
      </c>
      <c r="H12" s="18" t="s">
        <v>427</v>
      </c>
    </row>
    <row r="13" spans="1:8">
      <c r="A13" s="16">
        <v>12002</v>
      </c>
      <c r="B13" s="16" t="s">
        <v>428</v>
      </c>
      <c r="C13" s="16">
        <v>10</v>
      </c>
      <c r="D13" s="17" t="s">
        <v>429</v>
      </c>
      <c r="E13" s="16">
        <v>1</v>
      </c>
      <c r="F13" s="16"/>
      <c r="G13" s="16">
        <v>3</v>
      </c>
      <c r="H13" s="18" t="s">
        <v>430</v>
      </c>
    </row>
    <row r="14" spans="1:8">
      <c r="A14" s="16">
        <v>12003</v>
      </c>
      <c r="B14" s="16" t="s">
        <v>431</v>
      </c>
      <c r="C14" s="16">
        <v>10</v>
      </c>
      <c r="D14" s="17" t="s">
        <v>432</v>
      </c>
      <c r="E14" s="16">
        <v>1</v>
      </c>
      <c r="F14" s="16"/>
      <c r="G14" s="16">
        <v>3</v>
      </c>
      <c r="H14" s="18" t="s">
        <v>433</v>
      </c>
    </row>
    <row r="15" spans="1:8">
      <c r="A15" s="16">
        <v>12004</v>
      </c>
      <c r="B15" s="16" t="s">
        <v>434</v>
      </c>
      <c r="C15" s="16">
        <v>99</v>
      </c>
      <c r="D15" s="17" t="s">
        <v>435</v>
      </c>
      <c r="E15" s="16">
        <v>1</v>
      </c>
      <c r="F15" s="16"/>
      <c r="G15" s="16">
        <v>3</v>
      </c>
      <c r="H15" s="16" t="s">
        <v>436</v>
      </c>
    </row>
    <row r="16" spans="1:8">
      <c r="A16" s="19">
        <v>13001</v>
      </c>
      <c r="B16" s="19" t="s">
        <v>437</v>
      </c>
      <c r="C16" s="19">
        <v>199</v>
      </c>
      <c r="D16" s="20" t="s">
        <v>438</v>
      </c>
      <c r="E16" s="19">
        <v>1</v>
      </c>
      <c r="F16" s="19"/>
      <c r="G16" s="19">
        <v>4</v>
      </c>
      <c r="H16" s="19" t="s">
        <v>439</v>
      </c>
    </row>
    <row r="17" spans="1:8">
      <c r="A17" s="19">
        <v>13002</v>
      </c>
      <c r="B17" s="19" t="s">
        <v>440</v>
      </c>
      <c r="C17" s="19">
        <v>199</v>
      </c>
      <c r="D17" s="20" t="s">
        <v>441</v>
      </c>
      <c r="E17" s="19">
        <v>1</v>
      </c>
      <c r="F17" s="19"/>
      <c r="G17" s="19">
        <v>4</v>
      </c>
      <c r="H17" s="19" t="s">
        <v>442</v>
      </c>
    </row>
    <row r="18" spans="1:8">
      <c r="A18" s="19">
        <v>13003</v>
      </c>
      <c r="B18" s="19" t="s">
        <v>443</v>
      </c>
      <c r="C18" s="19">
        <v>199</v>
      </c>
      <c r="D18" s="20" t="s">
        <v>441</v>
      </c>
      <c r="E18" s="19">
        <v>1</v>
      </c>
      <c r="F18" s="19"/>
      <c r="G18" s="19">
        <v>4</v>
      </c>
      <c r="H18" s="19" t="s">
        <v>444</v>
      </c>
    </row>
    <row r="19" spans="1:8">
      <c r="A19">
        <v>14001</v>
      </c>
      <c r="B19" t="s">
        <v>445</v>
      </c>
      <c r="C19">
        <v>1</v>
      </c>
      <c r="D19" s="21" t="s">
        <v>446</v>
      </c>
      <c r="E19">
        <v>1</v>
      </c>
      <c r="G19">
        <v>5</v>
      </c>
      <c r="H19" s="2" t="s">
        <v>447</v>
      </c>
    </row>
    <row r="20" spans="1:8">
      <c r="A20">
        <v>14002</v>
      </c>
      <c r="B20" t="s">
        <v>448</v>
      </c>
      <c r="C20">
        <v>1</v>
      </c>
      <c r="D20" s="21" t="s">
        <v>449</v>
      </c>
      <c r="E20">
        <v>1</v>
      </c>
      <c r="G20">
        <v>5</v>
      </c>
      <c r="H20" s="2" t="s">
        <v>450</v>
      </c>
    </row>
    <row r="21" spans="1:8">
      <c r="A21">
        <v>14003</v>
      </c>
      <c r="B21" t="s">
        <v>451</v>
      </c>
      <c r="C21">
        <v>1</v>
      </c>
      <c r="D21" s="21" t="s">
        <v>452</v>
      </c>
      <c r="E21">
        <v>1</v>
      </c>
      <c r="G21">
        <v>5</v>
      </c>
      <c r="H21" s="2" t="s">
        <v>453</v>
      </c>
    </row>
    <row r="22" spans="1:8">
      <c r="A22">
        <v>14004</v>
      </c>
      <c r="B22" t="s">
        <v>454</v>
      </c>
      <c r="C22">
        <v>1</v>
      </c>
      <c r="D22" s="21" t="s">
        <v>455</v>
      </c>
      <c r="E22">
        <v>1</v>
      </c>
      <c r="G22">
        <v>5</v>
      </c>
      <c r="H22" s="2" t="s">
        <v>456</v>
      </c>
    </row>
    <row r="23" spans="1:8">
      <c r="A23" s="9">
        <v>20001</v>
      </c>
      <c r="B23" s="9" t="s">
        <v>108</v>
      </c>
      <c r="C23" s="9">
        <v>10</v>
      </c>
      <c r="D23" s="11" t="s">
        <v>457</v>
      </c>
      <c r="E23" s="9">
        <v>2</v>
      </c>
      <c r="F23" s="9"/>
      <c r="G23" s="9">
        <v>1</v>
      </c>
      <c r="H23" s="12" t="s">
        <v>109</v>
      </c>
    </row>
    <row r="24" spans="1:8">
      <c r="A24" s="9">
        <v>20002</v>
      </c>
      <c r="B24" s="9" t="s">
        <v>403</v>
      </c>
      <c r="C24" s="9">
        <v>5</v>
      </c>
      <c r="D24" s="11" t="s">
        <v>458</v>
      </c>
      <c r="E24" s="9">
        <v>2</v>
      </c>
      <c r="F24" s="11"/>
      <c r="G24" s="9">
        <v>1</v>
      </c>
      <c r="H24" s="12" t="s">
        <v>405</v>
      </c>
    </row>
    <row r="25" spans="1:8">
      <c r="A25" s="9">
        <v>20003</v>
      </c>
      <c r="B25" s="9" t="s">
        <v>406</v>
      </c>
      <c r="C25" s="9">
        <v>5</v>
      </c>
      <c r="D25" s="11" t="s">
        <v>458</v>
      </c>
      <c r="E25" s="9">
        <v>2</v>
      </c>
      <c r="F25" s="11"/>
      <c r="G25" s="9">
        <v>1</v>
      </c>
      <c r="H25" s="12" t="s">
        <v>407</v>
      </c>
    </row>
    <row r="26" spans="1:8">
      <c r="A26" s="9">
        <v>20004</v>
      </c>
      <c r="B26" s="9" t="s">
        <v>408</v>
      </c>
      <c r="C26" s="9">
        <v>5</v>
      </c>
      <c r="D26" s="11" t="s">
        <v>458</v>
      </c>
      <c r="E26" s="9">
        <v>2</v>
      </c>
      <c r="F26" s="11"/>
      <c r="G26" s="9">
        <v>1</v>
      </c>
      <c r="H26" s="12" t="s">
        <v>409</v>
      </c>
    </row>
    <row r="27" spans="1:8">
      <c r="A27" s="9">
        <v>20005</v>
      </c>
      <c r="B27" s="9" t="s">
        <v>410</v>
      </c>
      <c r="C27" s="9">
        <v>5</v>
      </c>
      <c r="D27" s="11" t="s">
        <v>459</v>
      </c>
      <c r="E27" s="9">
        <v>2</v>
      </c>
      <c r="F27" s="11"/>
      <c r="G27" s="9">
        <v>1</v>
      </c>
      <c r="H27" s="12" t="s">
        <v>412</v>
      </c>
    </row>
    <row r="28" spans="1:8">
      <c r="A28" s="9">
        <v>20006</v>
      </c>
      <c r="B28" s="9" t="s">
        <v>413</v>
      </c>
      <c r="C28" s="9">
        <v>5</v>
      </c>
      <c r="D28" s="11" t="s">
        <v>459</v>
      </c>
      <c r="E28" s="9">
        <v>2</v>
      </c>
      <c r="F28" s="11"/>
      <c r="G28" s="9">
        <v>1</v>
      </c>
      <c r="H28" s="12" t="s">
        <v>414</v>
      </c>
    </row>
    <row r="29" spans="1:8">
      <c r="A29" s="13">
        <v>21001</v>
      </c>
      <c r="B29" s="13" t="s">
        <v>418</v>
      </c>
      <c r="C29" s="13">
        <v>100</v>
      </c>
      <c r="D29" s="14" t="s">
        <v>460</v>
      </c>
      <c r="E29" s="13">
        <v>2</v>
      </c>
      <c r="F29" s="14"/>
      <c r="G29" s="13">
        <v>2</v>
      </c>
      <c r="H29" s="15" t="s">
        <v>420</v>
      </c>
    </row>
    <row r="30" spans="1:8">
      <c r="A30" s="13">
        <v>21002</v>
      </c>
      <c r="B30" s="13" t="s">
        <v>359</v>
      </c>
      <c r="C30" s="13">
        <v>10</v>
      </c>
      <c r="D30" s="14" t="s">
        <v>461</v>
      </c>
      <c r="E30" s="13">
        <v>2</v>
      </c>
      <c r="F30" s="14"/>
      <c r="G30" s="13">
        <v>2</v>
      </c>
      <c r="H30" s="15" t="s">
        <v>360</v>
      </c>
    </row>
    <row r="31" spans="1:8">
      <c r="A31" s="13">
        <v>21003</v>
      </c>
      <c r="B31" s="13" t="s">
        <v>437</v>
      </c>
      <c r="C31" s="13">
        <v>100</v>
      </c>
      <c r="D31" s="14" t="s">
        <v>462</v>
      </c>
      <c r="E31" s="13">
        <v>2</v>
      </c>
      <c r="F31" s="14"/>
      <c r="G31" s="13">
        <v>2</v>
      </c>
      <c r="H31" s="15" t="s">
        <v>439</v>
      </c>
    </row>
    <row r="32" spans="1:8">
      <c r="A32" s="13">
        <v>21004</v>
      </c>
      <c r="B32" s="13" t="s">
        <v>440</v>
      </c>
      <c r="C32" s="13">
        <v>100</v>
      </c>
      <c r="D32" s="14" t="s">
        <v>461</v>
      </c>
      <c r="E32" s="13">
        <v>2</v>
      </c>
      <c r="F32" s="14"/>
      <c r="G32" s="13">
        <v>2</v>
      </c>
      <c r="H32" s="15" t="s">
        <v>442</v>
      </c>
    </row>
    <row r="33" spans="1:8">
      <c r="A33" s="13">
        <v>21005</v>
      </c>
      <c r="B33" s="13" t="s">
        <v>443</v>
      </c>
      <c r="C33" s="13">
        <v>100</v>
      </c>
      <c r="D33" s="14" t="s">
        <v>461</v>
      </c>
      <c r="E33" s="13">
        <v>2</v>
      </c>
      <c r="F33" s="14"/>
      <c r="G33" s="13">
        <v>2</v>
      </c>
      <c r="H33" s="15" t="s">
        <v>444</v>
      </c>
    </row>
    <row r="34" spans="1:8">
      <c r="A34" s="16">
        <v>22001</v>
      </c>
      <c r="B34" s="16" t="s">
        <v>425</v>
      </c>
      <c r="C34" s="16">
        <v>10</v>
      </c>
      <c r="D34" s="17" t="s">
        <v>463</v>
      </c>
      <c r="E34" s="16">
        <v>2</v>
      </c>
      <c r="F34" s="16"/>
      <c r="G34" s="16">
        <v>3</v>
      </c>
      <c r="H34" s="18" t="s">
        <v>427</v>
      </c>
    </row>
    <row r="35" spans="1:8">
      <c r="A35" s="16">
        <v>22002</v>
      </c>
      <c r="B35" s="16" t="s">
        <v>428</v>
      </c>
      <c r="C35" s="16">
        <v>10</v>
      </c>
      <c r="D35" s="17" t="s">
        <v>464</v>
      </c>
      <c r="E35" s="16">
        <v>2</v>
      </c>
      <c r="F35" s="16"/>
      <c r="G35" s="16">
        <v>3</v>
      </c>
      <c r="H35" s="18" t="s">
        <v>430</v>
      </c>
    </row>
    <row r="36" spans="1:8">
      <c r="A36" s="16">
        <v>22003</v>
      </c>
      <c r="B36" s="16" t="s">
        <v>431</v>
      </c>
      <c r="C36" s="16">
        <v>10</v>
      </c>
      <c r="D36" s="17" t="s">
        <v>463</v>
      </c>
      <c r="E36" s="16">
        <v>2</v>
      </c>
      <c r="F36" s="16"/>
      <c r="G36" s="16">
        <v>3</v>
      </c>
      <c r="H36" s="18" t="s">
        <v>433</v>
      </c>
    </row>
    <row r="37" spans="1:8">
      <c r="A37" s="16">
        <v>22004</v>
      </c>
      <c r="B37" s="16" t="s">
        <v>434</v>
      </c>
      <c r="C37" s="16">
        <v>100</v>
      </c>
      <c r="D37" s="17" t="s">
        <v>465</v>
      </c>
      <c r="E37" s="16">
        <v>2</v>
      </c>
      <c r="F37" s="16"/>
      <c r="G37" s="16">
        <v>3</v>
      </c>
      <c r="H37" s="16" t="s">
        <v>436</v>
      </c>
    </row>
    <row r="38" spans="1:8">
      <c r="A38" s="19">
        <v>23001</v>
      </c>
      <c r="B38" s="19" t="s">
        <v>466</v>
      </c>
      <c r="C38" s="19">
        <v>1</v>
      </c>
      <c r="D38" s="20" t="s">
        <v>467</v>
      </c>
      <c r="E38" s="19">
        <v>2</v>
      </c>
      <c r="F38" s="19"/>
      <c r="G38" s="19">
        <v>4</v>
      </c>
      <c r="H38" s="19" t="s">
        <v>468</v>
      </c>
    </row>
    <row r="39" spans="1:8">
      <c r="A39" s="19">
        <v>23002</v>
      </c>
      <c r="B39" s="19" t="s">
        <v>469</v>
      </c>
      <c r="C39" s="19">
        <v>1</v>
      </c>
      <c r="D39" s="20" t="s">
        <v>470</v>
      </c>
      <c r="E39" s="19">
        <v>2</v>
      </c>
      <c r="F39" s="19"/>
      <c r="G39" s="19">
        <v>4</v>
      </c>
      <c r="H39" s="19" t="s">
        <v>471</v>
      </c>
    </row>
    <row r="40" spans="1:8">
      <c r="A40" s="2">
        <v>30001</v>
      </c>
      <c r="B40" s="2" t="s">
        <v>415</v>
      </c>
      <c r="C40" s="2">
        <v>99</v>
      </c>
      <c r="D40" s="22" t="s">
        <v>472</v>
      </c>
      <c r="E40" s="2">
        <v>3</v>
      </c>
      <c r="F40" s="22"/>
      <c r="G40" s="2">
        <v>1</v>
      </c>
      <c r="H40" s="23" t="s">
        <v>417</v>
      </c>
    </row>
    <row r="41" spans="1:8">
      <c r="A41" s="2">
        <v>30002</v>
      </c>
      <c r="B41" s="2" t="s">
        <v>418</v>
      </c>
      <c r="C41" s="2">
        <v>99</v>
      </c>
      <c r="D41" s="22" t="s">
        <v>473</v>
      </c>
      <c r="E41" s="2">
        <v>3</v>
      </c>
      <c r="F41" s="22"/>
      <c r="G41" s="2">
        <v>1</v>
      </c>
      <c r="H41" s="23" t="s">
        <v>420</v>
      </c>
    </row>
    <row r="42" spans="1:8">
      <c r="A42" s="2">
        <v>30003</v>
      </c>
      <c r="B42" s="2" t="s">
        <v>421</v>
      </c>
      <c r="C42" s="2">
        <v>199</v>
      </c>
      <c r="D42" s="22" t="s">
        <v>474</v>
      </c>
      <c r="E42" s="2">
        <v>3</v>
      </c>
      <c r="F42" s="22"/>
      <c r="G42" s="2">
        <v>1</v>
      </c>
      <c r="H42" s="23" t="s">
        <v>422</v>
      </c>
    </row>
    <row r="43" spans="1:8">
      <c r="A43" s="2">
        <v>30004</v>
      </c>
      <c r="B43" s="2" t="s">
        <v>423</v>
      </c>
      <c r="C43" s="2">
        <v>199</v>
      </c>
      <c r="D43" s="22" t="s">
        <v>474</v>
      </c>
      <c r="E43" s="2">
        <v>3</v>
      </c>
      <c r="F43" s="22"/>
      <c r="G43" s="2">
        <v>1</v>
      </c>
      <c r="H43" s="23" t="s">
        <v>424</v>
      </c>
    </row>
    <row r="44" spans="1:8">
      <c r="A44" s="2">
        <v>30005</v>
      </c>
      <c r="B44" s="2" t="s">
        <v>425</v>
      </c>
      <c r="C44" s="2">
        <v>10</v>
      </c>
      <c r="D44" s="22" t="s">
        <v>475</v>
      </c>
      <c r="E44" s="2">
        <v>3</v>
      </c>
      <c r="F44" s="2"/>
      <c r="G44" s="2">
        <v>1</v>
      </c>
      <c r="H44" s="23" t="s">
        <v>427</v>
      </c>
    </row>
    <row r="45" spans="1:8">
      <c r="A45" s="2">
        <v>30006</v>
      </c>
      <c r="B45" s="2" t="s">
        <v>428</v>
      </c>
      <c r="C45" s="2">
        <v>10</v>
      </c>
      <c r="D45" s="22" t="s">
        <v>476</v>
      </c>
      <c r="E45" s="2">
        <v>3</v>
      </c>
      <c r="F45" s="2"/>
      <c r="G45" s="2">
        <v>1</v>
      </c>
      <c r="H45" s="23" t="s">
        <v>430</v>
      </c>
    </row>
    <row r="46" spans="1:8">
      <c r="A46" s="2">
        <v>30007</v>
      </c>
      <c r="B46" s="2" t="s">
        <v>431</v>
      </c>
      <c r="C46" s="2">
        <v>10</v>
      </c>
      <c r="D46" s="22" t="s">
        <v>477</v>
      </c>
      <c r="E46" s="2">
        <v>3</v>
      </c>
      <c r="F46" s="2"/>
      <c r="G46" s="2">
        <v>1</v>
      </c>
      <c r="H46" s="23" t="s">
        <v>433</v>
      </c>
    </row>
    <row r="47" spans="1:8">
      <c r="A47" s="2">
        <v>30008</v>
      </c>
      <c r="B47" s="2" t="s">
        <v>434</v>
      </c>
      <c r="C47" s="2">
        <v>99</v>
      </c>
      <c r="D47" s="22" t="s">
        <v>478</v>
      </c>
      <c r="E47" s="2">
        <v>3</v>
      </c>
      <c r="F47" s="2"/>
      <c r="G47" s="2">
        <v>1</v>
      </c>
      <c r="H47" s="2" t="s">
        <v>436</v>
      </c>
    </row>
    <row r="48" spans="1:8">
      <c r="A48" s="2">
        <v>31001</v>
      </c>
      <c r="B48" s="2" t="s">
        <v>108</v>
      </c>
      <c r="C48" s="2">
        <v>10</v>
      </c>
      <c r="D48" s="22" t="s">
        <v>479</v>
      </c>
      <c r="E48" s="2">
        <v>3</v>
      </c>
      <c r="F48" s="2"/>
      <c r="G48" s="2">
        <v>2</v>
      </c>
      <c r="H48" s="23" t="s">
        <v>109</v>
      </c>
    </row>
    <row r="49" spans="1:8">
      <c r="A49" s="2">
        <v>31002</v>
      </c>
      <c r="B49" s="2" t="s">
        <v>403</v>
      </c>
      <c r="C49" s="2">
        <v>5</v>
      </c>
      <c r="D49" s="22" t="s">
        <v>480</v>
      </c>
      <c r="E49" s="2">
        <v>3</v>
      </c>
      <c r="F49" s="22"/>
      <c r="G49" s="2">
        <v>2</v>
      </c>
      <c r="H49" s="23" t="s">
        <v>405</v>
      </c>
    </row>
    <row r="50" spans="1:8">
      <c r="A50" s="2">
        <v>31003</v>
      </c>
      <c r="B50" s="2" t="s">
        <v>406</v>
      </c>
      <c r="C50" s="2">
        <v>5</v>
      </c>
      <c r="D50" s="22" t="s">
        <v>480</v>
      </c>
      <c r="E50" s="2">
        <v>3</v>
      </c>
      <c r="F50" s="22"/>
      <c r="G50" s="2">
        <v>2</v>
      </c>
      <c r="H50" s="23" t="s">
        <v>407</v>
      </c>
    </row>
    <row r="51" spans="1:8">
      <c r="A51" s="2">
        <v>31004</v>
      </c>
      <c r="B51" s="2" t="s">
        <v>408</v>
      </c>
      <c r="C51" s="2">
        <v>5</v>
      </c>
      <c r="D51" s="22" t="s">
        <v>480</v>
      </c>
      <c r="E51" s="2">
        <v>3</v>
      </c>
      <c r="F51" s="22"/>
      <c r="G51" s="2">
        <v>2</v>
      </c>
      <c r="H51" s="23" t="s">
        <v>409</v>
      </c>
    </row>
    <row r="52" spans="1:8">
      <c r="A52" s="2">
        <v>31005</v>
      </c>
      <c r="B52" s="2" t="s">
        <v>410</v>
      </c>
      <c r="C52" s="2">
        <v>5</v>
      </c>
      <c r="D52" s="22" t="s">
        <v>481</v>
      </c>
      <c r="E52" s="2">
        <v>3</v>
      </c>
      <c r="F52" s="22"/>
      <c r="G52" s="2">
        <v>2</v>
      </c>
      <c r="H52" s="23" t="s">
        <v>412</v>
      </c>
    </row>
    <row r="53" spans="1:8">
      <c r="A53" s="2">
        <v>31006</v>
      </c>
      <c r="B53" s="2" t="s">
        <v>413</v>
      </c>
      <c r="C53" s="2">
        <v>5</v>
      </c>
      <c r="D53" s="22" t="s">
        <v>481</v>
      </c>
      <c r="E53" s="2">
        <v>3</v>
      </c>
      <c r="F53" s="22"/>
      <c r="G53" s="2">
        <v>2</v>
      </c>
      <c r="H53" s="23" t="s">
        <v>414</v>
      </c>
    </row>
    <row r="54" spans="1:8">
      <c r="A54" s="16">
        <v>40001</v>
      </c>
      <c r="B54" s="9" t="s">
        <v>108</v>
      </c>
      <c r="C54" s="9">
        <v>10</v>
      </c>
      <c r="D54" s="11" t="s">
        <v>482</v>
      </c>
      <c r="E54" s="9">
        <v>4</v>
      </c>
      <c r="F54" s="9"/>
      <c r="G54" s="9">
        <v>1</v>
      </c>
      <c r="H54" s="12" t="s">
        <v>109</v>
      </c>
    </row>
    <row r="55" spans="1:8">
      <c r="A55" s="16">
        <v>40002</v>
      </c>
      <c r="B55" s="9" t="s">
        <v>403</v>
      </c>
      <c r="C55" s="9">
        <v>10</v>
      </c>
      <c r="D55" s="11" t="s">
        <v>483</v>
      </c>
      <c r="E55" s="9">
        <v>4</v>
      </c>
      <c r="F55" s="11"/>
      <c r="G55" s="9">
        <v>1</v>
      </c>
      <c r="H55" s="12" t="s">
        <v>405</v>
      </c>
    </row>
    <row r="56" spans="1:8">
      <c r="A56" s="16">
        <v>40003</v>
      </c>
      <c r="B56" s="9" t="s">
        <v>406</v>
      </c>
      <c r="C56" s="9">
        <v>10</v>
      </c>
      <c r="D56" s="11" t="s">
        <v>483</v>
      </c>
      <c r="E56" s="9">
        <v>4</v>
      </c>
      <c r="F56" s="11"/>
      <c r="G56" s="9">
        <v>1</v>
      </c>
      <c r="H56" s="12" t="s">
        <v>407</v>
      </c>
    </row>
    <row r="57" spans="1:8">
      <c r="A57" s="16">
        <v>40004</v>
      </c>
      <c r="B57" s="9" t="s">
        <v>408</v>
      </c>
      <c r="C57" s="9">
        <v>10</v>
      </c>
      <c r="D57" s="11" t="s">
        <v>483</v>
      </c>
      <c r="E57" s="9">
        <v>4</v>
      </c>
      <c r="F57" s="11"/>
      <c r="G57" s="9">
        <v>1</v>
      </c>
      <c r="H57" s="12" t="s">
        <v>409</v>
      </c>
    </row>
    <row r="58" spans="1:8">
      <c r="A58" s="16">
        <v>40005</v>
      </c>
      <c r="B58" s="9" t="s">
        <v>410</v>
      </c>
      <c r="C58" s="9">
        <v>10</v>
      </c>
      <c r="D58" s="11" t="s">
        <v>484</v>
      </c>
      <c r="E58" s="9">
        <v>4</v>
      </c>
      <c r="F58" s="11"/>
      <c r="G58" s="9">
        <v>1</v>
      </c>
      <c r="H58" s="12" t="s">
        <v>412</v>
      </c>
    </row>
    <row r="59" spans="1:8">
      <c r="A59" s="16">
        <v>40006</v>
      </c>
      <c r="B59" s="9" t="s">
        <v>413</v>
      </c>
      <c r="C59" s="9">
        <v>10</v>
      </c>
      <c r="D59" s="11" t="s">
        <v>484</v>
      </c>
      <c r="E59" s="9">
        <v>4</v>
      </c>
      <c r="F59" s="11"/>
      <c r="G59" s="9">
        <v>1</v>
      </c>
      <c r="H59" s="12" t="s">
        <v>414</v>
      </c>
    </row>
    <row r="60" spans="1:8">
      <c r="A60" s="16">
        <v>41001</v>
      </c>
      <c r="B60" s="13" t="s">
        <v>415</v>
      </c>
      <c r="C60" s="13">
        <v>99</v>
      </c>
      <c r="D60" s="14" t="s">
        <v>485</v>
      </c>
      <c r="E60" s="13">
        <v>4</v>
      </c>
      <c r="F60" s="14"/>
      <c r="G60" s="13">
        <v>2</v>
      </c>
      <c r="H60" s="15" t="s">
        <v>417</v>
      </c>
    </row>
    <row r="61" spans="1:8">
      <c r="A61" s="16">
        <v>41002</v>
      </c>
      <c r="B61" s="13" t="s">
        <v>418</v>
      </c>
      <c r="C61" s="13">
        <v>99</v>
      </c>
      <c r="D61" s="14" t="s">
        <v>486</v>
      </c>
      <c r="E61" s="13">
        <v>4</v>
      </c>
      <c r="F61" s="14"/>
      <c r="G61" s="13">
        <v>2</v>
      </c>
      <c r="H61" s="15" t="s">
        <v>420</v>
      </c>
    </row>
    <row r="62" spans="1:8">
      <c r="A62" s="16">
        <v>41003</v>
      </c>
      <c r="B62" s="13" t="s">
        <v>421</v>
      </c>
      <c r="C62" s="13">
        <v>199</v>
      </c>
      <c r="D62" s="14" t="s">
        <v>485</v>
      </c>
      <c r="E62" s="13">
        <v>4</v>
      </c>
      <c r="F62" s="14"/>
      <c r="G62" s="13">
        <v>2</v>
      </c>
      <c r="H62" s="15" t="s">
        <v>422</v>
      </c>
    </row>
    <row r="63" spans="1:8">
      <c r="A63" s="16">
        <v>41004</v>
      </c>
      <c r="B63" s="13" t="s">
        <v>423</v>
      </c>
      <c r="C63" s="13">
        <v>199</v>
      </c>
      <c r="D63" s="14" t="s">
        <v>485</v>
      </c>
      <c r="E63" s="13">
        <v>4</v>
      </c>
      <c r="F63" s="14"/>
      <c r="G63" s="13">
        <v>2</v>
      </c>
      <c r="H63" s="15" t="s">
        <v>424</v>
      </c>
    </row>
    <row r="64" spans="1:8">
      <c r="A64" s="16">
        <v>42001</v>
      </c>
      <c r="B64" s="16" t="s">
        <v>425</v>
      </c>
      <c r="C64" s="16">
        <v>10</v>
      </c>
      <c r="D64" s="17" t="s">
        <v>487</v>
      </c>
      <c r="E64" s="16">
        <v>4</v>
      </c>
      <c r="F64" s="16"/>
      <c r="G64" s="16">
        <v>3</v>
      </c>
      <c r="H64" s="18" t="s">
        <v>427</v>
      </c>
    </row>
    <row r="65" spans="1:8">
      <c r="A65" s="16">
        <v>42002</v>
      </c>
      <c r="B65" s="16" t="s">
        <v>428</v>
      </c>
      <c r="C65" s="16">
        <v>10</v>
      </c>
      <c r="D65" s="17" t="s">
        <v>488</v>
      </c>
      <c r="E65" s="16">
        <v>4</v>
      </c>
      <c r="F65" s="16"/>
      <c r="G65" s="16">
        <v>3</v>
      </c>
      <c r="H65" s="18" t="s">
        <v>430</v>
      </c>
    </row>
    <row r="66" spans="1:8">
      <c r="A66" s="16">
        <v>42003</v>
      </c>
      <c r="B66" s="16" t="s">
        <v>431</v>
      </c>
      <c r="C66" s="16">
        <v>10</v>
      </c>
      <c r="D66" s="17" t="s">
        <v>489</v>
      </c>
      <c r="E66" s="16">
        <v>4</v>
      </c>
      <c r="F66" s="16"/>
      <c r="G66" s="16">
        <v>3</v>
      </c>
      <c r="H66" s="18" t="s">
        <v>433</v>
      </c>
    </row>
    <row r="67" spans="1:8">
      <c r="A67" s="16">
        <v>42004</v>
      </c>
      <c r="B67" s="16" t="s">
        <v>434</v>
      </c>
      <c r="C67" s="16">
        <v>99</v>
      </c>
      <c r="D67" s="17" t="s">
        <v>490</v>
      </c>
      <c r="E67" s="16">
        <v>4</v>
      </c>
      <c r="F67" s="16"/>
      <c r="G67" s="16">
        <v>3</v>
      </c>
      <c r="H67" s="16" t="s">
        <v>436</v>
      </c>
    </row>
    <row r="68" spans="1:8">
      <c r="A68" s="16">
        <v>43001</v>
      </c>
      <c r="B68" s="19" t="s">
        <v>437</v>
      </c>
      <c r="C68" s="19">
        <v>199</v>
      </c>
      <c r="D68" s="20" t="s">
        <v>491</v>
      </c>
      <c r="E68" s="19">
        <v>4</v>
      </c>
      <c r="F68" s="19"/>
      <c r="G68" s="19">
        <v>4</v>
      </c>
      <c r="H68" s="19" t="s">
        <v>439</v>
      </c>
    </row>
    <row r="69" spans="1:8">
      <c r="A69" s="16">
        <v>43002</v>
      </c>
      <c r="B69" s="19" t="s">
        <v>440</v>
      </c>
      <c r="C69" s="19">
        <v>199</v>
      </c>
      <c r="D69" s="20" t="s">
        <v>492</v>
      </c>
      <c r="E69" s="19">
        <v>4</v>
      </c>
      <c r="F69" s="19"/>
      <c r="G69" s="19">
        <v>4</v>
      </c>
      <c r="H69" s="19" t="s">
        <v>442</v>
      </c>
    </row>
    <row r="70" spans="1:8">
      <c r="A70" s="16">
        <v>43003</v>
      </c>
      <c r="B70" s="19" t="s">
        <v>443</v>
      </c>
      <c r="C70" s="19">
        <v>199</v>
      </c>
      <c r="D70" s="20" t="s">
        <v>492</v>
      </c>
      <c r="E70" s="19">
        <v>4</v>
      </c>
      <c r="F70" s="19"/>
      <c r="G70" s="19">
        <v>4</v>
      </c>
      <c r="H70" s="19" t="s">
        <v>444</v>
      </c>
    </row>
    <row r="71" spans="1:8">
      <c r="A71" s="16">
        <v>44001</v>
      </c>
      <c r="B71" t="s">
        <v>493</v>
      </c>
      <c r="C71">
        <v>1</v>
      </c>
      <c r="D71" s="21" t="s">
        <v>494</v>
      </c>
      <c r="E71">
        <v>4</v>
      </c>
      <c r="G71">
        <v>5</v>
      </c>
      <c r="H71" s="2" t="s">
        <v>495</v>
      </c>
    </row>
    <row r="72" spans="1:8">
      <c r="A72" s="16">
        <v>44002</v>
      </c>
      <c r="B72" t="s">
        <v>496</v>
      </c>
      <c r="C72">
        <v>1</v>
      </c>
      <c r="D72" s="21" t="s">
        <v>497</v>
      </c>
      <c r="E72">
        <v>4</v>
      </c>
      <c r="G72">
        <v>5</v>
      </c>
      <c r="H72" s="2" t="s">
        <v>498</v>
      </c>
    </row>
    <row r="73" spans="1:8">
      <c r="A73" s="16">
        <v>44003</v>
      </c>
      <c r="B73" t="s">
        <v>451</v>
      </c>
      <c r="C73">
        <v>1</v>
      </c>
      <c r="D73" s="21" t="s">
        <v>499</v>
      </c>
      <c r="E73">
        <v>4</v>
      </c>
      <c r="G73">
        <v>5</v>
      </c>
      <c r="H73" s="2" t="s">
        <v>453</v>
      </c>
    </row>
    <row r="74" spans="1:8">
      <c r="A74" s="16">
        <v>44004</v>
      </c>
      <c r="B74" t="s">
        <v>454</v>
      </c>
      <c r="C74">
        <v>1</v>
      </c>
      <c r="D74" s="21" t="s">
        <v>500</v>
      </c>
      <c r="E74">
        <v>4</v>
      </c>
      <c r="G74">
        <v>5</v>
      </c>
      <c r="H74" s="2" t="s">
        <v>456</v>
      </c>
    </row>
    <row r="75" spans="1:8" s="9" customFormat="1">
      <c r="A75" s="9">
        <v>50001</v>
      </c>
      <c r="B75" s="9" t="s">
        <v>108</v>
      </c>
      <c r="C75" s="9">
        <v>10</v>
      </c>
      <c r="D75" s="11" t="s">
        <v>501</v>
      </c>
      <c r="E75" s="9">
        <v>5</v>
      </c>
      <c r="G75" s="9">
        <v>1</v>
      </c>
      <c r="H75" s="12" t="s">
        <v>109</v>
      </c>
    </row>
    <row r="76" spans="1:8" s="9" customFormat="1">
      <c r="A76" s="9">
        <v>50002</v>
      </c>
      <c r="B76" s="9" t="s">
        <v>403</v>
      </c>
      <c r="C76" s="9">
        <v>10</v>
      </c>
      <c r="D76" s="11" t="s">
        <v>502</v>
      </c>
      <c r="E76" s="9">
        <v>5</v>
      </c>
      <c r="F76" s="11"/>
      <c r="G76" s="9">
        <v>1</v>
      </c>
      <c r="H76" s="12" t="s">
        <v>405</v>
      </c>
    </row>
    <row r="77" spans="1:8" s="9" customFormat="1">
      <c r="A77" s="9">
        <v>50003</v>
      </c>
      <c r="B77" s="9" t="s">
        <v>406</v>
      </c>
      <c r="C77" s="9">
        <v>10</v>
      </c>
      <c r="D77" s="11" t="s">
        <v>502</v>
      </c>
      <c r="E77" s="9">
        <v>5</v>
      </c>
      <c r="F77" s="11"/>
      <c r="G77" s="9">
        <v>1</v>
      </c>
      <c r="H77" s="12" t="s">
        <v>407</v>
      </c>
    </row>
    <row r="78" spans="1:8" s="9" customFormat="1">
      <c r="A78" s="9">
        <v>50004</v>
      </c>
      <c r="B78" s="9" t="s">
        <v>408</v>
      </c>
      <c r="C78" s="9">
        <v>10</v>
      </c>
      <c r="D78" s="11" t="s">
        <v>502</v>
      </c>
      <c r="E78" s="9">
        <v>5</v>
      </c>
      <c r="F78" s="11"/>
      <c r="G78" s="9">
        <v>1</v>
      </c>
      <c r="H78" s="12" t="s">
        <v>409</v>
      </c>
    </row>
    <row r="79" spans="1:8" s="9" customFormat="1">
      <c r="A79" s="9">
        <v>50005</v>
      </c>
      <c r="B79" s="9" t="s">
        <v>410</v>
      </c>
      <c r="C79" s="9">
        <v>10</v>
      </c>
      <c r="D79" s="11" t="s">
        <v>503</v>
      </c>
      <c r="E79" s="9">
        <v>5</v>
      </c>
      <c r="F79" s="11"/>
      <c r="G79" s="9">
        <v>1</v>
      </c>
      <c r="H79" s="12" t="s">
        <v>412</v>
      </c>
    </row>
    <row r="80" spans="1:8" s="9" customFormat="1">
      <c r="A80" s="9">
        <v>50006</v>
      </c>
      <c r="B80" s="9" t="s">
        <v>413</v>
      </c>
      <c r="C80" s="9">
        <v>10</v>
      </c>
      <c r="D80" s="11" t="s">
        <v>503</v>
      </c>
      <c r="E80" s="9">
        <v>5</v>
      </c>
      <c r="F80" s="11"/>
      <c r="G80" s="9">
        <v>1</v>
      </c>
      <c r="H80" s="12" t="s">
        <v>414</v>
      </c>
    </row>
    <row r="81" spans="1:13">
      <c r="A81" s="16">
        <v>51001</v>
      </c>
      <c r="B81" s="13" t="s">
        <v>415</v>
      </c>
      <c r="C81" s="13">
        <v>99</v>
      </c>
      <c r="D81" s="14" t="s">
        <v>504</v>
      </c>
      <c r="E81" s="13">
        <v>5</v>
      </c>
      <c r="F81" s="14"/>
      <c r="G81" s="13">
        <v>2</v>
      </c>
      <c r="H81" s="15" t="s">
        <v>417</v>
      </c>
    </row>
    <row r="82" spans="1:13">
      <c r="A82" s="16">
        <v>51002</v>
      </c>
      <c r="B82" s="13" t="s">
        <v>418</v>
      </c>
      <c r="C82" s="13">
        <v>99</v>
      </c>
      <c r="D82" s="14" t="s">
        <v>505</v>
      </c>
      <c r="E82" s="13">
        <v>5</v>
      </c>
      <c r="F82" s="14"/>
      <c r="G82" s="13">
        <v>2</v>
      </c>
      <c r="H82" s="15" t="s">
        <v>420</v>
      </c>
    </row>
    <row r="83" spans="1:13">
      <c r="A83" s="16">
        <v>51003</v>
      </c>
      <c r="B83" s="13" t="s">
        <v>421</v>
      </c>
      <c r="C83" s="13">
        <v>199</v>
      </c>
      <c r="D83" s="14" t="s">
        <v>504</v>
      </c>
      <c r="E83" s="13">
        <v>5</v>
      </c>
      <c r="F83" s="14"/>
      <c r="G83" s="13">
        <v>2</v>
      </c>
      <c r="H83" s="15" t="s">
        <v>422</v>
      </c>
    </row>
    <row r="84" spans="1:13">
      <c r="A84" s="16">
        <v>51004</v>
      </c>
      <c r="B84" s="13" t="s">
        <v>423</v>
      </c>
      <c r="C84" s="13">
        <v>199</v>
      </c>
      <c r="D84" s="14" t="s">
        <v>504</v>
      </c>
      <c r="E84" s="13">
        <v>5</v>
      </c>
      <c r="F84" s="14"/>
      <c r="G84" s="13">
        <v>2</v>
      </c>
      <c r="H84" s="15" t="s">
        <v>424</v>
      </c>
    </row>
    <row r="85" spans="1:13">
      <c r="A85" s="16">
        <v>52001</v>
      </c>
      <c r="B85" s="16" t="s">
        <v>425</v>
      </c>
      <c r="C85" s="16">
        <v>10</v>
      </c>
      <c r="D85" s="17" t="s">
        <v>506</v>
      </c>
      <c r="E85" s="16">
        <v>5</v>
      </c>
      <c r="F85" s="16"/>
      <c r="G85" s="16">
        <v>3</v>
      </c>
      <c r="H85" s="18" t="s">
        <v>427</v>
      </c>
    </row>
    <row r="86" spans="1:13">
      <c r="A86" s="16">
        <v>52002</v>
      </c>
      <c r="B86" s="16" t="s">
        <v>428</v>
      </c>
      <c r="C86" s="16">
        <v>10</v>
      </c>
      <c r="D86" s="17" t="s">
        <v>507</v>
      </c>
      <c r="E86" s="16">
        <v>5</v>
      </c>
      <c r="F86" s="16"/>
      <c r="G86" s="16">
        <v>3</v>
      </c>
      <c r="H86" s="18" t="s">
        <v>430</v>
      </c>
    </row>
    <row r="87" spans="1:13">
      <c r="A87" s="16">
        <v>52003</v>
      </c>
      <c r="B87" s="16" t="s">
        <v>431</v>
      </c>
      <c r="C87" s="16">
        <v>10</v>
      </c>
      <c r="D87" s="17" t="s">
        <v>508</v>
      </c>
      <c r="E87" s="16">
        <v>5</v>
      </c>
      <c r="F87" s="16"/>
      <c r="G87" s="16">
        <v>3</v>
      </c>
      <c r="H87" s="18" t="s">
        <v>433</v>
      </c>
    </row>
    <row r="88" spans="1:13">
      <c r="A88" s="16">
        <v>52004</v>
      </c>
      <c r="B88" s="16" t="s">
        <v>434</v>
      </c>
      <c r="C88" s="16">
        <v>99</v>
      </c>
      <c r="D88" s="17" t="s">
        <v>509</v>
      </c>
      <c r="E88" s="16">
        <v>5</v>
      </c>
      <c r="F88" s="16"/>
      <c r="G88" s="16">
        <v>3</v>
      </c>
      <c r="H88" s="16" t="s">
        <v>436</v>
      </c>
    </row>
    <row r="89" spans="1:13">
      <c r="A89" s="16">
        <v>53001</v>
      </c>
      <c r="B89" s="19" t="s">
        <v>437</v>
      </c>
      <c r="C89" s="19">
        <v>199</v>
      </c>
      <c r="D89" s="20" t="s">
        <v>510</v>
      </c>
      <c r="E89" s="19">
        <v>5</v>
      </c>
      <c r="F89" s="19"/>
      <c r="G89" s="19">
        <v>4</v>
      </c>
      <c r="H89" s="19" t="s">
        <v>439</v>
      </c>
    </row>
    <row r="90" spans="1:13">
      <c r="A90" s="16">
        <v>53002</v>
      </c>
      <c r="B90" s="19" t="s">
        <v>440</v>
      </c>
      <c r="C90" s="19">
        <v>199</v>
      </c>
      <c r="D90" s="20" t="s">
        <v>511</v>
      </c>
      <c r="E90" s="19">
        <v>5</v>
      </c>
      <c r="F90" s="19"/>
      <c r="G90" s="19">
        <v>4</v>
      </c>
      <c r="H90" s="19" t="s">
        <v>442</v>
      </c>
    </row>
    <row r="91" spans="1:13">
      <c r="A91" s="16">
        <v>53003</v>
      </c>
      <c r="B91" s="19" t="s">
        <v>443</v>
      </c>
      <c r="C91" s="19">
        <v>199</v>
      </c>
      <c r="D91" s="20" t="s">
        <v>511</v>
      </c>
      <c r="E91" s="19">
        <v>5</v>
      </c>
      <c r="F91" s="19"/>
      <c r="G91" s="19">
        <v>4</v>
      </c>
      <c r="H91" s="19" t="s">
        <v>444</v>
      </c>
    </row>
    <row r="92" spans="1:13">
      <c r="A92" s="16">
        <v>54001</v>
      </c>
      <c r="B92" t="s">
        <v>512</v>
      </c>
      <c r="C92">
        <v>1</v>
      </c>
      <c r="D92" s="21" t="s">
        <v>513</v>
      </c>
      <c r="E92">
        <v>5</v>
      </c>
      <c r="G92">
        <v>1</v>
      </c>
      <c r="H92" s="2" t="s">
        <v>514</v>
      </c>
    </row>
    <row r="93" spans="1:13">
      <c r="A93" s="16">
        <v>54002</v>
      </c>
      <c r="B93" t="s">
        <v>515</v>
      </c>
      <c r="C93">
        <v>1</v>
      </c>
      <c r="D93" s="21" t="s">
        <v>516</v>
      </c>
      <c r="E93">
        <v>5</v>
      </c>
      <c r="G93">
        <v>1</v>
      </c>
      <c r="H93" s="2" t="s">
        <v>517</v>
      </c>
    </row>
    <row r="94" spans="1:13">
      <c r="A94" s="16">
        <v>54003</v>
      </c>
      <c r="B94" t="s">
        <v>518</v>
      </c>
      <c r="C94">
        <v>1</v>
      </c>
      <c r="D94" s="21" t="s">
        <v>519</v>
      </c>
      <c r="E94">
        <v>5</v>
      </c>
      <c r="G94">
        <v>1</v>
      </c>
      <c r="H94" s="2" t="s">
        <v>520</v>
      </c>
    </row>
    <row r="95" spans="1:13" ht="15.75">
      <c r="A95" s="10">
        <v>60001</v>
      </c>
      <c r="B95" s="24" t="s">
        <v>521</v>
      </c>
      <c r="C95" s="25">
        <v>19</v>
      </c>
      <c r="D95" s="26" t="s">
        <v>522</v>
      </c>
      <c r="E95" s="27">
        <v>6</v>
      </c>
      <c r="G95">
        <v>1</v>
      </c>
      <c r="H95" s="28" t="s">
        <v>523</v>
      </c>
      <c r="K95" s="10"/>
      <c r="L95" s="25"/>
      <c r="M95" s="10"/>
    </row>
    <row r="96" spans="1:13" ht="15.75">
      <c r="A96" s="10">
        <v>60002</v>
      </c>
      <c r="B96" s="24" t="s">
        <v>524</v>
      </c>
      <c r="C96" s="25">
        <v>19</v>
      </c>
      <c r="D96" s="26" t="s">
        <v>525</v>
      </c>
      <c r="E96" s="27">
        <v>6</v>
      </c>
      <c r="G96">
        <v>1</v>
      </c>
      <c r="H96" s="29" t="s">
        <v>526</v>
      </c>
      <c r="K96" s="10"/>
      <c r="L96" s="25"/>
      <c r="M96" s="10"/>
    </row>
    <row r="97" spans="1:13" ht="15.75">
      <c r="A97" s="10">
        <v>60003</v>
      </c>
      <c r="B97" s="24" t="s">
        <v>527</v>
      </c>
      <c r="C97" s="25">
        <v>19</v>
      </c>
      <c r="D97" s="26" t="s">
        <v>528</v>
      </c>
      <c r="E97" s="27">
        <v>6</v>
      </c>
      <c r="G97">
        <v>1</v>
      </c>
      <c r="H97" s="29" t="s">
        <v>529</v>
      </c>
      <c r="K97" s="10"/>
      <c r="L97" s="25"/>
      <c r="M97" s="10"/>
    </row>
    <row r="98" spans="1:13" ht="15.75">
      <c r="A98" s="10">
        <v>60004</v>
      </c>
      <c r="B98" s="24" t="s">
        <v>530</v>
      </c>
      <c r="C98" s="25">
        <v>19</v>
      </c>
      <c r="D98" s="26" t="s">
        <v>528</v>
      </c>
      <c r="E98" s="27">
        <v>6</v>
      </c>
      <c r="G98">
        <v>1</v>
      </c>
      <c r="H98" s="29" t="s">
        <v>531</v>
      </c>
      <c r="K98" s="10"/>
      <c r="L98" s="25"/>
      <c r="M98" s="10"/>
    </row>
    <row r="99" spans="1:13" ht="15.75">
      <c r="A99" s="10">
        <v>60005</v>
      </c>
      <c r="B99" s="24" t="s">
        <v>532</v>
      </c>
      <c r="C99" s="25">
        <v>19</v>
      </c>
      <c r="D99" s="26" t="s">
        <v>528</v>
      </c>
      <c r="E99" s="27">
        <v>6</v>
      </c>
      <c r="G99">
        <v>1</v>
      </c>
      <c r="H99" s="29" t="s">
        <v>533</v>
      </c>
      <c r="K99" s="10"/>
      <c r="L99" s="25"/>
      <c r="M99" s="10"/>
    </row>
    <row r="100" spans="1:13" ht="15.75">
      <c r="A100" s="10">
        <v>60006</v>
      </c>
      <c r="B100" s="24" t="s">
        <v>534</v>
      </c>
      <c r="C100" s="25">
        <v>19</v>
      </c>
      <c r="D100" s="26" t="s">
        <v>528</v>
      </c>
      <c r="E100" s="27">
        <v>6</v>
      </c>
      <c r="G100">
        <v>1</v>
      </c>
      <c r="H100" s="29" t="s">
        <v>535</v>
      </c>
      <c r="K100" s="10"/>
      <c r="L100" s="25"/>
      <c r="M100" s="10"/>
    </row>
    <row r="101" spans="1:13" ht="15.75">
      <c r="A101" s="10">
        <v>60007</v>
      </c>
      <c r="B101" s="24" t="s">
        <v>536</v>
      </c>
      <c r="C101" s="25">
        <v>19</v>
      </c>
      <c r="D101" s="26" t="s">
        <v>528</v>
      </c>
      <c r="E101" s="27">
        <v>6</v>
      </c>
      <c r="G101">
        <v>1</v>
      </c>
      <c r="H101" s="29" t="s">
        <v>537</v>
      </c>
      <c r="K101" s="10"/>
      <c r="L101" s="25"/>
      <c r="M101" s="10"/>
    </row>
    <row r="102" spans="1:13" ht="15.75">
      <c r="A102" s="10">
        <v>60008</v>
      </c>
      <c r="B102" s="24" t="s">
        <v>538</v>
      </c>
      <c r="C102" s="25">
        <v>19</v>
      </c>
      <c r="D102" t="s">
        <v>539</v>
      </c>
      <c r="E102" s="27">
        <v>6</v>
      </c>
      <c r="G102">
        <v>1</v>
      </c>
      <c r="H102" s="30" t="s">
        <v>540</v>
      </c>
      <c r="K102" s="10"/>
      <c r="L102" s="39"/>
      <c r="M102" s="10"/>
    </row>
    <row r="103" spans="1:13" ht="15.75">
      <c r="A103" s="10">
        <v>60009</v>
      </c>
      <c r="B103" s="24" t="s">
        <v>541</v>
      </c>
      <c r="C103" s="25">
        <v>19</v>
      </c>
      <c r="D103" t="s">
        <v>539</v>
      </c>
      <c r="E103" s="27">
        <v>6</v>
      </c>
      <c r="G103">
        <v>1</v>
      </c>
      <c r="H103" s="30" t="s">
        <v>542</v>
      </c>
      <c r="K103" s="10"/>
      <c r="L103" s="39"/>
      <c r="M103" s="10"/>
    </row>
    <row r="104" spans="1:13" ht="15.75">
      <c r="A104" s="10">
        <v>60010</v>
      </c>
      <c r="B104" s="24" t="s">
        <v>543</v>
      </c>
      <c r="C104" s="25">
        <v>19</v>
      </c>
      <c r="D104" t="s">
        <v>539</v>
      </c>
      <c r="E104" s="27">
        <v>6</v>
      </c>
      <c r="G104">
        <v>1</v>
      </c>
      <c r="H104" s="30" t="s">
        <v>544</v>
      </c>
      <c r="K104" s="10"/>
      <c r="L104" s="39"/>
      <c r="M104" s="10"/>
    </row>
    <row r="105" spans="1:13" ht="15.75">
      <c r="A105" s="10">
        <v>60011</v>
      </c>
      <c r="B105" s="31" t="s">
        <v>545</v>
      </c>
      <c r="C105" s="25">
        <v>19</v>
      </c>
      <c r="D105" t="s">
        <v>539</v>
      </c>
      <c r="E105" s="27">
        <v>6</v>
      </c>
      <c r="G105">
        <v>1</v>
      </c>
      <c r="H105" s="32" t="s">
        <v>546</v>
      </c>
      <c r="K105" s="10"/>
      <c r="L105" s="39"/>
      <c r="M105" s="10"/>
    </row>
    <row r="106" spans="1:13" ht="15.75">
      <c r="A106" s="10">
        <v>60012</v>
      </c>
      <c r="B106" s="24" t="s">
        <v>547</v>
      </c>
      <c r="C106" s="25">
        <v>19</v>
      </c>
      <c r="D106" t="s">
        <v>539</v>
      </c>
      <c r="E106" s="27">
        <v>6</v>
      </c>
      <c r="G106">
        <v>1</v>
      </c>
      <c r="H106" s="32" t="s">
        <v>548</v>
      </c>
      <c r="K106" s="10"/>
      <c r="L106" s="39"/>
      <c r="M106" s="10"/>
    </row>
    <row r="107" spans="1:13" ht="15.75">
      <c r="A107" s="10">
        <v>60013</v>
      </c>
      <c r="B107" s="24" t="s">
        <v>549</v>
      </c>
      <c r="C107" s="25">
        <v>19</v>
      </c>
      <c r="D107" t="s">
        <v>539</v>
      </c>
      <c r="E107" s="27">
        <v>6</v>
      </c>
      <c r="G107">
        <v>1</v>
      </c>
      <c r="H107" s="32" t="s">
        <v>550</v>
      </c>
      <c r="K107" s="10"/>
      <c r="L107" s="39"/>
      <c r="M107" s="10"/>
    </row>
    <row r="108" spans="1:13" ht="15.75">
      <c r="A108" s="10">
        <v>60014</v>
      </c>
      <c r="B108" s="24" t="s">
        <v>410</v>
      </c>
      <c r="C108" s="25">
        <v>30</v>
      </c>
      <c r="D108" t="s">
        <v>551</v>
      </c>
      <c r="E108" s="27">
        <v>6</v>
      </c>
      <c r="G108">
        <v>1</v>
      </c>
      <c r="H108" s="29" t="s">
        <v>552</v>
      </c>
      <c r="K108" s="10"/>
      <c r="L108" s="25"/>
      <c r="M108" s="10"/>
    </row>
    <row r="109" spans="1:13" ht="15.75">
      <c r="A109" s="10">
        <v>60015</v>
      </c>
      <c r="B109" s="24" t="s">
        <v>413</v>
      </c>
      <c r="C109" s="25">
        <v>30</v>
      </c>
      <c r="D109" t="s">
        <v>551</v>
      </c>
      <c r="E109" s="27">
        <v>6</v>
      </c>
      <c r="G109">
        <v>1</v>
      </c>
      <c r="H109" s="29" t="s">
        <v>553</v>
      </c>
      <c r="K109" s="10"/>
      <c r="L109" s="25"/>
      <c r="M109" s="10"/>
    </row>
    <row r="110" spans="1:13" ht="15.75">
      <c r="A110" s="10">
        <v>60016</v>
      </c>
      <c r="B110" s="24" t="s">
        <v>108</v>
      </c>
      <c r="C110" s="25">
        <v>30</v>
      </c>
      <c r="D110" t="s">
        <v>554</v>
      </c>
      <c r="E110" s="27">
        <v>6</v>
      </c>
      <c r="G110">
        <v>1</v>
      </c>
      <c r="H110" s="29" t="s">
        <v>109</v>
      </c>
      <c r="K110" s="10"/>
      <c r="L110" s="25"/>
      <c r="M110" s="10"/>
    </row>
    <row r="111" spans="1:13" ht="15.75">
      <c r="A111" s="10">
        <v>60017</v>
      </c>
      <c r="B111" s="24" t="s">
        <v>555</v>
      </c>
      <c r="C111" s="33">
        <v>7</v>
      </c>
      <c r="D111" t="s">
        <v>528</v>
      </c>
      <c r="E111" s="27">
        <v>6</v>
      </c>
      <c r="G111">
        <v>2</v>
      </c>
      <c r="H111" s="34" t="s">
        <v>556</v>
      </c>
      <c r="K111" s="10"/>
      <c r="L111" s="33"/>
      <c r="M111" s="10"/>
    </row>
    <row r="112" spans="1:13" ht="15.75">
      <c r="A112" s="10">
        <v>60018</v>
      </c>
      <c r="B112" s="24" t="s">
        <v>557</v>
      </c>
      <c r="C112" s="33">
        <v>14</v>
      </c>
      <c r="D112" t="s">
        <v>528</v>
      </c>
      <c r="E112" s="27">
        <v>6</v>
      </c>
      <c r="G112">
        <v>2</v>
      </c>
      <c r="H112" s="35" t="s">
        <v>558</v>
      </c>
      <c r="K112" s="10"/>
      <c r="L112" s="33"/>
      <c r="M112" s="10"/>
    </row>
    <row r="113" spans="1:13" ht="15.75">
      <c r="A113" s="10">
        <v>60019</v>
      </c>
      <c r="B113" s="24" t="s">
        <v>559</v>
      </c>
      <c r="C113" s="33">
        <v>1</v>
      </c>
      <c r="D113" t="s">
        <v>528</v>
      </c>
      <c r="E113" s="27">
        <v>6</v>
      </c>
      <c r="G113">
        <v>2</v>
      </c>
      <c r="H113" s="35" t="s">
        <v>560</v>
      </c>
      <c r="K113" s="10"/>
      <c r="L113" s="33"/>
      <c r="M113" s="10"/>
    </row>
    <row r="114" spans="1:13" ht="15.75">
      <c r="A114" s="10">
        <v>60020</v>
      </c>
      <c r="B114" s="24" t="s">
        <v>561</v>
      </c>
      <c r="C114" s="33">
        <v>5</v>
      </c>
      <c r="D114" t="s">
        <v>528</v>
      </c>
      <c r="E114" s="27">
        <v>6</v>
      </c>
      <c r="G114">
        <v>2</v>
      </c>
      <c r="H114" s="35" t="s">
        <v>562</v>
      </c>
      <c r="K114" s="10"/>
      <c r="L114" s="33"/>
      <c r="M114" s="10"/>
    </row>
    <row r="115" spans="1:13" ht="15.75">
      <c r="A115" s="10">
        <v>60021</v>
      </c>
      <c r="B115" s="24" t="s">
        <v>563</v>
      </c>
      <c r="C115" s="33">
        <v>5</v>
      </c>
      <c r="D115" t="s">
        <v>564</v>
      </c>
      <c r="E115" s="27">
        <v>6</v>
      </c>
      <c r="G115">
        <v>2</v>
      </c>
      <c r="H115" s="34" t="s">
        <v>565</v>
      </c>
      <c r="K115" s="10"/>
      <c r="L115" s="33"/>
      <c r="M115" s="10"/>
    </row>
    <row r="116" spans="1:13" ht="15.75">
      <c r="A116" s="10">
        <v>60022</v>
      </c>
      <c r="B116" s="24" t="s">
        <v>566</v>
      </c>
      <c r="C116" s="33">
        <v>5</v>
      </c>
      <c r="D116" t="s">
        <v>567</v>
      </c>
      <c r="E116" s="27">
        <v>6</v>
      </c>
      <c r="G116">
        <v>2</v>
      </c>
      <c r="H116" s="35" t="s">
        <v>568</v>
      </c>
      <c r="K116" s="10"/>
      <c r="L116" s="33"/>
      <c r="M116" s="10"/>
    </row>
    <row r="117" spans="1:13" ht="15.75">
      <c r="A117" s="10">
        <v>60023</v>
      </c>
      <c r="B117" s="24" t="s">
        <v>569</v>
      </c>
      <c r="C117" s="33">
        <v>40</v>
      </c>
      <c r="D117" t="s">
        <v>551</v>
      </c>
      <c r="E117" s="27">
        <v>6</v>
      </c>
      <c r="G117">
        <v>2</v>
      </c>
      <c r="H117" s="34" t="s">
        <v>570</v>
      </c>
      <c r="K117" s="10"/>
      <c r="L117" s="33"/>
      <c r="M117" s="10"/>
    </row>
    <row r="118" spans="1:13" ht="15.75">
      <c r="A118" s="10">
        <v>60024</v>
      </c>
      <c r="B118" s="24" t="s">
        <v>571</v>
      </c>
      <c r="C118" s="33">
        <v>1</v>
      </c>
      <c r="D118" t="s">
        <v>480</v>
      </c>
      <c r="E118" s="27">
        <v>6</v>
      </c>
      <c r="G118">
        <v>2</v>
      </c>
      <c r="H118" s="34" t="s">
        <v>572</v>
      </c>
      <c r="K118" s="10"/>
      <c r="L118" s="33"/>
      <c r="M118" s="10"/>
    </row>
    <row r="119" spans="1:13" ht="15.75">
      <c r="A119" s="10">
        <v>60025</v>
      </c>
      <c r="B119" s="24" t="s">
        <v>573</v>
      </c>
      <c r="C119" s="33">
        <v>15</v>
      </c>
      <c r="D119" t="s">
        <v>481</v>
      </c>
      <c r="E119" s="27">
        <v>6</v>
      </c>
      <c r="G119">
        <v>2</v>
      </c>
      <c r="H119" s="35" t="s">
        <v>574</v>
      </c>
      <c r="K119" s="10"/>
      <c r="L119" s="33"/>
      <c r="M119" s="10"/>
    </row>
    <row r="120" spans="1:13" s="10" customFormat="1" ht="15.75">
      <c r="A120" s="10">
        <v>60026</v>
      </c>
      <c r="B120" s="24" t="s">
        <v>575</v>
      </c>
      <c r="C120" s="36">
        <v>299</v>
      </c>
      <c r="D120" s="26" t="s">
        <v>472</v>
      </c>
      <c r="E120" s="27">
        <v>6</v>
      </c>
      <c r="G120">
        <v>3</v>
      </c>
      <c r="H120" s="37" t="s">
        <v>576</v>
      </c>
      <c r="L120" s="36"/>
    </row>
    <row r="121" spans="1:13" s="10" customFormat="1" ht="15.75">
      <c r="A121" s="10">
        <v>60027</v>
      </c>
      <c r="B121" s="24" t="s">
        <v>577</v>
      </c>
      <c r="C121" s="36">
        <v>199</v>
      </c>
      <c r="D121" s="26" t="s">
        <v>472</v>
      </c>
      <c r="E121" s="27">
        <v>6</v>
      </c>
      <c r="F121" s="38"/>
      <c r="G121">
        <v>3</v>
      </c>
      <c r="H121" s="37" t="s">
        <v>578</v>
      </c>
      <c r="L121" s="36"/>
    </row>
    <row r="122" spans="1:13" s="10" customFormat="1" ht="15.75">
      <c r="A122" s="10">
        <v>60028</v>
      </c>
      <c r="B122" s="24" t="s">
        <v>363</v>
      </c>
      <c r="C122" s="36">
        <v>50</v>
      </c>
      <c r="D122" s="26" t="s">
        <v>579</v>
      </c>
      <c r="E122" s="27">
        <v>6</v>
      </c>
      <c r="F122" s="38"/>
      <c r="G122">
        <v>3</v>
      </c>
      <c r="H122" s="37" t="s">
        <v>364</v>
      </c>
      <c r="L122" s="36"/>
    </row>
    <row r="123" spans="1:13" s="10" customFormat="1" ht="15.75">
      <c r="A123" s="10">
        <v>60029</v>
      </c>
      <c r="B123" s="24" t="s">
        <v>431</v>
      </c>
      <c r="C123" s="36">
        <v>99</v>
      </c>
      <c r="D123" s="26" t="s">
        <v>477</v>
      </c>
      <c r="E123" s="27">
        <v>6</v>
      </c>
      <c r="F123" s="38"/>
      <c r="G123">
        <v>3</v>
      </c>
      <c r="H123" s="37" t="s">
        <v>580</v>
      </c>
      <c r="L123" s="36"/>
    </row>
    <row r="124" spans="1:13" s="10" customFormat="1" ht="15.75">
      <c r="A124" s="10">
        <v>60030</v>
      </c>
      <c r="B124" s="24" t="s">
        <v>425</v>
      </c>
      <c r="C124" s="36">
        <v>60</v>
      </c>
      <c r="D124" s="26" t="s">
        <v>475</v>
      </c>
      <c r="E124" s="27">
        <v>6</v>
      </c>
      <c r="F124" s="38"/>
      <c r="G124">
        <v>3</v>
      </c>
      <c r="H124" s="37" t="s">
        <v>581</v>
      </c>
      <c r="L124" s="36"/>
    </row>
    <row r="125" spans="1:13" s="10" customFormat="1" ht="15.75">
      <c r="A125" s="10">
        <v>60031</v>
      </c>
      <c r="B125" s="24" t="s">
        <v>582</v>
      </c>
      <c r="C125" s="36">
        <v>27</v>
      </c>
      <c r="D125" s="26" t="s">
        <v>583</v>
      </c>
      <c r="E125" s="27">
        <v>6</v>
      </c>
      <c r="F125" s="38"/>
      <c r="G125">
        <v>3</v>
      </c>
      <c r="H125" s="37" t="s">
        <v>584</v>
      </c>
      <c r="L125" s="36"/>
    </row>
    <row r="126" spans="1:13" s="10" customFormat="1" ht="15.75">
      <c r="A126" s="10">
        <v>60032</v>
      </c>
      <c r="B126" s="24" t="s">
        <v>96</v>
      </c>
      <c r="C126" s="36">
        <v>25</v>
      </c>
      <c r="D126" s="26" t="s">
        <v>477</v>
      </c>
      <c r="E126" s="27">
        <v>6</v>
      </c>
      <c r="F126" s="38"/>
      <c r="G126">
        <v>3</v>
      </c>
      <c r="H126" s="37" t="s">
        <v>97</v>
      </c>
      <c r="L126" s="36"/>
    </row>
    <row r="127" spans="1:13" s="10" customFormat="1" ht="15.75">
      <c r="A127" s="10">
        <v>60033</v>
      </c>
      <c r="B127" s="24" t="s">
        <v>585</v>
      </c>
      <c r="C127" s="36">
        <v>25</v>
      </c>
      <c r="D127" s="26" t="s">
        <v>477</v>
      </c>
      <c r="E127" s="27">
        <v>6</v>
      </c>
      <c r="F127" s="38"/>
      <c r="G127">
        <v>3</v>
      </c>
      <c r="H127" s="37" t="s">
        <v>586</v>
      </c>
      <c r="L127" s="36"/>
    </row>
    <row r="128" spans="1:13" s="10" customFormat="1" ht="15.75">
      <c r="A128" s="10">
        <v>60034</v>
      </c>
      <c r="B128" s="24" t="s">
        <v>587</v>
      </c>
      <c r="C128" s="36">
        <v>60</v>
      </c>
      <c r="D128" s="26" t="s">
        <v>579</v>
      </c>
      <c r="E128" s="27">
        <v>6</v>
      </c>
      <c r="F128" s="38"/>
      <c r="G128">
        <v>3</v>
      </c>
      <c r="H128" s="37" t="s">
        <v>588</v>
      </c>
      <c r="L128" s="36"/>
    </row>
    <row r="129" spans="1:13" ht="15.75">
      <c r="A129" s="10">
        <v>60035</v>
      </c>
      <c r="B129" s="24" t="s">
        <v>437</v>
      </c>
      <c r="C129" s="5">
        <v>500</v>
      </c>
      <c r="D129" s="26" t="s">
        <v>472</v>
      </c>
      <c r="E129" s="27">
        <v>6</v>
      </c>
      <c r="G129">
        <v>3</v>
      </c>
      <c r="H129" s="37" t="s">
        <v>589</v>
      </c>
      <c r="K129" s="10"/>
      <c r="L129" s="5"/>
      <c r="M129" s="10"/>
    </row>
    <row r="130" spans="1:13" ht="15.75">
      <c r="A130" s="10">
        <v>60036</v>
      </c>
      <c r="B130" s="24" t="s">
        <v>440</v>
      </c>
      <c r="C130" s="5">
        <v>300</v>
      </c>
      <c r="D130" s="26" t="s">
        <v>590</v>
      </c>
      <c r="E130" s="27">
        <v>6</v>
      </c>
      <c r="G130">
        <v>3</v>
      </c>
      <c r="H130" s="37" t="s">
        <v>591</v>
      </c>
      <c r="K130" s="10"/>
      <c r="L130" s="5"/>
      <c r="M130" s="10"/>
    </row>
    <row r="131" spans="1:13" ht="15.75">
      <c r="A131" s="10">
        <v>60037</v>
      </c>
      <c r="B131" s="24" t="s">
        <v>443</v>
      </c>
      <c r="C131" s="5">
        <v>50</v>
      </c>
      <c r="D131" s="26" t="s">
        <v>477</v>
      </c>
      <c r="E131" s="27">
        <v>6</v>
      </c>
      <c r="G131">
        <v>3</v>
      </c>
      <c r="H131" s="37" t="s">
        <v>592</v>
      </c>
      <c r="K131" s="10"/>
      <c r="L131" s="5"/>
      <c r="M131" s="10"/>
    </row>
    <row r="132" spans="1:13" ht="15.75">
      <c r="A132" s="10">
        <v>60038</v>
      </c>
      <c r="B132" s="24" t="s">
        <v>593</v>
      </c>
      <c r="C132" s="5">
        <v>30</v>
      </c>
      <c r="D132" s="26" t="s">
        <v>594</v>
      </c>
      <c r="E132" s="27">
        <v>6</v>
      </c>
      <c r="G132">
        <v>3</v>
      </c>
      <c r="H132" s="37" t="s">
        <v>595</v>
      </c>
      <c r="K132" s="10"/>
      <c r="L132" s="5"/>
      <c r="M132" s="10"/>
    </row>
    <row r="133" spans="1:13" ht="15.75">
      <c r="A133" s="10">
        <v>70001</v>
      </c>
      <c r="B133" s="26" t="s">
        <v>596</v>
      </c>
      <c r="C133" s="40">
        <v>5</v>
      </c>
      <c r="D133" s="40" t="s">
        <v>597</v>
      </c>
      <c r="E133" s="27">
        <v>7</v>
      </c>
      <c r="F133" s="10"/>
      <c r="G133" s="10"/>
      <c r="H133" s="40" t="s">
        <v>598</v>
      </c>
    </row>
    <row r="134" spans="1:13" ht="15.75">
      <c r="A134" s="10">
        <v>70002</v>
      </c>
      <c r="B134" s="26" t="s">
        <v>599</v>
      </c>
      <c r="C134" s="40">
        <v>5</v>
      </c>
      <c r="D134" s="40" t="s">
        <v>597</v>
      </c>
      <c r="E134" s="27">
        <v>7</v>
      </c>
      <c r="F134" s="38"/>
      <c r="G134" s="10"/>
      <c r="H134" s="40" t="s">
        <v>600</v>
      </c>
    </row>
    <row r="135" spans="1:13" ht="15.75">
      <c r="A135" s="10">
        <v>70003</v>
      </c>
      <c r="B135" s="26" t="s">
        <v>601</v>
      </c>
      <c r="C135" s="41">
        <v>1</v>
      </c>
      <c r="D135" s="41" t="s">
        <v>602</v>
      </c>
      <c r="E135" s="27">
        <v>7</v>
      </c>
      <c r="F135" s="38"/>
      <c r="G135" s="10"/>
      <c r="H135" s="41" t="s">
        <v>603</v>
      </c>
    </row>
    <row r="136" spans="1:13" ht="15.75">
      <c r="A136" s="10">
        <v>70004</v>
      </c>
      <c r="B136" s="26" t="s">
        <v>604</v>
      </c>
      <c r="C136" s="40">
        <v>7</v>
      </c>
      <c r="D136" s="40" t="s">
        <v>602</v>
      </c>
      <c r="E136" s="27">
        <v>7</v>
      </c>
      <c r="F136" s="38"/>
      <c r="G136" s="10"/>
      <c r="H136" s="40" t="s">
        <v>605</v>
      </c>
    </row>
    <row r="137" spans="1:13" ht="15.75">
      <c r="A137" s="10">
        <v>70005</v>
      </c>
      <c r="B137" s="26" t="s">
        <v>606</v>
      </c>
      <c r="C137" s="40">
        <v>10</v>
      </c>
      <c r="D137" s="40" t="s">
        <v>602</v>
      </c>
      <c r="E137" s="27">
        <v>7</v>
      </c>
      <c r="F137" s="38"/>
      <c r="G137" s="10"/>
      <c r="H137" s="40" t="s">
        <v>607</v>
      </c>
    </row>
    <row r="138" spans="1:13" ht="15.75">
      <c r="A138" s="10">
        <v>70006</v>
      </c>
      <c r="B138" s="24" t="s">
        <v>608</v>
      </c>
      <c r="C138" s="40">
        <v>7</v>
      </c>
      <c r="D138" s="40" t="s">
        <v>602</v>
      </c>
      <c r="E138" s="27">
        <v>7</v>
      </c>
      <c r="F138" s="38"/>
      <c r="G138" s="10"/>
      <c r="H138" s="40" t="s">
        <v>609</v>
      </c>
    </row>
    <row r="139" spans="1:13" ht="15.75">
      <c r="A139" s="10">
        <v>70007</v>
      </c>
      <c r="B139" s="24" t="s">
        <v>610</v>
      </c>
      <c r="C139" s="40">
        <v>10</v>
      </c>
      <c r="D139" s="40" t="s">
        <v>602</v>
      </c>
      <c r="E139" s="27">
        <v>7</v>
      </c>
      <c r="F139" s="38"/>
      <c r="G139" s="10"/>
      <c r="H139" s="40" t="s">
        <v>611</v>
      </c>
    </row>
    <row r="140" spans="1:13" ht="15.75">
      <c r="A140" s="10">
        <v>70008</v>
      </c>
      <c r="B140" s="26" t="s">
        <v>612</v>
      </c>
      <c r="C140" s="40">
        <v>1</v>
      </c>
      <c r="D140" s="40" t="s">
        <v>613</v>
      </c>
      <c r="E140" s="27">
        <v>7</v>
      </c>
      <c r="F140" s="38"/>
      <c r="G140" s="10"/>
      <c r="H140" s="40" t="s">
        <v>614</v>
      </c>
    </row>
    <row r="141" spans="1:13" ht="15.75">
      <c r="A141" s="10">
        <v>70009</v>
      </c>
      <c r="B141" s="26" t="s">
        <v>615</v>
      </c>
      <c r="C141" s="40">
        <v>6</v>
      </c>
      <c r="D141" s="40" t="s">
        <v>616</v>
      </c>
      <c r="E141" s="27">
        <v>7</v>
      </c>
      <c r="F141" s="38"/>
      <c r="G141" s="10"/>
      <c r="H141" s="40" t="s">
        <v>617</v>
      </c>
    </row>
    <row r="142" spans="1:13" ht="16.5">
      <c r="A142" s="10">
        <v>70010</v>
      </c>
      <c r="B142" s="26" t="s">
        <v>618</v>
      </c>
      <c r="C142" s="41">
        <v>1</v>
      </c>
      <c r="D142" s="41" t="s">
        <v>619</v>
      </c>
      <c r="E142" s="27">
        <v>7</v>
      </c>
      <c r="F142" s="38"/>
      <c r="G142" s="10"/>
      <c r="H142" s="42" t="s">
        <v>620</v>
      </c>
    </row>
    <row r="143" spans="1:13" ht="16.5">
      <c r="A143" s="10">
        <v>70011</v>
      </c>
      <c r="B143" s="26" t="s">
        <v>621</v>
      </c>
      <c r="C143" s="41">
        <v>1</v>
      </c>
      <c r="D143" s="41" t="s">
        <v>619</v>
      </c>
      <c r="E143" s="27">
        <v>7</v>
      </c>
      <c r="F143" s="38"/>
      <c r="G143" s="10"/>
      <c r="H143" s="42" t="s">
        <v>622</v>
      </c>
    </row>
    <row r="144" spans="1:13" ht="16.5">
      <c r="A144" s="10">
        <v>70012</v>
      </c>
      <c r="B144" s="26" t="s">
        <v>623</v>
      </c>
      <c r="C144" s="41">
        <v>1</v>
      </c>
      <c r="D144" s="41" t="s">
        <v>619</v>
      </c>
      <c r="E144" s="27">
        <v>7</v>
      </c>
      <c r="F144" s="38"/>
      <c r="G144" s="10"/>
      <c r="H144" s="42" t="s">
        <v>624</v>
      </c>
    </row>
    <row r="145" spans="1:8" ht="15.75">
      <c r="A145" s="10">
        <v>70013</v>
      </c>
      <c r="B145" s="26" t="s">
        <v>573</v>
      </c>
      <c r="C145" s="41">
        <v>5</v>
      </c>
      <c r="D145" s="41" t="s">
        <v>625</v>
      </c>
      <c r="E145" s="27">
        <v>7</v>
      </c>
      <c r="H145" s="41" t="s">
        <v>574</v>
      </c>
    </row>
    <row r="146" spans="1:8" ht="15.75">
      <c r="A146" s="10">
        <v>70014</v>
      </c>
      <c r="B146" s="26" t="s">
        <v>626</v>
      </c>
      <c r="C146" s="41">
        <v>1</v>
      </c>
      <c r="D146" s="41" t="s">
        <v>627</v>
      </c>
      <c r="E146" s="27">
        <v>7</v>
      </c>
      <c r="H146" s="41" t="s">
        <v>628</v>
      </c>
    </row>
    <row r="147" spans="1:8" ht="15.75">
      <c r="A147" s="10">
        <v>70015</v>
      </c>
      <c r="B147" s="26" t="s">
        <v>108</v>
      </c>
      <c r="C147" s="41">
        <v>10</v>
      </c>
      <c r="D147" s="41" t="s">
        <v>629</v>
      </c>
      <c r="E147" s="27">
        <v>7</v>
      </c>
      <c r="H147" s="41" t="s">
        <v>630</v>
      </c>
    </row>
    <row r="148" spans="1:8" ht="15.75">
      <c r="A148" s="10">
        <v>70016</v>
      </c>
      <c r="B148" s="26" t="s">
        <v>425</v>
      </c>
      <c r="C148" s="41">
        <v>20</v>
      </c>
      <c r="D148" s="41" t="s">
        <v>627</v>
      </c>
      <c r="E148" s="27">
        <v>7</v>
      </c>
      <c r="H148" s="41" t="s">
        <v>581</v>
      </c>
    </row>
    <row r="149" spans="1:8" ht="15.75">
      <c r="A149" s="10">
        <v>70017</v>
      </c>
      <c r="B149" s="26" t="s">
        <v>631</v>
      </c>
      <c r="C149" s="41">
        <v>10</v>
      </c>
      <c r="D149" s="41" t="s">
        <v>627</v>
      </c>
      <c r="E149" s="27">
        <v>7</v>
      </c>
      <c r="H149" s="41" t="s">
        <v>632</v>
      </c>
    </row>
    <row r="150" spans="1:8" ht="15.75">
      <c r="A150" s="10">
        <v>70018</v>
      </c>
      <c r="B150" s="26" t="s">
        <v>96</v>
      </c>
      <c r="C150" s="41">
        <v>20</v>
      </c>
      <c r="D150" s="41" t="s">
        <v>633</v>
      </c>
      <c r="E150" s="27">
        <v>7</v>
      </c>
      <c r="H150" s="41" t="s">
        <v>97</v>
      </c>
    </row>
    <row r="151" spans="1:8" ht="15.75">
      <c r="A151" s="10">
        <v>70019</v>
      </c>
      <c r="B151" s="26" t="s">
        <v>585</v>
      </c>
      <c r="C151" s="41">
        <v>10</v>
      </c>
      <c r="D151" s="41" t="s">
        <v>633</v>
      </c>
      <c r="E151" s="27">
        <v>7</v>
      </c>
      <c r="H151" s="41" t="s">
        <v>586</v>
      </c>
    </row>
    <row r="152" spans="1:8" ht="15.75">
      <c r="A152" s="10">
        <v>70020</v>
      </c>
      <c r="B152" s="26" t="s">
        <v>634</v>
      </c>
      <c r="C152" s="41">
        <v>20</v>
      </c>
      <c r="D152" s="41" t="s">
        <v>633</v>
      </c>
      <c r="E152" s="27">
        <v>7</v>
      </c>
      <c r="H152" s="41" t="s">
        <v>635</v>
      </c>
    </row>
    <row r="153" spans="1:8" ht="15.75">
      <c r="A153" s="10">
        <v>70021</v>
      </c>
      <c r="B153" s="26" t="s">
        <v>636</v>
      </c>
      <c r="C153" s="41">
        <v>20</v>
      </c>
      <c r="D153" s="41" t="s">
        <v>637</v>
      </c>
      <c r="E153" s="27">
        <v>7</v>
      </c>
      <c r="H153" s="41" t="s">
        <v>638</v>
      </c>
    </row>
    <row r="154" spans="1:8" ht="15.75">
      <c r="A154" s="10">
        <v>70022</v>
      </c>
      <c r="B154" s="26" t="s">
        <v>639</v>
      </c>
      <c r="C154" s="41">
        <v>10</v>
      </c>
      <c r="D154" s="41" t="s">
        <v>637</v>
      </c>
      <c r="E154" s="27">
        <v>7</v>
      </c>
      <c r="H154" s="41" t="s">
        <v>640</v>
      </c>
    </row>
    <row r="155" spans="1:8" ht="15.75">
      <c r="A155" s="10">
        <v>70023</v>
      </c>
      <c r="B155" s="26" t="s">
        <v>575</v>
      </c>
      <c r="C155" s="41">
        <v>50</v>
      </c>
      <c r="D155" s="41" t="s">
        <v>641</v>
      </c>
      <c r="E155" s="27">
        <v>7</v>
      </c>
      <c r="H155" s="41" t="s">
        <v>576</v>
      </c>
    </row>
    <row r="156" spans="1:8" ht="15.75">
      <c r="A156" s="10">
        <v>70024</v>
      </c>
      <c r="B156" s="26" t="s">
        <v>577</v>
      </c>
      <c r="C156" s="41">
        <v>50</v>
      </c>
      <c r="D156" s="41" t="s">
        <v>641</v>
      </c>
      <c r="E156" s="27">
        <v>7</v>
      </c>
      <c r="H156" s="41" t="s">
        <v>578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8"/>
  <dimension ref="A1:K2"/>
  <sheetViews>
    <sheetView workbookViewId="0">
      <selection activeCell="K42" sqref="K42"/>
    </sheetView>
  </sheetViews>
  <sheetFormatPr defaultColWidth="9" defaultRowHeight="15"/>
  <cols>
    <col min="1" max="1" width="7.5703125" customWidth="1"/>
    <col min="2" max="2" width="17.28515625" customWidth="1"/>
    <col min="3" max="3" width="9.28515625" customWidth="1"/>
    <col min="4" max="5" width="21.5703125" customWidth="1"/>
    <col min="6" max="6" width="9.28515625" customWidth="1"/>
    <col min="7" max="7" width="7.42578125" customWidth="1"/>
    <col min="8" max="8" width="9.28515625" customWidth="1"/>
    <col min="9" max="9" width="7.42578125" customWidth="1"/>
    <col min="10" max="10" width="17.5703125" customWidth="1"/>
    <col min="11" max="11" width="37" customWidth="1"/>
  </cols>
  <sheetData>
    <row r="1" spans="1:11" ht="16.5">
      <c r="A1" t="s">
        <v>0</v>
      </c>
      <c r="B1" t="s">
        <v>1</v>
      </c>
      <c r="C1" s="1" t="s">
        <v>128</v>
      </c>
      <c r="D1" s="1" t="s">
        <v>3</v>
      </c>
      <c r="E1" s="1" t="s">
        <v>5</v>
      </c>
      <c r="F1" s="1" t="s">
        <v>642</v>
      </c>
      <c r="G1" s="1" t="s">
        <v>7</v>
      </c>
      <c r="H1" s="1" t="s">
        <v>8</v>
      </c>
      <c r="I1" s="1" t="s">
        <v>9</v>
      </c>
      <c r="J1" s="1" t="s">
        <v>129</v>
      </c>
      <c r="K1" s="8" t="s">
        <v>391</v>
      </c>
    </row>
    <row r="2" spans="1:11" ht="16.5">
      <c r="A2">
        <v>100001</v>
      </c>
      <c r="B2" t="s">
        <v>698</v>
      </c>
      <c r="C2" s="1">
        <v>8</v>
      </c>
      <c r="D2" s="7" t="s">
        <v>394</v>
      </c>
      <c r="E2" s="7" t="s">
        <v>212</v>
      </c>
      <c r="F2" s="1">
        <v>1</v>
      </c>
      <c r="G2" s="1">
        <v>10020</v>
      </c>
      <c r="H2" s="1">
        <v>1037</v>
      </c>
      <c r="I2" s="1">
        <v>19101</v>
      </c>
      <c r="J2" s="1">
        <v>1</v>
      </c>
      <c r="K2" s="8" t="s">
        <v>643</v>
      </c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5"/>
  <sheetViews>
    <sheetView workbookViewId="0">
      <selection activeCell="H11" sqref="H11:H12"/>
    </sheetView>
  </sheetViews>
  <sheetFormatPr defaultColWidth="9" defaultRowHeight="15"/>
  <sheetData>
    <row r="1" spans="1:8" s="2" customFormat="1" ht="16.5">
      <c r="A1" s="3">
        <v>130003</v>
      </c>
      <c r="B1" s="4" t="s">
        <v>332</v>
      </c>
      <c r="C1" s="5"/>
      <c r="D1" s="5">
        <v>50</v>
      </c>
      <c r="E1" s="5">
        <v>1</v>
      </c>
      <c r="F1" s="6">
        <v>96012</v>
      </c>
      <c r="G1" s="6">
        <v>13</v>
      </c>
      <c r="H1" s="5">
        <v>4</v>
      </c>
    </row>
    <row r="2" spans="1:8" s="2" customFormat="1" ht="16.5">
      <c r="A2" s="3">
        <v>130005</v>
      </c>
      <c r="B2" s="4" t="s">
        <v>333</v>
      </c>
      <c r="C2" s="5"/>
      <c r="D2" s="5">
        <v>128</v>
      </c>
      <c r="E2" s="5">
        <v>3</v>
      </c>
      <c r="F2" s="6">
        <v>96013</v>
      </c>
      <c r="G2" s="6">
        <v>13</v>
      </c>
      <c r="H2" s="5">
        <v>7</v>
      </c>
    </row>
    <row r="3" spans="1:8" s="2" customFormat="1" ht="16.5">
      <c r="A3" s="3">
        <v>130007</v>
      </c>
      <c r="B3" s="4" t="s">
        <v>334</v>
      </c>
      <c r="C3" s="5"/>
      <c r="D3" s="5">
        <v>198</v>
      </c>
      <c r="E3" s="5">
        <v>3</v>
      </c>
      <c r="F3" s="6">
        <v>96014</v>
      </c>
      <c r="G3" s="6">
        <v>13</v>
      </c>
      <c r="H3" s="5">
        <v>10</v>
      </c>
    </row>
    <row r="4" spans="1:8" s="2" customFormat="1" ht="16.5">
      <c r="A4" s="3">
        <v>130009</v>
      </c>
      <c r="B4" s="4" t="s">
        <v>335</v>
      </c>
      <c r="C4" s="5"/>
      <c r="D4" s="5">
        <v>328</v>
      </c>
      <c r="E4" s="5">
        <v>3</v>
      </c>
      <c r="F4" s="6">
        <v>96015</v>
      </c>
      <c r="G4" s="6">
        <v>13</v>
      </c>
      <c r="H4" s="5">
        <v>13</v>
      </c>
    </row>
    <row r="5" spans="1:8" s="2" customFormat="1" ht="16.5">
      <c r="A5" s="3">
        <v>130012</v>
      </c>
      <c r="B5" s="4" t="s">
        <v>336</v>
      </c>
      <c r="C5" s="5"/>
      <c r="D5" s="5">
        <v>648</v>
      </c>
      <c r="E5" s="5">
        <v>3</v>
      </c>
      <c r="F5" s="6">
        <v>96016</v>
      </c>
      <c r="G5" s="6">
        <v>13</v>
      </c>
      <c r="H5" s="5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H4"/>
  <sheetViews>
    <sheetView workbookViewId="0">
      <selection activeCell="D9" sqref="D9"/>
    </sheetView>
  </sheetViews>
  <sheetFormatPr defaultColWidth="9" defaultRowHeight="15"/>
  <cols>
    <col min="2" max="2" width="10.28515625" customWidth="1"/>
    <col min="4" max="4" width="22.42578125" customWidth="1"/>
    <col min="5" max="5" width="14.140625" customWidth="1"/>
    <col min="6" max="6" width="24.28515625" customWidth="1"/>
    <col min="7" max="7" width="14.42578125" customWidth="1"/>
  </cols>
  <sheetData>
    <row r="1" spans="1:8" ht="16.5">
      <c r="A1" t="s">
        <v>0</v>
      </c>
      <c r="B1" t="s">
        <v>644</v>
      </c>
      <c r="C1" t="s">
        <v>645</v>
      </c>
      <c r="D1" t="s">
        <v>646</v>
      </c>
      <c r="E1" t="s">
        <v>647</v>
      </c>
      <c r="F1" s="1" t="s">
        <v>648</v>
      </c>
      <c r="G1" t="s">
        <v>649</v>
      </c>
      <c r="H1" t="s">
        <v>642</v>
      </c>
    </row>
    <row r="2" spans="1:8">
      <c r="A2">
        <v>10001</v>
      </c>
      <c r="B2" t="s">
        <v>650</v>
      </c>
      <c r="C2" t="s">
        <v>700</v>
      </c>
      <c r="D2" t="s">
        <v>651</v>
      </c>
      <c r="E2">
        <v>100093</v>
      </c>
      <c r="F2" t="s">
        <v>652</v>
      </c>
      <c r="G2" t="s">
        <v>699</v>
      </c>
      <c r="H2">
        <v>1</v>
      </c>
    </row>
    <row r="3" spans="1:8">
      <c r="A3">
        <v>20001</v>
      </c>
      <c r="B3" t="s">
        <v>653</v>
      </c>
      <c r="C3" t="s">
        <v>701</v>
      </c>
      <c r="D3" t="s">
        <v>423</v>
      </c>
      <c r="E3">
        <v>100094</v>
      </c>
      <c r="F3" t="s">
        <v>652</v>
      </c>
      <c r="G3" t="s">
        <v>699</v>
      </c>
      <c r="H3">
        <v>1</v>
      </c>
    </row>
    <row r="4" spans="1:8">
      <c r="A4">
        <v>30001</v>
      </c>
      <c r="B4" t="s">
        <v>654</v>
      </c>
      <c r="C4" t="s">
        <v>702</v>
      </c>
      <c r="D4" t="s">
        <v>415</v>
      </c>
      <c r="E4">
        <v>100095</v>
      </c>
      <c r="F4" t="s">
        <v>652</v>
      </c>
      <c r="G4" t="s">
        <v>699</v>
      </c>
      <c r="H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循环商城基础</vt:lpstr>
      <vt:lpstr>循环商城商品</vt:lpstr>
      <vt:lpstr>自然日期商城基础</vt:lpstr>
      <vt:lpstr>自然日期商城商品</vt:lpstr>
      <vt:lpstr>自然日兑换商城基础</vt:lpstr>
      <vt:lpstr>自然日兑换商城商品</vt:lpstr>
      <vt:lpstr>自然日研磨商城基础</vt:lpstr>
      <vt:lpstr>Sheet1</vt:lpstr>
      <vt:lpstr>自然日研磨商城商品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2024-02-26T02:28:54Z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CBB3003319994A8792AA605DCCD6E7FF</vt:lpwstr>
  </property>
  <property fmtid="{D5CDD505-2E9C-101B-9397-08002B2CF9AE}" pid="3" name="KSOProductBuildVer">
    <vt:lpwstr>2052-11.1.0.11365</vt:lpwstr>
  </property>
</Properties>
</file>