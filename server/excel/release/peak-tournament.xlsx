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6265" windowHeight="13140"/>
  </bookViews>
  <sheets>
    <sheet name="巅峰会武基础" sheetId="1" r:id="rId1"/>
    <sheet name="巅峰会武阶段时间表" sheetId="2" r:id="rId2"/>
    <sheet name="巅峰会武祈福方式" sheetId="3" r:id="rId3"/>
    <sheet name="巅峰会武祈福等级" sheetId="4" r:id="rId4"/>
    <sheet name="巅峰会武等级分组" sheetId="5" r:id="rId5"/>
    <sheet name="巅峰会武排行榜奖励" sheetId="6" r:id="rId6"/>
    <sheet name="巅峰会武全服挑战奖励" sheetId="9" r:id="rId7"/>
    <sheet name="巅峰会武淘汰赛赛程" sheetId="7" r:id="rId8"/>
    <sheet name="荣耀殿堂奖励分组" sheetId="12" r:id="rId9"/>
    <sheet name="荣耀殿堂奖池" sheetId="10" r:id="rId10"/>
    <sheet name="荣耀殿堂每日庆功消耗" sheetId="11" r:id="rId11"/>
  </sheets>
  <calcPr calcId="144525"/>
</workbook>
</file>

<file path=xl/calcChain.xml><?xml version="1.0" encoding="utf-8"?>
<calcChain xmlns="http://schemas.openxmlformats.org/spreadsheetml/2006/main">
  <c r="G31" i="10" l="1"/>
  <c r="F31" i="10"/>
  <c r="G30" i="10"/>
  <c r="F30" i="10"/>
  <c r="G29" i="10"/>
  <c r="F29" i="10"/>
  <c r="G28" i="10"/>
  <c r="F28" i="10"/>
  <c r="G27" i="10"/>
  <c r="F27" i="10"/>
  <c r="G26" i="10"/>
  <c r="F26" i="10"/>
  <c r="G25" i="10"/>
  <c r="F25" i="10"/>
  <c r="G24" i="10"/>
  <c r="F24" i="10"/>
  <c r="G23" i="10"/>
  <c r="F23" i="10"/>
  <c r="G22" i="10"/>
  <c r="F22" i="10"/>
  <c r="G21" i="10"/>
  <c r="F21" i="10"/>
  <c r="G20" i="10"/>
  <c r="F20" i="10"/>
  <c r="G19" i="10"/>
  <c r="F19" i="10"/>
  <c r="G18" i="10"/>
  <c r="F18" i="10"/>
  <c r="G17" i="10"/>
  <c r="F17" i="10"/>
  <c r="G16" i="10"/>
  <c r="F16" i="10"/>
  <c r="G15" i="10"/>
  <c r="F15" i="10"/>
  <c r="G14" i="10"/>
  <c r="F14" i="10"/>
  <c r="G13" i="10"/>
  <c r="F13" i="10"/>
  <c r="G12" i="10"/>
  <c r="F12" i="10"/>
  <c r="G11" i="10"/>
  <c r="F11" i="10"/>
  <c r="G10" i="10"/>
  <c r="F10" i="10"/>
  <c r="G9" i="10"/>
  <c r="F9" i="10"/>
  <c r="G8" i="10"/>
  <c r="F8" i="10"/>
  <c r="G7" i="10"/>
  <c r="F7" i="10"/>
  <c r="G6" i="10"/>
  <c r="F6" i="10"/>
  <c r="G5" i="10"/>
  <c r="F5" i="10"/>
  <c r="G4" i="10"/>
  <c r="F4" i="10"/>
  <c r="G3" i="10"/>
  <c r="F3" i="10"/>
  <c r="G2" i="10"/>
  <c r="F2" i="10"/>
</calcChain>
</file>

<file path=xl/comments1.xml><?xml version="1.0" encoding="utf-8"?>
<comments xmlns="http://schemas.openxmlformats.org/spreadsheetml/2006/main">
  <authors>
    <author>Administrator</author>
  </authors>
  <commentLis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除了血量以外的属性</t>
        </r>
      </text>
    </comment>
  </commentList>
</comments>
</file>

<file path=xl/comments2.xml><?xml version="1.0" encoding="utf-8"?>
<comments xmlns="http://schemas.openxmlformats.org/spreadsheetml/2006/main">
  <authors>
    <author>HMT</author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HMT:</t>
        </r>
        <r>
          <rPr>
            <sz val="9"/>
            <rFont val="宋体"/>
            <charset val="134"/>
          </rPr>
          <t xml:space="preserve">
这个ID可以改</t>
        </r>
      </text>
    </comment>
    <comment ref="F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1胜者组
2败者组</t>
        </r>
      </text>
    </comment>
  </commentList>
</comments>
</file>

<file path=xl/comments3.xml><?xml version="1.0" encoding="utf-8"?>
<comments xmlns="http://schemas.openxmlformats.org/spreadsheetml/2006/main">
  <authors>
    <author>HMT</author>
  </authors>
  <commentList>
    <comment ref="C1" authorId="0">
      <text>
        <r>
          <rPr>
            <b/>
            <sz val="9"/>
            <rFont val="宋体"/>
            <charset val="134"/>
          </rPr>
          <t>HMT:</t>
        </r>
        <r>
          <rPr>
            <sz val="9"/>
            <rFont val="宋体"/>
            <charset val="134"/>
          </rPr>
          <t xml:space="preserve">
1、分组赛
2、晋级赛
3、冠军赛</t>
        </r>
      </text>
    </comment>
    <comment ref="G1" authorId="0">
      <text>
        <r>
          <rPr>
            <b/>
            <sz val="9"/>
            <rFont val="宋体"/>
            <charset val="134"/>
          </rPr>
          <t>HMT:</t>
        </r>
        <r>
          <rPr>
            <sz val="9"/>
            <rFont val="宋体"/>
            <charset val="134"/>
          </rPr>
          <t xml:space="preserve">
秒</t>
        </r>
      </text>
    </comment>
  </commentList>
</comments>
</file>

<file path=xl/sharedStrings.xml><?xml version="1.0" encoding="utf-8"?>
<sst xmlns="http://schemas.openxmlformats.org/spreadsheetml/2006/main" count="449" uniqueCount="211">
  <si>
    <t>活动ID</t>
  </si>
  <si>
    <t>开始时间</t>
  </si>
  <si>
    <t>结束时间</t>
  </si>
  <si>
    <t>阶段ID</t>
  </si>
  <si>
    <t>备注</t>
  </si>
  <si>
    <t>开始天数</t>
  </si>
  <si>
    <t>报名阶段</t>
  </si>
  <si>
    <t>00:00:00</t>
  </si>
  <si>
    <t>选拔赛</t>
  </si>
  <si>
    <t>淘汰赛</t>
  </si>
  <si>
    <t>冠军武神挑战</t>
  </si>
  <si>
    <t>全服武神挑战</t>
  </si>
  <si>
    <t>休息</t>
  </si>
  <si>
    <t>祈福方式</t>
  </si>
  <si>
    <t>祈福消耗</t>
  </si>
  <si>
    <t>增加经验</t>
  </si>
  <si>
    <t>元宝祈福</t>
  </si>
  <si>
    <r>
      <rPr>
        <sz val="11"/>
        <color theme="1"/>
        <rFont val="Calibri"/>
        <charset val="134"/>
        <scheme val="minor"/>
      </rPr>
      <t>0:1:</t>
    </r>
    <r>
      <rPr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00</t>
    </r>
  </si>
  <si>
    <t>祈福等级</t>
  </si>
  <si>
    <t>总经验</t>
  </si>
  <si>
    <t>等级奖励</t>
  </si>
  <si>
    <r>
      <rPr>
        <sz val="11"/>
        <color theme="1"/>
        <rFont val="Calibri"/>
        <charset val="134"/>
        <scheme val="minor"/>
      </rPr>
      <t>技能I</t>
    </r>
    <r>
      <rPr>
        <sz val="11"/>
        <color theme="1"/>
        <rFont val="Calibri"/>
        <charset val="134"/>
        <scheme val="minor"/>
      </rPr>
      <t>D</t>
    </r>
  </si>
  <si>
    <t>BUFFID</t>
  </si>
  <si>
    <t>怪物ID</t>
  </si>
  <si>
    <t>3:100291:10#3:100004:2500#3:100022:1</t>
  </si>
  <si>
    <t>生命+5%</t>
  </si>
  <si>
    <t>防御+5%</t>
  </si>
  <si>
    <t>攻击+5%</t>
  </si>
  <si>
    <t>生命+10%</t>
  </si>
  <si>
    <t>3:100291:20#3:100004:5000#3:100022:2</t>
  </si>
  <si>
    <t>防御+10%</t>
  </si>
  <si>
    <t>攻击+10%</t>
  </si>
  <si>
    <t>生命+15%</t>
  </si>
  <si>
    <t>3:100291:30#3:100004:7500#3:100022:3</t>
  </si>
  <si>
    <t>防御+15%</t>
  </si>
  <si>
    <t>攻击+15%</t>
  </si>
  <si>
    <t>3:100291:40#3:100004:10000#3:100022:4</t>
  </si>
  <si>
    <t>暴击率+10%</t>
  </si>
  <si>
    <t>等级分组ID</t>
  </si>
  <si>
    <t>分组名字</t>
  </si>
  <si>
    <t>等级下限</t>
  </si>
  <si>
    <t>等级上限</t>
  </si>
  <si>
    <t>全服BOSS英雄实例ID</t>
  </si>
  <si>
    <r>
      <rPr>
        <sz val="11"/>
        <color theme="1"/>
        <rFont val="Calibri"/>
        <charset val="134"/>
        <scheme val="minor"/>
      </rPr>
      <t>全服B</t>
    </r>
    <r>
      <rPr>
        <sz val="11"/>
        <color theme="1"/>
        <rFont val="Calibri"/>
        <charset val="134"/>
        <scheme val="minor"/>
      </rPr>
      <t>OSS英雄ID</t>
    </r>
  </si>
  <si>
    <t>全服BOSS血量</t>
  </si>
  <si>
    <t>冠军BOSS英雄实例ID</t>
  </si>
  <si>
    <t>冠军BOSS英雄ID</t>
  </si>
  <si>
    <t>冠军BOSS血量</t>
  </si>
  <si>
    <t>冠军BOSS击杀奖励</t>
  </si>
  <si>
    <r>
      <rPr>
        <sz val="11"/>
        <color theme="1"/>
        <rFont val="Calibri"/>
        <charset val="134"/>
        <scheme val="minor"/>
      </rPr>
      <t>冠军B</t>
    </r>
    <r>
      <rPr>
        <sz val="11"/>
        <color theme="1"/>
        <rFont val="Calibri"/>
        <charset val="134"/>
        <scheme val="minor"/>
      </rPr>
      <t>OSS血量增加</t>
    </r>
  </si>
  <si>
    <t>冠军BOSS属性增加</t>
  </si>
  <si>
    <t>胜败对决奖励</t>
  </si>
  <si>
    <t>1:939946#1003:1000#2:200#7:1000#9:1000#14:1000</t>
  </si>
  <si>
    <t>3:900031:1</t>
  </si>
  <si>
    <t>1:4017493#1003:1000#2:200#7:1000#9:1000#14:1000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</si>
  <si>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:900031:1</t>
    </r>
  </si>
  <si>
    <t>1:12121596#1003:1000#2:200#7:1000#9:1000#14:1000</t>
  </si>
  <si>
    <t>3:900031:1#3:910001:1</t>
  </si>
  <si>
    <t>奖励ID</t>
  </si>
  <si>
    <t>排名起始</t>
  </si>
  <si>
    <t>排名结束</t>
  </si>
  <si>
    <t>奖励内容</t>
  </si>
  <si>
    <t>等级组</t>
  </si>
  <si>
    <t>分组类型</t>
  </si>
  <si>
    <t>巅峰冠军(勇士)*1,勇士组第一*1,武神积分*1000,元宝*5000</t>
  </si>
  <si>
    <t>巅峰亚军(勇士)*1,勇士组第二*1,武神积分*750,元宝*4000</t>
  </si>
  <si>
    <t>勇士组四强*1,武神积分*500,元宝*3000</t>
  </si>
  <si>
    <t>勇士组八强*1,武神积分*300,元宝*2000</t>
  </si>
  <si>
    <t>武神积分*200,元宝*1000</t>
  </si>
  <si>
    <t>武神积分*100,元宝*500</t>
  </si>
  <si>
    <t>巅峰冠军(豪杰)*1,豪杰组第一*1,武神积分*1000,元宝*5000</t>
  </si>
  <si>
    <t>巅峰亚军(豪杰)*1,豪杰组第二*1,武神积分*750,元宝*4000</t>
  </si>
  <si>
    <t>豪杰组四强*1,武神积分*500,元宝*3000</t>
  </si>
  <si>
    <t>豪杰组八强*1,武神积分*300,元宝*2000</t>
  </si>
  <si>
    <t>巅峰冠军(武圣)*1,武圣组第一*1,武神积分*1000,元宝*5000</t>
  </si>
  <si>
    <t>巅峰亚军(武圣)*1,武圣组第二*1,武神积分*750,元宝*4000</t>
  </si>
  <si>
    <t>武圣组四强*1,武神积分*500,元宝*3000</t>
  </si>
  <si>
    <t>武圣组八强*1,武神积分*300,元宝*2000</t>
  </si>
  <si>
    <t>武神积分*700,元宝*4000</t>
  </si>
  <si>
    <t>武神积分*500,元宝*3000</t>
  </si>
  <si>
    <t>武神积分*350,元宝*2500</t>
  </si>
  <si>
    <t>武神积分*200,元宝*1500</t>
  </si>
  <si>
    <t>武神积分*150,元宝*800</t>
  </si>
  <si>
    <t>武神积分*80,元宝*500</t>
  </si>
  <si>
    <t>剩余血量百分比</t>
  </si>
  <si>
    <t>基础奖励</t>
  </si>
  <si>
    <t>全服额外奖励1</t>
  </si>
  <si>
    <t>全服额外奖励2</t>
  </si>
  <si>
    <t>全服额外奖励3</t>
  </si>
  <si>
    <t>3:100291:10#3:100022:5</t>
  </si>
  <si>
    <t>0:1:100</t>
  </si>
  <si>
    <t>3:400040:5</t>
  </si>
  <si>
    <t>3:100098:100</t>
  </si>
  <si>
    <t>0:1:200</t>
  </si>
  <si>
    <t>0:1:300</t>
  </si>
  <si>
    <t>0:1:400</t>
  </si>
  <si>
    <t>0:1:500</t>
  </si>
  <si>
    <t>3:100291:15#3:100022:7</t>
  </si>
  <si>
    <t>3:400040:7</t>
  </si>
  <si>
    <t>0:1:600</t>
  </si>
  <si>
    <t>3:100291:20#3:100022:10</t>
  </si>
  <si>
    <t>3:400040:10</t>
  </si>
  <si>
    <t>0:1:700</t>
  </si>
  <si>
    <t>轮次</t>
  </si>
  <si>
    <t>比赛类型</t>
  </si>
  <si>
    <t>轮次类型</t>
  </si>
  <si>
    <t>竞猜时间</t>
  </si>
  <si>
    <t>战斗时间</t>
  </si>
  <si>
    <t>竞猜投注元宝</t>
  </si>
  <si>
    <t>休息时允许同步阵容和祈福</t>
  </si>
  <si>
    <t>匹配规则</t>
  </si>
  <si>
    <t>是否划分赛区</t>
  </si>
  <si>
    <t>赛区数量</t>
  </si>
  <si>
    <t>单个赛区最大分组数</t>
  </si>
  <si>
    <t>显示位置</t>
  </si>
  <si>
    <t>竞猜次数</t>
  </si>
  <si>
    <t>休息时结算排行榜奖励</t>
  </si>
  <si>
    <t>128进64 分组赛</t>
  </si>
  <si>
    <t>19:50:00</t>
  </si>
  <si>
    <t>100#200#300</t>
  </si>
  <si>
    <t>64进32 晋级赛</t>
  </si>
  <si>
    <r>
      <rPr>
        <sz val="11"/>
        <color theme="1"/>
        <rFont val="Calibri"/>
        <charset val="134"/>
        <scheme val="minor"/>
      </rPr>
      <t>20:2</t>
    </r>
    <r>
      <rPr>
        <sz val="11"/>
        <color theme="1"/>
        <rFont val="Calibri"/>
        <charset val="134"/>
        <scheme val="minor"/>
      </rPr>
      <t>0:00</t>
    </r>
  </si>
  <si>
    <r>
      <rPr>
        <sz val="11"/>
        <color theme="1"/>
        <rFont val="Calibri"/>
        <charset val="134"/>
        <scheme val="minor"/>
      </rPr>
      <t>1</t>
    </r>
    <r>
      <rPr>
        <sz val="11"/>
        <color theme="1"/>
        <rFont val="Calibri"/>
        <charset val="134"/>
        <scheme val="minor"/>
      </rPr>
      <t>00#200#300</t>
    </r>
  </si>
  <si>
    <t>32进16 晋级赛</t>
  </si>
  <si>
    <r>
      <rPr>
        <sz val="11"/>
        <color theme="1"/>
        <rFont val="Calibri"/>
        <charset val="134"/>
        <scheme val="minor"/>
      </rPr>
      <t>20:5</t>
    </r>
    <r>
      <rPr>
        <sz val="11"/>
        <color theme="1"/>
        <rFont val="Calibri"/>
        <charset val="134"/>
        <scheme val="minor"/>
      </rPr>
      <t>0:00</t>
    </r>
  </si>
  <si>
    <t>16进8 晋级赛</t>
  </si>
  <si>
    <t>21:20:00</t>
  </si>
  <si>
    <t>8进4 冠军赛</t>
  </si>
  <si>
    <t>4进2 冠军赛</t>
  </si>
  <si>
    <t>决赛 冠军赛</t>
  </si>
  <si>
    <t>日耀组VS星辉组</t>
  </si>
  <si>
    <t>19:00:00</t>
  </si>
  <si>
    <t>ID</t>
  </si>
  <si>
    <t>等级分组</t>
  </si>
  <si>
    <t>类型</t>
  </si>
  <si>
    <t>奖励分组</t>
  </si>
  <si>
    <t>预览奖励</t>
  </si>
  <si>
    <t>3:100291:20#3:100022:2#3:100098:100#4:606002:50#3:100004:1000#3:100001:200#0:1:10#0:0:200000</t>
  </si>
  <si>
    <t>3:100291:20#3:100022:1#3:100098:100#4:606002:5#3:100004:100#3:100001:200#0:1:10#0:0:100000</t>
  </si>
  <si>
    <t>奖励</t>
  </si>
  <si>
    <t>权重</t>
  </si>
  <si>
    <t>3:100291:100</t>
  </si>
  <si>
    <t>武神积分</t>
  </si>
  <si>
    <t>3:100022:10</t>
  </si>
  <si>
    <t>高抽</t>
  </si>
  <si>
    <t>3:100098:1000</t>
  </si>
  <si>
    <t>龙珠</t>
  </si>
  <si>
    <t>4:606002:50</t>
  </si>
  <si>
    <t>5星随机碎片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</si>
  <si>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100004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5000</t>
    </r>
  </si>
  <si>
    <t>鎏金粉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</si>
  <si>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100001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3000</t>
    </r>
  </si>
  <si>
    <t>进阶石</t>
  </si>
  <si>
    <r>
      <rPr>
        <sz val="11"/>
        <color theme="1"/>
        <rFont val="Calibri"/>
        <charset val="134"/>
        <scheme val="minor"/>
      </rPr>
      <t>0:1:100</t>
    </r>
    <r>
      <rPr>
        <sz val="11"/>
        <color theme="1"/>
        <rFont val="Calibri"/>
        <charset val="134"/>
        <scheme val="minor"/>
      </rPr>
      <t>0</t>
    </r>
  </si>
  <si>
    <t>元宝</t>
  </si>
  <si>
    <r>
      <rPr>
        <sz val="11"/>
        <color theme="1"/>
        <rFont val="Calibri"/>
        <charset val="134"/>
        <scheme val="minor"/>
      </rPr>
      <t>0:</t>
    </r>
    <r>
      <rPr>
        <sz val="11"/>
        <color theme="1"/>
        <rFont val="Calibri"/>
        <charset val="134"/>
        <scheme val="minor"/>
      </rPr>
      <t>0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20000000</t>
    </r>
  </si>
  <si>
    <t>金币</t>
  </si>
  <si>
    <t>3:100291:20</t>
  </si>
  <si>
    <t>3:100022:2</t>
  </si>
  <si>
    <t>3:100004:1000</t>
  </si>
  <si>
    <t>3:100001:200</t>
  </si>
  <si>
    <t>0:1:10</t>
  </si>
  <si>
    <t>0:0:200000</t>
  </si>
  <si>
    <r>
      <rPr>
        <sz val="11"/>
        <color theme="1"/>
        <rFont val="Calibri"/>
        <charset val="134"/>
        <scheme val="minor"/>
      </rPr>
      <t>3:100022:</t>
    </r>
    <r>
      <rPr>
        <sz val="11"/>
        <color theme="1"/>
        <rFont val="Calibri"/>
        <charset val="134"/>
        <scheme val="minor"/>
      </rPr>
      <t>5</t>
    </r>
  </si>
  <si>
    <r>
      <rPr>
        <sz val="11"/>
        <color theme="1"/>
        <rFont val="Calibri"/>
        <charset val="134"/>
        <scheme val="minor"/>
      </rPr>
      <t>3:100098:</t>
    </r>
    <r>
      <rPr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00</t>
    </r>
  </si>
  <si>
    <t>4:606002:5</t>
  </si>
  <si>
    <r>
      <rPr>
        <sz val="11"/>
        <color theme="1"/>
        <rFont val="Calibri"/>
        <charset val="134"/>
        <scheme val="minor"/>
      </rPr>
      <t>3:100004:</t>
    </r>
    <r>
      <rPr>
        <sz val="11"/>
        <color theme="1"/>
        <rFont val="Calibri"/>
        <charset val="134"/>
        <scheme val="minor"/>
      </rPr>
      <t>1</t>
    </r>
    <r>
      <rPr>
        <sz val="11"/>
        <color theme="1"/>
        <rFont val="Calibri"/>
        <charset val="134"/>
        <scheme val="minor"/>
      </rPr>
      <t>000</t>
    </r>
  </si>
  <si>
    <r>
      <rPr>
        <sz val="11"/>
        <color theme="1"/>
        <rFont val="Calibri"/>
        <charset val="134"/>
        <scheme val="minor"/>
      </rPr>
      <t>3:100001:</t>
    </r>
    <r>
      <rPr>
        <sz val="11"/>
        <color theme="1"/>
        <rFont val="Calibri"/>
        <charset val="134"/>
        <scheme val="minor"/>
      </rPr>
      <t>1</t>
    </r>
    <r>
      <rPr>
        <sz val="11"/>
        <color theme="1"/>
        <rFont val="Calibri"/>
        <charset val="134"/>
        <scheme val="minor"/>
      </rPr>
      <t>000</t>
    </r>
  </si>
  <si>
    <r>
      <rPr>
        <sz val="11"/>
        <color theme="1"/>
        <rFont val="Calibri"/>
        <charset val="134"/>
        <scheme val="minor"/>
      </rPr>
      <t>3:100022:</t>
    </r>
    <r>
      <rPr>
        <sz val="11"/>
        <color theme="1"/>
        <rFont val="Calibri"/>
        <charset val="134"/>
        <scheme val="minor"/>
      </rPr>
      <t>1</t>
    </r>
  </si>
  <si>
    <t>3:100004:100</t>
  </si>
  <si>
    <r>
      <rPr>
        <sz val="11"/>
        <color theme="1"/>
        <rFont val="Calibri"/>
        <charset val="134"/>
        <scheme val="minor"/>
      </rPr>
      <t>0:0:</t>
    </r>
    <r>
      <rPr>
        <sz val="11"/>
        <color theme="1"/>
        <rFont val="Calibri"/>
        <charset val="134"/>
        <scheme val="minor"/>
      </rPr>
      <t>1</t>
    </r>
    <r>
      <rPr>
        <sz val="11"/>
        <color theme="1"/>
        <rFont val="Calibri"/>
        <charset val="134"/>
        <scheme val="minor"/>
      </rPr>
      <t>00000</t>
    </r>
  </si>
  <si>
    <t>次数</t>
  </si>
  <si>
    <t>消耗</t>
  </si>
  <si>
    <r>
      <rPr>
        <sz val="11"/>
        <color theme="1"/>
        <rFont val="Calibri"/>
        <charset val="134"/>
        <scheme val="minor"/>
      </rPr>
      <t>0:1:</t>
    </r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00</t>
    </r>
  </si>
  <si>
    <t>Dũng sĩ</t>
  </si>
  <si>
    <t>Hào kiệt</t>
  </si>
  <si>
    <t>Võ Thánh</t>
  </si>
  <si>
    <t>3:100098:5000#3:100291:200#3:400040:100</t>
  </si>
  <si>
    <t>3:100098:6000#3:100291:250#3:400040:120</t>
  </si>
  <si>
    <t>3:100098:7500#3:100291:300#3:400040:150</t>
  </si>
  <si>
    <t>3:1200004:1#3:100291:300#0:1:20000</t>
  </si>
  <si>
    <t>3:100291:200#0:1:10000</t>
  </si>
  <si>
    <t>3:100291:100#0:1:5000</t>
  </si>
  <si>
    <t>3:1200008:1#3:100291:300#0:1:20000</t>
  </si>
  <si>
    <t>3:1200012:1#3:100291:300#0:1:20000</t>
  </si>
  <si>
    <t>3:100291:200#0:1:15000</t>
  </si>
  <si>
    <t>3:100291:150#0:1:8000</t>
  </si>
  <si>
    <t>3:100291:80#0:1:5000</t>
  </si>
  <si>
    <t>3:800039:1#3:1200007:1#3:100291:1000#0:1:50000#3:500093:50</t>
  </si>
  <si>
    <t>3:800041:1#3:1200011:1#3:100291:1000#0:1:50000#3:500093:50</t>
  </si>
  <si>
    <t>3:800043:1#3:1200015:1#3:910002:1#3:100291:1000#0:1:50000#3:500093:50</t>
  </si>
  <si>
    <t>3:100291:700#0:1:40000#3:500093:50</t>
  </si>
  <si>
    <t>3:800038:1#3:1200006:1#3:100291:750#0:1:40000#3:500093:20</t>
  </si>
  <si>
    <t>3:800040:1#3:1200010:1#3:100291:750#0:1:40000#3:500093:20</t>
  </si>
  <si>
    <t>3:800042:1#3:1200014:1#3:910003:1#3:100291:750#0:1:40000#3:500093:20</t>
  </si>
  <si>
    <t>3:100291:500#0:1:30000#3:500093:20</t>
  </si>
  <si>
    <t>3:1200005:1#3:100291:500#0:1:30000#3:500093:10</t>
  </si>
  <si>
    <t>3:1200009:1#3:100291:500#0:1:30000#3:500093:10</t>
  </si>
  <si>
    <t>3:1200013:1#3:910004:1#3:100291:500#0:1:30000#3:500093:10</t>
  </si>
  <si>
    <t>3:100291:350#0:1:25000#3:500093:10</t>
  </si>
  <si>
    <t>2024-02-01 00:00:00</t>
  </si>
  <si>
    <t>2024-03-01 00:00:00</t>
  </si>
  <si>
    <t>2024-04-01 00:00:00</t>
  </si>
  <si>
    <t>2024-05-01 00:00:00</t>
  </si>
  <si>
    <t>2024-06-01 00:00:00</t>
  </si>
  <si>
    <t>2024-07-01 00:00:00</t>
  </si>
  <si>
    <t>2024-08-01 00:00:00</t>
  </si>
  <si>
    <t>2024-09-01 00:00:00</t>
  </si>
  <si>
    <t>2024-10-01 00:00:00</t>
  </si>
  <si>
    <t>2024-11-01 00:00:00</t>
  </si>
  <si>
    <t>2024-12-01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</si>
</sst>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9"/>
      <name val="宋体"/>
      <charset val="134"/>
    </font>
    <font>
      <sz val="9"/>
      <name val="宋体"/>
      <charset val="134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4628742332224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49" fontId="0" fillId="0" borderId="0" xfId="0" applyNumberFormat="1" applyFo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10" fontId="0" fillId="0" borderId="0" xfId="1" applyNumberFormat="1" applyFont="1">
      <alignment vertical="center"/>
    </xf>
    <xf numFmtId="49" fontId="0" fillId="2" borderId="0" xfId="0" applyNumberFormat="1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0" borderId="0" xfId="0" applyFill="1" applyAlignment="1"/>
    <xf numFmtId="0" fontId="0" fillId="0" borderId="0" xfId="0" applyFont="1">
      <alignment vertical="center"/>
    </xf>
    <xf numFmtId="49" fontId="0" fillId="0" borderId="0" xfId="0" applyNumberFormat="1">
      <alignment vertical="center"/>
    </xf>
    <xf numFmtId="0" fontId="0" fillId="2" borderId="0" xfId="0" applyFont="1" applyFill="1">
      <alignment vertical="center"/>
    </xf>
    <xf numFmtId="0" fontId="0" fillId="2" borderId="0" xfId="0" applyFill="1">
      <alignment vertical="center"/>
    </xf>
    <xf numFmtId="21" fontId="0" fillId="0" borderId="0" xfId="0" applyNumberFormat="1">
      <alignment vertical="center"/>
    </xf>
    <xf numFmtId="0" fontId="0" fillId="0" borderId="0" xfId="0" applyFont="1" applyFill="1" applyAlignment="1"/>
    <xf numFmtId="0" fontId="0" fillId="0" borderId="0" xfId="0" applyFont="1" applyFill="1">
      <alignment vertical="center"/>
    </xf>
    <xf numFmtId="0" fontId="0" fillId="0" borderId="0" xfId="0" applyFont="1" applyFill="1" applyAlignment="1">
      <alignment vertical="center"/>
    </xf>
    <xf numFmtId="0" fontId="0" fillId="2" borderId="0" xfId="0" applyFont="1" applyFill="1" applyAlignment="1"/>
    <xf numFmtId="0" fontId="0" fillId="0" borderId="0" xfId="0" applyAlignment="1"/>
    <xf numFmtId="49" fontId="0" fillId="0" borderId="0" xfId="0" applyNumberFormat="1" applyFont="1" applyFill="1" applyAlignment="1"/>
    <xf numFmtId="49" fontId="0" fillId="2" borderId="0" xfId="0" applyNumberFormat="1" applyFont="1" applyFill="1" applyAlignment="1"/>
    <xf numFmtId="0" fontId="0" fillId="3" borderId="0" xfId="0" applyFont="1" applyFill="1" applyAlignment="1"/>
    <xf numFmtId="0" fontId="0" fillId="4" borderId="0" xfId="0" applyNumberFormat="1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164" fontId="0" fillId="0" borderId="0" xfId="0" applyNumberFormat="1">
      <alignment vertical="center"/>
    </xf>
    <xf numFmtId="0" fontId="1" fillId="0" borderId="0" xfId="0" applyFont="1">
      <alignment vertical="center"/>
    </xf>
  </cellXfs>
  <cellStyles count="2">
    <cellStyle name="Normal" xfId="0" builtinId="0"/>
    <cellStyle name="Percent" xfId="1" builtinId="5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workbookViewId="0">
      <selection activeCell="C13" sqref="C13"/>
    </sheetView>
  </sheetViews>
  <sheetFormatPr defaultColWidth="9" defaultRowHeight="15"/>
  <cols>
    <col min="2" max="5" width="21.42578125" customWidth="1"/>
    <col min="7" max="7" width="21.5703125" customWidth="1"/>
  </cols>
  <sheetData>
    <row r="1" spans="1:7">
      <c r="A1" t="s">
        <v>0</v>
      </c>
      <c r="B1" t="s">
        <v>1</v>
      </c>
      <c r="C1" t="s">
        <v>2</v>
      </c>
    </row>
    <row r="2" spans="1:7">
      <c r="A2">
        <v>10001</v>
      </c>
      <c r="B2" s="1" t="s">
        <v>200</v>
      </c>
      <c r="C2" s="11" t="s">
        <v>201</v>
      </c>
      <c r="E2" s="11"/>
      <c r="F2" s="11"/>
      <c r="G2" s="1"/>
    </row>
    <row r="3" spans="1:7">
      <c r="A3">
        <v>10002</v>
      </c>
      <c r="B3" s="1" t="s">
        <v>201</v>
      </c>
      <c r="C3" s="11" t="s">
        <v>202</v>
      </c>
      <c r="G3" s="25"/>
    </row>
    <row r="4" spans="1:7">
      <c r="A4">
        <v>10003</v>
      </c>
      <c r="B4" s="1" t="s">
        <v>202</v>
      </c>
      <c r="C4" s="11" t="s">
        <v>203</v>
      </c>
      <c r="D4" s="11"/>
      <c r="E4" s="11"/>
      <c r="G4" s="25"/>
    </row>
    <row r="5" spans="1:7">
      <c r="A5">
        <v>10004</v>
      </c>
      <c r="B5" s="1" t="s">
        <v>203</v>
      </c>
      <c r="C5" s="11" t="s">
        <v>204</v>
      </c>
      <c r="D5" s="11"/>
      <c r="E5" s="11"/>
      <c r="G5" s="25"/>
    </row>
    <row r="6" spans="1:7">
      <c r="A6">
        <v>10005</v>
      </c>
      <c r="B6" s="1" t="s">
        <v>204</v>
      </c>
      <c r="C6" s="11" t="s">
        <v>205</v>
      </c>
      <c r="D6" s="11"/>
      <c r="E6" s="11"/>
      <c r="G6" s="25"/>
    </row>
    <row r="7" spans="1:7">
      <c r="A7">
        <v>10006</v>
      </c>
      <c r="B7" s="1" t="s">
        <v>205</v>
      </c>
      <c r="C7" s="11" t="s">
        <v>206</v>
      </c>
      <c r="D7" s="11"/>
      <c r="E7" s="11"/>
      <c r="G7" s="25"/>
    </row>
    <row r="8" spans="1:7">
      <c r="A8">
        <v>10007</v>
      </c>
      <c r="B8" s="1" t="s">
        <v>206</v>
      </c>
      <c r="C8" s="11" t="s">
        <v>207</v>
      </c>
      <c r="D8" s="11"/>
      <c r="E8" s="11"/>
      <c r="G8" s="25"/>
    </row>
    <row r="9" spans="1:7">
      <c r="A9">
        <v>10008</v>
      </c>
      <c r="B9" s="1" t="s">
        <v>208</v>
      </c>
      <c r="C9" s="11" t="s">
        <v>209</v>
      </c>
      <c r="D9" s="11"/>
      <c r="E9" s="11"/>
      <c r="G9" s="25"/>
    </row>
    <row r="10" spans="1:7">
      <c r="A10">
        <v>10009</v>
      </c>
      <c r="B10" s="1" t="s">
        <v>209</v>
      </c>
      <c r="C10" s="11" t="s">
        <v>210</v>
      </c>
      <c r="D10" s="11"/>
      <c r="E10" s="11"/>
      <c r="G10" s="25"/>
    </row>
    <row r="11" spans="1:7">
      <c r="B11" s="1"/>
      <c r="C11" s="11"/>
      <c r="D11" s="11"/>
      <c r="E11" s="11"/>
      <c r="G11" s="25"/>
    </row>
    <row r="12" spans="1:7">
      <c r="B12" s="1"/>
      <c r="C12" s="11"/>
      <c r="D12" s="11"/>
      <c r="E12" s="11"/>
      <c r="G12" s="25"/>
    </row>
    <row r="13" spans="1:7">
      <c r="B13" s="1"/>
      <c r="C13" s="11"/>
      <c r="D13" s="11"/>
      <c r="E13" s="11"/>
      <c r="G13" s="25"/>
    </row>
    <row r="14" spans="1:7">
      <c r="B14" s="1"/>
      <c r="C14" s="11"/>
      <c r="D14" s="11"/>
      <c r="E14" s="11"/>
      <c r="G14" s="25"/>
    </row>
    <row r="15" spans="1:7">
      <c r="B15" s="1"/>
      <c r="C15" s="11"/>
      <c r="D15" s="11"/>
      <c r="E15" s="11"/>
      <c r="G15" s="25"/>
    </row>
    <row r="16" spans="1:7">
      <c r="B16" s="1"/>
      <c r="C16" s="11"/>
      <c r="D16" s="11"/>
      <c r="E16" s="11"/>
      <c r="G16" s="25"/>
    </row>
    <row r="17" spans="2:7">
      <c r="B17" s="1"/>
      <c r="C17" s="11"/>
      <c r="D17" s="11"/>
      <c r="E17" s="11"/>
      <c r="G17" s="25"/>
    </row>
    <row r="18" spans="2:7">
      <c r="B18" s="1"/>
      <c r="C18" s="11"/>
      <c r="D18" s="11"/>
      <c r="E18" s="11"/>
      <c r="G18" s="25"/>
    </row>
    <row r="19" spans="2:7">
      <c r="B19" s="1"/>
      <c r="C19" s="11"/>
      <c r="D19" s="11"/>
      <c r="E19" s="11"/>
      <c r="G19" s="25"/>
    </row>
    <row r="20" spans="2:7">
      <c r="B20" s="1"/>
      <c r="C20" s="11"/>
      <c r="D20" s="11"/>
      <c r="E20" s="11"/>
      <c r="G20" s="25"/>
    </row>
    <row r="21" spans="2:7">
      <c r="B21" s="1"/>
      <c r="C21" s="11"/>
      <c r="D21" s="11"/>
      <c r="E21" s="11"/>
      <c r="G21" s="25"/>
    </row>
    <row r="22" spans="2:7">
      <c r="B22" s="1"/>
      <c r="C22" s="11"/>
      <c r="D22" s="11"/>
      <c r="E22" s="11"/>
      <c r="G22" s="25"/>
    </row>
    <row r="23" spans="2:7">
      <c r="B23" s="1"/>
      <c r="C23" s="11"/>
      <c r="D23" s="11"/>
      <c r="E23" s="11"/>
      <c r="G23" s="25"/>
    </row>
    <row r="24" spans="2:7">
      <c r="B24" s="1"/>
      <c r="C24" s="11"/>
      <c r="D24" s="11"/>
      <c r="E24" s="11"/>
      <c r="G24" s="25"/>
    </row>
    <row r="25" spans="2:7">
      <c r="B25" s="1"/>
      <c r="C25" s="11"/>
      <c r="D25" s="11"/>
      <c r="E25" s="11"/>
      <c r="G25" s="25"/>
    </row>
    <row r="26" spans="2:7">
      <c r="B26" s="1"/>
      <c r="C26" s="11"/>
      <c r="D26" s="11"/>
      <c r="E26" s="11"/>
      <c r="G26" s="25"/>
    </row>
    <row r="27" spans="2:7">
      <c r="B27" s="1"/>
      <c r="C27" s="11"/>
      <c r="D27" s="11"/>
      <c r="E27" s="11"/>
      <c r="G27" s="25"/>
    </row>
    <row r="28" spans="2:7">
      <c r="B28" s="1"/>
      <c r="C28" s="11"/>
      <c r="D28" s="11"/>
      <c r="E28" s="11"/>
      <c r="G28" s="25"/>
    </row>
    <row r="29" spans="2:7">
      <c r="B29" s="1"/>
      <c r="C29" s="11"/>
      <c r="D29" s="11"/>
      <c r="E29" s="11"/>
      <c r="G29" s="25"/>
    </row>
    <row r="30" spans="2:7">
      <c r="B30" s="1"/>
      <c r="C30" s="11"/>
      <c r="D30" s="11"/>
      <c r="E30" s="11"/>
      <c r="G30" s="25"/>
    </row>
    <row r="31" spans="2:7">
      <c r="B31" s="1"/>
      <c r="C31" s="11"/>
      <c r="D31" s="11"/>
      <c r="E31" s="11"/>
      <c r="G31" s="25"/>
    </row>
    <row r="32" spans="2:7">
      <c r="B32" s="1"/>
      <c r="C32" s="11"/>
      <c r="D32" s="11"/>
      <c r="E32" s="11"/>
      <c r="G32" s="25"/>
    </row>
    <row r="33" spans="2:7">
      <c r="B33" s="1"/>
      <c r="C33" s="11"/>
      <c r="D33" s="11"/>
      <c r="E33" s="11"/>
      <c r="G33" s="25"/>
    </row>
    <row r="34" spans="2:7">
      <c r="B34" s="1"/>
      <c r="C34" s="11"/>
      <c r="D34" s="11"/>
      <c r="E34" s="11"/>
      <c r="G34" s="25"/>
    </row>
    <row r="35" spans="2:7">
      <c r="D35" s="11"/>
      <c r="E35" s="1"/>
      <c r="G35" s="25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B6" sqref="B6"/>
    </sheetView>
  </sheetViews>
  <sheetFormatPr defaultColWidth="9" defaultRowHeight="15"/>
  <cols>
    <col min="2" max="2" width="12.85546875" customWidth="1"/>
    <col min="4" max="4" width="8.85546875" customWidth="1"/>
  </cols>
  <sheetData>
    <row r="1" spans="1:4">
      <c r="A1" s="17" t="s">
        <v>3</v>
      </c>
      <c r="B1" s="17" t="s">
        <v>4</v>
      </c>
      <c r="C1" t="s">
        <v>5</v>
      </c>
      <c r="D1" t="s">
        <v>1</v>
      </c>
    </row>
    <row r="2" spans="1:4">
      <c r="A2" s="17">
        <v>1</v>
      </c>
      <c r="B2" s="17" t="s">
        <v>6</v>
      </c>
      <c r="C2">
        <v>1</v>
      </c>
      <c r="D2" s="11" t="s">
        <v>7</v>
      </c>
    </row>
    <row r="3" spans="1:4">
      <c r="A3" s="17">
        <v>2</v>
      </c>
      <c r="B3" s="17" t="s">
        <v>8</v>
      </c>
      <c r="C3">
        <v>3</v>
      </c>
      <c r="D3" s="11" t="s">
        <v>7</v>
      </c>
    </row>
    <row r="4" spans="1:4">
      <c r="A4" s="17">
        <v>3</v>
      </c>
      <c r="B4" s="17" t="s">
        <v>9</v>
      </c>
      <c r="C4">
        <v>6</v>
      </c>
      <c r="D4" s="11" t="s">
        <v>7</v>
      </c>
    </row>
    <row r="5" spans="1:4">
      <c r="A5" s="17">
        <v>4</v>
      </c>
      <c r="B5" s="17" t="s">
        <v>10</v>
      </c>
      <c r="C5">
        <v>9</v>
      </c>
      <c r="D5" s="11" t="s">
        <v>7</v>
      </c>
    </row>
    <row r="6" spans="1:4">
      <c r="A6" s="17">
        <v>5</v>
      </c>
      <c r="B6" s="17" t="s">
        <v>11</v>
      </c>
      <c r="C6">
        <v>10</v>
      </c>
      <c r="D6" s="11" t="s">
        <v>7</v>
      </c>
    </row>
    <row r="7" spans="1:4">
      <c r="A7" s="17">
        <v>6</v>
      </c>
      <c r="B7" s="17" t="s">
        <v>12</v>
      </c>
      <c r="C7">
        <v>15</v>
      </c>
      <c r="D7" s="11" t="s">
        <v>7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41" sqref="B41"/>
    </sheetView>
  </sheetViews>
  <sheetFormatPr defaultColWidth="9" defaultRowHeight="15"/>
  <sheetData>
    <row r="1" spans="1:4">
      <c r="A1" t="s">
        <v>13</v>
      </c>
      <c r="B1" t="s">
        <v>4</v>
      </c>
      <c r="C1" t="s">
        <v>14</v>
      </c>
      <c r="D1" t="s">
        <v>15</v>
      </c>
    </row>
    <row r="2" spans="1:4">
      <c r="A2">
        <v>1</v>
      </c>
      <c r="B2" t="s">
        <v>16</v>
      </c>
      <c r="C2" s="1" t="s">
        <v>17</v>
      </c>
      <c r="D2">
        <v>200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F14" sqref="F14"/>
    </sheetView>
  </sheetViews>
  <sheetFormatPr defaultColWidth="9" defaultRowHeight="15"/>
  <cols>
    <col min="3" max="3" width="41.5703125" customWidth="1"/>
    <col min="6" max="6" width="11.140625" customWidth="1"/>
    <col min="7" max="7" width="11.28515625" customWidth="1"/>
  </cols>
  <sheetData>
    <row r="1" spans="1:7">
      <c r="A1" s="2" t="s">
        <v>18</v>
      </c>
      <c r="B1" s="2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2"/>
    </row>
    <row r="2" spans="1:7">
      <c r="A2" s="2">
        <v>0</v>
      </c>
      <c r="B2" s="2">
        <v>0</v>
      </c>
      <c r="C2" s="4"/>
      <c r="D2" s="4">
        <v>0</v>
      </c>
      <c r="E2" s="4">
        <v>0</v>
      </c>
      <c r="F2" s="4">
        <v>800140</v>
      </c>
      <c r="G2" s="2"/>
    </row>
    <row r="3" spans="1:7">
      <c r="A3" s="2">
        <v>1</v>
      </c>
      <c r="B3" s="2">
        <v>500</v>
      </c>
      <c r="C3" s="3" t="s">
        <v>24</v>
      </c>
      <c r="D3" s="23">
        <v>7000101</v>
      </c>
      <c r="E3" s="24">
        <v>700101</v>
      </c>
      <c r="F3" s="4">
        <v>800140</v>
      </c>
      <c r="G3" s="4" t="s">
        <v>25</v>
      </c>
    </row>
    <row r="4" spans="1:7">
      <c r="A4" s="2">
        <v>2</v>
      </c>
      <c r="B4" s="2">
        <v>1000</v>
      </c>
      <c r="C4" s="3" t="s">
        <v>24</v>
      </c>
      <c r="D4" s="23">
        <v>7000102</v>
      </c>
      <c r="E4" s="24">
        <v>700102</v>
      </c>
      <c r="F4" s="4">
        <v>800140</v>
      </c>
      <c r="G4" s="2" t="s">
        <v>26</v>
      </c>
    </row>
    <row r="5" spans="1:7">
      <c r="A5" s="2">
        <v>3</v>
      </c>
      <c r="B5" s="2">
        <v>1500</v>
      </c>
      <c r="C5" s="3" t="s">
        <v>24</v>
      </c>
      <c r="D5" s="23">
        <v>7000103</v>
      </c>
      <c r="E5" s="24">
        <v>700103</v>
      </c>
      <c r="F5" s="4">
        <v>800140</v>
      </c>
      <c r="G5" s="2" t="s">
        <v>27</v>
      </c>
    </row>
    <row r="6" spans="1:7">
      <c r="A6" s="2">
        <v>4</v>
      </c>
      <c r="B6" s="2">
        <v>2000</v>
      </c>
      <c r="C6" s="3" t="s">
        <v>24</v>
      </c>
      <c r="D6" s="23">
        <v>7000104</v>
      </c>
      <c r="E6" s="24">
        <v>700104</v>
      </c>
      <c r="F6" s="4">
        <v>800140</v>
      </c>
      <c r="G6" s="4" t="s">
        <v>28</v>
      </c>
    </row>
    <row r="7" spans="1:7">
      <c r="A7" s="2">
        <v>5</v>
      </c>
      <c r="B7" s="2">
        <v>3000</v>
      </c>
      <c r="C7" s="3" t="s">
        <v>29</v>
      </c>
      <c r="D7" s="23">
        <v>7000105</v>
      </c>
      <c r="E7" s="24">
        <v>700105</v>
      </c>
      <c r="F7" s="4">
        <v>800140</v>
      </c>
      <c r="G7" s="2" t="s">
        <v>30</v>
      </c>
    </row>
    <row r="8" spans="1:7">
      <c r="A8" s="2">
        <v>6</v>
      </c>
      <c r="B8" s="2">
        <v>4000</v>
      </c>
      <c r="C8" s="3" t="s">
        <v>29</v>
      </c>
      <c r="D8" s="23">
        <v>7000106</v>
      </c>
      <c r="E8" s="24">
        <v>700106</v>
      </c>
      <c r="F8" s="4">
        <v>800140</v>
      </c>
      <c r="G8" s="2" t="s">
        <v>31</v>
      </c>
    </row>
    <row r="9" spans="1:7">
      <c r="A9" s="2">
        <v>7</v>
      </c>
      <c r="B9" s="2">
        <v>5000</v>
      </c>
      <c r="C9" s="3" t="s">
        <v>29</v>
      </c>
      <c r="D9" s="23">
        <v>7000107</v>
      </c>
      <c r="E9" s="24">
        <v>700107</v>
      </c>
      <c r="F9" s="4">
        <v>800140</v>
      </c>
      <c r="G9" s="4" t="s">
        <v>32</v>
      </c>
    </row>
    <row r="10" spans="1:7">
      <c r="A10" s="2">
        <v>8</v>
      </c>
      <c r="B10" s="2">
        <v>6500</v>
      </c>
      <c r="C10" s="3" t="s">
        <v>33</v>
      </c>
      <c r="D10" s="23">
        <v>7000108</v>
      </c>
      <c r="E10" s="24">
        <v>700108</v>
      </c>
      <c r="F10" s="4">
        <v>800140</v>
      </c>
      <c r="G10" s="2" t="s">
        <v>34</v>
      </c>
    </row>
    <row r="11" spans="1:7">
      <c r="A11" s="2">
        <v>9</v>
      </c>
      <c r="B11" s="2">
        <v>8000</v>
      </c>
      <c r="C11" s="3" t="s">
        <v>33</v>
      </c>
      <c r="D11" s="23">
        <v>7000109</v>
      </c>
      <c r="E11" s="24">
        <v>700109</v>
      </c>
      <c r="F11" s="4">
        <v>800140</v>
      </c>
      <c r="G11" s="2" t="s">
        <v>35</v>
      </c>
    </row>
    <row r="12" spans="1:7">
      <c r="A12" s="2">
        <v>10</v>
      </c>
      <c r="B12" s="2">
        <v>10000</v>
      </c>
      <c r="C12" s="3" t="s">
        <v>36</v>
      </c>
      <c r="D12" s="23">
        <v>7000110</v>
      </c>
      <c r="E12" s="24">
        <v>700110</v>
      </c>
      <c r="F12" s="4">
        <v>800140</v>
      </c>
      <c r="G12" s="2" t="s">
        <v>37</v>
      </c>
    </row>
  </sheetData>
  <conditionalFormatting sqref="D3:E12">
    <cfRule type="duplicateValues" dxfId="5" priority="1"/>
    <cfRule type="duplicateValues" dxfId="4" priority="2"/>
  </conditionalFormatting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"/>
  <sheetViews>
    <sheetView topLeftCell="B1" workbookViewId="0">
      <selection activeCell="J8" sqref="J8"/>
    </sheetView>
  </sheetViews>
  <sheetFormatPr defaultColWidth="9" defaultRowHeight="15"/>
  <cols>
    <col min="1" max="2" width="11" customWidth="1"/>
    <col min="5" max="6" width="19.7109375" customWidth="1"/>
    <col min="7" max="7" width="13.28515625" customWidth="1"/>
    <col min="8" max="8" width="19.7109375" customWidth="1"/>
    <col min="9" max="10" width="15.42578125" customWidth="1"/>
    <col min="11" max="13" width="17.42578125" customWidth="1"/>
    <col min="14" max="14" width="23.7109375" customWidth="1"/>
  </cols>
  <sheetData>
    <row r="1" spans="1:14">
      <c r="A1" t="s">
        <v>38</v>
      </c>
      <c r="B1" s="10" t="s">
        <v>39</v>
      </c>
      <c r="C1" t="s">
        <v>40</v>
      </c>
      <c r="D1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10" t="s">
        <v>47</v>
      </c>
      <c r="K1" t="s">
        <v>48</v>
      </c>
      <c r="L1" s="10" t="s">
        <v>49</v>
      </c>
      <c r="M1" s="10" t="s">
        <v>50</v>
      </c>
      <c r="N1" s="10" t="s">
        <v>51</v>
      </c>
    </row>
    <row r="2" spans="1:14">
      <c r="A2">
        <v>1</v>
      </c>
      <c r="B2" s="26" t="s">
        <v>174</v>
      </c>
      <c r="C2">
        <v>100</v>
      </c>
      <c r="D2">
        <v>130</v>
      </c>
      <c r="E2">
        <v>800104</v>
      </c>
      <c r="F2">
        <v>800140</v>
      </c>
      <c r="G2">
        <v>93994660</v>
      </c>
      <c r="H2">
        <v>800101</v>
      </c>
      <c r="I2">
        <v>800110</v>
      </c>
      <c r="J2">
        <v>9399466</v>
      </c>
      <c r="K2" s="16" t="s">
        <v>177</v>
      </c>
      <c r="L2">
        <v>939946</v>
      </c>
      <c r="M2" s="16" t="s">
        <v>52</v>
      </c>
      <c r="N2" s="10" t="s">
        <v>53</v>
      </c>
    </row>
    <row r="3" spans="1:14">
      <c r="A3">
        <v>2</v>
      </c>
      <c r="B3" s="10" t="s">
        <v>175</v>
      </c>
      <c r="C3">
        <v>131</v>
      </c>
      <c r="D3">
        <v>160</v>
      </c>
      <c r="E3">
        <v>800105</v>
      </c>
      <c r="F3">
        <v>800150</v>
      </c>
      <c r="G3">
        <v>160699724</v>
      </c>
      <c r="H3">
        <v>800102</v>
      </c>
      <c r="I3">
        <v>800120</v>
      </c>
      <c r="J3">
        <v>40174931</v>
      </c>
      <c r="K3" s="16" t="s">
        <v>178</v>
      </c>
      <c r="L3">
        <v>4017493</v>
      </c>
      <c r="M3" s="16" t="s">
        <v>54</v>
      </c>
      <c r="N3" s="10" t="s">
        <v>55</v>
      </c>
    </row>
    <row r="4" spans="1:14">
      <c r="A4">
        <v>3</v>
      </c>
      <c r="B4" s="10" t="s">
        <v>176</v>
      </c>
      <c r="C4">
        <v>161</v>
      </c>
      <c r="D4">
        <v>200</v>
      </c>
      <c r="E4">
        <v>800106</v>
      </c>
      <c r="F4">
        <v>800160</v>
      </c>
      <c r="G4">
        <v>363647898</v>
      </c>
      <c r="H4">
        <v>800103</v>
      </c>
      <c r="I4">
        <v>800130</v>
      </c>
      <c r="J4">
        <v>121215966</v>
      </c>
      <c r="K4" s="16" t="s">
        <v>179</v>
      </c>
      <c r="L4">
        <v>12121596</v>
      </c>
      <c r="M4" s="16" t="s">
        <v>56</v>
      </c>
      <c r="N4" s="10" t="s">
        <v>57</v>
      </c>
    </row>
  </sheetData>
  <conditionalFormatting sqref="E3:E4">
    <cfRule type="duplicateValues" dxfId="3" priority="1"/>
  </conditionalFormatting>
  <conditionalFormatting sqref="F3:F4">
    <cfRule type="duplicateValues" dxfId="2" priority="3"/>
  </conditionalFormatting>
  <conditionalFormatting sqref="H3:H4">
    <cfRule type="duplicateValues" dxfId="1" priority="2"/>
  </conditionalFormatting>
  <conditionalFormatting sqref="I3:I4">
    <cfRule type="duplicateValues" dxfId="0" priority="4"/>
  </conditionalFormatting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7"/>
  <sheetViews>
    <sheetView workbookViewId="0">
      <selection activeCell="G14" activeCellId="1" sqref="E37 G14"/>
    </sheetView>
  </sheetViews>
  <sheetFormatPr defaultColWidth="9" defaultRowHeight="15"/>
  <cols>
    <col min="4" max="4" width="60.42578125" customWidth="1"/>
    <col min="7" max="7" width="72.5703125" customWidth="1"/>
  </cols>
  <sheetData>
    <row r="1" spans="1:8">
      <c r="A1" s="17" t="s">
        <v>58</v>
      </c>
      <c r="B1" s="15" t="s">
        <v>59</v>
      </c>
      <c r="C1" s="15" t="s">
        <v>60</v>
      </c>
      <c r="D1" s="15" t="s">
        <v>61</v>
      </c>
      <c r="E1" s="15" t="s">
        <v>62</v>
      </c>
      <c r="F1" s="15" t="s">
        <v>63</v>
      </c>
    </row>
    <row r="2" spans="1:8">
      <c r="A2" s="17">
        <v>1</v>
      </c>
      <c r="B2" s="18">
        <v>1</v>
      </c>
      <c r="C2" s="18">
        <v>1</v>
      </c>
      <c r="D2" s="18" t="s">
        <v>188</v>
      </c>
      <c r="E2" s="18">
        <v>1</v>
      </c>
      <c r="F2" s="18">
        <v>1</v>
      </c>
      <c r="G2" s="19" t="s">
        <v>64</v>
      </c>
      <c r="H2" s="10"/>
    </row>
    <row r="3" spans="1:8">
      <c r="A3" s="17">
        <v>2</v>
      </c>
      <c r="B3" s="18">
        <v>2</v>
      </c>
      <c r="C3" s="18">
        <v>2</v>
      </c>
      <c r="D3" s="18" t="s">
        <v>192</v>
      </c>
      <c r="E3" s="18">
        <v>1</v>
      </c>
      <c r="F3" s="18">
        <v>1</v>
      </c>
      <c r="G3" s="19" t="s">
        <v>65</v>
      </c>
    </row>
    <row r="4" spans="1:8">
      <c r="A4" s="17">
        <v>3</v>
      </c>
      <c r="B4" s="18">
        <v>3</v>
      </c>
      <c r="C4" s="18">
        <v>4</v>
      </c>
      <c r="D4" s="18" t="s">
        <v>196</v>
      </c>
      <c r="E4" s="18">
        <v>1</v>
      </c>
      <c r="F4" s="18">
        <v>1</v>
      </c>
      <c r="G4" s="19" t="s">
        <v>66</v>
      </c>
    </row>
    <row r="5" spans="1:8">
      <c r="A5" s="17">
        <v>4</v>
      </c>
      <c r="B5" s="18">
        <v>5</v>
      </c>
      <c r="C5" s="18">
        <v>8</v>
      </c>
      <c r="D5" s="18" t="s">
        <v>180</v>
      </c>
      <c r="E5" s="18">
        <v>1</v>
      </c>
      <c r="F5" s="18">
        <v>1</v>
      </c>
      <c r="G5" s="19" t="s">
        <v>67</v>
      </c>
    </row>
    <row r="6" spans="1:8">
      <c r="A6" s="17">
        <v>5</v>
      </c>
      <c r="B6" s="18">
        <v>9</v>
      </c>
      <c r="C6" s="18">
        <v>20</v>
      </c>
      <c r="D6" s="18" t="s">
        <v>181</v>
      </c>
      <c r="E6" s="18">
        <v>1</v>
      </c>
      <c r="F6" s="18">
        <v>1</v>
      </c>
      <c r="G6" s="19" t="s">
        <v>68</v>
      </c>
    </row>
    <row r="7" spans="1:8">
      <c r="A7" s="17">
        <v>6</v>
      </c>
      <c r="B7" s="18">
        <v>21</v>
      </c>
      <c r="C7" s="18">
        <v>64</v>
      </c>
      <c r="D7" s="18" t="s">
        <v>182</v>
      </c>
      <c r="E7" s="18">
        <v>1</v>
      </c>
      <c r="F7" s="18">
        <v>1</v>
      </c>
      <c r="G7" s="19" t="s">
        <v>69</v>
      </c>
    </row>
    <row r="8" spans="1:8">
      <c r="A8" s="17">
        <v>7</v>
      </c>
      <c r="B8" s="18">
        <v>1</v>
      </c>
      <c r="C8" s="18">
        <v>1</v>
      </c>
      <c r="D8" s="15" t="s">
        <v>189</v>
      </c>
      <c r="E8" s="15">
        <v>2</v>
      </c>
      <c r="F8" s="15">
        <v>1</v>
      </c>
      <c r="G8" s="19" t="s">
        <v>70</v>
      </c>
    </row>
    <row r="9" spans="1:8">
      <c r="A9" s="17">
        <v>8</v>
      </c>
      <c r="B9" s="18">
        <v>2</v>
      </c>
      <c r="C9" s="18">
        <v>2</v>
      </c>
      <c r="D9" s="15" t="s">
        <v>193</v>
      </c>
      <c r="E9" s="15">
        <v>2</v>
      </c>
      <c r="F9" s="15">
        <v>1</v>
      </c>
      <c r="G9" s="19" t="s">
        <v>71</v>
      </c>
    </row>
    <row r="10" spans="1:8">
      <c r="A10" s="17">
        <v>9</v>
      </c>
      <c r="B10" s="18">
        <v>3</v>
      </c>
      <c r="C10" s="18">
        <v>4</v>
      </c>
      <c r="D10" s="15" t="s">
        <v>197</v>
      </c>
      <c r="E10" s="15">
        <v>2</v>
      </c>
      <c r="F10" s="15">
        <v>1</v>
      </c>
      <c r="G10" s="19" t="s">
        <v>72</v>
      </c>
    </row>
    <row r="11" spans="1:8">
      <c r="A11" s="17">
        <v>10</v>
      </c>
      <c r="B11" s="18">
        <v>5</v>
      </c>
      <c r="C11" s="18">
        <v>8</v>
      </c>
      <c r="D11" s="20" t="s">
        <v>183</v>
      </c>
      <c r="E11" s="15">
        <v>2</v>
      </c>
      <c r="F11" s="15">
        <v>1</v>
      </c>
      <c r="G11" s="19" t="s">
        <v>73</v>
      </c>
    </row>
    <row r="12" spans="1:8">
      <c r="A12" s="17">
        <v>11</v>
      </c>
      <c r="B12" s="18">
        <v>9</v>
      </c>
      <c r="C12" s="18">
        <v>20</v>
      </c>
      <c r="D12" s="20" t="s">
        <v>181</v>
      </c>
      <c r="E12" s="15">
        <v>2</v>
      </c>
      <c r="F12" s="15">
        <v>1</v>
      </c>
      <c r="G12" s="19" t="s">
        <v>68</v>
      </c>
    </row>
    <row r="13" spans="1:8">
      <c r="A13" s="17">
        <v>12</v>
      </c>
      <c r="B13" s="18">
        <v>21</v>
      </c>
      <c r="C13" s="18">
        <v>64</v>
      </c>
      <c r="D13" s="20" t="s">
        <v>182</v>
      </c>
      <c r="E13" s="15">
        <v>2</v>
      </c>
      <c r="F13" s="15">
        <v>1</v>
      </c>
      <c r="G13" s="19" t="s">
        <v>69</v>
      </c>
    </row>
    <row r="14" spans="1:8">
      <c r="A14" s="17">
        <v>13</v>
      </c>
      <c r="B14" s="18">
        <v>1</v>
      </c>
      <c r="C14" s="18">
        <v>1</v>
      </c>
      <c r="D14" s="18" t="s">
        <v>190</v>
      </c>
      <c r="E14" s="18">
        <v>3</v>
      </c>
      <c r="F14" s="18">
        <v>1</v>
      </c>
      <c r="G14" s="19" t="s">
        <v>74</v>
      </c>
    </row>
    <row r="15" spans="1:8">
      <c r="A15" s="17">
        <v>14</v>
      </c>
      <c r="B15" s="18">
        <v>2</v>
      </c>
      <c r="C15" s="18">
        <v>2</v>
      </c>
      <c r="D15" s="18" t="s">
        <v>194</v>
      </c>
      <c r="E15" s="18">
        <v>3</v>
      </c>
      <c r="F15" s="18">
        <v>1</v>
      </c>
      <c r="G15" s="19" t="s">
        <v>75</v>
      </c>
    </row>
    <row r="16" spans="1:8">
      <c r="A16" s="17">
        <v>15</v>
      </c>
      <c r="B16" s="18">
        <v>3</v>
      </c>
      <c r="C16" s="18">
        <v>4</v>
      </c>
      <c r="D16" s="18" t="s">
        <v>198</v>
      </c>
      <c r="E16" s="18">
        <v>3</v>
      </c>
      <c r="F16" s="18">
        <v>1</v>
      </c>
      <c r="G16" s="19" t="s">
        <v>76</v>
      </c>
    </row>
    <row r="17" spans="1:7">
      <c r="A17" s="17">
        <v>16</v>
      </c>
      <c r="B17" s="18">
        <v>5</v>
      </c>
      <c r="C17" s="18">
        <v>8</v>
      </c>
      <c r="D17" s="21" t="s">
        <v>184</v>
      </c>
      <c r="E17" s="18">
        <v>3</v>
      </c>
      <c r="F17" s="18">
        <v>1</v>
      </c>
      <c r="G17" s="19" t="s">
        <v>77</v>
      </c>
    </row>
    <row r="18" spans="1:7">
      <c r="A18" s="17">
        <v>17</v>
      </c>
      <c r="B18" s="18">
        <v>9</v>
      </c>
      <c r="C18" s="18">
        <v>20</v>
      </c>
      <c r="D18" s="21" t="s">
        <v>181</v>
      </c>
      <c r="E18" s="18">
        <v>3</v>
      </c>
      <c r="F18" s="18">
        <v>1</v>
      </c>
      <c r="G18" s="19" t="s">
        <v>68</v>
      </c>
    </row>
    <row r="19" spans="1:7">
      <c r="A19" s="17">
        <v>18</v>
      </c>
      <c r="B19" s="18">
        <v>21</v>
      </c>
      <c r="C19" s="18">
        <v>64</v>
      </c>
      <c r="D19" s="21" t="s">
        <v>182</v>
      </c>
      <c r="E19" s="18">
        <v>3</v>
      </c>
      <c r="F19" s="18">
        <v>1</v>
      </c>
      <c r="G19" s="19" t="s">
        <v>69</v>
      </c>
    </row>
    <row r="20" spans="1:7">
      <c r="A20" s="17">
        <v>19</v>
      </c>
      <c r="B20" s="18">
        <v>1</v>
      </c>
      <c r="C20" s="18">
        <v>1</v>
      </c>
      <c r="D20" s="22" t="s">
        <v>191</v>
      </c>
      <c r="E20" s="22">
        <v>1</v>
      </c>
      <c r="F20" s="22">
        <v>2</v>
      </c>
      <c r="G20" s="19" t="s">
        <v>78</v>
      </c>
    </row>
    <row r="21" spans="1:7">
      <c r="A21" s="17">
        <v>20</v>
      </c>
      <c r="B21" s="18">
        <v>2</v>
      </c>
      <c r="C21" s="18">
        <v>2</v>
      </c>
      <c r="D21" s="22" t="s">
        <v>195</v>
      </c>
      <c r="E21" s="22">
        <v>1</v>
      </c>
      <c r="F21" s="22">
        <v>2</v>
      </c>
      <c r="G21" s="19" t="s">
        <v>79</v>
      </c>
    </row>
    <row r="22" spans="1:7">
      <c r="A22" s="17">
        <v>21</v>
      </c>
      <c r="B22" s="18">
        <v>3</v>
      </c>
      <c r="C22" s="18">
        <v>4</v>
      </c>
      <c r="D22" s="22" t="s">
        <v>199</v>
      </c>
      <c r="E22" s="22">
        <v>1</v>
      </c>
      <c r="F22" s="22">
        <v>2</v>
      </c>
      <c r="G22" s="19" t="s">
        <v>80</v>
      </c>
    </row>
    <row r="23" spans="1:7">
      <c r="A23" s="17">
        <v>22</v>
      </c>
      <c r="B23" s="18">
        <v>5</v>
      </c>
      <c r="C23" s="18">
        <v>8</v>
      </c>
      <c r="D23" s="22" t="s">
        <v>185</v>
      </c>
      <c r="E23" s="22">
        <v>1</v>
      </c>
      <c r="F23" s="22">
        <v>2</v>
      </c>
      <c r="G23" s="19" t="s">
        <v>81</v>
      </c>
    </row>
    <row r="24" spans="1:7">
      <c r="A24" s="17">
        <v>23</v>
      </c>
      <c r="B24" s="18">
        <v>9</v>
      </c>
      <c r="C24" s="18">
        <v>20</v>
      </c>
      <c r="D24" s="22" t="s">
        <v>186</v>
      </c>
      <c r="E24" s="22">
        <v>1</v>
      </c>
      <c r="F24" s="22">
        <v>2</v>
      </c>
      <c r="G24" s="19" t="s">
        <v>82</v>
      </c>
    </row>
    <row r="25" spans="1:7">
      <c r="A25" s="17">
        <v>24</v>
      </c>
      <c r="B25" s="18">
        <v>21</v>
      </c>
      <c r="C25" s="18">
        <v>64</v>
      </c>
      <c r="D25" s="22" t="s">
        <v>187</v>
      </c>
      <c r="E25" s="22">
        <v>1</v>
      </c>
      <c r="F25" s="22">
        <v>2</v>
      </c>
      <c r="G25" s="19" t="s">
        <v>83</v>
      </c>
    </row>
    <row r="26" spans="1:7">
      <c r="A26" s="17">
        <v>25</v>
      </c>
      <c r="B26" s="18">
        <v>1</v>
      </c>
      <c r="C26" s="18">
        <v>1</v>
      </c>
      <c r="D26" s="15" t="s">
        <v>191</v>
      </c>
      <c r="E26" s="15">
        <v>2</v>
      </c>
      <c r="F26" s="15">
        <v>2</v>
      </c>
      <c r="G26" s="19" t="s">
        <v>78</v>
      </c>
    </row>
    <row r="27" spans="1:7">
      <c r="A27" s="17">
        <v>26</v>
      </c>
      <c r="B27" s="18">
        <v>2</v>
      </c>
      <c r="C27" s="18">
        <v>2</v>
      </c>
      <c r="D27" s="15" t="s">
        <v>195</v>
      </c>
      <c r="E27" s="15">
        <v>2</v>
      </c>
      <c r="F27" s="15">
        <v>2</v>
      </c>
      <c r="G27" s="19" t="s">
        <v>79</v>
      </c>
    </row>
    <row r="28" spans="1:7">
      <c r="A28" s="17">
        <v>27</v>
      </c>
      <c r="B28" s="18">
        <v>3</v>
      </c>
      <c r="C28" s="18">
        <v>4</v>
      </c>
      <c r="D28" s="15" t="s">
        <v>199</v>
      </c>
      <c r="E28" s="15">
        <v>2</v>
      </c>
      <c r="F28" s="15">
        <v>2</v>
      </c>
      <c r="G28" s="19" t="s">
        <v>80</v>
      </c>
    </row>
    <row r="29" spans="1:7">
      <c r="A29" s="17">
        <v>28</v>
      </c>
      <c r="B29" s="18">
        <v>5</v>
      </c>
      <c r="C29" s="18">
        <v>8</v>
      </c>
      <c r="D29" s="20" t="s">
        <v>185</v>
      </c>
      <c r="E29" s="15">
        <v>2</v>
      </c>
      <c r="F29" s="15">
        <v>2</v>
      </c>
      <c r="G29" s="19" t="s">
        <v>81</v>
      </c>
    </row>
    <row r="30" spans="1:7">
      <c r="A30" s="17">
        <v>29</v>
      </c>
      <c r="B30" s="18">
        <v>9</v>
      </c>
      <c r="C30" s="18">
        <v>20</v>
      </c>
      <c r="D30" s="20" t="s">
        <v>186</v>
      </c>
      <c r="E30" s="15">
        <v>2</v>
      </c>
      <c r="F30" s="15">
        <v>2</v>
      </c>
      <c r="G30" s="19" t="s">
        <v>82</v>
      </c>
    </row>
    <row r="31" spans="1:7">
      <c r="A31" s="17">
        <v>30</v>
      </c>
      <c r="B31" s="18">
        <v>21</v>
      </c>
      <c r="C31" s="18">
        <v>64</v>
      </c>
      <c r="D31" s="20" t="s">
        <v>187</v>
      </c>
      <c r="E31" s="15">
        <v>2</v>
      </c>
      <c r="F31" s="15">
        <v>2</v>
      </c>
      <c r="G31" s="19" t="s">
        <v>83</v>
      </c>
    </row>
    <row r="32" spans="1:7">
      <c r="A32" s="17">
        <v>31</v>
      </c>
      <c r="B32" s="18">
        <v>1</v>
      </c>
      <c r="C32" s="18">
        <v>1</v>
      </c>
      <c r="D32" s="18" t="s">
        <v>191</v>
      </c>
      <c r="E32" s="18">
        <v>3</v>
      </c>
      <c r="F32" s="18">
        <v>2</v>
      </c>
      <c r="G32" s="19" t="s">
        <v>78</v>
      </c>
    </row>
    <row r="33" spans="1:7">
      <c r="A33" s="17">
        <v>32</v>
      </c>
      <c r="B33" s="18">
        <v>2</v>
      </c>
      <c r="C33" s="18">
        <v>2</v>
      </c>
      <c r="D33" s="18" t="s">
        <v>195</v>
      </c>
      <c r="E33" s="18">
        <v>3</v>
      </c>
      <c r="F33" s="18">
        <v>2</v>
      </c>
      <c r="G33" s="19" t="s">
        <v>79</v>
      </c>
    </row>
    <row r="34" spans="1:7">
      <c r="A34" s="17">
        <v>33</v>
      </c>
      <c r="B34" s="18">
        <v>3</v>
      </c>
      <c r="C34" s="18">
        <v>4</v>
      </c>
      <c r="D34" s="18" t="s">
        <v>199</v>
      </c>
      <c r="E34" s="18">
        <v>3</v>
      </c>
      <c r="F34" s="18">
        <v>2</v>
      </c>
      <c r="G34" s="19" t="s">
        <v>80</v>
      </c>
    </row>
    <row r="35" spans="1:7">
      <c r="A35" s="17">
        <v>34</v>
      </c>
      <c r="B35" s="18">
        <v>5</v>
      </c>
      <c r="C35" s="18">
        <v>8</v>
      </c>
      <c r="D35" s="21" t="s">
        <v>185</v>
      </c>
      <c r="E35" s="18">
        <v>3</v>
      </c>
      <c r="F35" s="18">
        <v>2</v>
      </c>
      <c r="G35" s="19" t="s">
        <v>81</v>
      </c>
    </row>
    <row r="36" spans="1:7">
      <c r="A36" s="17">
        <v>35</v>
      </c>
      <c r="B36" s="18">
        <v>9</v>
      </c>
      <c r="C36" s="18">
        <v>20</v>
      </c>
      <c r="D36" s="21" t="s">
        <v>186</v>
      </c>
      <c r="E36" s="18">
        <v>3</v>
      </c>
      <c r="F36" s="18">
        <v>2</v>
      </c>
      <c r="G36" s="19" t="s">
        <v>82</v>
      </c>
    </row>
    <row r="37" spans="1:7">
      <c r="A37" s="17">
        <v>36</v>
      </c>
      <c r="B37" s="18">
        <v>21</v>
      </c>
      <c r="C37" s="18">
        <v>64</v>
      </c>
      <c r="D37" s="21" t="s">
        <v>187</v>
      </c>
      <c r="E37" s="18">
        <v>3</v>
      </c>
      <c r="F37" s="18">
        <v>2</v>
      </c>
      <c r="G37" s="19" t="s">
        <v>83</v>
      </c>
    </row>
  </sheetData>
  <pageMargins left="0.75" right="0.75" top="1" bottom="1" header="0.5" footer="0.5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G1" sqref="G1"/>
    </sheetView>
  </sheetViews>
  <sheetFormatPr defaultColWidth="9" defaultRowHeight="15"/>
  <cols>
    <col min="2" max="2" width="15" customWidth="1"/>
    <col min="3" max="3" width="21.5703125" customWidth="1"/>
    <col min="4" max="6" width="14.140625" customWidth="1"/>
    <col min="7" max="7" width="11" customWidth="1"/>
  </cols>
  <sheetData>
    <row r="1" spans="1:7">
      <c r="A1" s="10" t="s">
        <v>58</v>
      </c>
      <c r="B1" s="10" t="s">
        <v>84</v>
      </c>
      <c r="C1" s="10" t="s">
        <v>85</v>
      </c>
      <c r="D1" s="10" t="s">
        <v>86</v>
      </c>
      <c r="E1" s="10" t="s">
        <v>87</v>
      </c>
      <c r="F1" s="10" t="s">
        <v>88</v>
      </c>
      <c r="G1" s="10" t="s">
        <v>38</v>
      </c>
    </row>
    <row r="2" spans="1:7">
      <c r="A2">
        <v>1</v>
      </c>
      <c r="B2">
        <v>80</v>
      </c>
      <c r="C2" s="15" t="s">
        <v>89</v>
      </c>
      <c r="D2" s="16" t="s">
        <v>90</v>
      </c>
      <c r="E2" s="16" t="s">
        <v>91</v>
      </c>
      <c r="F2" s="16" t="s">
        <v>92</v>
      </c>
      <c r="G2">
        <v>1</v>
      </c>
    </row>
    <row r="3" spans="1:7">
      <c r="A3">
        <v>2</v>
      </c>
      <c r="B3">
        <v>60</v>
      </c>
      <c r="C3" s="15" t="s">
        <v>89</v>
      </c>
      <c r="D3" s="16" t="s">
        <v>93</v>
      </c>
      <c r="E3" s="16" t="s">
        <v>91</v>
      </c>
      <c r="F3" s="16" t="s">
        <v>92</v>
      </c>
      <c r="G3">
        <v>1</v>
      </c>
    </row>
    <row r="4" spans="1:7">
      <c r="A4">
        <v>3</v>
      </c>
      <c r="B4">
        <v>40</v>
      </c>
      <c r="C4" s="15" t="s">
        <v>89</v>
      </c>
      <c r="D4" s="16" t="s">
        <v>94</v>
      </c>
      <c r="E4" s="16" t="s">
        <v>91</v>
      </c>
      <c r="F4" s="16" t="s">
        <v>92</v>
      </c>
      <c r="G4">
        <v>1</v>
      </c>
    </row>
    <row r="5" spans="1:7">
      <c r="A5">
        <v>4</v>
      </c>
      <c r="B5">
        <v>20</v>
      </c>
      <c r="C5" s="15" t="s">
        <v>89</v>
      </c>
      <c r="D5" s="16" t="s">
        <v>95</v>
      </c>
      <c r="E5" s="16" t="s">
        <v>91</v>
      </c>
      <c r="F5" s="16" t="s">
        <v>92</v>
      </c>
      <c r="G5">
        <v>1</v>
      </c>
    </row>
    <row r="6" spans="1:7">
      <c r="A6">
        <v>5</v>
      </c>
      <c r="B6">
        <v>0</v>
      </c>
      <c r="C6" s="15" t="s">
        <v>89</v>
      </c>
      <c r="D6" s="16" t="s">
        <v>96</v>
      </c>
      <c r="E6" s="16" t="s">
        <v>91</v>
      </c>
      <c r="F6" s="16" t="s">
        <v>92</v>
      </c>
      <c r="G6">
        <v>1</v>
      </c>
    </row>
    <row r="7" spans="1:7">
      <c r="A7">
        <v>6</v>
      </c>
      <c r="B7">
        <v>80</v>
      </c>
      <c r="C7" s="15" t="s">
        <v>97</v>
      </c>
      <c r="D7" s="16" t="s">
        <v>93</v>
      </c>
      <c r="E7" s="16" t="s">
        <v>98</v>
      </c>
      <c r="F7" s="16" t="s">
        <v>92</v>
      </c>
      <c r="G7">
        <v>2</v>
      </c>
    </row>
    <row r="8" spans="1:7">
      <c r="A8">
        <v>7</v>
      </c>
      <c r="B8">
        <v>60</v>
      </c>
      <c r="C8" s="15" t="s">
        <v>97</v>
      </c>
      <c r="D8" s="16" t="s">
        <v>94</v>
      </c>
      <c r="E8" s="16" t="s">
        <v>98</v>
      </c>
      <c r="F8" s="16" t="s">
        <v>92</v>
      </c>
      <c r="G8">
        <v>2</v>
      </c>
    </row>
    <row r="9" spans="1:7">
      <c r="A9">
        <v>8</v>
      </c>
      <c r="B9">
        <v>40</v>
      </c>
      <c r="C9" s="15" t="s">
        <v>97</v>
      </c>
      <c r="D9" s="16" t="s">
        <v>95</v>
      </c>
      <c r="E9" s="16" t="s">
        <v>98</v>
      </c>
      <c r="F9" s="16" t="s">
        <v>92</v>
      </c>
      <c r="G9">
        <v>2</v>
      </c>
    </row>
    <row r="10" spans="1:7">
      <c r="A10">
        <v>9</v>
      </c>
      <c r="B10">
        <v>20</v>
      </c>
      <c r="C10" s="15" t="s">
        <v>97</v>
      </c>
      <c r="D10" s="16" t="s">
        <v>96</v>
      </c>
      <c r="E10" s="16" t="s">
        <v>98</v>
      </c>
      <c r="F10" s="16" t="s">
        <v>92</v>
      </c>
      <c r="G10">
        <v>2</v>
      </c>
    </row>
    <row r="11" spans="1:7">
      <c r="A11">
        <v>10</v>
      </c>
      <c r="B11">
        <v>0</v>
      </c>
      <c r="C11" s="15" t="s">
        <v>97</v>
      </c>
      <c r="D11" s="16" t="s">
        <v>99</v>
      </c>
      <c r="E11" s="16" t="s">
        <v>98</v>
      </c>
      <c r="F11" s="16" t="s">
        <v>92</v>
      </c>
      <c r="G11">
        <v>2</v>
      </c>
    </row>
    <row r="12" spans="1:7">
      <c r="A12">
        <v>11</v>
      </c>
      <c r="B12">
        <v>80</v>
      </c>
      <c r="C12" s="15" t="s">
        <v>100</v>
      </c>
      <c r="D12" s="16" t="s">
        <v>94</v>
      </c>
      <c r="E12" s="16" t="s">
        <v>101</v>
      </c>
      <c r="F12" s="16" t="s">
        <v>92</v>
      </c>
      <c r="G12">
        <v>3</v>
      </c>
    </row>
    <row r="13" spans="1:7">
      <c r="A13">
        <v>12</v>
      </c>
      <c r="B13">
        <v>60</v>
      </c>
      <c r="C13" s="15" t="s">
        <v>100</v>
      </c>
      <c r="D13" s="16" t="s">
        <v>95</v>
      </c>
      <c r="E13" s="16" t="s">
        <v>101</v>
      </c>
      <c r="F13" s="16" t="s">
        <v>92</v>
      </c>
      <c r="G13">
        <v>3</v>
      </c>
    </row>
    <row r="14" spans="1:7">
      <c r="A14">
        <v>13</v>
      </c>
      <c r="B14">
        <v>40</v>
      </c>
      <c r="C14" s="15" t="s">
        <v>100</v>
      </c>
      <c r="D14" s="16" t="s">
        <v>96</v>
      </c>
      <c r="E14" s="16" t="s">
        <v>101</v>
      </c>
      <c r="F14" s="16" t="s">
        <v>92</v>
      </c>
      <c r="G14">
        <v>3</v>
      </c>
    </row>
    <row r="15" spans="1:7">
      <c r="A15">
        <v>14</v>
      </c>
      <c r="B15">
        <v>20</v>
      </c>
      <c r="C15" s="15" t="s">
        <v>100</v>
      </c>
      <c r="D15" s="16" t="s">
        <v>99</v>
      </c>
      <c r="E15" s="16" t="s">
        <v>101</v>
      </c>
      <c r="F15" s="16" t="s">
        <v>92</v>
      </c>
      <c r="G15">
        <v>3</v>
      </c>
    </row>
    <row r="16" spans="1:7">
      <c r="A16">
        <v>15</v>
      </c>
      <c r="B16">
        <v>0</v>
      </c>
      <c r="C16" s="15" t="s">
        <v>100</v>
      </c>
      <c r="D16" s="16" t="s">
        <v>102</v>
      </c>
      <c r="E16" s="16" t="s">
        <v>101</v>
      </c>
      <c r="F16" s="16" t="s">
        <v>92</v>
      </c>
      <c r="G16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3"/>
  <sheetViews>
    <sheetView topLeftCell="B1" workbookViewId="0">
      <selection activeCell="G1" sqref="G1"/>
    </sheetView>
  </sheetViews>
  <sheetFormatPr defaultColWidth="9" defaultRowHeight="15"/>
  <cols>
    <col min="2" max="2" width="23.85546875" customWidth="1"/>
    <col min="3" max="3" width="9.42578125" customWidth="1"/>
    <col min="5" max="5" width="13" customWidth="1"/>
    <col min="6" max="6" width="17.28515625" customWidth="1"/>
    <col min="9" max="9" width="17.140625" customWidth="1"/>
    <col min="10" max="10" width="25.42578125" customWidth="1"/>
    <col min="14" max="14" width="19.140625" customWidth="1"/>
    <col min="17" max="17" width="21.28515625" customWidth="1"/>
  </cols>
  <sheetData>
    <row r="1" spans="1:17">
      <c r="A1" t="s">
        <v>103</v>
      </c>
      <c r="B1" t="s">
        <v>4</v>
      </c>
      <c r="C1" s="9" t="s">
        <v>104</v>
      </c>
      <c r="D1" s="10" t="s">
        <v>105</v>
      </c>
      <c r="E1" t="s">
        <v>5</v>
      </c>
      <c r="F1" t="s">
        <v>1</v>
      </c>
      <c r="G1" t="s">
        <v>106</v>
      </c>
      <c r="H1" t="s">
        <v>107</v>
      </c>
      <c r="I1" t="s">
        <v>108</v>
      </c>
      <c r="J1" s="10" t="s">
        <v>109</v>
      </c>
      <c r="K1" s="10" t="s">
        <v>110</v>
      </c>
      <c r="L1" t="s">
        <v>111</v>
      </c>
      <c r="M1" t="s">
        <v>112</v>
      </c>
      <c r="N1" t="s">
        <v>113</v>
      </c>
      <c r="O1" s="10" t="s">
        <v>114</v>
      </c>
      <c r="P1" s="10" t="s">
        <v>115</v>
      </c>
      <c r="Q1" t="s">
        <v>116</v>
      </c>
    </row>
    <row r="2" spans="1:17">
      <c r="A2">
        <v>1</v>
      </c>
      <c r="B2" t="s">
        <v>117</v>
      </c>
      <c r="C2">
        <v>1</v>
      </c>
      <c r="D2" s="10">
        <v>1</v>
      </c>
      <c r="E2">
        <v>1</v>
      </c>
      <c r="F2" s="11" t="s">
        <v>118</v>
      </c>
      <c r="G2">
        <v>600</v>
      </c>
      <c r="H2">
        <v>1200</v>
      </c>
      <c r="I2" s="10" t="s">
        <v>119</v>
      </c>
      <c r="J2" s="10">
        <v>0</v>
      </c>
      <c r="K2" s="10"/>
      <c r="M2">
        <v>16</v>
      </c>
      <c r="N2">
        <v>4</v>
      </c>
      <c r="P2">
        <v>3</v>
      </c>
    </row>
    <row r="3" spans="1:17">
      <c r="A3">
        <v>2</v>
      </c>
      <c r="B3" s="10" t="s">
        <v>120</v>
      </c>
      <c r="C3">
        <v>2</v>
      </c>
      <c r="D3">
        <v>2</v>
      </c>
      <c r="E3">
        <v>1</v>
      </c>
      <c r="F3" s="1" t="s">
        <v>121</v>
      </c>
      <c r="G3">
        <v>600</v>
      </c>
      <c r="H3">
        <v>1200</v>
      </c>
      <c r="I3" s="10" t="s">
        <v>122</v>
      </c>
      <c r="J3" s="10">
        <v>0</v>
      </c>
      <c r="K3" s="12">
        <v>1</v>
      </c>
      <c r="L3" s="13">
        <v>1</v>
      </c>
      <c r="M3" s="13">
        <v>8</v>
      </c>
      <c r="N3" s="13">
        <v>4</v>
      </c>
      <c r="O3" s="13">
        <v>1</v>
      </c>
      <c r="P3" s="13">
        <v>3</v>
      </c>
    </row>
    <row r="4" spans="1:17">
      <c r="A4">
        <v>3</v>
      </c>
      <c r="B4" s="10" t="s">
        <v>123</v>
      </c>
      <c r="C4">
        <v>2</v>
      </c>
      <c r="D4">
        <v>2</v>
      </c>
      <c r="E4">
        <v>1</v>
      </c>
      <c r="F4" s="1" t="s">
        <v>124</v>
      </c>
      <c r="G4">
        <v>600</v>
      </c>
      <c r="H4">
        <v>1200</v>
      </c>
      <c r="I4" s="10" t="s">
        <v>122</v>
      </c>
      <c r="J4" s="10">
        <v>0</v>
      </c>
      <c r="K4" s="12">
        <v>2</v>
      </c>
      <c r="L4" s="13">
        <v>0</v>
      </c>
      <c r="M4" s="13">
        <v>8</v>
      </c>
      <c r="N4" s="13">
        <v>2</v>
      </c>
      <c r="O4" s="13">
        <v>2</v>
      </c>
      <c r="P4" s="13">
        <v>3</v>
      </c>
    </row>
    <row r="5" spans="1:17">
      <c r="A5">
        <v>4</v>
      </c>
      <c r="B5" s="10" t="s">
        <v>125</v>
      </c>
      <c r="C5">
        <v>2</v>
      </c>
      <c r="D5">
        <v>2</v>
      </c>
      <c r="E5">
        <v>1</v>
      </c>
      <c r="F5" s="1" t="s">
        <v>126</v>
      </c>
      <c r="G5">
        <v>600</v>
      </c>
      <c r="H5">
        <v>1200</v>
      </c>
      <c r="I5" s="10" t="s">
        <v>122</v>
      </c>
      <c r="J5" s="10">
        <v>1</v>
      </c>
      <c r="K5" s="12">
        <v>2</v>
      </c>
      <c r="L5" s="13">
        <v>0</v>
      </c>
      <c r="M5" s="13">
        <v>8</v>
      </c>
      <c r="N5" s="13">
        <v>1</v>
      </c>
      <c r="O5" s="13">
        <v>3</v>
      </c>
      <c r="P5" s="13">
        <v>3</v>
      </c>
    </row>
    <row r="6" spans="1:17">
      <c r="A6">
        <v>5</v>
      </c>
      <c r="B6" s="10" t="s">
        <v>127</v>
      </c>
      <c r="C6">
        <v>2</v>
      </c>
      <c r="D6">
        <v>3</v>
      </c>
      <c r="E6">
        <v>2</v>
      </c>
      <c r="F6" s="11" t="s">
        <v>118</v>
      </c>
      <c r="G6">
        <v>600</v>
      </c>
      <c r="H6">
        <v>1200</v>
      </c>
      <c r="I6" s="10" t="s">
        <v>122</v>
      </c>
      <c r="J6" s="10">
        <v>0</v>
      </c>
      <c r="K6" s="12">
        <v>2</v>
      </c>
      <c r="L6" s="13">
        <v>1</v>
      </c>
      <c r="M6" s="13">
        <v>1</v>
      </c>
      <c r="N6" s="13">
        <v>4</v>
      </c>
      <c r="O6" s="13">
        <v>1</v>
      </c>
      <c r="P6" s="13">
        <v>2</v>
      </c>
    </row>
    <row r="7" spans="1:17" ht="14.25" customHeight="1">
      <c r="A7">
        <v>6</v>
      </c>
      <c r="B7" s="10" t="s">
        <v>128</v>
      </c>
      <c r="C7">
        <v>2</v>
      </c>
      <c r="D7">
        <v>3</v>
      </c>
      <c r="E7">
        <v>2</v>
      </c>
      <c r="F7" s="1" t="s">
        <v>121</v>
      </c>
      <c r="G7">
        <v>600</v>
      </c>
      <c r="H7">
        <v>1200</v>
      </c>
      <c r="I7" s="10" t="s">
        <v>122</v>
      </c>
      <c r="J7" s="10">
        <v>0</v>
      </c>
      <c r="K7" s="12">
        <v>2</v>
      </c>
      <c r="L7" s="13">
        <v>0</v>
      </c>
      <c r="M7" s="13">
        <v>1</v>
      </c>
      <c r="N7" s="13">
        <v>2</v>
      </c>
      <c r="O7" s="13">
        <v>2</v>
      </c>
      <c r="P7" s="13">
        <v>2</v>
      </c>
    </row>
    <row r="8" spans="1:17">
      <c r="A8">
        <v>7</v>
      </c>
      <c r="B8" s="10" t="s">
        <v>129</v>
      </c>
      <c r="C8">
        <v>2</v>
      </c>
      <c r="D8">
        <v>3</v>
      </c>
      <c r="E8">
        <v>2</v>
      </c>
      <c r="F8" s="1" t="s">
        <v>124</v>
      </c>
      <c r="G8">
        <v>600</v>
      </c>
      <c r="H8">
        <v>1200</v>
      </c>
      <c r="I8" s="10" t="s">
        <v>122</v>
      </c>
      <c r="J8" s="10">
        <v>1</v>
      </c>
      <c r="K8" s="12">
        <v>2</v>
      </c>
      <c r="L8" s="13">
        <v>0</v>
      </c>
      <c r="M8" s="13">
        <v>1</v>
      </c>
      <c r="N8" s="13">
        <v>1</v>
      </c>
      <c r="O8" s="13">
        <v>3</v>
      </c>
      <c r="P8" s="13">
        <v>1</v>
      </c>
      <c r="Q8">
        <v>1</v>
      </c>
    </row>
    <row r="9" spans="1:17">
      <c r="A9">
        <v>8</v>
      </c>
      <c r="B9" s="10" t="s">
        <v>130</v>
      </c>
      <c r="C9">
        <v>3</v>
      </c>
      <c r="D9">
        <v>4</v>
      </c>
      <c r="E9">
        <v>3</v>
      </c>
      <c r="F9" s="1" t="s">
        <v>131</v>
      </c>
      <c r="G9">
        <v>3600</v>
      </c>
      <c r="H9">
        <v>1200</v>
      </c>
      <c r="I9" s="10" t="s">
        <v>122</v>
      </c>
      <c r="J9" s="10">
        <v>0</v>
      </c>
      <c r="K9" s="10"/>
      <c r="P9" s="13">
        <v>1</v>
      </c>
    </row>
    <row r="10" spans="1:17">
      <c r="B10" s="10"/>
      <c r="F10" s="11"/>
    </row>
    <row r="11" spans="1:17">
      <c r="B11" s="10"/>
    </row>
    <row r="12" spans="1:17">
      <c r="B12" s="10"/>
    </row>
    <row r="13" spans="1:17">
      <c r="B13" s="10"/>
    </row>
    <row r="14" spans="1:17">
      <c r="B14" s="10"/>
      <c r="I14" s="14"/>
    </row>
    <row r="15" spans="1:17">
      <c r="B15" s="10"/>
      <c r="I15" s="14"/>
    </row>
    <row r="16" spans="1:17">
      <c r="B16" s="10"/>
      <c r="I16" s="14"/>
    </row>
    <row r="17" spans="1:9">
      <c r="B17" s="10"/>
      <c r="I17" s="14"/>
    </row>
    <row r="18" spans="1:9">
      <c r="B18" s="10"/>
      <c r="I18" s="14"/>
    </row>
    <row r="19" spans="1:9">
      <c r="A19" s="9"/>
      <c r="B19" s="9"/>
      <c r="I19" s="14"/>
    </row>
    <row r="20" spans="1:9">
      <c r="A20" s="9"/>
      <c r="B20" s="9"/>
      <c r="I20" s="14"/>
    </row>
    <row r="21" spans="1:9">
      <c r="A21" s="9"/>
      <c r="B21" s="9"/>
      <c r="I21" s="14"/>
    </row>
    <row r="22" spans="1:9">
      <c r="A22" s="9"/>
      <c r="B22" s="9"/>
    </row>
    <row r="23" spans="1:9">
      <c r="A23" s="9"/>
      <c r="B23" s="9"/>
    </row>
  </sheetData>
  <pageMargins left="0.75" right="0.75" top="1" bottom="1" header="0.5" footer="0.5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2" sqref="E2:E7"/>
    </sheetView>
  </sheetViews>
  <sheetFormatPr defaultColWidth="9" defaultRowHeight="15"/>
  <cols>
    <col min="5" max="5" width="98.28515625" customWidth="1"/>
  </cols>
  <sheetData>
    <row r="1" spans="1:5">
      <c r="A1" t="s">
        <v>132</v>
      </c>
      <c r="B1" t="s">
        <v>133</v>
      </c>
      <c r="C1" t="s">
        <v>134</v>
      </c>
      <c r="D1" t="s">
        <v>135</v>
      </c>
      <c r="E1" t="s">
        <v>136</v>
      </c>
    </row>
    <row r="2" spans="1:5">
      <c r="A2">
        <v>1</v>
      </c>
      <c r="B2">
        <v>1</v>
      </c>
      <c r="C2">
        <v>1</v>
      </c>
      <c r="D2">
        <v>1</v>
      </c>
      <c r="E2" t="s">
        <v>137</v>
      </c>
    </row>
    <row r="3" spans="1:5">
      <c r="A3">
        <v>2</v>
      </c>
      <c r="B3">
        <v>1</v>
      </c>
      <c r="C3">
        <v>2</v>
      </c>
      <c r="D3">
        <v>2</v>
      </c>
      <c r="E3" t="s">
        <v>138</v>
      </c>
    </row>
    <row r="4" spans="1:5">
      <c r="A4">
        <v>3</v>
      </c>
      <c r="B4">
        <v>2</v>
      </c>
      <c r="C4">
        <v>1</v>
      </c>
      <c r="D4">
        <v>3</v>
      </c>
      <c r="E4" t="s">
        <v>137</v>
      </c>
    </row>
    <row r="5" spans="1:5">
      <c r="A5">
        <v>4</v>
      </c>
      <c r="B5">
        <v>2</v>
      </c>
      <c r="C5">
        <v>2</v>
      </c>
      <c r="D5">
        <v>4</v>
      </c>
      <c r="E5" t="s">
        <v>138</v>
      </c>
    </row>
    <row r="6" spans="1:5">
      <c r="A6">
        <v>5</v>
      </c>
      <c r="B6">
        <v>3</v>
      </c>
      <c r="C6">
        <v>1</v>
      </c>
      <c r="D6">
        <v>5</v>
      </c>
      <c r="E6" t="s">
        <v>137</v>
      </c>
    </row>
    <row r="7" spans="1:5">
      <c r="A7">
        <v>6</v>
      </c>
      <c r="B7">
        <v>3</v>
      </c>
      <c r="C7">
        <v>2</v>
      </c>
      <c r="D7">
        <v>6</v>
      </c>
      <c r="E7" t="s">
        <v>138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workbookViewId="0">
      <selection activeCell="B2" sqref="B2:B24"/>
    </sheetView>
  </sheetViews>
  <sheetFormatPr defaultColWidth="9" defaultRowHeight="15"/>
  <cols>
    <col min="1" max="1" width="9" style="2"/>
    <col min="2" max="2" width="15" style="2" customWidth="1"/>
    <col min="3" max="4" width="9" style="2"/>
    <col min="5" max="5" width="12.140625" style="2" customWidth="1"/>
    <col min="6" max="6" width="9" style="2"/>
    <col min="7" max="7" width="12.5703125" style="2"/>
    <col min="8" max="16384" width="9" style="2"/>
  </cols>
  <sheetData>
    <row r="1" spans="1:7">
      <c r="A1" s="2" t="s">
        <v>58</v>
      </c>
      <c r="B1" s="2" t="s">
        <v>139</v>
      </c>
      <c r="C1" s="2" t="s">
        <v>140</v>
      </c>
      <c r="D1" s="2" t="s">
        <v>135</v>
      </c>
    </row>
    <row r="2" spans="1:7">
      <c r="A2" s="2">
        <v>1</v>
      </c>
      <c r="B2" s="3" t="s">
        <v>141</v>
      </c>
      <c r="C2" s="2">
        <v>10</v>
      </c>
      <c r="D2" s="2">
        <v>1</v>
      </c>
      <c r="E2" s="4" t="s">
        <v>142</v>
      </c>
      <c r="F2" s="5">
        <f t="shared" ref="F2:F16" si="0">C2/SUM(C$2:C$16)</f>
        <v>5.2328623757195202E-3</v>
      </c>
      <c r="G2" s="2">
        <f>F2*80</f>
        <v>0.41862899005756099</v>
      </c>
    </row>
    <row r="3" spans="1:7">
      <c r="A3" s="2">
        <v>2</v>
      </c>
      <c r="B3" s="3" t="s">
        <v>143</v>
      </c>
      <c r="C3" s="2">
        <v>10</v>
      </c>
      <c r="D3" s="2">
        <v>1</v>
      </c>
      <c r="E3" s="4" t="s">
        <v>144</v>
      </c>
      <c r="F3" s="5">
        <f t="shared" si="0"/>
        <v>5.2328623757195202E-3</v>
      </c>
      <c r="G3" s="2">
        <f t="shared" ref="G3:G16" si="1">F3*80</f>
        <v>0.41862899005756099</v>
      </c>
    </row>
    <row r="4" spans="1:7">
      <c r="A4" s="2">
        <v>3</v>
      </c>
      <c r="B4" s="3" t="s">
        <v>145</v>
      </c>
      <c r="C4" s="2">
        <v>1</v>
      </c>
      <c r="D4" s="2">
        <v>1</v>
      </c>
      <c r="E4" s="4" t="s">
        <v>146</v>
      </c>
      <c r="F4" s="5">
        <f t="shared" si="0"/>
        <v>5.23286237571952E-4</v>
      </c>
      <c r="G4" s="2">
        <f t="shared" si="1"/>
        <v>4.1862899005756203E-2</v>
      </c>
    </row>
    <row r="5" spans="1:7">
      <c r="A5" s="2">
        <v>4</v>
      </c>
      <c r="B5" s="3" t="s">
        <v>147</v>
      </c>
      <c r="C5" s="2">
        <v>60</v>
      </c>
      <c r="D5" s="2">
        <v>1</v>
      </c>
      <c r="E5" s="4" t="s">
        <v>148</v>
      </c>
      <c r="F5" s="5">
        <f t="shared" si="0"/>
        <v>3.1397174254317102E-2</v>
      </c>
      <c r="G5" s="2">
        <f t="shared" si="1"/>
        <v>2.5117739403453698</v>
      </c>
    </row>
    <row r="6" spans="1:7">
      <c r="A6" s="2">
        <v>5</v>
      </c>
      <c r="B6" s="3" t="s">
        <v>149</v>
      </c>
      <c r="C6" s="2">
        <v>10</v>
      </c>
      <c r="D6" s="2">
        <v>1</v>
      </c>
      <c r="E6" s="4" t="s">
        <v>150</v>
      </c>
      <c r="F6" s="5">
        <f t="shared" si="0"/>
        <v>5.2328623757195202E-3</v>
      </c>
      <c r="G6" s="2">
        <f t="shared" si="1"/>
        <v>0.41862899005756099</v>
      </c>
    </row>
    <row r="7" spans="1:7">
      <c r="A7" s="2">
        <v>6</v>
      </c>
      <c r="B7" s="3" t="s">
        <v>151</v>
      </c>
      <c r="C7" s="2">
        <v>10</v>
      </c>
      <c r="D7" s="2">
        <v>1</v>
      </c>
      <c r="E7" s="4" t="s">
        <v>152</v>
      </c>
      <c r="F7" s="5">
        <f t="shared" si="0"/>
        <v>5.2328623757195202E-3</v>
      </c>
      <c r="G7" s="2">
        <f t="shared" si="1"/>
        <v>0.41862899005756099</v>
      </c>
    </row>
    <row r="8" spans="1:7">
      <c r="A8" s="2">
        <v>7</v>
      </c>
      <c r="B8" s="3" t="s">
        <v>153</v>
      </c>
      <c r="C8" s="2">
        <v>10</v>
      </c>
      <c r="D8" s="2">
        <v>1</v>
      </c>
      <c r="E8" s="4" t="s">
        <v>154</v>
      </c>
      <c r="F8" s="5">
        <f t="shared" si="0"/>
        <v>5.2328623757195202E-3</v>
      </c>
      <c r="G8" s="2">
        <f t="shared" si="1"/>
        <v>0.41862899005756099</v>
      </c>
    </row>
    <row r="9" spans="1:7">
      <c r="A9" s="2">
        <v>8</v>
      </c>
      <c r="B9" s="3" t="s">
        <v>155</v>
      </c>
      <c r="C9" s="2">
        <v>50</v>
      </c>
      <c r="D9" s="2">
        <v>1</v>
      </c>
      <c r="E9" s="4" t="s">
        <v>156</v>
      </c>
      <c r="F9" s="5">
        <f t="shared" si="0"/>
        <v>2.61643118785976E-2</v>
      </c>
      <c r="G9" s="2">
        <f t="shared" si="1"/>
        <v>2.0931449502878099</v>
      </c>
    </row>
    <row r="10" spans="1:7">
      <c r="A10" s="2">
        <v>9</v>
      </c>
      <c r="B10" s="6" t="s">
        <v>157</v>
      </c>
      <c r="C10" s="7">
        <v>100</v>
      </c>
      <c r="D10" s="7">
        <v>1</v>
      </c>
      <c r="E10" s="8" t="s">
        <v>142</v>
      </c>
      <c r="F10" s="5">
        <f t="shared" si="0"/>
        <v>5.23286237571952E-2</v>
      </c>
      <c r="G10" s="2">
        <f t="shared" si="1"/>
        <v>4.18628990057561</v>
      </c>
    </row>
    <row r="11" spans="1:7">
      <c r="A11" s="2">
        <v>10</v>
      </c>
      <c r="B11" s="6" t="s">
        <v>158</v>
      </c>
      <c r="C11" s="7">
        <v>100</v>
      </c>
      <c r="D11" s="7">
        <v>1</v>
      </c>
      <c r="E11" s="8" t="s">
        <v>144</v>
      </c>
      <c r="F11" s="5">
        <f t="shared" si="0"/>
        <v>5.23286237571952E-2</v>
      </c>
      <c r="G11" s="2">
        <f t="shared" si="1"/>
        <v>4.18628990057561</v>
      </c>
    </row>
    <row r="12" spans="1:7">
      <c r="A12" s="2">
        <v>11</v>
      </c>
      <c r="B12" s="6" t="s">
        <v>92</v>
      </c>
      <c r="C12" s="7">
        <v>50</v>
      </c>
      <c r="D12" s="7">
        <v>1</v>
      </c>
      <c r="E12" s="8" t="s">
        <v>146</v>
      </c>
      <c r="F12" s="5">
        <f t="shared" si="0"/>
        <v>2.61643118785976E-2</v>
      </c>
      <c r="G12" s="2">
        <f t="shared" si="1"/>
        <v>2.0931449502878099</v>
      </c>
    </row>
    <row r="13" spans="1:7">
      <c r="A13" s="2">
        <v>12</v>
      </c>
      <c r="B13" s="6" t="s">
        <v>159</v>
      </c>
      <c r="C13" s="7">
        <v>200</v>
      </c>
      <c r="D13" s="7">
        <v>1</v>
      </c>
      <c r="E13" s="8" t="s">
        <v>150</v>
      </c>
      <c r="F13" s="5">
        <f t="shared" si="0"/>
        <v>0.10465724751439</v>
      </c>
      <c r="G13" s="2">
        <f t="shared" si="1"/>
        <v>8.3725798011512307</v>
      </c>
    </row>
    <row r="14" spans="1:7">
      <c r="A14" s="2">
        <v>13</v>
      </c>
      <c r="B14" s="6" t="s">
        <v>160</v>
      </c>
      <c r="C14" s="7">
        <v>300</v>
      </c>
      <c r="D14" s="7">
        <v>1</v>
      </c>
      <c r="E14" s="8" t="s">
        <v>152</v>
      </c>
      <c r="F14" s="5">
        <f t="shared" si="0"/>
        <v>0.156985871271586</v>
      </c>
      <c r="G14" s="2">
        <f t="shared" si="1"/>
        <v>12.558869701726801</v>
      </c>
    </row>
    <row r="15" spans="1:7">
      <c r="A15" s="2">
        <v>14</v>
      </c>
      <c r="B15" s="6" t="s">
        <v>161</v>
      </c>
      <c r="C15" s="7">
        <v>500</v>
      </c>
      <c r="D15" s="7">
        <v>1</v>
      </c>
      <c r="E15" s="8" t="s">
        <v>154</v>
      </c>
      <c r="F15" s="5">
        <f t="shared" si="0"/>
        <v>0.26164311878597601</v>
      </c>
      <c r="G15" s="2">
        <f t="shared" si="1"/>
        <v>20.931449502878099</v>
      </c>
    </row>
    <row r="16" spans="1:7">
      <c r="A16" s="2">
        <v>15</v>
      </c>
      <c r="B16" s="6" t="s">
        <v>162</v>
      </c>
      <c r="C16" s="7">
        <v>500</v>
      </c>
      <c r="D16" s="7">
        <v>1</v>
      </c>
      <c r="E16" s="8" t="s">
        <v>156</v>
      </c>
      <c r="F16" s="5">
        <f t="shared" si="0"/>
        <v>0.26164311878597601</v>
      </c>
      <c r="G16" s="2">
        <f t="shared" si="1"/>
        <v>20.931449502878099</v>
      </c>
    </row>
    <row r="17" spans="1:7">
      <c r="A17" s="2">
        <v>16</v>
      </c>
      <c r="B17" s="3" t="s">
        <v>141</v>
      </c>
      <c r="C17" s="2">
        <v>1</v>
      </c>
      <c r="D17" s="2">
        <v>2</v>
      </c>
      <c r="E17" s="4" t="s">
        <v>142</v>
      </c>
      <c r="F17" s="5">
        <f>C17/SUM(C$17:C$31)</f>
        <v>3.4585321989347703E-5</v>
      </c>
      <c r="G17" s="2">
        <f>F17*240</f>
        <v>8.3004772774434507E-3</v>
      </c>
    </row>
    <row r="18" spans="1:7">
      <c r="A18" s="2">
        <v>17</v>
      </c>
      <c r="B18" s="3" t="s">
        <v>163</v>
      </c>
      <c r="C18" s="2">
        <v>1</v>
      </c>
      <c r="D18" s="2">
        <v>2</v>
      </c>
      <c r="E18" s="4" t="s">
        <v>144</v>
      </c>
      <c r="F18" s="5">
        <f>C18/SUM(C$17:C$31)</f>
        <v>3.4585321989347703E-5</v>
      </c>
      <c r="G18" s="2">
        <f t="shared" ref="G18:G31" si="2">F18*240</f>
        <v>8.3004772774434507E-3</v>
      </c>
    </row>
    <row r="19" spans="1:7">
      <c r="A19" s="2">
        <v>18</v>
      </c>
      <c r="B19" s="3" t="s">
        <v>164</v>
      </c>
      <c r="C19" s="2">
        <v>1</v>
      </c>
      <c r="D19" s="2">
        <v>2</v>
      </c>
      <c r="E19" s="4" t="s">
        <v>146</v>
      </c>
      <c r="F19" s="5">
        <f>C19/SUM(C$17:C$31)</f>
        <v>3.4585321989347703E-5</v>
      </c>
      <c r="G19" s="2">
        <f t="shared" si="2"/>
        <v>8.3004772774434507E-3</v>
      </c>
    </row>
    <row r="20" spans="1:7">
      <c r="A20" s="2">
        <v>19</v>
      </c>
      <c r="B20" s="3" t="s">
        <v>165</v>
      </c>
      <c r="C20" s="2">
        <v>2500</v>
      </c>
      <c r="D20" s="2">
        <v>2</v>
      </c>
      <c r="E20" s="4" t="s">
        <v>148</v>
      </c>
      <c r="F20" s="5">
        <f>C20/SUM(C$17:C$31)</f>
        <v>8.6463304973369307E-2</v>
      </c>
      <c r="G20" s="2">
        <f t="shared" si="2"/>
        <v>20.7511931936086</v>
      </c>
    </row>
    <row r="21" spans="1:7">
      <c r="A21" s="2">
        <v>20</v>
      </c>
      <c r="B21" s="3" t="s">
        <v>166</v>
      </c>
      <c r="C21" s="2">
        <v>1</v>
      </c>
      <c r="D21" s="2">
        <v>2</v>
      </c>
      <c r="E21" s="4" t="s">
        <v>150</v>
      </c>
      <c r="F21" s="5">
        <f t="shared" ref="F21:F31" si="3">C21/SUM(C$17:C$31)</f>
        <v>3.4585321989347703E-5</v>
      </c>
      <c r="G21" s="2">
        <f t="shared" si="2"/>
        <v>8.3004772774434507E-3</v>
      </c>
    </row>
    <row r="22" spans="1:7">
      <c r="A22" s="2">
        <v>21</v>
      </c>
      <c r="B22" s="3" t="s">
        <v>167</v>
      </c>
      <c r="C22" s="2">
        <v>1</v>
      </c>
      <c r="D22" s="2">
        <v>2</v>
      </c>
      <c r="E22" s="4" t="s">
        <v>152</v>
      </c>
      <c r="F22" s="5">
        <f t="shared" si="3"/>
        <v>3.4585321989347703E-5</v>
      </c>
      <c r="G22" s="2">
        <f t="shared" si="2"/>
        <v>8.3004772774434507E-3</v>
      </c>
    </row>
    <row r="23" spans="1:7">
      <c r="A23" s="2">
        <v>22</v>
      </c>
      <c r="B23" s="3" t="s">
        <v>153</v>
      </c>
      <c r="C23" s="2">
        <v>1</v>
      </c>
      <c r="D23" s="2">
        <v>2</v>
      </c>
      <c r="E23" s="4" t="s">
        <v>154</v>
      </c>
      <c r="F23" s="5">
        <f t="shared" si="3"/>
        <v>3.4585321989347703E-5</v>
      </c>
      <c r="G23" s="2">
        <f t="shared" si="2"/>
        <v>8.3004772774434507E-3</v>
      </c>
    </row>
    <row r="24" spans="1:7">
      <c r="A24" s="2">
        <v>23</v>
      </c>
      <c r="B24" s="3" t="s">
        <v>155</v>
      </c>
      <c r="C24" s="2">
        <v>3</v>
      </c>
      <c r="D24" s="2">
        <v>2</v>
      </c>
      <c r="E24" s="4" t="s">
        <v>156</v>
      </c>
      <c r="F24" s="5">
        <f t="shared" si="3"/>
        <v>1.0375596596804301E-4</v>
      </c>
      <c r="G24" s="2">
        <f t="shared" si="2"/>
        <v>2.4901431832330401E-2</v>
      </c>
    </row>
    <row r="25" spans="1:7">
      <c r="A25" s="2">
        <v>24</v>
      </c>
      <c r="B25" s="6" t="s">
        <v>157</v>
      </c>
      <c r="C25" s="7">
        <v>100</v>
      </c>
      <c r="D25" s="2">
        <v>2</v>
      </c>
      <c r="E25" s="8" t="s">
        <v>142</v>
      </c>
      <c r="F25" s="5">
        <f t="shared" si="3"/>
        <v>3.45853219893477E-3</v>
      </c>
      <c r="G25" s="2">
        <f t="shared" si="2"/>
        <v>0.83004772774434499</v>
      </c>
    </row>
    <row r="26" spans="1:7">
      <c r="A26" s="2">
        <v>25</v>
      </c>
      <c r="B26" s="6" t="s">
        <v>168</v>
      </c>
      <c r="C26" s="7">
        <v>1500</v>
      </c>
      <c r="D26" s="2">
        <v>2</v>
      </c>
      <c r="E26" s="8" t="s">
        <v>144</v>
      </c>
      <c r="F26" s="5">
        <f t="shared" si="3"/>
        <v>5.1877982984021603E-2</v>
      </c>
      <c r="G26" s="2">
        <f t="shared" si="2"/>
        <v>12.450715916165199</v>
      </c>
    </row>
    <row r="27" spans="1:7">
      <c r="A27" s="2">
        <v>26</v>
      </c>
      <c r="B27" s="6" t="s">
        <v>92</v>
      </c>
      <c r="C27" s="7">
        <v>5</v>
      </c>
      <c r="D27" s="2">
        <v>2</v>
      </c>
      <c r="E27" s="8" t="s">
        <v>146</v>
      </c>
      <c r="F27" s="5">
        <f t="shared" si="3"/>
        <v>1.7292660994673901E-4</v>
      </c>
      <c r="G27" s="2">
        <f t="shared" si="2"/>
        <v>4.1502386387217302E-2</v>
      </c>
    </row>
    <row r="28" spans="1:7">
      <c r="A28" s="2">
        <v>27</v>
      </c>
      <c r="B28" s="6" t="s">
        <v>169</v>
      </c>
      <c r="C28" s="7">
        <v>800</v>
      </c>
      <c r="D28" s="2">
        <v>2</v>
      </c>
      <c r="E28" s="8" t="s">
        <v>150</v>
      </c>
      <c r="F28" s="5">
        <f t="shared" si="3"/>
        <v>2.7668257591478201E-2</v>
      </c>
      <c r="G28" s="2">
        <f t="shared" si="2"/>
        <v>6.6403818219547599</v>
      </c>
    </row>
    <row r="29" spans="1:7">
      <c r="A29" s="2">
        <v>28</v>
      </c>
      <c r="B29" s="6" t="s">
        <v>160</v>
      </c>
      <c r="C29" s="7">
        <v>1500</v>
      </c>
      <c r="D29" s="2">
        <v>2</v>
      </c>
      <c r="E29" s="8" t="s">
        <v>152</v>
      </c>
      <c r="F29" s="5">
        <f t="shared" si="3"/>
        <v>5.1877982984021603E-2</v>
      </c>
      <c r="G29" s="2">
        <f t="shared" si="2"/>
        <v>12.450715916165199</v>
      </c>
    </row>
    <row r="30" spans="1:7">
      <c r="A30" s="2">
        <v>29</v>
      </c>
      <c r="B30" s="6" t="s">
        <v>161</v>
      </c>
      <c r="C30" s="7">
        <v>7500</v>
      </c>
      <c r="D30" s="2">
        <v>2</v>
      </c>
      <c r="E30" s="8" t="s">
        <v>154</v>
      </c>
      <c r="F30" s="5">
        <f t="shared" si="3"/>
        <v>0.25938991492010799</v>
      </c>
      <c r="G30" s="2">
        <f t="shared" si="2"/>
        <v>62.2535795808259</v>
      </c>
    </row>
    <row r="31" spans="1:7">
      <c r="A31" s="2">
        <v>30</v>
      </c>
      <c r="B31" s="6" t="s">
        <v>170</v>
      </c>
      <c r="C31" s="7">
        <v>15000</v>
      </c>
      <c r="D31" s="2">
        <v>2</v>
      </c>
      <c r="E31" s="8" t="s">
        <v>156</v>
      </c>
      <c r="F31" s="5">
        <f t="shared" si="3"/>
        <v>0.51877982984021598</v>
      </c>
      <c r="G31" s="2">
        <f t="shared" si="2"/>
        <v>124.507159161652</v>
      </c>
    </row>
    <row r="32" spans="1:7">
      <c r="A32" s="2">
        <v>31</v>
      </c>
      <c r="B32" s="3" t="s">
        <v>141</v>
      </c>
      <c r="C32" s="2">
        <v>10</v>
      </c>
      <c r="D32" s="2">
        <v>3</v>
      </c>
      <c r="E32" s="2" t="s">
        <v>142</v>
      </c>
    </row>
    <row r="33" spans="1:5">
      <c r="A33" s="2">
        <v>32</v>
      </c>
      <c r="B33" s="3" t="s">
        <v>143</v>
      </c>
      <c r="C33" s="2">
        <v>10</v>
      </c>
      <c r="D33" s="2">
        <v>3</v>
      </c>
      <c r="E33" s="2" t="s">
        <v>144</v>
      </c>
    </row>
    <row r="34" spans="1:5">
      <c r="A34" s="2">
        <v>33</v>
      </c>
      <c r="B34" s="3" t="s">
        <v>145</v>
      </c>
      <c r="C34" s="2">
        <v>1</v>
      </c>
      <c r="D34" s="2">
        <v>3</v>
      </c>
      <c r="E34" s="2" t="s">
        <v>146</v>
      </c>
    </row>
    <row r="35" spans="1:5">
      <c r="A35" s="2">
        <v>34</v>
      </c>
      <c r="B35" s="3" t="s">
        <v>147</v>
      </c>
      <c r="C35" s="2">
        <v>60</v>
      </c>
      <c r="D35" s="2">
        <v>3</v>
      </c>
    </row>
    <row r="36" spans="1:5">
      <c r="A36" s="2">
        <v>35</v>
      </c>
      <c r="B36" s="3" t="s">
        <v>149</v>
      </c>
      <c r="C36" s="2">
        <v>10</v>
      </c>
      <c r="D36" s="2">
        <v>3</v>
      </c>
      <c r="E36" s="2" t="s">
        <v>150</v>
      </c>
    </row>
    <row r="37" spans="1:5">
      <c r="A37" s="2">
        <v>36</v>
      </c>
      <c r="B37" s="3" t="s">
        <v>151</v>
      </c>
      <c r="C37" s="2">
        <v>10</v>
      </c>
      <c r="D37" s="2">
        <v>3</v>
      </c>
      <c r="E37" s="2" t="s">
        <v>152</v>
      </c>
    </row>
    <row r="38" spans="1:5">
      <c r="A38" s="2">
        <v>37</v>
      </c>
      <c r="B38" s="3" t="s">
        <v>153</v>
      </c>
      <c r="C38" s="2">
        <v>10</v>
      </c>
      <c r="D38" s="2">
        <v>3</v>
      </c>
      <c r="E38" s="2" t="s">
        <v>154</v>
      </c>
    </row>
    <row r="39" spans="1:5">
      <c r="A39" s="2">
        <v>38</v>
      </c>
      <c r="B39" s="3" t="s">
        <v>155</v>
      </c>
      <c r="C39" s="2">
        <v>50</v>
      </c>
      <c r="D39" s="2">
        <v>3</v>
      </c>
      <c r="E39" s="2" t="s">
        <v>156</v>
      </c>
    </row>
    <row r="40" spans="1:5">
      <c r="A40" s="2">
        <v>39</v>
      </c>
      <c r="B40" s="6" t="s">
        <v>157</v>
      </c>
      <c r="C40" s="7">
        <v>100</v>
      </c>
      <c r="D40" s="2">
        <v>3</v>
      </c>
      <c r="E40" s="2" t="s">
        <v>142</v>
      </c>
    </row>
    <row r="41" spans="1:5">
      <c r="A41" s="2">
        <v>40</v>
      </c>
      <c r="B41" s="6" t="s">
        <v>158</v>
      </c>
      <c r="C41" s="7">
        <v>100</v>
      </c>
      <c r="D41" s="2">
        <v>3</v>
      </c>
      <c r="E41" s="2" t="s">
        <v>144</v>
      </c>
    </row>
    <row r="42" spans="1:5">
      <c r="A42" s="2">
        <v>41</v>
      </c>
      <c r="B42" s="6" t="s">
        <v>92</v>
      </c>
      <c r="C42" s="7">
        <v>50</v>
      </c>
      <c r="D42" s="2">
        <v>3</v>
      </c>
      <c r="E42" s="2" t="s">
        <v>146</v>
      </c>
    </row>
    <row r="43" spans="1:5">
      <c r="A43" s="2">
        <v>42</v>
      </c>
      <c r="B43" s="6" t="s">
        <v>159</v>
      </c>
      <c r="C43" s="7">
        <v>200</v>
      </c>
      <c r="D43" s="2">
        <v>3</v>
      </c>
      <c r="E43" s="2" t="s">
        <v>150</v>
      </c>
    </row>
    <row r="44" spans="1:5">
      <c r="A44" s="2">
        <v>43</v>
      </c>
      <c r="B44" s="6" t="s">
        <v>160</v>
      </c>
      <c r="C44" s="7">
        <v>300</v>
      </c>
      <c r="D44" s="2">
        <v>3</v>
      </c>
      <c r="E44" s="2" t="s">
        <v>152</v>
      </c>
    </row>
    <row r="45" spans="1:5">
      <c r="A45" s="2">
        <v>44</v>
      </c>
      <c r="B45" s="6" t="s">
        <v>161</v>
      </c>
      <c r="C45" s="7">
        <v>500</v>
      </c>
      <c r="D45" s="2">
        <v>3</v>
      </c>
      <c r="E45" s="2" t="s">
        <v>154</v>
      </c>
    </row>
    <row r="46" spans="1:5">
      <c r="A46" s="2">
        <v>45</v>
      </c>
      <c r="B46" s="6" t="s">
        <v>162</v>
      </c>
      <c r="C46" s="7">
        <v>500</v>
      </c>
      <c r="D46" s="2">
        <v>3</v>
      </c>
      <c r="E46" s="2" t="s">
        <v>156</v>
      </c>
    </row>
    <row r="47" spans="1:5">
      <c r="A47" s="2">
        <v>46</v>
      </c>
      <c r="B47" s="3" t="s">
        <v>141</v>
      </c>
      <c r="C47" s="2">
        <v>1</v>
      </c>
      <c r="D47" s="2">
        <v>4</v>
      </c>
    </row>
    <row r="48" spans="1:5">
      <c r="A48" s="2">
        <v>47</v>
      </c>
      <c r="B48" s="3" t="s">
        <v>163</v>
      </c>
      <c r="C48" s="2">
        <v>1</v>
      </c>
      <c r="D48" s="2">
        <v>4</v>
      </c>
    </row>
    <row r="49" spans="1:5">
      <c r="A49" s="2">
        <v>48</v>
      </c>
      <c r="B49" s="3" t="s">
        <v>164</v>
      </c>
      <c r="C49" s="2">
        <v>1</v>
      </c>
      <c r="D49" s="2">
        <v>4</v>
      </c>
    </row>
    <row r="50" spans="1:5">
      <c r="A50" s="2">
        <v>49</v>
      </c>
      <c r="B50" s="3" t="s">
        <v>165</v>
      </c>
      <c r="C50" s="2">
        <v>2500</v>
      </c>
      <c r="D50" s="2">
        <v>4</v>
      </c>
    </row>
    <row r="51" spans="1:5">
      <c r="A51" s="2">
        <v>50</v>
      </c>
      <c r="B51" s="3" t="s">
        <v>166</v>
      </c>
      <c r="C51" s="2">
        <v>1</v>
      </c>
      <c r="D51" s="2">
        <v>4</v>
      </c>
    </row>
    <row r="52" spans="1:5">
      <c r="A52" s="2">
        <v>51</v>
      </c>
      <c r="B52" s="3" t="s">
        <v>167</v>
      </c>
      <c r="C52" s="2">
        <v>1</v>
      </c>
      <c r="D52" s="2">
        <v>4</v>
      </c>
    </row>
    <row r="53" spans="1:5">
      <c r="A53" s="2">
        <v>52</v>
      </c>
      <c r="B53" s="3" t="s">
        <v>153</v>
      </c>
      <c r="C53" s="2">
        <v>1</v>
      </c>
      <c r="D53" s="2">
        <v>4</v>
      </c>
    </row>
    <row r="54" spans="1:5">
      <c r="A54" s="2">
        <v>53</v>
      </c>
      <c r="B54" s="3" t="s">
        <v>155</v>
      </c>
      <c r="C54" s="2">
        <v>3</v>
      </c>
      <c r="D54" s="2">
        <v>4</v>
      </c>
    </row>
    <row r="55" spans="1:5">
      <c r="A55" s="2">
        <v>54</v>
      </c>
      <c r="B55" s="6" t="s">
        <v>157</v>
      </c>
      <c r="C55" s="7">
        <v>100</v>
      </c>
      <c r="D55" s="2">
        <v>4</v>
      </c>
    </row>
    <row r="56" spans="1:5">
      <c r="A56" s="2">
        <v>55</v>
      </c>
      <c r="B56" s="6" t="s">
        <v>168</v>
      </c>
      <c r="C56" s="7">
        <v>1500</v>
      </c>
      <c r="D56" s="2">
        <v>4</v>
      </c>
    </row>
    <row r="57" spans="1:5">
      <c r="A57" s="2">
        <v>56</v>
      </c>
      <c r="B57" s="6" t="s">
        <v>92</v>
      </c>
      <c r="C57" s="7">
        <v>5</v>
      </c>
      <c r="D57" s="2">
        <v>4</v>
      </c>
    </row>
    <row r="58" spans="1:5">
      <c r="A58" s="2">
        <v>57</v>
      </c>
      <c r="B58" s="6" t="s">
        <v>169</v>
      </c>
      <c r="C58" s="7">
        <v>800</v>
      </c>
      <c r="D58" s="2">
        <v>4</v>
      </c>
    </row>
    <row r="59" spans="1:5">
      <c r="A59" s="2">
        <v>58</v>
      </c>
      <c r="B59" s="6" t="s">
        <v>160</v>
      </c>
      <c r="C59" s="7">
        <v>1500</v>
      </c>
      <c r="D59" s="2">
        <v>4</v>
      </c>
    </row>
    <row r="60" spans="1:5">
      <c r="A60" s="2">
        <v>59</v>
      </c>
      <c r="B60" s="6" t="s">
        <v>161</v>
      </c>
      <c r="C60" s="7">
        <v>7500</v>
      </c>
      <c r="D60" s="2">
        <v>4</v>
      </c>
    </row>
    <row r="61" spans="1:5">
      <c r="A61" s="2">
        <v>60</v>
      </c>
      <c r="B61" s="6" t="s">
        <v>170</v>
      </c>
      <c r="C61" s="7">
        <v>15000</v>
      </c>
      <c r="D61" s="2">
        <v>4</v>
      </c>
    </row>
    <row r="62" spans="1:5">
      <c r="A62" s="2">
        <v>61</v>
      </c>
      <c r="B62" s="3" t="s">
        <v>141</v>
      </c>
      <c r="C62" s="2">
        <v>10</v>
      </c>
      <c r="D62" s="2">
        <v>5</v>
      </c>
      <c r="E62" s="4" t="s">
        <v>142</v>
      </c>
    </row>
    <row r="63" spans="1:5">
      <c r="A63" s="2">
        <v>62</v>
      </c>
      <c r="B63" s="3" t="s">
        <v>143</v>
      </c>
      <c r="C63" s="2">
        <v>10</v>
      </c>
      <c r="D63" s="2">
        <v>5</v>
      </c>
      <c r="E63" s="4" t="s">
        <v>144</v>
      </c>
    </row>
    <row r="64" spans="1:5">
      <c r="A64" s="2">
        <v>63</v>
      </c>
      <c r="B64" s="3" t="s">
        <v>145</v>
      </c>
      <c r="C64" s="2">
        <v>1</v>
      </c>
      <c r="D64" s="2">
        <v>5</v>
      </c>
      <c r="E64" s="4" t="s">
        <v>146</v>
      </c>
    </row>
    <row r="65" spans="1:5">
      <c r="A65" s="2">
        <v>64</v>
      </c>
      <c r="B65" s="3" t="s">
        <v>147</v>
      </c>
      <c r="C65" s="2">
        <v>60</v>
      </c>
      <c r="D65" s="2">
        <v>5</v>
      </c>
      <c r="E65" s="4"/>
    </row>
    <row r="66" spans="1:5">
      <c r="A66" s="2">
        <v>65</v>
      </c>
      <c r="B66" s="3" t="s">
        <v>149</v>
      </c>
      <c r="C66" s="2">
        <v>10</v>
      </c>
      <c r="D66" s="2">
        <v>5</v>
      </c>
      <c r="E66" s="4" t="s">
        <v>150</v>
      </c>
    </row>
    <row r="67" spans="1:5">
      <c r="A67" s="2">
        <v>66</v>
      </c>
      <c r="B67" s="3" t="s">
        <v>151</v>
      </c>
      <c r="C67" s="2">
        <v>10</v>
      </c>
      <c r="D67" s="2">
        <v>5</v>
      </c>
      <c r="E67" s="4" t="s">
        <v>152</v>
      </c>
    </row>
    <row r="68" spans="1:5">
      <c r="A68" s="2">
        <v>67</v>
      </c>
      <c r="B68" s="3" t="s">
        <v>153</v>
      </c>
      <c r="C68" s="2">
        <v>10</v>
      </c>
      <c r="D68" s="2">
        <v>5</v>
      </c>
      <c r="E68" s="4" t="s">
        <v>154</v>
      </c>
    </row>
    <row r="69" spans="1:5">
      <c r="A69" s="2">
        <v>68</v>
      </c>
      <c r="B69" s="3" t="s">
        <v>155</v>
      </c>
      <c r="C69" s="2">
        <v>50</v>
      </c>
      <c r="D69" s="2">
        <v>5</v>
      </c>
      <c r="E69" s="4" t="s">
        <v>156</v>
      </c>
    </row>
    <row r="70" spans="1:5">
      <c r="A70" s="2">
        <v>69</v>
      </c>
      <c r="B70" s="6" t="s">
        <v>157</v>
      </c>
      <c r="C70" s="7">
        <v>100</v>
      </c>
      <c r="D70" s="2">
        <v>5</v>
      </c>
      <c r="E70" s="8" t="s">
        <v>142</v>
      </c>
    </row>
    <row r="71" spans="1:5">
      <c r="A71" s="2">
        <v>70</v>
      </c>
      <c r="B71" s="6" t="s">
        <v>158</v>
      </c>
      <c r="C71" s="7">
        <v>100</v>
      </c>
      <c r="D71" s="2">
        <v>5</v>
      </c>
      <c r="E71" s="8" t="s">
        <v>144</v>
      </c>
    </row>
    <row r="72" spans="1:5">
      <c r="A72" s="2">
        <v>71</v>
      </c>
      <c r="B72" s="6" t="s">
        <v>92</v>
      </c>
      <c r="C72" s="7">
        <v>50</v>
      </c>
      <c r="D72" s="2">
        <v>5</v>
      </c>
      <c r="E72" s="8" t="s">
        <v>146</v>
      </c>
    </row>
    <row r="73" spans="1:5">
      <c r="A73" s="2">
        <v>72</v>
      </c>
      <c r="B73" s="6" t="s">
        <v>159</v>
      </c>
      <c r="C73" s="7">
        <v>200</v>
      </c>
      <c r="D73" s="2">
        <v>5</v>
      </c>
      <c r="E73" s="8" t="s">
        <v>150</v>
      </c>
    </row>
    <row r="74" spans="1:5">
      <c r="A74" s="2">
        <v>73</v>
      </c>
      <c r="B74" s="6" t="s">
        <v>160</v>
      </c>
      <c r="C74" s="7">
        <v>300</v>
      </c>
      <c r="D74" s="2">
        <v>5</v>
      </c>
      <c r="E74" s="8" t="s">
        <v>152</v>
      </c>
    </row>
    <row r="75" spans="1:5">
      <c r="A75" s="2">
        <v>74</v>
      </c>
      <c r="B75" s="6" t="s">
        <v>161</v>
      </c>
      <c r="C75" s="7">
        <v>500</v>
      </c>
      <c r="D75" s="2">
        <v>5</v>
      </c>
      <c r="E75" s="8" t="s">
        <v>154</v>
      </c>
    </row>
    <row r="76" spans="1:5">
      <c r="A76" s="2">
        <v>75</v>
      </c>
      <c r="B76" s="6" t="s">
        <v>162</v>
      </c>
      <c r="C76" s="7">
        <v>500</v>
      </c>
      <c r="D76" s="2">
        <v>5</v>
      </c>
      <c r="E76" s="8" t="s">
        <v>156</v>
      </c>
    </row>
    <row r="77" spans="1:5">
      <c r="A77" s="2">
        <v>76</v>
      </c>
      <c r="B77" s="3" t="s">
        <v>141</v>
      </c>
      <c r="C77" s="2">
        <v>1</v>
      </c>
      <c r="D77" s="2">
        <v>6</v>
      </c>
    </row>
    <row r="78" spans="1:5">
      <c r="A78" s="2">
        <v>77</v>
      </c>
      <c r="B78" s="3" t="s">
        <v>163</v>
      </c>
      <c r="C78" s="2">
        <v>1</v>
      </c>
      <c r="D78" s="2">
        <v>6</v>
      </c>
    </row>
    <row r="79" spans="1:5">
      <c r="A79" s="2">
        <v>78</v>
      </c>
      <c r="B79" s="3" t="s">
        <v>164</v>
      </c>
      <c r="C79" s="2">
        <v>1</v>
      </c>
      <c r="D79" s="2">
        <v>6</v>
      </c>
    </row>
    <row r="80" spans="1:5">
      <c r="A80" s="2">
        <v>79</v>
      </c>
      <c r="B80" s="3" t="s">
        <v>165</v>
      </c>
      <c r="C80" s="2">
        <v>2500</v>
      </c>
      <c r="D80" s="2">
        <v>6</v>
      </c>
    </row>
    <row r="81" spans="1:5">
      <c r="A81" s="2">
        <v>80</v>
      </c>
      <c r="B81" s="3" t="s">
        <v>166</v>
      </c>
      <c r="C81" s="2">
        <v>1</v>
      </c>
      <c r="D81" s="2">
        <v>6</v>
      </c>
    </row>
    <row r="82" spans="1:5">
      <c r="A82" s="2">
        <v>81</v>
      </c>
      <c r="B82" s="3" t="s">
        <v>167</v>
      </c>
      <c r="C82" s="2">
        <v>1</v>
      </c>
      <c r="D82" s="2">
        <v>6</v>
      </c>
    </row>
    <row r="83" spans="1:5">
      <c r="A83" s="2">
        <v>82</v>
      </c>
      <c r="B83" s="3" t="s">
        <v>153</v>
      </c>
      <c r="C83" s="2">
        <v>1</v>
      </c>
      <c r="D83" s="2">
        <v>6</v>
      </c>
    </row>
    <row r="84" spans="1:5">
      <c r="A84" s="2">
        <v>83</v>
      </c>
      <c r="B84" s="3" t="s">
        <v>155</v>
      </c>
      <c r="C84" s="2">
        <v>3</v>
      </c>
      <c r="D84" s="2">
        <v>6</v>
      </c>
    </row>
    <row r="85" spans="1:5">
      <c r="A85" s="2">
        <v>84</v>
      </c>
      <c r="B85" s="6" t="s">
        <v>157</v>
      </c>
      <c r="C85" s="7">
        <v>100</v>
      </c>
      <c r="D85" s="2">
        <v>6</v>
      </c>
      <c r="E85" s="7"/>
    </row>
    <row r="86" spans="1:5">
      <c r="A86" s="2">
        <v>85</v>
      </c>
      <c r="B86" s="6" t="s">
        <v>168</v>
      </c>
      <c r="C86" s="7">
        <v>1500</v>
      </c>
      <c r="D86" s="2">
        <v>6</v>
      </c>
      <c r="E86" s="7"/>
    </row>
    <row r="87" spans="1:5">
      <c r="A87" s="2">
        <v>86</v>
      </c>
      <c r="B87" s="6" t="s">
        <v>92</v>
      </c>
      <c r="C87" s="7">
        <v>5</v>
      </c>
      <c r="D87" s="2">
        <v>6</v>
      </c>
      <c r="E87" s="7"/>
    </row>
    <row r="88" spans="1:5">
      <c r="A88" s="2">
        <v>87</v>
      </c>
      <c r="B88" s="6" t="s">
        <v>169</v>
      </c>
      <c r="C88" s="7">
        <v>800</v>
      </c>
      <c r="D88" s="2">
        <v>6</v>
      </c>
      <c r="E88" s="7"/>
    </row>
    <row r="89" spans="1:5">
      <c r="A89" s="2">
        <v>88</v>
      </c>
      <c r="B89" s="6" t="s">
        <v>160</v>
      </c>
      <c r="C89" s="7">
        <v>1500</v>
      </c>
      <c r="D89" s="2">
        <v>6</v>
      </c>
      <c r="E89" s="7"/>
    </row>
    <row r="90" spans="1:5">
      <c r="A90" s="2">
        <v>89</v>
      </c>
      <c r="B90" s="6" t="s">
        <v>161</v>
      </c>
      <c r="C90" s="7">
        <v>7500</v>
      </c>
      <c r="D90" s="2">
        <v>6</v>
      </c>
      <c r="E90" s="7"/>
    </row>
    <row r="91" spans="1:5">
      <c r="A91" s="2">
        <v>90</v>
      </c>
      <c r="B91" s="6" t="s">
        <v>170</v>
      </c>
      <c r="C91" s="7">
        <v>15000</v>
      </c>
      <c r="D91" s="2">
        <v>6</v>
      </c>
      <c r="E91" s="7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E15" sqref="E15"/>
    </sheetView>
  </sheetViews>
  <sheetFormatPr defaultColWidth="9" defaultRowHeight="15"/>
  <sheetData>
    <row r="1" spans="1:2">
      <c r="A1" t="s">
        <v>171</v>
      </c>
      <c r="B1" t="s">
        <v>172</v>
      </c>
    </row>
    <row r="2" spans="1:2">
      <c r="A2">
        <v>1</v>
      </c>
    </row>
    <row r="3" spans="1:2">
      <c r="A3">
        <v>2</v>
      </c>
      <c r="B3" s="1" t="s">
        <v>90</v>
      </c>
    </row>
    <row r="4" spans="1:2">
      <c r="A4">
        <v>3</v>
      </c>
      <c r="B4" s="1" t="s">
        <v>17</v>
      </c>
    </row>
    <row r="5" spans="1:2">
      <c r="A5">
        <v>4</v>
      </c>
      <c r="B5" s="1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巅峰会武基础</vt:lpstr>
      <vt:lpstr>巅峰会武阶段时间表</vt:lpstr>
      <vt:lpstr>巅峰会武祈福方式</vt:lpstr>
      <vt:lpstr>巅峰会武祈福等级</vt:lpstr>
      <vt:lpstr>巅峰会武等级分组</vt:lpstr>
      <vt:lpstr>巅峰会武排行榜奖励</vt:lpstr>
      <vt:lpstr>巅峰会武全服挑战奖励</vt:lpstr>
      <vt:lpstr>巅峰会武淘汰赛赛程</vt:lpstr>
      <vt:lpstr>荣耀殿堂奖励分组</vt:lpstr>
      <vt:lpstr>荣耀殿堂奖池</vt:lpstr>
      <vt:lpstr>荣耀殿堂每日庆功消耗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HMT</dc:creator>
  <cp:lastModifiedBy>d ken</cp:lastModifiedBy>
  <dcterms:created xsi:type="dcterms:W3CDTF">2021-05-17T09:53:00Z</dcterms:created>
  <dcterms:modified xsi:type="dcterms:W3CDTF">2024-02-12T03:14:37Z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1E7FDAECF4F744EAA6B7843DB3BD73E9</vt:lpwstr>
  </property>
  <property fmtid="{D5CDD505-2E9C-101B-9397-08002B2CF9AE}" pid="3" name="KSOProductBuildVer">
    <vt:lpwstr>2052-11.1.0.10700</vt:lpwstr>
  </property>
</Properties>
</file>