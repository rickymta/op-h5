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65" firstSheet="1" activeTab="2"/>
  </bookViews>
  <sheets>
    <sheet name="天界迷宫层级" sheetId="1" r:id="rId1"/>
    <sheet name="天界迷宫地图分组" sheetId="6" r:id="rId2"/>
    <sheet name="天界迷宫地图" sheetId="2" r:id="rId3"/>
    <sheet name="天界迷宫守卫" sheetId="8" r:id="rId4"/>
    <sheet name="天界迷宫符诏组包" sheetId="3" r:id="rId5"/>
    <sheet name="天界迷宫符诏" sheetId="9" r:id="rId6"/>
    <sheet name="天界迷宫场景技能" sheetId="12" r:id="rId7"/>
    <sheet name="天界迷宫商品" sheetId="4" r:id="rId8"/>
    <sheet name="天界迷宫格子类型" sheetId="5" r:id="rId9"/>
    <sheet name="Sheet1" sheetId="10" r:id="rId10"/>
  </sheets>
  <definedNames>
    <definedName name="_xlnm._FilterDatabase" localSheetId="3" hidden="1">天界迷宫守卫!$A$1:$J$85</definedName>
    <definedName name="_xlnm._FilterDatabase" localSheetId="5" hidden="1">天界迷宫符诏!$A$1:$L$152</definedName>
    <definedName name="_xlnm._FilterDatabase" localSheetId="4" hidden="1">天界迷宫符诏组包!$A$1:$D$871</definedName>
  </definedNames>
  <calcPr calcId="144525"/>
</workbook>
</file>

<file path=xl/calcChain.xml><?xml version="1.0" encoding="utf-8"?>
<calcChain xmlns="http://schemas.openxmlformats.org/spreadsheetml/2006/main">
  <c r="S13" i="10" l="1"/>
  <c r="S11" i="10"/>
  <c r="S10" i="10"/>
  <c r="S9" i="10"/>
  <c r="S8" i="10"/>
  <c r="S7" i="10"/>
  <c r="S6" i="10"/>
  <c r="S5" i="10"/>
  <c r="S4" i="10"/>
  <c r="C85" i="8"/>
  <c r="B85" i="8"/>
  <c r="A85" i="8"/>
  <c r="C84" i="8"/>
  <c r="B84" i="8"/>
  <c r="A84" i="8"/>
  <c r="C83" i="8"/>
  <c r="B83" i="8"/>
  <c r="A83" i="8"/>
  <c r="C82" i="8"/>
  <c r="B82" i="8"/>
  <c r="A82" i="8"/>
  <c r="C81" i="8"/>
  <c r="B81" i="8"/>
  <c r="A81" i="8"/>
  <c r="C80" i="8"/>
  <c r="B80" i="8"/>
  <c r="A80" i="8"/>
  <c r="C79" i="8"/>
  <c r="B79" i="8"/>
  <c r="A79" i="8"/>
  <c r="C78" i="8"/>
  <c r="B78" i="8"/>
  <c r="A78" i="8"/>
  <c r="C77" i="8"/>
  <c r="B77" i="8"/>
  <c r="A77" i="8"/>
  <c r="C76" i="8"/>
  <c r="B76" i="8"/>
  <c r="A76" i="8"/>
  <c r="C75" i="8"/>
  <c r="B75" i="8"/>
  <c r="A75" i="8"/>
  <c r="C74" i="8"/>
  <c r="B74" i="8"/>
  <c r="A74" i="8"/>
  <c r="C73" i="8"/>
  <c r="B73" i="8"/>
  <c r="A73" i="8"/>
  <c r="C72" i="8"/>
  <c r="B72" i="8"/>
  <c r="A72" i="8"/>
  <c r="C71" i="8"/>
  <c r="B71" i="8"/>
  <c r="A71" i="8"/>
  <c r="C70" i="8"/>
  <c r="B70" i="8"/>
  <c r="A70" i="8"/>
  <c r="C69" i="8"/>
  <c r="B69" i="8"/>
  <c r="A69" i="8"/>
  <c r="C68" i="8"/>
  <c r="B68" i="8"/>
  <c r="A68" i="8"/>
  <c r="C67" i="8"/>
  <c r="B67" i="8"/>
  <c r="A67" i="8"/>
  <c r="B66" i="8"/>
  <c r="A66" i="8"/>
  <c r="B65" i="8"/>
  <c r="A65" i="8"/>
  <c r="C64" i="8"/>
  <c r="B64" i="8"/>
  <c r="A64" i="8"/>
  <c r="C63" i="8"/>
  <c r="B63" i="8"/>
  <c r="A63" i="8"/>
  <c r="C62" i="8"/>
  <c r="B62" i="8"/>
  <c r="A62" i="8"/>
  <c r="C61" i="8"/>
  <c r="B61" i="8"/>
  <c r="A61" i="8"/>
  <c r="C60" i="8"/>
  <c r="B60" i="8"/>
  <c r="A60" i="8"/>
  <c r="C59" i="8"/>
  <c r="B59" i="8"/>
  <c r="A59" i="8"/>
  <c r="C58" i="8"/>
  <c r="B58" i="8"/>
  <c r="A58" i="8"/>
  <c r="C57" i="8"/>
  <c r="B57" i="8"/>
  <c r="A57" i="8"/>
  <c r="C56" i="8"/>
  <c r="B56" i="8"/>
  <c r="A56" i="8"/>
  <c r="C55" i="8"/>
  <c r="B55" i="8"/>
  <c r="A55" i="8"/>
  <c r="C54" i="8"/>
  <c r="B54" i="8"/>
  <c r="A54" i="8"/>
  <c r="C53" i="8"/>
  <c r="B53" i="8"/>
  <c r="A53" i="8"/>
  <c r="C52" i="8"/>
  <c r="B52" i="8"/>
  <c r="A52" i="8"/>
  <c r="C51" i="8"/>
  <c r="B51" i="8"/>
  <c r="A51" i="8"/>
  <c r="C50" i="8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B45" i="8"/>
  <c r="A45" i="8"/>
  <c r="B44" i="8"/>
  <c r="A44" i="8"/>
  <c r="C43" i="8"/>
  <c r="B43" i="8"/>
  <c r="A43" i="8"/>
  <c r="C42" i="8"/>
  <c r="B42" i="8"/>
  <c r="A42" i="8"/>
  <c r="C41" i="8"/>
  <c r="B41" i="8"/>
  <c r="A41" i="8"/>
  <c r="C40" i="8"/>
  <c r="B40" i="8"/>
  <c r="A40" i="8"/>
  <c r="C39" i="8"/>
  <c r="B39" i="8"/>
  <c r="A39" i="8"/>
  <c r="C38" i="8"/>
  <c r="B38" i="8"/>
  <c r="A38" i="8"/>
  <c r="C37" i="8"/>
  <c r="B37" i="8"/>
  <c r="A37" i="8"/>
  <c r="C36" i="8"/>
  <c r="B36" i="8"/>
  <c r="A36" i="8"/>
  <c r="C35" i="8"/>
  <c r="B35" i="8"/>
  <c r="A35" i="8"/>
  <c r="C34" i="8"/>
  <c r="B34" i="8"/>
  <c r="A34" i="8"/>
  <c r="C33" i="8"/>
  <c r="B33" i="8"/>
  <c r="A33" i="8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B24" i="8"/>
  <c r="A24" i="8"/>
  <c r="B23" i="8"/>
  <c r="A23" i="8"/>
  <c r="C22" i="8"/>
  <c r="A22" i="8"/>
  <c r="C21" i="8"/>
  <c r="A21" i="8"/>
  <c r="C20" i="8"/>
  <c r="A20" i="8"/>
  <c r="C19" i="8"/>
  <c r="A19" i="8"/>
  <c r="C18" i="8"/>
  <c r="A18" i="8"/>
  <c r="C17" i="8"/>
  <c r="A17" i="8"/>
  <c r="C16" i="8"/>
  <c r="A16" i="8"/>
  <c r="C15" i="8"/>
  <c r="A15" i="8"/>
  <c r="C14" i="8"/>
  <c r="A14" i="8"/>
  <c r="C13" i="8"/>
  <c r="A13" i="8"/>
  <c r="C12" i="8"/>
  <c r="A12" i="8"/>
  <c r="C11" i="8"/>
  <c r="A11" i="8"/>
  <c r="C10" i="8"/>
  <c r="A10" i="8"/>
  <c r="C9" i="8"/>
  <c r="A9" i="8"/>
  <c r="C8" i="8"/>
  <c r="A8" i="8"/>
  <c r="C7" i="8"/>
  <c r="A7" i="8"/>
  <c r="C6" i="8"/>
  <c r="A6" i="8"/>
  <c r="C5" i="8"/>
  <c r="A5" i="8"/>
  <c r="C4" i="8"/>
  <c r="A4" i="8"/>
  <c r="A3" i="8"/>
  <c r="G133" i="2"/>
  <c r="A133" i="2"/>
  <c r="G132" i="2"/>
  <c r="A132" i="2"/>
  <c r="G131" i="2"/>
  <c r="A131" i="2"/>
  <c r="G130" i="2"/>
  <c r="A130" i="2"/>
  <c r="G129" i="2"/>
  <c r="A129" i="2"/>
  <c r="G128" i="2"/>
  <c r="A128" i="2"/>
  <c r="G127" i="2"/>
  <c r="A127" i="2"/>
  <c r="G126" i="2"/>
  <c r="A126" i="2"/>
  <c r="G125" i="2"/>
  <c r="A125" i="2"/>
  <c r="G124" i="2"/>
  <c r="A124" i="2"/>
  <c r="G123" i="2"/>
  <c r="A123" i="2"/>
  <c r="G122" i="2"/>
  <c r="A122" i="2"/>
  <c r="G121" i="2"/>
  <c r="A121" i="2"/>
  <c r="G120" i="2"/>
  <c r="A120" i="2"/>
  <c r="G119" i="2"/>
  <c r="A119" i="2"/>
  <c r="G118" i="2"/>
  <c r="A118" i="2"/>
  <c r="G117" i="2"/>
  <c r="A117" i="2"/>
  <c r="G116" i="2"/>
  <c r="A116" i="2"/>
  <c r="G115" i="2"/>
  <c r="A115" i="2"/>
  <c r="G114" i="2"/>
  <c r="A114" i="2"/>
  <c r="G113" i="2"/>
  <c r="A113" i="2"/>
  <c r="G112" i="2"/>
  <c r="A112" i="2"/>
  <c r="G111" i="2"/>
  <c r="A111" i="2"/>
  <c r="G110" i="2"/>
  <c r="A110" i="2"/>
  <c r="G109" i="2"/>
  <c r="A109" i="2"/>
  <c r="G108" i="2"/>
  <c r="A108" i="2"/>
  <c r="G107" i="2"/>
  <c r="A107" i="2"/>
  <c r="G106" i="2"/>
  <c r="A106" i="2"/>
  <c r="G105" i="2"/>
  <c r="A105" i="2"/>
  <c r="G104" i="2"/>
  <c r="A104" i="2"/>
  <c r="G103" i="2"/>
  <c r="A103" i="2"/>
  <c r="G102" i="2"/>
  <c r="A102" i="2"/>
  <c r="G101" i="2"/>
  <c r="A101" i="2"/>
  <c r="G100" i="2"/>
  <c r="A100" i="2"/>
  <c r="G99" i="2"/>
  <c r="A99" i="2"/>
  <c r="G98" i="2"/>
  <c r="A98" i="2"/>
  <c r="G97" i="2"/>
  <c r="A97" i="2"/>
  <c r="G96" i="2"/>
  <c r="A96" i="2"/>
  <c r="G95" i="2"/>
  <c r="A95" i="2"/>
  <c r="G94" i="2"/>
  <c r="A94" i="2"/>
  <c r="G93" i="2"/>
  <c r="A93" i="2"/>
  <c r="G92" i="2"/>
  <c r="A92" i="2"/>
  <c r="G91" i="2"/>
  <c r="A91" i="2"/>
  <c r="G90" i="2"/>
  <c r="A90" i="2"/>
  <c r="G89" i="2"/>
  <c r="A89" i="2"/>
  <c r="G88" i="2"/>
  <c r="A88" i="2"/>
  <c r="G87" i="2"/>
  <c r="A87" i="2"/>
  <c r="G86" i="2"/>
  <c r="A86" i="2"/>
  <c r="G85" i="2"/>
  <c r="A85" i="2"/>
  <c r="G84" i="2"/>
  <c r="A84" i="2"/>
  <c r="G83" i="2"/>
  <c r="A83" i="2"/>
  <c r="G82" i="2"/>
  <c r="A82" i="2"/>
  <c r="G81" i="2"/>
  <c r="A81" i="2"/>
  <c r="G80" i="2"/>
  <c r="A80" i="2"/>
  <c r="G79" i="2"/>
  <c r="A79" i="2"/>
  <c r="G78" i="2"/>
  <c r="A78" i="2"/>
  <c r="G77" i="2"/>
  <c r="A77" i="2"/>
  <c r="G76" i="2"/>
  <c r="A76" i="2"/>
  <c r="G75" i="2"/>
  <c r="A75" i="2"/>
  <c r="G74" i="2"/>
  <c r="A74" i="2"/>
  <c r="G73" i="2"/>
  <c r="A73" i="2"/>
  <c r="G72" i="2"/>
  <c r="A72" i="2"/>
  <c r="G71" i="2"/>
  <c r="A71" i="2"/>
  <c r="G70" i="2"/>
  <c r="A70" i="2"/>
  <c r="G69" i="2"/>
  <c r="A69" i="2"/>
  <c r="G68" i="2"/>
  <c r="A68" i="2"/>
  <c r="G67" i="2"/>
  <c r="A67" i="2"/>
  <c r="G66" i="2"/>
  <c r="A66" i="2"/>
  <c r="G65" i="2"/>
  <c r="A65" i="2"/>
  <c r="G64" i="2"/>
  <c r="A64" i="2"/>
  <c r="G63" i="2"/>
  <c r="A63" i="2"/>
  <c r="G62" i="2"/>
  <c r="A62" i="2"/>
  <c r="G61" i="2"/>
  <c r="A61" i="2"/>
  <c r="G60" i="2"/>
  <c r="A60" i="2"/>
  <c r="G59" i="2"/>
  <c r="A59" i="2"/>
  <c r="G58" i="2"/>
  <c r="A58" i="2"/>
  <c r="G57" i="2"/>
  <c r="A57" i="2"/>
  <c r="G56" i="2"/>
  <c r="A56" i="2"/>
  <c r="G55" i="2"/>
  <c r="A55" i="2"/>
  <c r="G54" i="2"/>
  <c r="A54" i="2"/>
  <c r="G53" i="2"/>
  <c r="A53" i="2"/>
  <c r="G52" i="2"/>
  <c r="A52" i="2"/>
  <c r="G51" i="2"/>
  <c r="A51" i="2"/>
  <c r="G50" i="2"/>
  <c r="A50" i="2"/>
  <c r="G49" i="2"/>
  <c r="A49" i="2"/>
  <c r="G48" i="2"/>
  <c r="A48" i="2"/>
  <c r="G47" i="2"/>
  <c r="A47" i="2"/>
  <c r="G46" i="2"/>
  <c r="A46" i="2"/>
  <c r="G45" i="2"/>
  <c r="A45" i="2"/>
  <c r="G44" i="2"/>
  <c r="A44" i="2"/>
  <c r="G43" i="2"/>
  <c r="A43" i="2"/>
  <c r="G42" i="2"/>
  <c r="A42" i="2"/>
  <c r="G41" i="2"/>
  <c r="A41" i="2"/>
  <c r="G40" i="2"/>
  <c r="A40" i="2"/>
  <c r="G39" i="2"/>
  <c r="A39" i="2"/>
  <c r="G38" i="2"/>
  <c r="A38" i="2"/>
  <c r="G37" i="2"/>
  <c r="A37" i="2"/>
  <c r="G36" i="2"/>
  <c r="A36" i="2"/>
  <c r="G35" i="2"/>
  <c r="A35" i="2"/>
  <c r="G34" i="2"/>
  <c r="A34" i="2"/>
  <c r="G33" i="2"/>
  <c r="A33" i="2"/>
  <c r="G32" i="2"/>
  <c r="A32" i="2"/>
  <c r="G31" i="2"/>
  <c r="A31" i="2"/>
  <c r="G30" i="2"/>
  <c r="A30" i="2"/>
  <c r="G29" i="2"/>
  <c r="A29" i="2"/>
  <c r="G28" i="2"/>
  <c r="A28" i="2"/>
  <c r="G27" i="2"/>
  <c r="A27" i="2"/>
  <c r="G26" i="2"/>
  <c r="A26" i="2"/>
  <c r="G25" i="2"/>
  <c r="A25" i="2"/>
  <c r="G24" i="2"/>
  <c r="A24" i="2"/>
  <c r="G23" i="2"/>
  <c r="A23" i="2"/>
  <c r="G22" i="2"/>
  <c r="A22" i="2"/>
  <c r="G21" i="2"/>
  <c r="A21" i="2"/>
  <c r="G20" i="2"/>
  <c r="A20" i="2"/>
  <c r="G19" i="2"/>
  <c r="A19" i="2"/>
  <c r="G18" i="2"/>
  <c r="A18" i="2"/>
  <c r="G17" i="2"/>
  <c r="A17" i="2"/>
  <c r="G16" i="2"/>
  <c r="A16" i="2"/>
  <c r="G15" i="2"/>
  <c r="A15" i="2"/>
  <c r="G14" i="2"/>
  <c r="A14" i="2"/>
  <c r="G13" i="2"/>
  <c r="A13" i="2"/>
  <c r="A12" i="2"/>
  <c r="A11" i="2"/>
  <c r="A10" i="2"/>
  <c r="A9" i="2"/>
  <c r="A8" i="2"/>
  <c r="A7" i="2"/>
  <c r="A6" i="2"/>
  <c r="A5" i="2"/>
  <c r="A4" i="2"/>
  <c r="A3" i="2"/>
</calcChain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此处填写天界迷宫司徒sheet的地图ID</t>
        </r>
      </text>
    </commen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此处编辑的是地图放入分组（在天界迷宫层级sheet中查看对应层级）；
1：第一层的分组
2：第二层的分组
3：第三层的分组
4：第四层的分组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此处填写天界迷宫需要出现的特殊建筑ID </t>
        </r>
      </text>
    </comment>
  </commentList>
</comments>
</file>

<file path=xl/sharedStrings.xml><?xml version="1.0" encoding="utf-8"?>
<sst xmlns="http://schemas.openxmlformats.org/spreadsheetml/2006/main" count="785" uniqueCount="323">
  <si>
    <t>ID</t>
  </si>
  <si>
    <t>层级名</t>
  </si>
  <si>
    <t>通关奖励</t>
  </si>
  <si>
    <t>地图分组</t>
  </si>
  <si>
    <t>下一层级</t>
  </si>
  <si>
    <r>
      <rPr>
        <sz val="11"/>
        <color indexed="8"/>
        <rFont val="等线"/>
        <charset val="134"/>
      </rPr>
      <t>3:200018:200#</t>
    </r>
    <r>
      <rPr>
        <sz val="11"/>
        <color indexed="8"/>
        <rFont val="等线"/>
        <charset val="134"/>
      </rPr>
      <t>4:606001:10#0:0:250000#3:100001:200</t>
    </r>
  </si>
  <si>
    <r>
      <rPr>
        <sz val="11"/>
        <color indexed="8"/>
        <rFont val="等线"/>
        <charset val="134"/>
      </rPr>
      <t>3:200018:300</t>
    </r>
    <r>
      <rPr>
        <sz val="11"/>
        <color indexed="8"/>
        <rFont val="等线"/>
        <charset val="134"/>
      </rPr>
      <t>#4:606001:20#0:0:340000#3:100001:300</t>
    </r>
  </si>
  <si>
    <t>3#4</t>
  </si>
  <si>
    <r>
      <rPr>
        <sz val="11"/>
        <color indexed="8"/>
        <rFont val="等线"/>
        <charset val="134"/>
      </rPr>
      <t>3:200018:500</t>
    </r>
    <r>
      <rPr>
        <sz val="11"/>
        <color indexed="8"/>
        <rFont val="等线"/>
        <charset val="134"/>
      </rPr>
      <t>#4:606002:5#0:0:510000#3:100001:500</t>
    </r>
  </si>
  <si>
    <t>3:200018:600#4:606002:5#0:0:650000#3:100001:600</t>
  </si>
  <si>
    <t>地图ID</t>
  </si>
  <si>
    <t>分组</t>
  </si>
  <si>
    <t>权重</t>
  </si>
  <si>
    <t>关卡</t>
  </si>
  <si>
    <t>*格子数备注</t>
  </si>
  <si>
    <t>格子1</t>
  </si>
  <si>
    <t>格子2</t>
  </si>
  <si>
    <t>格子3</t>
  </si>
  <si>
    <t>层数</t>
  </si>
  <si>
    <t>守卫类型</t>
  </si>
  <si>
    <t>展示难度加成</t>
  </si>
  <si>
    <t>难度系数</t>
  </si>
  <si>
    <t>战力最大值</t>
  </si>
  <si>
    <t>符诏分组</t>
  </si>
  <si>
    <t>击杀奖励</t>
  </si>
  <si>
    <t>积分</t>
  </si>
  <si>
    <t>3:200018:50#0:0:51200#0:4:2800</t>
  </si>
  <si>
    <t>3:200018:50#0:0:64000#0:4:3500</t>
  </si>
  <si>
    <t>3:200018:63#0:0:54000#0:4:2920</t>
  </si>
  <si>
    <t>3:200018:63#0:0:67500#0:4:3650</t>
  </si>
  <si>
    <t>3:200018:65#0:0:56800#0:4:3040</t>
  </si>
  <si>
    <t>3:200018:65#0:0:71000#0:4:3800</t>
  </si>
  <si>
    <t>3:200018:75#0:0:59600#0:4:3160</t>
  </si>
  <si>
    <t>3:200018:75#0:0:74500#0:4:3950</t>
  </si>
  <si>
    <t>3:200018:80#0:0:62400#0:4:3280</t>
  </si>
  <si>
    <t>3:200018:80#0:0:78000#0:4:4100</t>
  </si>
  <si>
    <t>3:200018:85#0:0:65200#0:4:3400</t>
  </si>
  <si>
    <t>3:200018:85#0:0:81500#0:4:4250</t>
  </si>
  <si>
    <t>3:200018:95#0:0:68000#0:4:3520</t>
  </si>
  <si>
    <t>3:200018:95#0:0:85000#0:4:4400</t>
  </si>
  <si>
    <t>3:200018:102#0:0:70800#0:4:3640</t>
  </si>
  <si>
    <t>3:200018:102#0:0:88500#0:4:4550</t>
  </si>
  <si>
    <t>3:200018:250#0:0:100000#0:4:5000#3:100030:2500</t>
  </si>
  <si>
    <t>3:200018:250#0:0:150000#0:4:6000#3:100030:5000</t>
  </si>
  <si>
    <t>符诏ID</t>
  </si>
  <si>
    <t>名称</t>
  </si>
  <si>
    <t>技能ID</t>
  </si>
  <si>
    <t>原型ID</t>
  </si>
  <si>
    <t>品级</t>
  </si>
  <si>
    <t>图标</t>
  </si>
  <si>
    <t>种族</t>
  </si>
  <si>
    <t>职业</t>
  </si>
  <si>
    <t>指定英雄</t>
  </si>
  <si>
    <t>作用范围图标</t>
  </si>
  <si>
    <t>是否是场景技能</t>
  </si>
  <si>
    <t>bihu</t>
  </si>
  <si>
    <t>tab0</t>
  </si>
  <si>
    <t>haojiao</t>
  </si>
  <si>
    <t>huoxuezhiteng</t>
  </si>
  <si>
    <t>qaingzhe</t>
  </si>
  <si>
    <t>jinguqianghua</t>
  </si>
  <si>
    <t>jiezhi</t>
  </si>
  <si>
    <t>tab4</t>
  </si>
  <si>
    <t>tab3</t>
  </si>
  <si>
    <t>yixinghuanying</t>
  </si>
  <si>
    <t>xiezi</t>
  </si>
  <si>
    <t>pic1</t>
  </si>
  <si>
    <t>pic2</t>
  </si>
  <si>
    <t>pic3</t>
  </si>
  <si>
    <t>tab2</t>
  </si>
  <si>
    <t>tab1</t>
  </si>
  <si>
    <t>pic4</t>
  </si>
  <si>
    <t>pic5</t>
  </si>
  <si>
    <t>pic6</t>
  </si>
  <si>
    <t>pic7</t>
  </si>
  <si>
    <t>pic8</t>
  </si>
  <si>
    <t>pic9</t>
  </si>
  <si>
    <t>pic10</t>
  </si>
  <si>
    <t>pic11</t>
  </si>
  <si>
    <t>pic12</t>
  </si>
  <si>
    <t>pic13</t>
  </si>
  <si>
    <t>zhongzu5</t>
  </si>
  <si>
    <t>pic14</t>
  </si>
  <si>
    <t>pic15</t>
  </si>
  <si>
    <t>zhongzu1</t>
  </si>
  <si>
    <t>pic16</t>
  </si>
  <si>
    <t>pic17</t>
  </si>
  <si>
    <t>zhongzu4</t>
  </si>
  <si>
    <t>pic18</t>
  </si>
  <si>
    <t>pic19</t>
  </si>
  <si>
    <t>zhongzu3</t>
  </si>
  <si>
    <t>pic20</t>
  </si>
  <si>
    <t>pic21</t>
  </si>
  <si>
    <t>zhongzu2</t>
  </si>
  <si>
    <t>pic22</t>
  </si>
  <si>
    <t>pic23</t>
  </si>
  <si>
    <t>pic24</t>
  </si>
  <si>
    <t>pic25</t>
  </si>
  <si>
    <t>pic26</t>
  </si>
  <si>
    <t>pic27</t>
  </si>
  <si>
    <t>pic28</t>
  </si>
  <si>
    <t>pic29</t>
  </si>
  <si>
    <t>pic30</t>
  </si>
  <si>
    <t>pic31</t>
  </si>
  <si>
    <t>pic32</t>
  </si>
  <si>
    <t>mj_zilv</t>
  </si>
  <si>
    <t>mj_chongsheng</t>
  </si>
  <si>
    <t>mj_baoxi</t>
  </si>
  <si>
    <t>mj_chauntou</t>
  </si>
  <si>
    <t>mj_zaisheng</t>
  </si>
  <si>
    <t>mj_wulian</t>
  </si>
  <si>
    <t>mj_falian</t>
  </si>
  <si>
    <t>胜利场数</t>
  </si>
  <si>
    <t>场景技能ID</t>
  </si>
  <si>
    <t>商品内容</t>
  </si>
  <si>
    <t>价格</t>
  </si>
  <si>
    <t>折扣</t>
  </si>
  <si>
    <t>*备注</t>
  </si>
  <si>
    <t>3:100023:1</t>
  </si>
  <si>
    <t>0:1:14</t>
  </si>
  <si>
    <t>演武场挑战券</t>
  </si>
  <si>
    <t>3:100024:100</t>
  </si>
  <si>
    <t>0:1:700</t>
  </si>
  <si>
    <t>灵龛</t>
  </si>
  <si>
    <t>4:606008:1</t>
  </si>
  <si>
    <t>0:1:60</t>
  </si>
  <si>
    <t>5星人族碎片</t>
  </si>
  <si>
    <t>4:606009:1</t>
  </si>
  <si>
    <t>5星仙族碎片</t>
  </si>
  <si>
    <t>4:606010:1</t>
  </si>
  <si>
    <t>5星妖族碎片</t>
  </si>
  <si>
    <t>4:606002:1</t>
  </si>
  <si>
    <t>5星随机碎片</t>
  </si>
  <si>
    <t>3:100004:1000</t>
  </si>
  <si>
    <t>0:1:500</t>
  </si>
  <si>
    <t>鎏金粉</t>
  </si>
  <si>
    <t>3:100006:1</t>
  </si>
  <si>
    <t>0:1:600</t>
  </si>
  <si>
    <t>高级寻宝券</t>
  </si>
  <si>
    <t>0:0:1000000</t>
  </si>
  <si>
    <t>0:1:100</t>
  </si>
  <si>
    <t>金币</t>
  </si>
  <si>
    <t>3:100022:1</t>
  </si>
  <si>
    <t>0:1:150</t>
  </si>
  <si>
    <t>高级点将券</t>
  </si>
  <si>
    <t>3:100001:100</t>
  </si>
  <si>
    <t>0:1:50</t>
  </si>
  <si>
    <t>进阶石</t>
  </si>
  <si>
    <t>3:100059:1</t>
  </si>
  <si>
    <t>魂丹</t>
  </si>
  <si>
    <t>4:606008:10</t>
  </si>
  <si>
    <t>0:1:1000</t>
  </si>
  <si>
    <t>4:606009:10</t>
  </si>
  <si>
    <t>4:606010:10</t>
  </si>
  <si>
    <t>4:606002:10</t>
  </si>
  <si>
    <t>3:100025:1</t>
  </si>
  <si>
    <t>命签</t>
  </si>
  <si>
    <t>4:606003:30</t>
  </si>
  <si>
    <t>0:0:1800000</t>
  </si>
  <si>
    <t>4星人族碎片</t>
  </si>
  <si>
    <t>4:606004:30</t>
  </si>
  <si>
    <t>4星妖族碎片</t>
  </si>
  <si>
    <t>4:606005:30</t>
  </si>
  <si>
    <t>4星仙族碎片</t>
  </si>
  <si>
    <t>4:606001:30</t>
  </si>
  <si>
    <t>4星随机碎片</t>
  </si>
  <si>
    <t>5:1:1</t>
  </si>
  <si>
    <t>0:1:200</t>
  </si>
  <si>
    <t>蟾宫印</t>
  </si>
  <si>
    <t>5:2:1</t>
  </si>
  <si>
    <t>虎方印</t>
  </si>
  <si>
    <t>5:3:1</t>
  </si>
  <si>
    <t>0:1:3000</t>
  </si>
  <si>
    <t>白泽印</t>
  </si>
  <si>
    <t>2:19000108:1</t>
  </si>
  <si>
    <t>0:1:730</t>
  </si>
  <si>
    <t>白赭法杖</t>
  </si>
  <si>
    <t>2:19000208:1</t>
  </si>
  <si>
    <t>白赭披风</t>
  </si>
  <si>
    <t>2:19000308:1</t>
  </si>
  <si>
    <t>白赭头冠</t>
  </si>
  <si>
    <t>2:19000408:1</t>
  </si>
  <si>
    <t>白赭短靴</t>
  </si>
  <si>
    <t>2:19000109:1</t>
  </si>
  <si>
    <t>0:1:1250</t>
  </si>
  <si>
    <t>云箓法杖</t>
  </si>
  <si>
    <t>2:19000209:1</t>
  </si>
  <si>
    <t>云箓法袍</t>
  </si>
  <si>
    <t>2:19000309:1</t>
  </si>
  <si>
    <t>云箓头冠</t>
  </si>
  <si>
    <t>2:19000409:1</t>
  </si>
  <si>
    <t>云箓短靴</t>
  </si>
  <si>
    <t>资源名称</t>
  </si>
  <si>
    <t>数量备注</t>
  </si>
  <si>
    <t>空白格子</t>
  </si>
  <si>
    <t>天兵</t>
  </si>
  <si>
    <t>guard1</t>
  </si>
  <si>
    <t>普通怪物</t>
  </si>
  <si>
    <t>天将</t>
  </si>
  <si>
    <t>guard2</t>
  </si>
  <si>
    <t>精英怪物</t>
  </si>
  <si>
    <t>天帅</t>
  </si>
  <si>
    <t>boss</t>
  </si>
  <si>
    <t>BOSS</t>
  </si>
  <si>
    <t>buff1</t>
  </si>
  <si>
    <t>选buff</t>
  </si>
  <si>
    <t>摘星楼</t>
  </si>
  <si>
    <t>hire</t>
  </si>
  <si>
    <t>援助英雄</t>
  </si>
  <si>
    <t>灵泉</t>
  </si>
  <si>
    <t>cure_min</t>
  </si>
  <si>
    <t>回血</t>
  </si>
  <si>
    <t>复活圣殿</t>
  </si>
  <si>
    <t>resurrect_min</t>
  </si>
  <si>
    <t>复活</t>
  </si>
  <si>
    <t>坊市</t>
  </si>
  <si>
    <t>shop_min</t>
  </si>
  <si>
    <t>商店</t>
  </si>
  <si>
    <t>数量</t>
  </si>
  <si>
    <t>Thiên giới mê cung thứ 1 Tầng</t>
  </si>
  <si>
    <t>Thiên giới mê cung thứ 2 Tầng</t>
  </si>
  <si>
    <t>Thiên giới mê cung thứ 3 Tầng ( Đơn giản )</t>
  </si>
  <si>
    <t>Thiên giới mê cung thứ 3 Tầng ( Khó khăn )</t>
  </si>
  <si>
    <t>Tí Hộ Kết Giới</t>
  </si>
  <si>
    <t>Quyết Chiến Hào Giác</t>
  </si>
  <si>
    <t>Hoạt Huyết Chi Đằng</t>
  </si>
  <si>
    <t>Cường Giả Chi Ác</t>
  </si>
  <si>
    <t>Cân Cốt Cường Hóa</t>
  </si>
  <si>
    <t>Để Kháng Chỉ Hoàn</t>
  </si>
  <si>
    <t>Di Hình Huyễn Ảnh</t>
  </si>
  <si>
    <t>Tật Hành Hài</t>
  </si>
  <si>
    <t>Thần Nông Đỉnh</t>
  </si>
  <si>
    <t>Thánh Linh Tí Chương</t>
  </si>
  <si>
    <t>Thiêu Đao Tử</t>
  </si>
  <si>
    <t>Lão Bạch Cán</t>
  </si>
  <si>
    <t>Nhị Oa Đầu</t>
  </si>
  <si>
    <t>Trí Tuệ Quyền Trượng</t>
  </si>
  <si>
    <t>Tàn Nhẫn Lợi Phủ</t>
  </si>
  <si>
    <t>Thánh Dụ Pháp Điển</t>
  </si>
  <si>
    <t>Mãnh Hổ Lợi Trảo</t>
  </si>
  <si>
    <t>Long Tiên Hương</t>
  </si>
  <si>
    <t>Thần Hình Ngoa</t>
  </si>
  <si>
    <t>Long Huyết Hộ Phù</t>
  </si>
  <si>
    <t>Trớ Chú Chi Chủy</t>
  </si>
  <si>
    <t>Trớ Chú Diên Thân</t>
  </si>
  <si>
    <t>Chiến Cổ Hồi Hưởng</t>
  </si>
  <si>
    <t>Khắc Địch Tiên Cơ</t>
  </si>
  <si>
    <t>Chúng Thần Chi Nộ</t>
  </si>
  <si>
    <t>Nộ Hỏa Diên Thân</t>
  </si>
  <si>
    <t>Yêu Khí Phệ Tâm</t>
  </si>
  <si>
    <t>Yêu Khí Diên Thân</t>
  </si>
  <si>
    <t>Cấm Cố Chi Thủ</t>
  </si>
  <si>
    <t>Cấm Cố Diên Thân</t>
  </si>
  <si>
    <t>Trí Mệnh Độc Dược</t>
  </si>
  <si>
    <t>Liệt Sang Chi Nhận</t>
  </si>
  <si>
    <t>Linh Thạch Ngọc Tủy</t>
  </si>
  <si>
    <t>Thánh Khiết Thần Tượng</t>
  </si>
  <si>
    <t>Tấn Tiệp Chi Phong</t>
  </si>
  <si>
    <t>Hộ Tâm Kính</t>
  </si>
  <si>
    <t>Chiết Kích</t>
  </si>
  <si>
    <t>Huyết Bồ Đề</t>
  </si>
  <si>
    <t>Phí Đằng Chi Huyết</t>
  </si>
  <si>
    <t>Thắng Lợi Tinh Kỳ</t>
  </si>
  <si>
    <t>Bí Tịch: Tự Luật</t>
  </si>
  <si>
    <t>Bí Tịch: Trọng Sinh</t>
  </si>
  <si>
    <t>Bí Tịch: Bạo Tập</t>
  </si>
  <si>
    <t>Bí Tịch: Xuyên Thấu</t>
  </si>
  <si>
    <t>Bí Tịch: Tái Sinh</t>
  </si>
  <si>
    <t>Bí Tịch: Vật Liên  </t>
  </si>
  <si>
    <t>Bí Tịch: Pháp Liên  </t>
  </si>
  <si>
    <t>Thiên Binh</t>
  </si>
  <si>
    <t>Thiên Tương</t>
  </si>
  <si>
    <t>Thiên Soái</t>
  </si>
  <si>
    <t>Phù Chiếu</t>
  </si>
  <si>
    <t>Trích Tinh Lâu</t>
  </si>
  <si>
    <t>Linh Tuyền</t>
  </si>
  <si>
    <t>Phục Hoạt Thánh Điện</t>
  </si>
  <si>
    <t>Phường Thị</t>
  </si>
  <si>
    <t>3:200018:157#0:0:64000#0:4:3500</t>
  </si>
  <si>
    <t>3:200018:157#0:0:80000#0:4:4375</t>
  </si>
  <si>
    <t>3:200018:165#0:0:68800#0:4:3636</t>
  </si>
  <si>
    <t>3:200018:165#0:0:86000#0:4:4545</t>
  </si>
  <si>
    <t>3:200018:172#0:0:73600#0:4:3772</t>
  </si>
  <si>
    <t>3:200018:172#0:0:92000#0:4:4715</t>
  </si>
  <si>
    <t>3:200018:180#0:0:78400#0:4:3908</t>
  </si>
  <si>
    <t>3:200018:180#0:0:98000#0:4:4885</t>
  </si>
  <si>
    <t>3:200018:187#0:0:83200#0:4:4044</t>
  </si>
  <si>
    <t>3:200018:187#0:0:104000#0:4:5055</t>
  </si>
  <si>
    <t>3:200018:195#0:0:88000#0:4:4180</t>
  </si>
  <si>
    <t>3:200018:195#0:0:110000#0:4:5225</t>
  </si>
  <si>
    <t>3:200018:202#0:0:92800#0:4:4316</t>
  </si>
  <si>
    <t>3:200018:202#0:0:116000#0:4:5395</t>
  </si>
  <si>
    <t>3:200018:210#0:0:97600#0:4:4452</t>
  </si>
  <si>
    <t>3:200018:210#0:0:122000#0:4:5565</t>
  </si>
  <si>
    <t>3:200018:278#0:0:91200#0:4:4710</t>
  </si>
  <si>
    <t>3:200018:278#0:0:114000#0:4:5888</t>
  </si>
  <si>
    <t>3:200018:288#0:0:99200#0:4:4870</t>
  </si>
  <si>
    <t>3:200018:288#0:0:124000#0:4:6088</t>
  </si>
  <si>
    <t>3:200018:298#0:0:107200#0:4:5030</t>
  </si>
  <si>
    <t>3:200018:298#0:0:134000#0:4:6288</t>
  </si>
  <si>
    <t>3:200018:308#0:0:115200#0:4:5190</t>
  </si>
  <si>
    <t>3:200018:308#0:0:144000#0:4:6488</t>
  </si>
  <si>
    <t>3:200018:318#0:0:123200#0:4:5350</t>
  </si>
  <si>
    <t>3:200018:318#0:0:154000#0:4:6688</t>
  </si>
  <si>
    <t>3:200018:328#0:0:131200#0:4:5510</t>
  </si>
  <si>
    <t>3:200018:328#0:0:164000#0:4:6888</t>
  </si>
  <si>
    <t>3:200018:338#0:0:139200#0:4:5670</t>
  </si>
  <si>
    <t>3:200018:338#0:0:174000#0:4:7088</t>
  </si>
  <si>
    <t>3:200018:450#0:0:200000#0:4:8000#3:100030:10000</t>
  </si>
  <si>
    <t>3:200018:290#0:0:112000#0:4:5800</t>
  </si>
  <si>
    <t>3:200018:290#0:0:140000#0:4:7250</t>
  </si>
  <si>
    <t>3:200018:303#0:0:121600#0:4:6000</t>
  </si>
  <si>
    <t>3:200018:303#0:0:152000#0:4:7500</t>
  </si>
  <si>
    <t>3:200018:315#0:0:131200#0:4:6200</t>
  </si>
  <si>
    <t>3:200018:315#0:0:164000#0:4:7750</t>
  </si>
  <si>
    <t>3:200018:328#0:0:140800#0:4:6400</t>
  </si>
  <si>
    <t>3:200018:328#0:0:176000#0:4:8000</t>
  </si>
  <si>
    <t>3:200018:340#0:0:150400#0:4:6600</t>
  </si>
  <si>
    <t>3:200018:340#0:0:188000#0:4:8250</t>
  </si>
  <si>
    <t>3:200018:353#0:0:160000#0:4:6800</t>
  </si>
  <si>
    <t>3:200018:353#0:0:200000#0:4:8500</t>
  </si>
  <si>
    <t>3:200018:365#0:0:169600#0:4:7000</t>
  </si>
  <si>
    <t>3:200018:365#0:0:212000#0:4:8750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</si>
</sst>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 "/>
    <numFmt numFmtId="165" formatCode="0_ 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微软雅黑"/>
      <charset val="134"/>
    </font>
    <font>
      <sz val="11"/>
      <color indexed="8"/>
      <name val="微软雅黑"/>
      <charset val="134"/>
    </font>
    <font>
      <sz val="11"/>
      <color indexed="8"/>
      <name val="等线"/>
      <charset val="134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11"/>
      <color rgb="FF000000"/>
      <name val="Calibri"/>
      <family val="2"/>
      <scheme val="minor"/>
    </font>
    <font>
      <sz val="9"/>
      <name val="宋体"/>
      <charset val="134"/>
    </font>
    <font>
      <b/>
      <sz val="9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8" tint="0.799920651875362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15" borderId="2" applyNumberFormat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Fill="1" applyBorder="1" applyAlignment="1"/>
    <xf numFmtId="0" fontId="0" fillId="0" borderId="0" xfId="0" applyAlignment="1">
      <alignment horizontal="center"/>
    </xf>
    <xf numFmtId="0" fontId="6" fillId="15" borderId="2" xfId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0" fontId="6" fillId="15" borderId="1" xfId="1" applyBorder="1" applyAlignment="1">
      <alignment horizontal="center"/>
    </xf>
    <xf numFmtId="49" fontId="6" fillId="15" borderId="1" xfId="1" applyNumberFormat="1" applyBorder="1" applyAlignment="1">
      <alignment horizontal="center"/>
    </xf>
    <xf numFmtId="49" fontId="7" fillId="0" borderId="1" xfId="0" applyNumberFormat="1" applyFont="1" applyFill="1" applyBorder="1" applyAlignment="1" applyProtection="1">
      <alignment horizontal="left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left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/>
    </xf>
    <xf numFmtId="0" fontId="6" fillId="15" borderId="2" xfId="1" applyAlignment="1"/>
    <xf numFmtId="0" fontId="0" fillId="16" borderId="0" xfId="0" applyNumberForma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1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15" borderId="2" xfId="1" applyAlignment="1">
      <alignment horizontal="center" vertical="center"/>
    </xf>
    <xf numFmtId="0" fontId="6" fillId="15" borderId="2" xfId="1" applyAlignment="1">
      <alignment horizontal="left" vertical="center"/>
    </xf>
    <xf numFmtId="0" fontId="0" fillId="11" borderId="0" xfId="0" applyNumberFormat="1" applyFill="1" applyAlignment="1">
      <alignment horizontal="center" vertical="center"/>
    </xf>
    <xf numFmtId="0" fontId="10" fillId="11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NumberFormat="1" applyFill="1" applyAlignment="1">
      <alignment horizontal="center" vertical="center"/>
    </xf>
    <xf numFmtId="0" fontId="10" fillId="0" borderId="0" xfId="0" applyFont="1" applyFill="1" applyAlignment="1">
      <alignment horizontal="left"/>
    </xf>
    <xf numFmtId="0" fontId="0" fillId="5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1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3" borderId="0" xfId="0" applyFill="1"/>
    <xf numFmtId="0" fontId="0" fillId="19" borderId="0" xfId="0" applyFill="1"/>
    <xf numFmtId="0" fontId="0" fillId="20" borderId="0" xfId="0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65" fontId="0" fillId="0" borderId="0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0" fillId="3" borderId="1" xfId="0" applyNumberForma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right"/>
    </xf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right"/>
    </xf>
    <xf numFmtId="0" fontId="4" fillId="19" borderId="1" xfId="0" applyFont="1" applyFill="1" applyBorder="1" applyAlignment="1">
      <alignment horizontal="center"/>
    </xf>
    <xf numFmtId="164" fontId="4" fillId="19" borderId="1" xfId="0" applyNumberFormat="1" applyFont="1" applyFill="1" applyBorder="1" applyAlignment="1">
      <alignment horizontal="right"/>
    </xf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right"/>
    </xf>
    <xf numFmtId="0" fontId="4" fillId="20" borderId="1" xfId="0" applyFont="1" applyFill="1" applyBorder="1" applyAlignment="1">
      <alignment horizontal="center"/>
    </xf>
    <xf numFmtId="164" fontId="4" fillId="20" borderId="1" xfId="0" applyNumberFormat="1" applyFont="1" applyFill="1" applyBorder="1" applyAlignment="1">
      <alignment horizontal="right"/>
    </xf>
    <xf numFmtId="165" fontId="6" fillId="15" borderId="2" xfId="1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0" fontId="12" fillId="21" borderId="3" xfId="0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left"/>
    </xf>
    <xf numFmtId="0" fontId="4" fillId="21" borderId="3" xfId="0" applyFont="1" applyFill="1" applyBorder="1" applyAlignment="1">
      <alignment horizontal="center"/>
    </xf>
    <xf numFmtId="165" fontId="0" fillId="19" borderId="1" xfId="0" applyNumberFormat="1" applyFill="1" applyBorder="1" applyAlignment="1">
      <alignment horizontal="left"/>
    </xf>
    <xf numFmtId="0" fontId="12" fillId="22" borderId="3" xfId="0" applyFont="1" applyFill="1" applyBorder="1" applyAlignment="1">
      <alignment horizontal="center"/>
    </xf>
    <xf numFmtId="165" fontId="4" fillId="19" borderId="1" xfId="0" applyNumberFormat="1" applyFont="1" applyFill="1" applyBorder="1" applyAlignment="1">
      <alignment horizontal="left"/>
    </xf>
    <xf numFmtId="0" fontId="4" fillId="22" borderId="3" xfId="0" applyFont="1" applyFill="1" applyBorder="1" applyAlignment="1">
      <alignment horizontal="center"/>
    </xf>
    <xf numFmtId="165" fontId="0" fillId="20" borderId="1" xfId="0" applyNumberFormat="1" applyFill="1" applyBorder="1" applyAlignment="1">
      <alignment horizontal="left"/>
    </xf>
    <xf numFmtId="0" fontId="12" fillId="23" borderId="3" xfId="0" applyFont="1" applyFill="1" applyBorder="1" applyAlignment="1">
      <alignment horizontal="center"/>
    </xf>
    <xf numFmtId="165" fontId="4" fillId="20" borderId="1" xfId="0" applyNumberFormat="1" applyFont="1" applyFill="1" applyBorder="1" applyAlignment="1">
      <alignment horizontal="left"/>
    </xf>
    <xf numFmtId="0" fontId="4" fillId="23" borderId="3" xfId="0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5" fillId="0" borderId="0" xfId="0" applyFont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9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165" fontId="1" fillId="3" borderId="1" xfId="0" applyNumberFormat="1" applyFont="1" applyFill="1" applyBorder="1" applyAlignment="1">
      <alignment horizontal="left"/>
    </xf>
    <xf numFmtId="165" fontId="1" fillId="19" borderId="1" xfId="0" applyNumberFormat="1" applyFont="1" applyFill="1" applyBorder="1" applyAlignment="1">
      <alignment horizontal="left"/>
    </xf>
    <xf numFmtId="165" fontId="1" fillId="20" borderId="1" xfId="0" applyNumberFormat="1" applyFont="1" applyFill="1" applyBorder="1" applyAlignment="1">
      <alignment horizontal="left"/>
    </xf>
    <xf numFmtId="165" fontId="1" fillId="0" borderId="1" xfId="0" applyNumberFormat="1" applyFont="1" applyBorder="1" applyAlignment="1">
      <alignment horizontal="left"/>
    </xf>
  </cellXfs>
  <cellStyles count="2">
    <cellStyle name="Calculation" xfId="1" builtinId="22"/>
    <cellStyle name="Normal" xfId="0" builtinId="0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:B5"/>
    </sheetView>
  </sheetViews>
  <sheetFormatPr defaultColWidth="9" defaultRowHeight="15"/>
  <cols>
    <col min="1" max="1" width="9" style="43"/>
    <col min="2" max="2" width="39.140625" bestFit="1" customWidth="1"/>
    <col min="3" max="3" width="52" style="100" bestFit="1" customWidth="1"/>
    <col min="4" max="4" width="9.7109375" customWidth="1"/>
    <col min="5" max="5" width="11.5703125" customWidth="1"/>
  </cols>
  <sheetData>
    <row r="1" spans="1:5">
      <c r="A1" s="45" t="s">
        <v>0</v>
      </c>
      <c r="B1" s="29" t="s">
        <v>1</v>
      </c>
      <c r="C1" s="45" t="s">
        <v>2</v>
      </c>
      <c r="D1" s="29" t="s">
        <v>3</v>
      </c>
      <c r="E1" s="29" t="s">
        <v>4</v>
      </c>
    </row>
    <row r="2" spans="1:5">
      <c r="A2" s="43">
        <v>1</v>
      </c>
      <c r="B2" s="2" t="s">
        <v>219</v>
      </c>
      <c r="C2" s="101" t="s">
        <v>5</v>
      </c>
      <c r="D2" s="28">
        <v>1</v>
      </c>
      <c r="E2" s="102">
        <v>2</v>
      </c>
    </row>
    <row r="3" spans="1:5">
      <c r="A3" s="43">
        <v>2</v>
      </c>
      <c r="B3" s="2" t="s">
        <v>220</v>
      </c>
      <c r="C3" s="101" t="s">
        <v>6</v>
      </c>
      <c r="D3" s="28">
        <v>2</v>
      </c>
      <c r="E3" s="102" t="s">
        <v>7</v>
      </c>
    </row>
    <row r="4" spans="1:5">
      <c r="A4" s="43">
        <v>3</v>
      </c>
      <c r="B4" s="2" t="s">
        <v>221</v>
      </c>
      <c r="C4" s="101" t="s">
        <v>8</v>
      </c>
      <c r="D4" s="28">
        <v>3</v>
      </c>
      <c r="E4" s="102"/>
    </row>
    <row r="5" spans="1:5">
      <c r="A5" s="43">
        <v>4</v>
      </c>
      <c r="B5" s="2" t="s">
        <v>222</v>
      </c>
      <c r="C5" s="101" t="s">
        <v>9</v>
      </c>
      <c r="D5" s="28">
        <v>4</v>
      </c>
      <c r="E5" s="102"/>
    </row>
    <row r="6" spans="1:5">
      <c r="D6" s="28"/>
      <c r="E6" s="103"/>
    </row>
    <row r="14" spans="1:5" ht="14.25" customHeigh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D13"/>
  <sheetViews>
    <sheetView workbookViewId="0">
      <selection activeCell="L34" sqref="L34"/>
    </sheetView>
  </sheetViews>
  <sheetFormatPr defaultColWidth="9" defaultRowHeight="15"/>
  <cols>
    <col min="1" max="4" width="9" style="28"/>
  </cols>
  <sheetData>
    <row r="1" spans="1:4">
      <c r="A1" s="29" t="s">
        <v>0</v>
      </c>
      <c r="B1" s="29" t="s">
        <v>10</v>
      </c>
      <c r="C1" s="29" t="s">
        <v>11</v>
      </c>
      <c r="D1" s="29" t="s">
        <v>12</v>
      </c>
    </row>
    <row r="2" spans="1:4">
      <c r="A2" s="28">
        <v>1</v>
      </c>
      <c r="B2" s="28">
        <v>1</v>
      </c>
      <c r="C2" s="28">
        <v>1</v>
      </c>
      <c r="D2" s="28">
        <v>100</v>
      </c>
    </row>
    <row r="3" spans="1:4">
      <c r="A3" s="28">
        <v>2</v>
      </c>
      <c r="B3" s="28">
        <v>2</v>
      </c>
      <c r="C3" s="28">
        <v>1</v>
      </c>
      <c r="D3" s="28">
        <v>100</v>
      </c>
    </row>
    <row r="4" spans="1:4">
      <c r="A4" s="28">
        <v>3</v>
      </c>
      <c r="B4" s="28">
        <v>3</v>
      </c>
      <c r="C4" s="28">
        <v>1</v>
      </c>
      <c r="D4" s="28">
        <v>100</v>
      </c>
    </row>
    <row r="5" spans="1:4">
      <c r="A5" s="28">
        <v>4</v>
      </c>
      <c r="B5" s="28">
        <v>4</v>
      </c>
      <c r="C5" s="28">
        <v>2</v>
      </c>
      <c r="D5" s="28">
        <v>100</v>
      </c>
    </row>
    <row r="6" spans="1:4">
      <c r="A6" s="28">
        <v>5</v>
      </c>
      <c r="B6" s="28">
        <v>5</v>
      </c>
      <c r="C6" s="28">
        <v>2</v>
      </c>
      <c r="D6" s="28">
        <v>100</v>
      </c>
    </row>
    <row r="7" spans="1:4">
      <c r="A7" s="28">
        <v>6</v>
      </c>
      <c r="B7" s="28">
        <v>6</v>
      </c>
      <c r="C7" s="28">
        <v>2</v>
      </c>
      <c r="D7" s="28">
        <v>100</v>
      </c>
    </row>
    <row r="8" spans="1:4">
      <c r="A8" s="28">
        <v>7</v>
      </c>
      <c r="B8" s="28">
        <v>7</v>
      </c>
      <c r="C8" s="28">
        <v>3</v>
      </c>
      <c r="D8" s="28">
        <v>100</v>
      </c>
    </row>
    <row r="9" spans="1:4">
      <c r="A9" s="28">
        <v>8</v>
      </c>
      <c r="B9" s="28">
        <v>8</v>
      </c>
      <c r="C9" s="28">
        <v>3</v>
      </c>
      <c r="D9" s="28">
        <v>100</v>
      </c>
    </row>
    <row r="10" spans="1:4">
      <c r="A10" s="28">
        <v>9</v>
      </c>
      <c r="B10" s="28">
        <v>9</v>
      </c>
      <c r="C10" s="28">
        <v>3</v>
      </c>
      <c r="D10" s="28">
        <v>100</v>
      </c>
    </row>
    <row r="11" spans="1:4">
      <c r="A11" s="28">
        <v>10</v>
      </c>
      <c r="B11" s="28">
        <v>10</v>
      </c>
      <c r="C11" s="28">
        <v>4</v>
      </c>
      <c r="D11" s="28">
        <v>100</v>
      </c>
    </row>
    <row r="12" spans="1:4">
      <c r="A12" s="28">
        <v>11</v>
      </c>
      <c r="B12" s="28">
        <v>11</v>
      </c>
      <c r="C12" s="28">
        <v>4</v>
      </c>
      <c r="D12" s="28">
        <v>100</v>
      </c>
    </row>
    <row r="13" spans="1:4">
      <c r="A13" s="28">
        <v>12</v>
      </c>
      <c r="B13" s="28">
        <v>12</v>
      </c>
      <c r="C13" s="28">
        <v>4</v>
      </c>
      <c r="D13" s="28">
        <v>100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G13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6" sqref="I6"/>
    </sheetView>
  </sheetViews>
  <sheetFormatPr defaultColWidth="9" defaultRowHeight="15"/>
  <cols>
    <col min="1" max="2" width="9.28515625" style="28" customWidth="1"/>
    <col min="3" max="3" width="12.140625" style="28" customWidth="1"/>
    <col min="4" max="6" width="9.42578125" style="96" customWidth="1"/>
    <col min="7" max="7" width="9.28515625" style="28" customWidth="1"/>
  </cols>
  <sheetData>
    <row r="1" spans="1:7">
      <c r="A1" s="29" t="s">
        <v>0</v>
      </c>
      <c r="B1" s="29" t="s">
        <v>13</v>
      </c>
      <c r="C1" s="29" t="s">
        <v>14</v>
      </c>
      <c r="D1" s="29" t="s">
        <v>15</v>
      </c>
      <c r="E1" s="29" t="s">
        <v>16</v>
      </c>
      <c r="F1" s="29" t="s">
        <v>17</v>
      </c>
      <c r="G1" s="29" t="s">
        <v>10</v>
      </c>
    </row>
    <row r="2" spans="1:7">
      <c r="A2" s="97">
        <v>1</v>
      </c>
      <c r="B2" s="97">
        <v>1</v>
      </c>
      <c r="C2" s="97">
        <v>1</v>
      </c>
      <c r="D2" s="7"/>
      <c r="E2" s="8">
        <v>0</v>
      </c>
      <c r="F2" s="7"/>
      <c r="G2" s="10">
        <v>1</v>
      </c>
    </row>
    <row r="3" spans="1:7">
      <c r="A3" s="97">
        <f>A2+1</f>
        <v>2</v>
      </c>
      <c r="B3" s="97">
        <v>2</v>
      </c>
      <c r="C3" s="97">
        <v>2</v>
      </c>
      <c r="D3" s="11">
        <v>1</v>
      </c>
      <c r="E3" s="13">
        <v>2</v>
      </c>
      <c r="F3" s="7"/>
      <c r="G3" s="10">
        <v>1</v>
      </c>
    </row>
    <row r="4" spans="1:7">
      <c r="A4" s="97">
        <f t="shared" ref="A4:A67" si="0">A3+1</f>
        <v>3</v>
      </c>
      <c r="B4" s="97">
        <v>3</v>
      </c>
      <c r="C4" s="97">
        <v>3</v>
      </c>
      <c r="D4" s="13">
        <v>2</v>
      </c>
      <c r="E4" s="13">
        <v>2</v>
      </c>
      <c r="F4" s="11">
        <v>1</v>
      </c>
      <c r="G4" s="10">
        <v>1</v>
      </c>
    </row>
    <row r="5" spans="1:7">
      <c r="A5" s="97">
        <f t="shared" si="0"/>
        <v>4</v>
      </c>
      <c r="B5" s="97">
        <v>4</v>
      </c>
      <c r="C5" s="97">
        <v>2</v>
      </c>
      <c r="D5" s="13">
        <v>2</v>
      </c>
      <c r="E5" s="13">
        <v>2</v>
      </c>
      <c r="F5" s="7"/>
      <c r="G5" s="10">
        <v>1</v>
      </c>
    </row>
    <row r="6" spans="1:7">
      <c r="A6" s="97">
        <f t="shared" si="0"/>
        <v>5</v>
      </c>
      <c r="B6" s="97">
        <v>5</v>
      </c>
      <c r="C6" s="97">
        <v>3</v>
      </c>
      <c r="D6" s="11">
        <v>1</v>
      </c>
      <c r="E6" s="11">
        <v>1</v>
      </c>
      <c r="F6" s="13">
        <v>2</v>
      </c>
      <c r="G6" s="10">
        <v>1</v>
      </c>
    </row>
    <row r="7" spans="1:7">
      <c r="A7" s="97">
        <f t="shared" si="0"/>
        <v>6</v>
      </c>
      <c r="B7" s="97">
        <v>6</v>
      </c>
      <c r="C7" s="97">
        <v>2</v>
      </c>
      <c r="D7" s="16">
        <v>6</v>
      </c>
      <c r="E7" s="13">
        <v>2</v>
      </c>
      <c r="F7" s="7"/>
      <c r="G7" s="10">
        <v>1</v>
      </c>
    </row>
    <row r="8" spans="1:7">
      <c r="A8" s="97">
        <f t="shared" si="0"/>
        <v>7</v>
      </c>
      <c r="B8" s="97">
        <v>7</v>
      </c>
      <c r="C8" s="97">
        <v>3</v>
      </c>
      <c r="D8" s="11">
        <v>1</v>
      </c>
      <c r="E8" s="13">
        <v>2</v>
      </c>
      <c r="F8" s="11">
        <v>1</v>
      </c>
      <c r="G8" s="10">
        <v>1</v>
      </c>
    </row>
    <row r="9" spans="1:7">
      <c r="A9" s="97">
        <f t="shared" si="0"/>
        <v>8</v>
      </c>
      <c r="B9" s="97">
        <v>8</v>
      </c>
      <c r="C9" s="97">
        <v>2</v>
      </c>
      <c r="D9" s="13">
        <v>2</v>
      </c>
      <c r="E9" s="16">
        <v>6</v>
      </c>
      <c r="F9" s="7"/>
      <c r="G9" s="10">
        <v>1</v>
      </c>
    </row>
    <row r="10" spans="1:7">
      <c r="A10" s="97">
        <f t="shared" si="0"/>
        <v>9</v>
      </c>
      <c r="B10" s="97">
        <v>9</v>
      </c>
      <c r="C10" s="97">
        <v>3</v>
      </c>
      <c r="D10" s="11">
        <v>1</v>
      </c>
      <c r="E10" s="13">
        <v>2</v>
      </c>
      <c r="F10" s="13">
        <v>2</v>
      </c>
      <c r="G10" s="10">
        <v>1</v>
      </c>
    </row>
    <row r="11" spans="1:7">
      <c r="A11" s="97">
        <f t="shared" si="0"/>
        <v>10</v>
      </c>
      <c r="B11" s="97">
        <v>10</v>
      </c>
      <c r="C11" s="97">
        <v>2</v>
      </c>
      <c r="D11" s="16">
        <v>6</v>
      </c>
      <c r="E11" s="17">
        <v>7</v>
      </c>
      <c r="F11" s="7"/>
      <c r="G11" s="10">
        <v>1</v>
      </c>
    </row>
    <row r="12" spans="1:7">
      <c r="A12" s="97">
        <f t="shared" si="0"/>
        <v>11</v>
      </c>
      <c r="B12" s="97">
        <v>11</v>
      </c>
      <c r="C12" s="97">
        <v>1</v>
      </c>
      <c r="D12" s="7"/>
      <c r="E12" s="8">
        <v>3</v>
      </c>
      <c r="F12" s="7"/>
      <c r="G12" s="10">
        <v>1</v>
      </c>
    </row>
    <row r="13" spans="1:7">
      <c r="A13" s="97">
        <f t="shared" si="0"/>
        <v>12</v>
      </c>
      <c r="B13" s="97">
        <v>1</v>
      </c>
      <c r="C13" s="97">
        <v>1</v>
      </c>
      <c r="D13" s="20"/>
      <c r="E13" s="8">
        <v>0</v>
      </c>
      <c r="F13" s="20"/>
      <c r="G13" s="10">
        <f>G2+1</f>
        <v>2</v>
      </c>
    </row>
    <row r="14" spans="1:7">
      <c r="A14" s="97">
        <f t="shared" si="0"/>
        <v>13</v>
      </c>
      <c r="B14" s="97">
        <v>2</v>
      </c>
      <c r="C14" s="97">
        <v>2</v>
      </c>
      <c r="D14" s="11">
        <v>1</v>
      </c>
      <c r="E14" s="13">
        <v>2</v>
      </c>
      <c r="F14" s="20"/>
      <c r="G14" s="10">
        <f t="shared" ref="G14:G77" si="1">G3+1</f>
        <v>2</v>
      </c>
    </row>
    <row r="15" spans="1:7">
      <c r="A15" s="97">
        <f t="shared" si="0"/>
        <v>14</v>
      </c>
      <c r="B15" s="97">
        <v>3</v>
      </c>
      <c r="C15" s="97">
        <v>3</v>
      </c>
      <c r="D15" s="13">
        <v>2</v>
      </c>
      <c r="E15" s="13">
        <v>2</v>
      </c>
      <c r="F15" s="11">
        <v>1</v>
      </c>
      <c r="G15" s="10">
        <f t="shared" si="1"/>
        <v>2</v>
      </c>
    </row>
    <row r="16" spans="1:7">
      <c r="A16" s="97">
        <f t="shared" si="0"/>
        <v>15</v>
      </c>
      <c r="B16" s="97">
        <v>4</v>
      </c>
      <c r="C16" s="97">
        <v>2</v>
      </c>
      <c r="D16" s="11">
        <v>1</v>
      </c>
      <c r="E16" s="13">
        <v>2</v>
      </c>
      <c r="F16" s="20"/>
      <c r="G16" s="10">
        <f t="shared" si="1"/>
        <v>2</v>
      </c>
    </row>
    <row r="17" spans="1:7">
      <c r="A17" s="97">
        <f t="shared" si="0"/>
        <v>16</v>
      </c>
      <c r="B17" s="97">
        <v>5</v>
      </c>
      <c r="C17" s="97">
        <v>3</v>
      </c>
      <c r="D17" s="13">
        <v>2</v>
      </c>
      <c r="E17" s="13">
        <v>2</v>
      </c>
      <c r="F17" s="13">
        <v>2</v>
      </c>
      <c r="G17" s="10">
        <f t="shared" si="1"/>
        <v>2</v>
      </c>
    </row>
    <row r="18" spans="1:7">
      <c r="A18" s="97">
        <f t="shared" si="0"/>
        <v>17</v>
      </c>
      <c r="B18" s="97">
        <v>6</v>
      </c>
      <c r="C18" s="97">
        <v>2</v>
      </c>
      <c r="D18" s="11">
        <v>1</v>
      </c>
      <c r="E18" s="13">
        <v>2</v>
      </c>
      <c r="F18" s="20"/>
      <c r="G18" s="10">
        <f t="shared" si="1"/>
        <v>2</v>
      </c>
    </row>
    <row r="19" spans="1:7">
      <c r="A19" s="97">
        <f t="shared" si="0"/>
        <v>18</v>
      </c>
      <c r="B19" s="97">
        <v>7</v>
      </c>
      <c r="C19" s="97">
        <v>3</v>
      </c>
      <c r="D19" s="13">
        <v>2</v>
      </c>
      <c r="E19" s="13">
        <v>2</v>
      </c>
      <c r="F19" s="11">
        <v>1</v>
      </c>
      <c r="G19" s="10">
        <f t="shared" si="1"/>
        <v>2</v>
      </c>
    </row>
    <row r="20" spans="1:7">
      <c r="A20" s="97">
        <f t="shared" si="0"/>
        <v>19</v>
      </c>
      <c r="B20" s="97">
        <v>8</v>
      </c>
      <c r="C20" s="97">
        <v>2</v>
      </c>
      <c r="D20" s="16">
        <v>6</v>
      </c>
      <c r="E20" s="11">
        <v>1</v>
      </c>
      <c r="F20" s="20"/>
      <c r="G20" s="10">
        <f t="shared" si="1"/>
        <v>2</v>
      </c>
    </row>
    <row r="21" spans="1:7">
      <c r="A21" s="97">
        <f t="shared" si="0"/>
        <v>20</v>
      </c>
      <c r="B21" s="97">
        <v>9</v>
      </c>
      <c r="C21" s="97">
        <v>3</v>
      </c>
      <c r="D21" s="13">
        <v>2</v>
      </c>
      <c r="E21" s="11">
        <v>1</v>
      </c>
      <c r="F21" s="16">
        <v>6</v>
      </c>
      <c r="G21" s="10">
        <f t="shared" si="1"/>
        <v>2</v>
      </c>
    </row>
    <row r="22" spans="1:7">
      <c r="A22" s="97">
        <f t="shared" si="0"/>
        <v>21</v>
      </c>
      <c r="B22" s="97">
        <v>10</v>
      </c>
      <c r="C22" s="97">
        <v>2</v>
      </c>
      <c r="D22" s="8">
        <v>6</v>
      </c>
      <c r="E22" s="17">
        <v>7</v>
      </c>
      <c r="F22" s="20"/>
      <c r="G22" s="10">
        <f t="shared" si="1"/>
        <v>2</v>
      </c>
    </row>
    <row r="23" spans="1:7">
      <c r="A23" s="97">
        <f t="shared" si="0"/>
        <v>22</v>
      </c>
      <c r="B23" s="97">
        <v>11</v>
      </c>
      <c r="C23" s="97">
        <v>1</v>
      </c>
      <c r="D23" s="20"/>
      <c r="E23" s="8">
        <v>3</v>
      </c>
      <c r="F23" s="20"/>
      <c r="G23" s="10">
        <f t="shared" si="1"/>
        <v>2</v>
      </c>
    </row>
    <row r="24" spans="1:7">
      <c r="A24" s="97">
        <f t="shared" si="0"/>
        <v>23</v>
      </c>
      <c r="B24" s="97">
        <v>1</v>
      </c>
      <c r="C24" s="97">
        <v>1</v>
      </c>
      <c r="D24" s="20"/>
      <c r="E24" s="8">
        <v>0</v>
      </c>
      <c r="F24" s="20"/>
      <c r="G24" s="10">
        <f t="shared" si="1"/>
        <v>3</v>
      </c>
    </row>
    <row r="25" spans="1:7">
      <c r="A25" s="97">
        <f t="shared" si="0"/>
        <v>24</v>
      </c>
      <c r="B25" s="97">
        <v>2</v>
      </c>
      <c r="C25" s="97">
        <v>2</v>
      </c>
      <c r="D25" s="13">
        <v>2</v>
      </c>
      <c r="E25" s="11">
        <v>1</v>
      </c>
      <c r="F25" s="20"/>
      <c r="G25" s="10">
        <f t="shared" si="1"/>
        <v>3</v>
      </c>
    </row>
    <row r="26" spans="1:7">
      <c r="A26" s="97">
        <f t="shared" si="0"/>
        <v>25</v>
      </c>
      <c r="B26" s="97">
        <v>3</v>
      </c>
      <c r="C26" s="97">
        <v>3</v>
      </c>
      <c r="D26" s="11">
        <v>1</v>
      </c>
      <c r="E26" s="13">
        <v>2</v>
      </c>
      <c r="F26" s="13">
        <v>2</v>
      </c>
      <c r="G26" s="10">
        <f t="shared" si="1"/>
        <v>3</v>
      </c>
    </row>
    <row r="27" spans="1:7">
      <c r="A27" s="97">
        <f t="shared" si="0"/>
        <v>26</v>
      </c>
      <c r="B27" s="97">
        <v>4</v>
      </c>
      <c r="C27" s="97">
        <v>2</v>
      </c>
      <c r="D27" s="13">
        <v>2</v>
      </c>
      <c r="E27" s="13">
        <v>2</v>
      </c>
      <c r="F27" s="20"/>
      <c r="G27" s="10">
        <f t="shared" si="1"/>
        <v>3</v>
      </c>
    </row>
    <row r="28" spans="1:7">
      <c r="A28" s="97">
        <f t="shared" si="0"/>
        <v>27</v>
      </c>
      <c r="B28" s="97">
        <v>5</v>
      </c>
      <c r="C28" s="97">
        <v>3</v>
      </c>
      <c r="D28" s="11">
        <v>1</v>
      </c>
      <c r="E28" s="13">
        <v>2</v>
      </c>
      <c r="F28" s="11">
        <v>1</v>
      </c>
      <c r="G28" s="10">
        <f t="shared" si="1"/>
        <v>3</v>
      </c>
    </row>
    <row r="29" spans="1:7">
      <c r="A29" s="97">
        <f t="shared" si="0"/>
        <v>28</v>
      </c>
      <c r="B29" s="97">
        <v>6</v>
      </c>
      <c r="C29" s="97">
        <v>2</v>
      </c>
      <c r="D29" s="13">
        <v>2</v>
      </c>
      <c r="E29" s="13">
        <v>2</v>
      </c>
      <c r="F29" s="20"/>
      <c r="G29" s="10">
        <f t="shared" si="1"/>
        <v>3</v>
      </c>
    </row>
    <row r="30" spans="1:7">
      <c r="A30" s="97">
        <f t="shared" si="0"/>
        <v>29</v>
      </c>
      <c r="B30" s="97">
        <v>7</v>
      </c>
      <c r="C30" s="97">
        <v>3</v>
      </c>
      <c r="D30" s="16">
        <v>6</v>
      </c>
      <c r="E30" s="13">
        <v>2</v>
      </c>
      <c r="F30" s="11">
        <v>1</v>
      </c>
      <c r="G30" s="10">
        <f t="shared" si="1"/>
        <v>3</v>
      </c>
    </row>
    <row r="31" spans="1:7">
      <c r="A31" s="97">
        <f t="shared" si="0"/>
        <v>30</v>
      </c>
      <c r="B31" s="97">
        <v>8</v>
      </c>
      <c r="C31" s="97">
        <v>2</v>
      </c>
      <c r="D31" s="11">
        <v>1</v>
      </c>
      <c r="E31" s="13">
        <v>2</v>
      </c>
      <c r="F31" s="20"/>
      <c r="G31" s="10">
        <f t="shared" si="1"/>
        <v>3</v>
      </c>
    </row>
    <row r="32" spans="1:7">
      <c r="A32" s="97">
        <f t="shared" si="0"/>
        <v>31</v>
      </c>
      <c r="B32" s="97">
        <v>9</v>
      </c>
      <c r="C32" s="97">
        <v>3</v>
      </c>
      <c r="D32" s="16">
        <v>6</v>
      </c>
      <c r="E32" s="13">
        <v>2</v>
      </c>
      <c r="F32" s="11">
        <v>1</v>
      </c>
      <c r="G32" s="10">
        <f t="shared" si="1"/>
        <v>3</v>
      </c>
    </row>
    <row r="33" spans="1:7">
      <c r="A33" s="97">
        <f t="shared" si="0"/>
        <v>32</v>
      </c>
      <c r="B33" s="97">
        <v>10</v>
      </c>
      <c r="C33" s="97">
        <v>2</v>
      </c>
      <c r="D33" s="8">
        <v>6</v>
      </c>
      <c r="E33" s="17">
        <v>7</v>
      </c>
      <c r="F33" s="20"/>
      <c r="G33" s="10">
        <f t="shared" si="1"/>
        <v>3</v>
      </c>
    </row>
    <row r="34" spans="1:7">
      <c r="A34" s="97">
        <f t="shared" si="0"/>
        <v>33</v>
      </c>
      <c r="B34" s="97">
        <v>11</v>
      </c>
      <c r="C34" s="97">
        <v>1</v>
      </c>
      <c r="D34" s="20"/>
      <c r="E34" s="8">
        <v>3</v>
      </c>
      <c r="F34" s="20"/>
      <c r="G34" s="10">
        <f t="shared" si="1"/>
        <v>3</v>
      </c>
    </row>
    <row r="35" spans="1:7">
      <c r="A35" s="98">
        <f t="shared" si="0"/>
        <v>34</v>
      </c>
      <c r="B35" s="98">
        <v>1</v>
      </c>
      <c r="C35" s="98">
        <v>1</v>
      </c>
      <c r="D35" s="20"/>
      <c r="E35" s="21">
        <v>0</v>
      </c>
      <c r="F35" s="20"/>
      <c r="G35" s="10">
        <f t="shared" si="1"/>
        <v>4</v>
      </c>
    </row>
    <row r="36" spans="1:7">
      <c r="A36" s="98">
        <f t="shared" si="0"/>
        <v>35</v>
      </c>
      <c r="B36" s="98">
        <v>2</v>
      </c>
      <c r="C36" s="98">
        <v>2</v>
      </c>
      <c r="D36" s="13">
        <v>2</v>
      </c>
      <c r="E36" s="16">
        <v>6</v>
      </c>
      <c r="F36" s="20"/>
      <c r="G36" s="10">
        <f t="shared" si="1"/>
        <v>4</v>
      </c>
    </row>
    <row r="37" spans="1:7">
      <c r="A37" s="98">
        <f t="shared" si="0"/>
        <v>36</v>
      </c>
      <c r="B37" s="98">
        <v>3</v>
      </c>
      <c r="C37" s="98">
        <v>3</v>
      </c>
      <c r="D37" s="11">
        <v>1</v>
      </c>
      <c r="E37" s="13">
        <v>2</v>
      </c>
      <c r="F37" s="13">
        <v>2</v>
      </c>
      <c r="G37" s="10">
        <f t="shared" si="1"/>
        <v>4</v>
      </c>
    </row>
    <row r="38" spans="1:7">
      <c r="A38" s="98">
        <f t="shared" si="0"/>
        <v>37</v>
      </c>
      <c r="B38" s="98">
        <v>4</v>
      </c>
      <c r="C38" s="98">
        <v>2</v>
      </c>
      <c r="D38" s="13">
        <v>2</v>
      </c>
      <c r="E38" s="11">
        <v>1</v>
      </c>
      <c r="F38" s="20"/>
      <c r="G38" s="10">
        <f t="shared" si="1"/>
        <v>4</v>
      </c>
    </row>
    <row r="39" spans="1:7">
      <c r="A39" s="98">
        <f t="shared" si="0"/>
        <v>38</v>
      </c>
      <c r="B39" s="98">
        <v>5</v>
      </c>
      <c r="C39" s="98">
        <v>3</v>
      </c>
      <c r="D39" s="11">
        <v>1</v>
      </c>
      <c r="E39" s="99">
        <v>8</v>
      </c>
      <c r="F39" s="11">
        <v>1</v>
      </c>
      <c r="G39" s="10">
        <f t="shared" si="1"/>
        <v>4</v>
      </c>
    </row>
    <row r="40" spans="1:7">
      <c r="A40" s="98">
        <f t="shared" si="0"/>
        <v>39</v>
      </c>
      <c r="B40" s="98">
        <v>6</v>
      </c>
      <c r="C40" s="98">
        <v>2</v>
      </c>
      <c r="D40" s="13">
        <v>2</v>
      </c>
      <c r="E40" s="13">
        <v>2</v>
      </c>
      <c r="F40" s="20"/>
      <c r="G40" s="10">
        <f t="shared" si="1"/>
        <v>4</v>
      </c>
    </row>
    <row r="41" spans="1:7">
      <c r="A41" s="98">
        <f t="shared" si="0"/>
        <v>40</v>
      </c>
      <c r="B41" s="98">
        <v>7</v>
      </c>
      <c r="C41" s="98">
        <v>3</v>
      </c>
      <c r="D41" s="11">
        <v>1</v>
      </c>
      <c r="E41" s="16">
        <v>6</v>
      </c>
      <c r="F41" s="13">
        <v>2</v>
      </c>
      <c r="G41" s="10">
        <f t="shared" si="1"/>
        <v>4</v>
      </c>
    </row>
    <row r="42" spans="1:7">
      <c r="A42" s="98">
        <f t="shared" si="0"/>
        <v>41</v>
      </c>
      <c r="B42" s="98">
        <v>8</v>
      </c>
      <c r="C42" s="98">
        <v>2</v>
      </c>
      <c r="D42" s="11">
        <v>1</v>
      </c>
      <c r="E42" s="13">
        <v>2</v>
      </c>
      <c r="F42" s="20"/>
      <c r="G42" s="10">
        <f t="shared" si="1"/>
        <v>4</v>
      </c>
    </row>
    <row r="43" spans="1:7">
      <c r="A43" s="98">
        <f t="shared" si="0"/>
        <v>42</v>
      </c>
      <c r="B43" s="98">
        <v>9</v>
      </c>
      <c r="C43" s="98">
        <v>3</v>
      </c>
      <c r="D43" s="13">
        <v>2</v>
      </c>
      <c r="E43" s="11">
        <v>1</v>
      </c>
      <c r="F43" s="13">
        <v>2</v>
      </c>
      <c r="G43" s="10">
        <f t="shared" si="1"/>
        <v>4</v>
      </c>
    </row>
    <row r="44" spans="1:7">
      <c r="A44" s="98">
        <f t="shared" si="0"/>
        <v>43</v>
      </c>
      <c r="B44" s="98">
        <v>10</v>
      </c>
      <c r="C44" s="98">
        <v>2</v>
      </c>
      <c r="D44" s="16">
        <v>6</v>
      </c>
      <c r="E44" s="17">
        <v>7</v>
      </c>
      <c r="F44" s="20"/>
      <c r="G44" s="10">
        <f t="shared" si="1"/>
        <v>4</v>
      </c>
    </row>
    <row r="45" spans="1:7">
      <c r="A45" s="98">
        <f t="shared" si="0"/>
        <v>44</v>
      </c>
      <c r="B45" s="98">
        <v>11</v>
      </c>
      <c r="C45" s="98">
        <v>1</v>
      </c>
      <c r="D45" s="20"/>
      <c r="E45" s="8">
        <v>3</v>
      </c>
      <c r="F45" s="20"/>
      <c r="G45" s="10">
        <f t="shared" si="1"/>
        <v>4</v>
      </c>
    </row>
    <row r="46" spans="1:7">
      <c r="A46" s="98">
        <f t="shared" si="0"/>
        <v>45</v>
      </c>
      <c r="B46" s="98">
        <v>1</v>
      </c>
      <c r="C46" s="98">
        <v>1</v>
      </c>
      <c r="D46" s="20"/>
      <c r="E46" s="21">
        <v>0</v>
      </c>
      <c r="F46" s="20"/>
      <c r="G46" s="10">
        <f t="shared" si="1"/>
        <v>5</v>
      </c>
    </row>
    <row r="47" spans="1:7">
      <c r="A47" s="98">
        <f t="shared" si="0"/>
        <v>46</v>
      </c>
      <c r="B47" s="98">
        <v>2</v>
      </c>
      <c r="C47" s="98">
        <v>2</v>
      </c>
      <c r="D47" s="16">
        <v>6</v>
      </c>
      <c r="E47" s="13">
        <v>2</v>
      </c>
      <c r="F47" s="20"/>
      <c r="G47" s="10">
        <f t="shared" si="1"/>
        <v>5</v>
      </c>
    </row>
    <row r="48" spans="1:7">
      <c r="A48" s="98">
        <f t="shared" si="0"/>
        <v>47</v>
      </c>
      <c r="B48" s="98">
        <v>3</v>
      </c>
      <c r="C48" s="98">
        <v>3</v>
      </c>
      <c r="D48" s="13">
        <v>2</v>
      </c>
      <c r="E48" s="13">
        <v>2</v>
      </c>
      <c r="F48" s="11">
        <v>1</v>
      </c>
      <c r="G48" s="10">
        <f t="shared" si="1"/>
        <v>5</v>
      </c>
    </row>
    <row r="49" spans="1:7">
      <c r="A49" s="98">
        <f t="shared" si="0"/>
        <v>48</v>
      </c>
      <c r="B49" s="98">
        <v>4</v>
      </c>
      <c r="C49" s="98">
        <v>2</v>
      </c>
      <c r="D49" s="13">
        <v>2</v>
      </c>
      <c r="E49" s="11">
        <v>1</v>
      </c>
      <c r="F49" s="20"/>
      <c r="G49" s="10">
        <f t="shared" si="1"/>
        <v>5</v>
      </c>
    </row>
    <row r="50" spans="1:7">
      <c r="A50" s="98">
        <f t="shared" si="0"/>
        <v>49</v>
      </c>
      <c r="B50" s="98">
        <v>5</v>
      </c>
      <c r="C50" s="98">
        <v>3</v>
      </c>
      <c r="D50" s="11">
        <v>1</v>
      </c>
      <c r="E50" s="99">
        <v>8</v>
      </c>
      <c r="F50" s="13">
        <v>2</v>
      </c>
      <c r="G50" s="10">
        <f t="shared" si="1"/>
        <v>5</v>
      </c>
    </row>
    <row r="51" spans="1:7">
      <c r="A51" s="98">
        <f t="shared" si="0"/>
        <v>50</v>
      </c>
      <c r="B51" s="98">
        <v>6</v>
      </c>
      <c r="C51" s="98">
        <v>2</v>
      </c>
      <c r="D51" s="11">
        <v>1</v>
      </c>
      <c r="E51" s="13">
        <v>2</v>
      </c>
      <c r="F51" s="20"/>
      <c r="G51" s="10">
        <f t="shared" si="1"/>
        <v>5</v>
      </c>
    </row>
    <row r="52" spans="1:7">
      <c r="A52" s="98">
        <f t="shared" si="0"/>
        <v>51</v>
      </c>
      <c r="B52" s="98">
        <v>7</v>
      </c>
      <c r="C52" s="98">
        <v>3</v>
      </c>
      <c r="D52" s="13">
        <v>2</v>
      </c>
      <c r="E52" s="11">
        <v>1</v>
      </c>
      <c r="F52" s="11">
        <v>1</v>
      </c>
      <c r="G52" s="10">
        <f t="shared" si="1"/>
        <v>5</v>
      </c>
    </row>
    <row r="53" spans="1:7">
      <c r="A53" s="98">
        <f t="shared" si="0"/>
        <v>52</v>
      </c>
      <c r="B53" s="98">
        <v>8</v>
      </c>
      <c r="C53" s="98">
        <v>2</v>
      </c>
      <c r="D53" s="16">
        <v>6</v>
      </c>
      <c r="E53" s="13">
        <v>2</v>
      </c>
      <c r="F53" s="20"/>
      <c r="G53" s="10">
        <f t="shared" si="1"/>
        <v>5</v>
      </c>
    </row>
    <row r="54" spans="1:7">
      <c r="A54" s="98">
        <f t="shared" si="0"/>
        <v>53</v>
      </c>
      <c r="B54" s="98">
        <v>9</v>
      </c>
      <c r="C54" s="98">
        <v>3</v>
      </c>
      <c r="D54" s="11">
        <v>1</v>
      </c>
      <c r="E54" s="13">
        <v>2</v>
      </c>
      <c r="F54" s="13">
        <v>2</v>
      </c>
      <c r="G54" s="10">
        <f t="shared" si="1"/>
        <v>5</v>
      </c>
    </row>
    <row r="55" spans="1:7">
      <c r="A55" s="98">
        <f t="shared" si="0"/>
        <v>54</v>
      </c>
      <c r="B55" s="98">
        <v>10</v>
      </c>
      <c r="C55" s="98">
        <v>2</v>
      </c>
      <c r="D55" s="16">
        <v>6</v>
      </c>
      <c r="E55" s="17">
        <v>7</v>
      </c>
      <c r="F55" s="20"/>
      <c r="G55" s="10">
        <f t="shared" si="1"/>
        <v>5</v>
      </c>
    </row>
    <row r="56" spans="1:7">
      <c r="A56" s="98">
        <f t="shared" si="0"/>
        <v>55</v>
      </c>
      <c r="B56" s="98">
        <v>11</v>
      </c>
      <c r="C56" s="98">
        <v>1</v>
      </c>
      <c r="D56" s="20"/>
      <c r="E56" s="8">
        <v>3</v>
      </c>
      <c r="F56" s="20"/>
      <c r="G56" s="10">
        <f t="shared" si="1"/>
        <v>5</v>
      </c>
    </row>
    <row r="57" spans="1:7">
      <c r="A57" s="98">
        <f t="shared" si="0"/>
        <v>56</v>
      </c>
      <c r="B57" s="98">
        <v>1</v>
      </c>
      <c r="C57" s="98">
        <v>1</v>
      </c>
      <c r="D57" s="20"/>
      <c r="E57" s="21">
        <v>0</v>
      </c>
      <c r="F57" s="20"/>
      <c r="G57" s="10">
        <f t="shared" si="1"/>
        <v>6</v>
      </c>
    </row>
    <row r="58" spans="1:7">
      <c r="A58" s="98">
        <f t="shared" si="0"/>
        <v>57</v>
      </c>
      <c r="B58" s="98">
        <v>2</v>
      </c>
      <c r="C58" s="98">
        <v>2</v>
      </c>
      <c r="D58" s="13">
        <v>2</v>
      </c>
      <c r="E58" s="13">
        <v>2</v>
      </c>
      <c r="F58" s="20"/>
      <c r="G58" s="10">
        <f t="shared" si="1"/>
        <v>6</v>
      </c>
    </row>
    <row r="59" spans="1:7">
      <c r="A59" s="98">
        <f t="shared" si="0"/>
        <v>58</v>
      </c>
      <c r="B59" s="98">
        <v>3</v>
      </c>
      <c r="C59" s="98">
        <v>3</v>
      </c>
      <c r="D59" s="16">
        <v>6</v>
      </c>
      <c r="E59" s="11">
        <v>1</v>
      </c>
      <c r="F59" s="11">
        <v>1</v>
      </c>
      <c r="G59" s="10">
        <f t="shared" si="1"/>
        <v>6</v>
      </c>
    </row>
    <row r="60" spans="1:7">
      <c r="A60" s="98">
        <f t="shared" si="0"/>
        <v>59</v>
      </c>
      <c r="B60" s="98">
        <v>4</v>
      </c>
      <c r="C60" s="98">
        <v>2</v>
      </c>
      <c r="D60" s="13">
        <v>2</v>
      </c>
      <c r="E60" s="13">
        <v>2</v>
      </c>
      <c r="F60" s="20"/>
      <c r="G60" s="10">
        <f t="shared" si="1"/>
        <v>6</v>
      </c>
    </row>
    <row r="61" spans="1:7">
      <c r="A61" s="98">
        <f t="shared" si="0"/>
        <v>60</v>
      </c>
      <c r="B61" s="98">
        <v>5</v>
      </c>
      <c r="C61" s="98">
        <v>3</v>
      </c>
      <c r="D61" s="11">
        <v>1</v>
      </c>
      <c r="E61" s="13">
        <v>2</v>
      </c>
      <c r="F61" s="13">
        <v>2</v>
      </c>
      <c r="G61" s="10">
        <f t="shared" si="1"/>
        <v>6</v>
      </c>
    </row>
    <row r="62" spans="1:7">
      <c r="A62" s="98">
        <f t="shared" si="0"/>
        <v>61</v>
      </c>
      <c r="B62" s="98">
        <v>6</v>
      </c>
      <c r="C62" s="98">
        <v>2</v>
      </c>
      <c r="D62" s="13">
        <v>2</v>
      </c>
      <c r="E62" s="16">
        <v>6</v>
      </c>
      <c r="F62" s="20"/>
      <c r="G62" s="10">
        <f t="shared" si="1"/>
        <v>6</v>
      </c>
    </row>
    <row r="63" spans="1:7">
      <c r="A63" s="98">
        <f t="shared" si="0"/>
        <v>62</v>
      </c>
      <c r="B63" s="98">
        <v>7</v>
      </c>
      <c r="C63" s="98">
        <v>3</v>
      </c>
      <c r="D63" s="11">
        <v>1</v>
      </c>
      <c r="E63" s="13">
        <v>2</v>
      </c>
      <c r="F63" s="11">
        <v>1</v>
      </c>
      <c r="G63" s="10">
        <f t="shared" si="1"/>
        <v>6</v>
      </c>
    </row>
    <row r="64" spans="1:7">
      <c r="A64" s="98">
        <f t="shared" si="0"/>
        <v>63</v>
      </c>
      <c r="B64" s="98">
        <v>8</v>
      </c>
      <c r="C64" s="98">
        <v>2</v>
      </c>
      <c r="D64" s="11">
        <v>1</v>
      </c>
      <c r="E64" s="99">
        <v>8</v>
      </c>
      <c r="F64" s="20"/>
      <c r="G64" s="10">
        <f t="shared" si="1"/>
        <v>6</v>
      </c>
    </row>
    <row r="65" spans="1:7">
      <c r="A65" s="98">
        <f t="shared" si="0"/>
        <v>64</v>
      </c>
      <c r="B65" s="98">
        <v>9</v>
      </c>
      <c r="C65" s="98">
        <v>3</v>
      </c>
      <c r="D65" s="13">
        <v>2</v>
      </c>
      <c r="E65" s="13">
        <v>2</v>
      </c>
      <c r="F65" s="11">
        <v>1</v>
      </c>
      <c r="G65" s="10">
        <f t="shared" si="1"/>
        <v>6</v>
      </c>
    </row>
    <row r="66" spans="1:7">
      <c r="A66" s="98">
        <f t="shared" si="0"/>
        <v>65</v>
      </c>
      <c r="B66" s="98">
        <v>10</v>
      </c>
      <c r="C66" s="98">
        <v>2</v>
      </c>
      <c r="D66" s="16">
        <v>6</v>
      </c>
      <c r="E66" s="17">
        <v>7</v>
      </c>
      <c r="F66" s="20"/>
      <c r="G66" s="10">
        <f t="shared" si="1"/>
        <v>6</v>
      </c>
    </row>
    <row r="67" spans="1:7">
      <c r="A67" s="98">
        <f t="shared" si="0"/>
        <v>66</v>
      </c>
      <c r="B67" s="98">
        <v>11</v>
      </c>
      <c r="C67" s="98">
        <v>1</v>
      </c>
      <c r="D67" s="20"/>
      <c r="E67" s="8">
        <v>3</v>
      </c>
      <c r="F67" s="20"/>
      <c r="G67" s="10">
        <f t="shared" si="1"/>
        <v>6</v>
      </c>
    </row>
    <row r="68" spans="1:7">
      <c r="A68" s="74">
        <f t="shared" ref="A68:A131" si="2">A67+1</f>
        <v>67</v>
      </c>
      <c r="B68" s="74">
        <v>1</v>
      </c>
      <c r="C68" s="74">
        <v>1</v>
      </c>
      <c r="D68" s="10"/>
      <c r="E68" s="8">
        <v>0</v>
      </c>
      <c r="F68" s="10"/>
      <c r="G68" s="10">
        <f t="shared" si="1"/>
        <v>7</v>
      </c>
    </row>
    <row r="69" spans="1:7">
      <c r="A69" s="74">
        <f t="shared" si="2"/>
        <v>68</v>
      </c>
      <c r="B69" s="74">
        <v>2</v>
      </c>
      <c r="C69" s="74">
        <v>2</v>
      </c>
      <c r="D69" s="16">
        <v>6</v>
      </c>
      <c r="E69" s="17">
        <v>7</v>
      </c>
      <c r="F69" s="10"/>
      <c r="G69" s="10">
        <f t="shared" si="1"/>
        <v>7</v>
      </c>
    </row>
    <row r="70" spans="1:7">
      <c r="A70" s="74">
        <f t="shared" si="2"/>
        <v>69</v>
      </c>
      <c r="B70" s="74">
        <v>3</v>
      </c>
      <c r="C70" s="74">
        <v>3</v>
      </c>
      <c r="D70" s="11">
        <v>1</v>
      </c>
      <c r="E70" s="13">
        <v>2</v>
      </c>
      <c r="F70" s="11">
        <v>1</v>
      </c>
      <c r="G70" s="10">
        <f t="shared" si="1"/>
        <v>7</v>
      </c>
    </row>
    <row r="71" spans="1:7">
      <c r="A71" s="74">
        <f t="shared" si="2"/>
        <v>70</v>
      </c>
      <c r="B71" s="74">
        <v>4</v>
      </c>
      <c r="C71" s="74">
        <v>2</v>
      </c>
      <c r="D71" s="13">
        <v>2</v>
      </c>
      <c r="E71" s="13">
        <v>2</v>
      </c>
      <c r="F71" s="10"/>
      <c r="G71" s="10">
        <f t="shared" si="1"/>
        <v>7</v>
      </c>
    </row>
    <row r="72" spans="1:7">
      <c r="A72" s="74">
        <f t="shared" si="2"/>
        <v>71</v>
      </c>
      <c r="B72" s="74">
        <v>5</v>
      </c>
      <c r="C72" s="74">
        <v>3</v>
      </c>
      <c r="D72" s="11">
        <v>1</v>
      </c>
      <c r="E72" s="17">
        <v>7</v>
      </c>
      <c r="F72" s="13">
        <v>2</v>
      </c>
      <c r="G72" s="10">
        <f t="shared" si="1"/>
        <v>7</v>
      </c>
    </row>
    <row r="73" spans="1:7">
      <c r="A73" s="74">
        <f t="shared" si="2"/>
        <v>72</v>
      </c>
      <c r="B73" s="74">
        <v>6</v>
      </c>
      <c r="C73" s="74">
        <v>2</v>
      </c>
      <c r="D73" s="13">
        <v>2</v>
      </c>
      <c r="E73" s="11">
        <v>1</v>
      </c>
      <c r="F73" s="10"/>
      <c r="G73" s="10">
        <f t="shared" si="1"/>
        <v>7</v>
      </c>
    </row>
    <row r="74" spans="1:7">
      <c r="A74" s="74">
        <f t="shared" si="2"/>
        <v>73</v>
      </c>
      <c r="B74" s="74">
        <v>7</v>
      </c>
      <c r="C74" s="74">
        <v>3</v>
      </c>
      <c r="D74" s="22">
        <v>8</v>
      </c>
      <c r="E74" s="13">
        <v>2</v>
      </c>
      <c r="F74" s="13">
        <v>2</v>
      </c>
      <c r="G74" s="10">
        <f t="shared" si="1"/>
        <v>7</v>
      </c>
    </row>
    <row r="75" spans="1:7">
      <c r="A75" s="74">
        <f t="shared" si="2"/>
        <v>74</v>
      </c>
      <c r="B75" s="74">
        <v>8</v>
      </c>
      <c r="C75" s="74">
        <v>2</v>
      </c>
      <c r="D75" s="13">
        <v>2</v>
      </c>
      <c r="E75" s="16">
        <v>6</v>
      </c>
      <c r="F75" s="10"/>
      <c r="G75" s="10">
        <f t="shared" si="1"/>
        <v>7</v>
      </c>
    </row>
    <row r="76" spans="1:7">
      <c r="A76" s="74">
        <f t="shared" si="2"/>
        <v>75</v>
      </c>
      <c r="B76" s="74">
        <v>9</v>
      </c>
      <c r="C76" s="74">
        <v>3</v>
      </c>
      <c r="D76" s="13">
        <v>2</v>
      </c>
      <c r="E76" s="11">
        <v>1</v>
      </c>
      <c r="F76" s="13">
        <v>2</v>
      </c>
      <c r="G76" s="10">
        <f t="shared" si="1"/>
        <v>7</v>
      </c>
    </row>
    <row r="77" spans="1:7">
      <c r="A77" s="74">
        <f t="shared" si="2"/>
        <v>76</v>
      </c>
      <c r="B77" s="74">
        <v>10</v>
      </c>
      <c r="C77" s="74">
        <v>2</v>
      </c>
      <c r="D77" s="16">
        <v>6</v>
      </c>
      <c r="E77" s="17">
        <v>7</v>
      </c>
      <c r="F77" s="10"/>
      <c r="G77" s="10">
        <f t="shared" si="1"/>
        <v>7</v>
      </c>
    </row>
    <row r="78" spans="1:7">
      <c r="A78" s="74">
        <f t="shared" si="2"/>
        <v>77</v>
      </c>
      <c r="B78" s="74">
        <v>11</v>
      </c>
      <c r="C78" s="74">
        <v>1</v>
      </c>
      <c r="D78" s="10"/>
      <c r="E78" s="8">
        <v>3</v>
      </c>
      <c r="F78" s="10"/>
      <c r="G78" s="10">
        <f t="shared" ref="G78:G133" si="3">G67+1</f>
        <v>7</v>
      </c>
    </row>
    <row r="79" spans="1:7">
      <c r="A79" s="74">
        <f t="shared" si="2"/>
        <v>78</v>
      </c>
      <c r="B79" s="74">
        <v>1</v>
      </c>
      <c r="C79" s="74">
        <v>1</v>
      </c>
      <c r="D79" s="10"/>
      <c r="E79" s="8">
        <v>0</v>
      </c>
      <c r="F79" s="10"/>
      <c r="G79" s="10">
        <f t="shared" si="3"/>
        <v>8</v>
      </c>
    </row>
    <row r="80" spans="1:7">
      <c r="A80" s="74">
        <f t="shared" si="2"/>
        <v>79</v>
      </c>
      <c r="B80" s="74">
        <v>2</v>
      </c>
      <c r="C80" s="74">
        <v>2</v>
      </c>
      <c r="D80" s="16">
        <v>6</v>
      </c>
      <c r="E80" s="17">
        <v>7</v>
      </c>
      <c r="F80" s="10"/>
      <c r="G80" s="10">
        <f t="shared" si="3"/>
        <v>8</v>
      </c>
    </row>
    <row r="81" spans="1:7">
      <c r="A81" s="74">
        <f t="shared" si="2"/>
        <v>80</v>
      </c>
      <c r="B81" s="74">
        <v>3</v>
      </c>
      <c r="C81" s="74">
        <v>3</v>
      </c>
      <c r="D81" s="11">
        <v>1</v>
      </c>
      <c r="E81" s="11">
        <v>1</v>
      </c>
      <c r="F81" s="13">
        <v>2</v>
      </c>
      <c r="G81" s="10">
        <f t="shared" si="3"/>
        <v>8</v>
      </c>
    </row>
    <row r="82" spans="1:7">
      <c r="A82" s="74">
        <f t="shared" si="2"/>
        <v>81</v>
      </c>
      <c r="B82" s="74">
        <v>4</v>
      </c>
      <c r="C82" s="74">
        <v>2</v>
      </c>
      <c r="D82" s="11">
        <v>1</v>
      </c>
      <c r="E82" s="22">
        <v>8</v>
      </c>
      <c r="F82" s="10"/>
      <c r="G82" s="10">
        <f t="shared" si="3"/>
        <v>8</v>
      </c>
    </row>
    <row r="83" spans="1:7">
      <c r="A83" s="74">
        <f t="shared" si="2"/>
        <v>82</v>
      </c>
      <c r="B83" s="74">
        <v>5</v>
      </c>
      <c r="C83" s="74">
        <v>3</v>
      </c>
      <c r="D83" s="11">
        <v>1</v>
      </c>
      <c r="E83" s="13">
        <v>2</v>
      </c>
      <c r="F83" s="13">
        <v>2</v>
      </c>
      <c r="G83" s="10">
        <f t="shared" si="3"/>
        <v>8</v>
      </c>
    </row>
    <row r="84" spans="1:7">
      <c r="A84" s="74">
        <f t="shared" si="2"/>
        <v>83</v>
      </c>
      <c r="B84" s="74">
        <v>6</v>
      </c>
      <c r="C84" s="74">
        <v>2</v>
      </c>
      <c r="D84" s="16">
        <v>6</v>
      </c>
      <c r="E84" s="13">
        <v>2</v>
      </c>
      <c r="F84" s="10"/>
      <c r="G84" s="10">
        <f t="shared" si="3"/>
        <v>8</v>
      </c>
    </row>
    <row r="85" spans="1:7">
      <c r="A85" s="74">
        <f t="shared" si="2"/>
        <v>84</v>
      </c>
      <c r="B85" s="74">
        <v>7</v>
      </c>
      <c r="C85" s="74">
        <v>3</v>
      </c>
      <c r="D85" s="13">
        <v>2</v>
      </c>
      <c r="E85" s="17">
        <v>7</v>
      </c>
      <c r="F85" s="13">
        <v>2</v>
      </c>
      <c r="G85" s="10">
        <f t="shared" si="3"/>
        <v>8</v>
      </c>
    </row>
    <row r="86" spans="1:7">
      <c r="A86" s="74">
        <f t="shared" si="2"/>
        <v>85</v>
      </c>
      <c r="B86" s="74">
        <v>8</v>
      </c>
      <c r="C86" s="74">
        <v>2</v>
      </c>
      <c r="D86" s="13">
        <v>2</v>
      </c>
      <c r="E86" s="13">
        <v>2</v>
      </c>
      <c r="F86" s="10"/>
      <c r="G86" s="10">
        <f t="shared" si="3"/>
        <v>8</v>
      </c>
    </row>
    <row r="87" spans="1:7">
      <c r="A87" s="74">
        <f t="shared" si="2"/>
        <v>86</v>
      </c>
      <c r="B87" s="74">
        <v>9</v>
      </c>
      <c r="C87" s="74">
        <v>3</v>
      </c>
      <c r="D87" s="11">
        <v>1</v>
      </c>
      <c r="E87" s="13">
        <v>2</v>
      </c>
      <c r="F87" s="13">
        <v>2</v>
      </c>
      <c r="G87" s="10">
        <f t="shared" si="3"/>
        <v>8</v>
      </c>
    </row>
    <row r="88" spans="1:7">
      <c r="A88" s="74">
        <f t="shared" si="2"/>
        <v>87</v>
      </c>
      <c r="B88" s="74">
        <v>10</v>
      </c>
      <c r="C88" s="74">
        <v>2</v>
      </c>
      <c r="D88" s="16">
        <v>6</v>
      </c>
      <c r="E88" s="17">
        <v>7</v>
      </c>
      <c r="F88" s="10"/>
      <c r="G88" s="10">
        <f t="shared" si="3"/>
        <v>8</v>
      </c>
    </row>
    <row r="89" spans="1:7">
      <c r="A89" s="74">
        <f t="shared" si="2"/>
        <v>88</v>
      </c>
      <c r="B89" s="74">
        <v>11</v>
      </c>
      <c r="C89" s="74">
        <v>1</v>
      </c>
      <c r="D89" s="10"/>
      <c r="E89" s="8">
        <v>3</v>
      </c>
      <c r="F89" s="10"/>
      <c r="G89" s="10">
        <f t="shared" si="3"/>
        <v>8</v>
      </c>
    </row>
    <row r="90" spans="1:7">
      <c r="A90" s="74">
        <f t="shared" si="2"/>
        <v>89</v>
      </c>
      <c r="B90" s="74">
        <v>1</v>
      </c>
      <c r="C90" s="74">
        <v>1</v>
      </c>
      <c r="D90" s="10"/>
      <c r="E90" s="8">
        <v>0</v>
      </c>
      <c r="F90" s="10"/>
      <c r="G90" s="10">
        <f t="shared" si="3"/>
        <v>9</v>
      </c>
    </row>
    <row r="91" spans="1:7">
      <c r="A91" s="74">
        <f t="shared" si="2"/>
        <v>90</v>
      </c>
      <c r="B91" s="74">
        <v>2</v>
      </c>
      <c r="C91" s="74">
        <v>2</v>
      </c>
      <c r="D91" s="16">
        <v>6</v>
      </c>
      <c r="E91" s="17">
        <v>7</v>
      </c>
      <c r="F91" s="10"/>
      <c r="G91" s="10">
        <f t="shared" si="3"/>
        <v>9</v>
      </c>
    </row>
    <row r="92" spans="1:7">
      <c r="A92" s="74">
        <f t="shared" si="2"/>
        <v>91</v>
      </c>
      <c r="B92" s="74">
        <v>3</v>
      </c>
      <c r="C92" s="74">
        <v>3</v>
      </c>
      <c r="D92" s="11">
        <v>1</v>
      </c>
      <c r="E92" s="13">
        <v>2</v>
      </c>
      <c r="F92" s="11">
        <v>1</v>
      </c>
      <c r="G92" s="10">
        <f t="shared" si="3"/>
        <v>9</v>
      </c>
    </row>
    <row r="93" spans="1:7">
      <c r="A93" s="74">
        <f t="shared" si="2"/>
        <v>92</v>
      </c>
      <c r="B93" s="74">
        <v>4</v>
      </c>
      <c r="C93" s="74">
        <v>2</v>
      </c>
      <c r="D93" s="13">
        <v>2</v>
      </c>
      <c r="E93" s="11">
        <v>1</v>
      </c>
      <c r="F93" s="10"/>
      <c r="G93" s="10">
        <f t="shared" si="3"/>
        <v>9</v>
      </c>
    </row>
    <row r="94" spans="1:7">
      <c r="A94" s="74">
        <f t="shared" si="2"/>
        <v>93</v>
      </c>
      <c r="B94" s="74">
        <v>5</v>
      </c>
      <c r="C94" s="74">
        <v>3</v>
      </c>
      <c r="D94" s="13">
        <v>2</v>
      </c>
      <c r="E94" s="13">
        <v>2</v>
      </c>
      <c r="F94" s="16">
        <v>6</v>
      </c>
      <c r="G94" s="10">
        <f t="shared" si="3"/>
        <v>9</v>
      </c>
    </row>
    <row r="95" spans="1:7">
      <c r="A95" s="74">
        <f t="shared" si="2"/>
        <v>94</v>
      </c>
      <c r="B95" s="74">
        <v>6</v>
      </c>
      <c r="C95" s="74">
        <v>2</v>
      </c>
      <c r="D95" s="17">
        <v>7</v>
      </c>
      <c r="E95" s="11">
        <v>1</v>
      </c>
      <c r="F95" s="10"/>
      <c r="G95" s="10">
        <f t="shared" si="3"/>
        <v>9</v>
      </c>
    </row>
    <row r="96" spans="1:7">
      <c r="A96" s="74">
        <f t="shared" si="2"/>
        <v>95</v>
      </c>
      <c r="B96" s="74">
        <v>7</v>
      </c>
      <c r="C96" s="74">
        <v>3</v>
      </c>
      <c r="D96" s="13">
        <v>2</v>
      </c>
      <c r="E96" s="13">
        <v>2</v>
      </c>
      <c r="F96" s="22">
        <v>8</v>
      </c>
      <c r="G96" s="10">
        <f t="shared" si="3"/>
        <v>9</v>
      </c>
    </row>
    <row r="97" spans="1:7">
      <c r="A97" s="74">
        <f t="shared" si="2"/>
        <v>96</v>
      </c>
      <c r="B97" s="74">
        <v>8</v>
      </c>
      <c r="C97" s="74">
        <v>2</v>
      </c>
      <c r="D97" s="13">
        <v>2</v>
      </c>
      <c r="E97" s="13">
        <v>2</v>
      </c>
      <c r="F97" s="10"/>
      <c r="G97" s="10">
        <f t="shared" si="3"/>
        <v>9</v>
      </c>
    </row>
    <row r="98" spans="1:7">
      <c r="A98" s="74">
        <f t="shared" si="2"/>
        <v>97</v>
      </c>
      <c r="B98" s="74">
        <v>9</v>
      </c>
      <c r="C98" s="74">
        <v>3</v>
      </c>
      <c r="D98" s="13">
        <v>2</v>
      </c>
      <c r="E98" s="13">
        <v>2</v>
      </c>
      <c r="F98" s="11">
        <v>1</v>
      </c>
      <c r="G98" s="10">
        <f t="shared" si="3"/>
        <v>9</v>
      </c>
    </row>
    <row r="99" spans="1:7">
      <c r="A99" s="74">
        <f t="shared" si="2"/>
        <v>98</v>
      </c>
      <c r="B99" s="74">
        <v>10</v>
      </c>
      <c r="C99" s="74">
        <v>2</v>
      </c>
      <c r="D99" s="16">
        <v>6</v>
      </c>
      <c r="E99" s="17">
        <v>7</v>
      </c>
      <c r="F99" s="10"/>
      <c r="G99" s="10">
        <f t="shared" si="3"/>
        <v>9</v>
      </c>
    </row>
    <row r="100" spans="1:7">
      <c r="A100" s="74">
        <f t="shared" si="2"/>
        <v>99</v>
      </c>
      <c r="B100" s="74">
        <v>11</v>
      </c>
      <c r="C100" s="74">
        <v>1</v>
      </c>
      <c r="D100" s="10"/>
      <c r="E100" s="8">
        <v>3</v>
      </c>
      <c r="F100" s="10"/>
      <c r="G100" s="10">
        <f t="shared" si="3"/>
        <v>9</v>
      </c>
    </row>
    <row r="101" spans="1:7">
      <c r="A101" s="10">
        <f t="shared" si="2"/>
        <v>100</v>
      </c>
      <c r="B101" s="10">
        <v>1</v>
      </c>
      <c r="C101" s="10">
        <v>1</v>
      </c>
      <c r="D101" s="10"/>
      <c r="E101" s="8">
        <v>0</v>
      </c>
      <c r="F101" s="10"/>
      <c r="G101" s="10">
        <f t="shared" si="3"/>
        <v>10</v>
      </c>
    </row>
    <row r="102" spans="1:7">
      <c r="A102" s="10">
        <f t="shared" si="2"/>
        <v>101</v>
      </c>
      <c r="B102" s="10">
        <v>2</v>
      </c>
      <c r="C102" s="10">
        <v>2</v>
      </c>
      <c r="D102" s="16">
        <v>6</v>
      </c>
      <c r="E102" s="17">
        <v>7</v>
      </c>
      <c r="F102" s="10"/>
      <c r="G102" s="10">
        <f t="shared" si="3"/>
        <v>10</v>
      </c>
    </row>
    <row r="103" spans="1:7">
      <c r="A103" s="10">
        <f t="shared" si="2"/>
        <v>102</v>
      </c>
      <c r="B103" s="10">
        <v>3</v>
      </c>
      <c r="C103" s="10">
        <v>3</v>
      </c>
      <c r="D103" s="11">
        <v>1</v>
      </c>
      <c r="E103" s="13">
        <v>2</v>
      </c>
      <c r="F103" s="11">
        <v>1</v>
      </c>
      <c r="G103" s="10">
        <f t="shared" si="3"/>
        <v>10</v>
      </c>
    </row>
    <row r="104" spans="1:7">
      <c r="A104" s="10">
        <f t="shared" si="2"/>
        <v>103</v>
      </c>
      <c r="B104" s="10">
        <v>4</v>
      </c>
      <c r="C104" s="10">
        <v>2</v>
      </c>
      <c r="D104" s="13">
        <v>2</v>
      </c>
      <c r="E104" s="13">
        <v>2</v>
      </c>
      <c r="F104" s="10"/>
      <c r="G104" s="10">
        <f t="shared" si="3"/>
        <v>10</v>
      </c>
    </row>
    <row r="105" spans="1:7">
      <c r="A105" s="10">
        <f t="shared" si="2"/>
        <v>104</v>
      </c>
      <c r="B105" s="10">
        <v>5</v>
      </c>
      <c r="C105" s="10">
        <v>3</v>
      </c>
      <c r="D105" s="11">
        <v>1</v>
      </c>
      <c r="E105" s="17">
        <v>7</v>
      </c>
      <c r="F105" s="13">
        <v>2</v>
      </c>
      <c r="G105" s="10">
        <f t="shared" si="3"/>
        <v>10</v>
      </c>
    </row>
    <row r="106" spans="1:7">
      <c r="A106" s="10">
        <f t="shared" si="2"/>
        <v>105</v>
      </c>
      <c r="B106" s="10">
        <v>6</v>
      </c>
      <c r="C106" s="10">
        <v>2</v>
      </c>
      <c r="D106" s="13">
        <v>2</v>
      </c>
      <c r="E106" s="11">
        <v>1</v>
      </c>
      <c r="F106" s="10"/>
      <c r="G106" s="10">
        <f t="shared" si="3"/>
        <v>10</v>
      </c>
    </row>
    <row r="107" spans="1:7">
      <c r="A107" s="10">
        <f t="shared" si="2"/>
        <v>106</v>
      </c>
      <c r="B107" s="10">
        <v>7</v>
      </c>
      <c r="C107" s="10">
        <v>3</v>
      </c>
      <c r="D107" s="22">
        <v>8</v>
      </c>
      <c r="E107" s="13">
        <v>2</v>
      </c>
      <c r="F107" s="13">
        <v>2</v>
      </c>
      <c r="G107" s="10">
        <f t="shared" si="3"/>
        <v>10</v>
      </c>
    </row>
    <row r="108" spans="1:7">
      <c r="A108" s="10">
        <f t="shared" si="2"/>
        <v>107</v>
      </c>
      <c r="B108" s="10">
        <v>8</v>
      </c>
      <c r="C108" s="10">
        <v>2</v>
      </c>
      <c r="D108" s="13">
        <v>2</v>
      </c>
      <c r="E108" s="16">
        <v>6</v>
      </c>
      <c r="F108" s="10"/>
      <c r="G108" s="10">
        <f t="shared" si="3"/>
        <v>10</v>
      </c>
    </row>
    <row r="109" spans="1:7">
      <c r="A109" s="10">
        <f t="shared" si="2"/>
        <v>108</v>
      </c>
      <c r="B109" s="10">
        <v>9</v>
      </c>
      <c r="C109" s="10">
        <v>3</v>
      </c>
      <c r="D109" s="13">
        <v>2</v>
      </c>
      <c r="E109" s="11">
        <v>1</v>
      </c>
      <c r="F109" s="13">
        <v>2</v>
      </c>
      <c r="G109" s="10">
        <f t="shared" si="3"/>
        <v>10</v>
      </c>
    </row>
    <row r="110" spans="1:7">
      <c r="A110" s="10">
        <f t="shared" si="2"/>
        <v>109</v>
      </c>
      <c r="B110" s="10">
        <v>10</v>
      </c>
      <c r="C110" s="10">
        <v>2</v>
      </c>
      <c r="D110" s="16">
        <v>6</v>
      </c>
      <c r="E110" s="17">
        <v>7</v>
      </c>
      <c r="F110" s="10"/>
      <c r="G110" s="10">
        <f t="shared" si="3"/>
        <v>10</v>
      </c>
    </row>
    <row r="111" spans="1:7">
      <c r="A111" s="10">
        <f t="shared" si="2"/>
        <v>110</v>
      </c>
      <c r="B111" s="10">
        <v>11</v>
      </c>
      <c r="C111" s="10">
        <v>1</v>
      </c>
      <c r="D111" s="10"/>
      <c r="E111" s="8">
        <v>3</v>
      </c>
      <c r="F111" s="10"/>
      <c r="G111" s="10">
        <f t="shared" si="3"/>
        <v>10</v>
      </c>
    </row>
    <row r="112" spans="1:7">
      <c r="A112" s="10">
        <f t="shared" si="2"/>
        <v>111</v>
      </c>
      <c r="B112" s="10">
        <v>1</v>
      </c>
      <c r="C112" s="10">
        <v>1</v>
      </c>
      <c r="D112" s="10"/>
      <c r="E112" s="8">
        <v>0</v>
      </c>
      <c r="F112" s="10"/>
      <c r="G112" s="10">
        <f t="shared" si="3"/>
        <v>11</v>
      </c>
    </row>
    <row r="113" spans="1:7">
      <c r="A113" s="10">
        <f t="shared" si="2"/>
        <v>112</v>
      </c>
      <c r="B113" s="10">
        <v>2</v>
      </c>
      <c r="C113" s="10">
        <v>2</v>
      </c>
      <c r="D113" s="16">
        <v>6</v>
      </c>
      <c r="E113" s="17">
        <v>7</v>
      </c>
      <c r="F113" s="10"/>
      <c r="G113" s="10">
        <f t="shared" si="3"/>
        <v>11</v>
      </c>
    </row>
    <row r="114" spans="1:7">
      <c r="A114" s="10">
        <f t="shared" si="2"/>
        <v>113</v>
      </c>
      <c r="B114" s="10">
        <v>3</v>
      </c>
      <c r="C114" s="10">
        <v>3</v>
      </c>
      <c r="D114" s="11">
        <v>1</v>
      </c>
      <c r="E114" s="11">
        <v>1</v>
      </c>
      <c r="F114" s="13">
        <v>2</v>
      </c>
      <c r="G114" s="10">
        <f t="shared" si="3"/>
        <v>11</v>
      </c>
    </row>
    <row r="115" spans="1:7">
      <c r="A115" s="10">
        <f t="shared" si="2"/>
        <v>114</v>
      </c>
      <c r="B115" s="10">
        <v>4</v>
      </c>
      <c r="C115" s="10">
        <v>2</v>
      </c>
      <c r="D115" s="11">
        <v>1</v>
      </c>
      <c r="E115" s="22">
        <v>8</v>
      </c>
      <c r="F115" s="10"/>
      <c r="G115" s="10">
        <f t="shared" si="3"/>
        <v>11</v>
      </c>
    </row>
    <row r="116" spans="1:7">
      <c r="A116" s="10">
        <f t="shared" si="2"/>
        <v>115</v>
      </c>
      <c r="B116" s="10">
        <v>5</v>
      </c>
      <c r="C116" s="10">
        <v>3</v>
      </c>
      <c r="D116" s="11">
        <v>1</v>
      </c>
      <c r="E116" s="13">
        <v>2</v>
      </c>
      <c r="F116" s="13">
        <v>2</v>
      </c>
      <c r="G116" s="10">
        <f t="shared" si="3"/>
        <v>11</v>
      </c>
    </row>
    <row r="117" spans="1:7">
      <c r="A117" s="10">
        <f t="shared" si="2"/>
        <v>116</v>
      </c>
      <c r="B117" s="10">
        <v>6</v>
      </c>
      <c r="C117" s="10">
        <v>2</v>
      </c>
      <c r="D117" s="16">
        <v>6</v>
      </c>
      <c r="E117" s="13">
        <v>2</v>
      </c>
      <c r="F117" s="10"/>
      <c r="G117" s="10">
        <f t="shared" si="3"/>
        <v>11</v>
      </c>
    </row>
    <row r="118" spans="1:7">
      <c r="A118" s="10">
        <f t="shared" si="2"/>
        <v>117</v>
      </c>
      <c r="B118" s="10">
        <v>7</v>
      </c>
      <c r="C118" s="10">
        <v>3</v>
      </c>
      <c r="D118" s="13">
        <v>2</v>
      </c>
      <c r="E118" s="17">
        <v>7</v>
      </c>
      <c r="F118" s="13">
        <v>2</v>
      </c>
      <c r="G118" s="10">
        <f t="shared" si="3"/>
        <v>11</v>
      </c>
    </row>
    <row r="119" spans="1:7">
      <c r="A119" s="10">
        <f t="shared" si="2"/>
        <v>118</v>
      </c>
      <c r="B119" s="10">
        <v>8</v>
      </c>
      <c r="C119" s="10">
        <v>2</v>
      </c>
      <c r="D119" s="13">
        <v>2</v>
      </c>
      <c r="E119" s="13">
        <v>2</v>
      </c>
      <c r="F119" s="10"/>
      <c r="G119" s="10">
        <f t="shared" si="3"/>
        <v>11</v>
      </c>
    </row>
    <row r="120" spans="1:7">
      <c r="A120" s="10">
        <f t="shared" si="2"/>
        <v>119</v>
      </c>
      <c r="B120" s="10">
        <v>9</v>
      </c>
      <c r="C120" s="10">
        <v>3</v>
      </c>
      <c r="D120" s="11">
        <v>1</v>
      </c>
      <c r="E120" s="13">
        <v>2</v>
      </c>
      <c r="F120" s="13">
        <v>2</v>
      </c>
      <c r="G120" s="10">
        <f t="shared" si="3"/>
        <v>11</v>
      </c>
    </row>
    <row r="121" spans="1:7">
      <c r="A121" s="10">
        <f t="shared" si="2"/>
        <v>120</v>
      </c>
      <c r="B121" s="10">
        <v>10</v>
      </c>
      <c r="C121" s="10">
        <v>2</v>
      </c>
      <c r="D121" s="16">
        <v>6</v>
      </c>
      <c r="E121" s="17">
        <v>7</v>
      </c>
      <c r="F121" s="10"/>
      <c r="G121" s="10">
        <f t="shared" si="3"/>
        <v>11</v>
      </c>
    </row>
    <row r="122" spans="1:7">
      <c r="A122" s="10">
        <f t="shared" si="2"/>
        <v>121</v>
      </c>
      <c r="B122" s="10">
        <v>11</v>
      </c>
      <c r="C122" s="10">
        <v>1</v>
      </c>
      <c r="D122" s="10"/>
      <c r="E122" s="8">
        <v>3</v>
      </c>
      <c r="F122" s="10"/>
      <c r="G122" s="10">
        <f t="shared" si="3"/>
        <v>11</v>
      </c>
    </row>
    <row r="123" spans="1:7">
      <c r="A123" s="10">
        <f t="shared" si="2"/>
        <v>122</v>
      </c>
      <c r="B123" s="10">
        <v>1</v>
      </c>
      <c r="C123" s="10">
        <v>1</v>
      </c>
      <c r="D123" s="10"/>
      <c r="E123" s="8">
        <v>0</v>
      </c>
      <c r="F123" s="10"/>
      <c r="G123" s="10">
        <f t="shared" si="3"/>
        <v>12</v>
      </c>
    </row>
    <row r="124" spans="1:7">
      <c r="A124" s="10">
        <f t="shared" si="2"/>
        <v>123</v>
      </c>
      <c r="B124" s="10">
        <v>2</v>
      </c>
      <c r="C124" s="10">
        <v>2</v>
      </c>
      <c r="D124" s="16">
        <v>6</v>
      </c>
      <c r="E124" s="17">
        <v>7</v>
      </c>
      <c r="F124" s="10"/>
      <c r="G124" s="10">
        <f t="shared" si="3"/>
        <v>12</v>
      </c>
    </row>
    <row r="125" spans="1:7">
      <c r="A125" s="10">
        <f t="shared" si="2"/>
        <v>124</v>
      </c>
      <c r="B125" s="10">
        <v>3</v>
      </c>
      <c r="C125" s="10">
        <v>3</v>
      </c>
      <c r="D125" s="11">
        <v>1</v>
      </c>
      <c r="E125" s="13">
        <v>2</v>
      </c>
      <c r="F125" s="11">
        <v>1</v>
      </c>
      <c r="G125" s="10">
        <f t="shared" si="3"/>
        <v>12</v>
      </c>
    </row>
    <row r="126" spans="1:7">
      <c r="A126" s="10">
        <f t="shared" si="2"/>
        <v>125</v>
      </c>
      <c r="B126" s="10">
        <v>4</v>
      </c>
      <c r="C126" s="10">
        <v>2</v>
      </c>
      <c r="D126" s="13">
        <v>2</v>
      </c>
      <c r="E126" s="11">
        <v>1</v>
      </c>
      <c r="F126" s="10"/>
      <c r="G126" s="10">
        <f t="shared" si="3"/>
        <v>12</v>
      </c>
    </row>
    <row r="127" spans="1:7">
      <c r="A127" s="10">
        <f t="shared" si="2"/>
        <v>126</v>
      </c>
      <c r="B127" s="10">
        <v>5</v>
      </c>
      <c r="C127" s="10">
        <v>3</v>
      </c>
      <c r="D127" s="13">
        <v>2</v>
      </c>
      <c r="E127" s="13">
        <v>2</v>
      </c>
      <c r="F127" s="16">
        <v>6</v>
      </c>
      <c r="G127" s="10">
        <f t="shared" si="3"/>
        <v>12</v>
      </c>
    </row>
    <row r="128" spans="1:7">
      <c r="A128" s="10">
        <f t="shared" si="2"/>
        <v>127</v>
      </c>
      <c r="B128" s="10">
        <v>6</v>
      </c>
      <c r="C128" s="10">
        <v>2</v>
      </c>
      <c r="D128" s="17">
        <v>7</v>
      </c>
      <c r="E128" s="11">
        <v>1</v>
      </c>
      <c r="F128" s="10"/>
      <c r="G128" s="10">
        <f t="shared" si="3"/>
        <v>12</v>
      </c>
    </row>
    <row r="129" spans="1:7">
      <c r="A129" s="10">
        <f t="shared" si="2"/>
        <v>128</v>
      </c>
      <c r="B129" s="10">
        <v>7</v>
      </c>
      <c r="C129" s="10">
        <v>3</v>
      </c>
      <c r="D129" s="13">
        <v>2</v>
      </c>
      <c r="E129" s="13">
        <v>2</v>
      </c>
      <c r="F129" s="22">
        <v>8</v>
      </c>
      <c r="G129" s="10">
        <f t="shared" si="3"/>
        <v>12</v>
      </c>
    </row>
    <row r="130" spans="1:7">
      <c r="A130" s="10">
        <f t="shared" si="2"/>
        <v>129</v>
      </c>
      <c r="B130" s="10">
        <v>8</v>
      </c>
      <c r="C130" s="10">
        <v>2</v>
      </c>
      <c r="D130" s="13">
        <v>2</v>
      </c>
      <c r="E130" s="13">
        <v>2</v>
      </c>
      <c r="F130" s="10"/>
      <c r="G130" s="10">
        <f t="shared" si="3"/>
        <v>12</v>
      </c>
    </row>
    <row r="131" spans="1:7">
      <c r="A131" s="10">
        <f t="shared" si="2"/>
        <v>130</v>
      </c>
      <c r="B131" s="10">
        <v>9</v>
      </c>
      <c r="C131" s="10">
        <v>3</v>
      </c>
      <c r="D131" s="13">
        <v>2</v>
      </c>
      <c r="E131" s="13">
        <v>2</v>
      </c>
      <c r="F131" s="11">
        <v>1</v>
      </c>
      <c r="G131" s="10">
        <f t="shared" si="3"/>
        <v>12</v>
      </c>
    </row>
    <row r="132" spans="1:7">
      <c r="A132" s="10">
        <f t="shared" ref="A132:A133" si="4">A131+1</f>
        <v>131</v>
      </c>
      <c r="B132" s="10">
        <v>10</v>
      </c>
      <c r="C132" s="10">
        <v>2</v>
      </c>
      <c r="D132" s="16">
        <v>6</v>
      </c>
      <c r="E132" s="17">
        <v>7</v>
      </c>
      <c r="F132" s="10"/>
      <c r="G132" s="10">
        <f t="shared" si="3"/>
        <v>12</v>
      </c>
    </row>
    <row r="133" spans="1:7">
      <c r="A133" s="10">
        <f t="shared" si="4"/>
        <v>132</v>
      </c>
      <c r="B133" s="10">
        <v>11</v>
      </c>
      <c r="C133" s="10">
        <v>1</v>
      </c>
      <c r="D133" s="10"/>
      <c r="E133" s="8">
        <v>3</v>
      </c>
      <c r="F133" s="10"/>
      <c r="G133" s="10">
        <f t="shared" si="3"/>
        <v>12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workbookViewId="0">
      <pane xSplit="1" ySplit="1" topLeftCell="B53" activePane="bottomRight" state="frozen"/>
      <selection pane="topRight"/>
      <selection pane="bottomLeft"/>
      <selection pane="bottomRight" activeCell="I1" sqref="I1"/>
    </sheetView>
  </sheetViews>
  <sheetFormatPr defaultColWidth="9" defaultRowHeight="15"/>
  <cols>
    <col min="1" max="4" width="9" style="62"/>
    <col min="5" max="5" width="18.140625" style="62" customWidth="1"/>
    <col min="6" max="6" width="11.140625" style="63" customWidth="1"/>
    <col min="7" max="7" width="14.85546875" style="63" customWidth="1"/>
    <col min="8" max="8" width="9.7109375" style="62" customWidth="1"/>
    <col min="9" max="9" width="52.7109375" style="64" customWidth="1"/>
    <col min="10" max="10" width="13.85546875" style="62" customWidth="1"/>
  </cols>
  <sheetData>
    <row r="1" spans="1:10">
      <c r="A1" s="29" t="s">
        <v>0</v>
      </c>
      <c r="B1" s="29" t="s">
        <v>18</v>
      </c>
      <c r="C1" s="29" t="s">
        <v>13</v>
      </c>
      <c r="D1" s="29" t="s">
        <v>19</v>
      </c>
      <c r="E1" s="29" t="s">
        <v>20</v>
      </c>
      <c r="F1" s="29" t="s">
        <v>21</v>
      </c>
      <c r="G1" s="29" t="s">
        <v>22</v>
      </c>
      <c r="H1" s="29" t="s">
        <v>23</v>
      </c>
      <c r="I1" s="78" t="s">
        <v>24</v>
      </c>
      <c r="J1" s="29" t="s">
        <v>25</v>
      </c>
    </row>
    <row r="2" spans="1:10" s="59" customFormat="1">
      <c r="A2" s="65">
        <v>1</v>
      </c>
      <c r="B2" s="65">
        <v>1</v>
      </c>
      <c r="C2" s="65">
        <v>1</v>
      </c>
      <c r="D2" s="65">
        <v>1</v>
      </c>
      <c r="E2" s="65">
        <v>0</v>
      </c>
      <c r="F2" s="66">
        <v>0.26</v>
      </c>
      <c r="G2" s="67">
        <v>3000000</v>
      </c>
      <c r="H2" s="65">
        <v>1</v>
      </c>
      <c r="I2" s="79"/>
      <c r="J2" s="80"/>
    </row>
    <row r="3" spans="1:10" s="59" customFormat="1">
      <c r="A3" s="65">
        <f>A2+1</f>
        <v>2</v>
      </c>
      <c r="B3" s="65">
        <v>1</v>
      </c>
      <c r="C3" s="65">
        <v>1</v>
      </c>
      <c r="D3" s="65">
        <v>2</v>
      </c>
      <c r="E3" s="65">
        <v>0</v>
      </c>
      <c r="F3" s="66">
        <v>0.3</v>
      </c>
      <c r="G3" s="67">
        <v>3000000</v>
      </c>
      <c r="H3" s="65">
        <v>2</v>
      </c>
      <c r="I3" s="79"/>
      <c r="J3" s="80"/>
    </row>
    <row r="4" spans="1:10" s="59" customFormat="1">
      <c r="A4" s="65">
        <f t="shared" ref="A4:A67" si="0">A3+1</f>
        <v>3</v>
      </c>
      <c r="B4" s="65">
        <v>1</v>
      </c>
      <c r="C4" s="65">
        <f>C2+1</f>
        <v>2</v>
      </c>
      <c r="D4" s="65">
        <v>1</v>
      </c>
      <c r="E4" s="65">
        <v>0</v>
      </c>
      <c r="F4" s="66">
        <v>0.28000000000000003</v>
      </c>
      <c r="G4" s="67">
        <v>3000000</v>
      </c>
      <c r="H4" s="65">
        <v>1</v>
      </c>
      <c r="I4" s="104" t="s">
        <v>26</v>
      </c>
      <c r="J4" s="80"/>
    </row>
    <row r="5" spans="1:10" s="59" customFormat="1">
      <c r="A5" s="65">
        <f t="shared" si="0"/>
        <v>4</v>
      </c>
      <c r="B5" s="65">
        <v>1</v>
      </c>
      <c r="C5" s="65">
        <f t="shared" ref="C5:C22" si="1">C3+1</f>
        <v>2</v>
      </c>
      <c r="D5" s="65">
        <v>2</v>
      </c>
      <c r="E5" s="65">
        <v>0</v>
      </c>
      <c r="F5" s="66">
        <v>0.32</v>
      </c>
      <c r="G5" s="67">
        <v>3000000</v>
      </c>
      <c r="H5" s="65">
        <v>2</v>
      </c>
      <c r="I5" s="79" t="s">
        <v>27</v>
      </c>
      <c r="J5" s="80"/>
    </row>
    <row r="6" spans="1:10" s="59" customFormat="1">
      <c r="A6" s="65">
        <f t="shared" si="0"/>
        <v>5</v>
      </c>
      <c r="B6" s="65">
        <v>1</v>
      </c>
      <c r="C6" s="65">
        <f t="shared" si="1"/>
        <v>3</v>
      </c>
      <c r="D6" s="65">
        <v>1</v>
      </c>
      <c r="E6" s="65">
        <v>0</v>
      </c>
      <c r="F6" s="66">
        <v>0.3</v>
      </c>
      <c r="G6" s="67">
        <v>3000000</v>
      </c>
      <c r="H6" s="65">
        <v>1</v>
      </c>
      <c r="I6" s="79" t="s">
        <v>28</v>
      </c>
      <c r="J6" s="80"/>
    </row>
    <row r="7" spans="1:10" s="59" customFormat="1">
      <c r="A7" s="65">
        <f t="shared" si="0"/>
        <v>6</v>
      </c>
      <c r="B7" s="65">
        <v>1</v>
      </c>
      <c r="C7" s="65">
        <f t="shared" si="1"/>
        <v>3</v>
      </c>
      <c r="D7" s="65">
        <v>2</v>
      </c>
      <c r="E7" s="65">
        <v>0</v>
      </c>
      <c r="F7" s="66">
        <v>0.36</v>
      </c>
      <c r="G7" s="67">
        <v>3000000</v>
      </c>
      <c r="H7" s="65">
        <v>2</v>
      </c>
      <c r="I7" s="79" t="s">
        <v>29</v>
      </c>
      <c r="J7" s="80"/>
    </row>
    <row r="8" spans="1:10" s="59" customFormat="1">
      <c r="A8" s="65">
        <f t="shared" si="0"/>
        <v>7</v>
      </c>
      <c r="B8" s="65">
        <v>1</v>
      </c>
      <c r="C8" s="65">
        <f t="shared" si="1"/>
        <v>4</v>
      </c>
      <c r="D8" s="65">
        <v>1</v>
      </c>
      <c r="E8" s="65">
        <v>0</v>
      </c>
      <c r="F8" s="66">
        <v>0.33</v>
      </c>
      <c r="G8" s="67">
        <v>3000000</v>
      </c>
      <c r="H8" s="65">
        <v>1</v>
      </c>
      <c r="I8" s="79" t="s">
        <v>30</v>
      </c>
      <c r="J8" s="80"/>
    </row>
    <row r="9" spans="1:10" s="59" customFormat="1">
      <c r="A9" s="65">
        <f t="shared" si="0"/>
        <v>8</v>
      </c>
      <c r="B9" s="65">
        <v>1</v>
      </c>
      <c r="C9" s="65">
        <f t="shared" si="1"/>
        <v>4</v>
      </c>
      <c r="D9" s="65">
        <v>2</v>
      </c>
      <c r="E9" s="65">
        <v>0</v>
      </c>
      <c r="F9" s="66">
        <v>0.39</v>
      </c>
      <c r="G9" s="67">
        <v>3000000</v>
      </c>
      <c r="H9" s="65">
        <v>2</v>
      </c>
      <c r="I9" s="79" t="s">
        <v>31</v>
      </c>
      <c r="J9" s="80"/>
    </row>
    <row r="10" spans="1:10" s="59" customFormat="1">
      <c r="A10" s="65">
        <f t="shared" si="0"/>
        <v>9</v>
      </c>
      <c r="B10" s="65">
        <v>1</v>
      </c>
      <c r="C10" s="65">
        <f t="shared" si="1"/>
        <v>5</v>
      </c>
      <c r="D10" s="65">
        <v>1</v>
      </c>
      <c r="E10" s="65">
        <v>0</v>
      </c>
      <c r="F10" s="66">
        <v>0.37</v>
      </c>
      <c r="G10" s="67">
        <v>3000000</v>
      </c>
      <c r="H10" s="65">
        <v>1</v>
      </c>
      <c r="I10" s="79" t="s">
        <v>32</v>
      </c>
      <c r="J10" s="80"/>
    </row>
    <row r="11" spans="1:10" s="59" customFormat="1">
      <c r="A11" s="65">
        <f t="shared" si="0"/>
        <v>10</v>
      </c>
      <c r="B11" s="65">
        <v>1</v>
      </c>
      <c r="C11" s="65">
        <f t="shared" si="1"/>
        <v>5</v>
      </c>
      <c r="D11" s="65">
        <v>2</v>
      </c>
      <c r="E11" s="65">
        <v>0</v>
      </c>
      <c r="F11" s="66">
        <v>0.42</v>
      </c>
      <c r="G11" s="67">
        <v>3000000</v>
      </c>
      <c r="H11" s="65">
        <v>2</v>
      </c>
      <c r="I11" s="79" t="s">
        <v>33</v>
      </c>
      <c r="J11" s="80"/>
    </row>
    <row r="12" spans="1:10" s="59" customFormat="1">
      <c r="A12" s="65">
        <f t="shared" si="0"/>
        <v>11</v>
      </c>
      <c r="B12" s="65">
        <v>1</v>
      </c>
      <c r="C12" s="65">
        <f t="shared" si="1"/>
        <v>6</v>
      </c>
      <c r="D12" s="65">
        <v>1</v>
      </c>
      <c r="E12" s="65">
        <v>0</v>
      </c>
      <c r="F12" s="66">
        <v>0.39</v>
      </c>
      <c r="G12" s="67">
        <v>3000000</v>
      </c>
      <c r="H12" s="65">
        <v>1</v>
      </c>
      <c r="I12" s="79" t="s">
        <v>34</v>
      </c>
      <c r="J12" s="80"/>
    </row>
    <row r="13" spans="1:10" s="59" customFormat="1">
      <c r="A13" s="65">
        <f t="shared" si="0"/>
        <v>12</v>
      </c>
      <c r="B13" s="65">
        <v>1</v>
      </c>
      <c r="C13" s="65">
        <f t="shared" si="1"/>
        <v>6</v>
      </c>
      <c r="D13" s="65">
        <v>2</v>
      </c>
      <c r="E13" s="65">
        <v>0</v>
      </c>
      <c r="F13" s="66">
        <v>0.46</v>
      </c>
      <c r="G13" s="67">
        <v>3000000</v>
      </c>
      <c r="H13" s="65">
        <v>2</v>
      </c>
      <c r="I13" s="79" t="s">
        <v>35</v>
      </c>
      <c r="J13" s="80"/>
    </row>
    <row r="14" spans="1:10" s="59" customFormat="1">
      <c r="A14" s="65">
        <f t="shared" si="0"/>
        <v>13</v>
      </c>
      <c r="B14" s="65">
        <v>1</v>
      </c>
      <c r="C14" s="65">
        <f t="shared" si="1"/>
        <v>7</v>
      </c>
      <c r="D14" s="65">
        <v>1</v>
      </c>
      <c r="E14" s="65">
        <v>0</v>
      </c>
      <c r="F14" s="66">
        <v>0.42</v>
      </c>
      <c r="G14" s="67">
        <v>3000000</v>
      </c>
      <c r="H14" s="65">
        <v>1</v>
      </c>
      <c r="I14" s="79" t="s">
        <v>36</v>
      </c>
      <c r="J14" s="80"/>
    </row>
    <row r="15" spans="1:10" s="59" customFormat="1">
      <c r="A15" s="65">
        <f t="shared" si="0"/>
        <v>14</v>
      </c>
      <c r="B15" s="65">
        <v>1</v>
      </c>
      <c r="C15" s="65">
        <f t="shared" si="1"/>
        <v>7</v>
      </c>
      <c r="D15" s="65">
        <v>2</v>
      </c>
      <c r="E15" s="65">
        <v>0</v>
      </c>
      <c r="F15" s="66">
        <v>0.5</v>
      </c>
      <c r="G15" s="67">
        <v>3000000</v>
      </c>
      <c r="H15" s="65">
        <v>2</v>
      </c>
      <c r="I15" s="79" t="s">
        <v>37</v>
      </c>
      <c r="J15" s="80"/>
    </row>
    <row r="16" spans="1:10" s="59" customFormat="1">
      <c r="A16" s="65">
        <f t="shared" si="0"/>
        <v>15</v>
      </c>
      <c r="B16" s="65">
        <v>1</v>
      </c>
      <c r="C16" s="65">
        <f t="shared" si="1"/>
        <v>8</v>
      </c>
      <c r="D16" s="65">
        <v>1</v>
      </c>
      <c r="E16" s="65">
        <v>0</v>
      </c>
      <c r="F16" s="66">
        <v>0.46</v>
      </c>
      <c r="G16" s="67">
        <v>3000000</v>
      </c>
      <c r="H16" s="65">
        <v>1</v>
      </c>
      <c r="I16" s="79" t="s">
        <v>38</v>
      </c>
      <c r="J16" s="80"/>
    </row>
    <row r="17" spans="1:10" s="59" customFormat="1">
      <c r="A17" s="65">
        <f t="shared" si="0"/>
        <v>16</v>
      </c>
      <c r="B17" s="65">
        <v>1</v>
      </c>
      <c r="C17" s="65">
        <f t="shared" si="1"/>
        <v>8</v>
      </c>
      <c r="D17" s="65">
        <v>2</v>
      </c>
      <c r="E17" s="65">
        <v>0</v>
      </c>
      <c r="F17" s="66">
        <v>0.55000000000000004</v>
      </c>
      <c r="G17" s="67">
        <v>3000000</v>
      </c>
      <c r="H17" s="65">
        <v>2</v>
      </c>
      <c r="I17" s="79" t="s">
        <v>39</v>
      </c>
      <c r="J17" s="80"/>
    </row>
    <row r="18" spans="1:10" s="59" customFormat="1">
      <c r="A18" s="65">
        <f t="shared" si="0"/>
        <v>17</v>
      </c>
      <c r="B18" s="65">
        <v>1</v>
      </c>
      <c r="C18" s="65">
        <f t="shared" si="1"/>
        <v>9</v>
      </c>
      <c r="D18" s="65">
        <v>1</v>
      </c>
      <c r="E18" s="65">
        <v>0</v>
      </c>
      <c r="F18" s="66">
        <v>0.5</v>
      </c>
      <c r="G18" s="67">
        <v>3000000</v>
      </c>
      <c r="H18" s="65">
        <v>1</v>
      </c>
      <c r="I18" s="79" t="s">
        <v>40</v>
      </c>
      <c r="J18" s="80"/>
    </row>
    <row r="19" spans="1:10" s="59" customFormat="1">
      <c r="A19" s="65">
        <f t="shared" si="0"/>
        <v>18</v>
      </c>
      <c r="B19" s="65">
        <v>1</v>
      </c>
      <c r="C19" s="65">
        <f t="shared" si="1"/>
        <v>9</v>
      </c>
      <c r="D19" s="65">
        <v>2</v>
      </c>
      <c r="E19" s="65">
        <v>0</v>
      </c>
      <c r="F19" s="66">
        <v>0.6</v>
      </c>
      <c r="G19" s="67">
        <v>3000000</v>
      </c>
      <c r="H19" s="65">
        <v>2</v>
      </c>
      <c r="I19" s="79" t="s">
        <v>41</v>
      </c>
      <c r="J19" s="80"/>
    </row>
    <row r="20" spans="1:10" s="59" customFormat="1">
      <c r="A20" s="65">
        <f t="shared" si="0"/>
        <v>19</v>
      </c>
      <c r="B20" s="65">
        <v>1</v>
      </c>
      <c r="C20" s="65">
        <f t="shared" si="1"/>
        <v>10</v>
      </c>
      <c r="D20" s="65">
        <v>1</v>
      </c>
      <c r="E20" s="65"/>
      <c r="F20" s="66"/>
      <c r="G20" s="67">
        <v>3000000</v>
      </c>
      <c r="H20" s="65">
        <v>1</v>
      </c>
      <c r="I20" s="79"/>
      <c r="J20" s="80"/>
    </row>
    <row r="21" spans="1:10" s="59" customFormat="1">
      <c r="A21" s="65">
        <f t="shared" si="0"/>
        <v>20</v>
      </c>
      <c r="B21" s="65">
        <v>1</v>
      </c>
      <c r="C21" s="65">
        <f t="shared" si="1"/>
        <v>10</v>
      </c>
      <c r="D21" s="65">
        <v>2</v>
      </c>
      <c r="E21" s="65"/>
      <c r="F21" s="66"/>
      <c r="G21" s="67">
        <v>3000000</v>
      </c>
      <c r="H21" s="65">
        <v>2</v>
      </c>
      <c r="I21" s="79"/>
      <c r="J21" s="80"/>
    </row>
    <row r="22" spans="1:10" s="59" customFormat="1">
      <c r="A22" s="68">
        <f t="shared" si="0"/>
        <v>21</v>
      </c>
      <c r="B22" s="68">
        <v>1</v>
      </c>
      <c r="C22" s="68">
        <f t="shared" si="1"/>
        <v>11</v>
      </c>
      <c r="D22" s="68">
        <v>3</v>
      </c>
      <c r="E22" s="68">
        <v>0</v>
      </c>
      <c r="F22" s="69">
        <v>0.8</v>
      </c>
      <c r="G22" s="67">
        <v>3000000</v>
      </c>
      <c r="H22" s="68">
        <v>9</v>
      </c>
      <c r="I22" s="81" t="s">
        <v>42</v>
      </c>
      <c r="J22" s="82">
        <v>200</v>
      </c>
    </row>
    <row r="23" spans="1:10" s="60" customFormat="1">
      <c r="A23" s="70">
        <f t="shared" si="0"/>
        <v>22</v>
      </c>
      <c r="B23" s="70">
        <f>B2+1</f>
        <v>2</v>
      </c>
      <c r="C23" s="70">
        <v>1</v>
      </c>
      <c r="D23" s="70">
        <v>1</v>
      </c>
      <c r="E23" s="70">
        <v>0</v>
      </c>
      <c r="F23" s="71">
        <v>0.7</v>
      </c>
      <c r="G23" s="67">
        <v>3000000</v>
      </c>
      <c r="H23" s="70">
        <v>3</v>
      </c>
      <c r="I23" s="83"/>
      <c r="J23" s="84"/>
    </row>
    <row r="24" spans="1:10" s="60" customFormat="1">
      <c r="A24" s="70">
        <f t="shared" si="0"/>
        <v>23</v>
      </c>
      <c r="B24" s="70">
        <f t="shared" ref="B24:B85" si="2">B3+1</f>
        <v>2</v>
      </c>
      <c r="C24" s="70">
        <v>1</v>
      </c>
      <c r="D24" s="70">
        <v>2</v>
      </c>
      <c r="E24" s="70">
        <v>0</v>
      </c>
      <c r="F24" s="71">
        <v>0.75</v>
      </c>
      <c r="G24" s="67">
        <v>3000000</v>
      </c>
      <c r="H24" s="70">
        <v>4</v>
      </c>
      <c r="I24" s="83"/>
      <c r="J24" s="84"/>
    </row>
    <row r="25" spans="1:10" s="60" customFormat="1">
      <c r="A25" s="70">
        <f t="shared" si="0"/>
        <v>24</v>
      </c>
      <c r="B25" s="70">
        <f t="shared" si="2"/>
        <v>2</v>
      </c>
      <c r="C25" s="70">
        <f>C23+1</f>
        <v>2</v>
      </c>
      <c r="D25" s="70">
        <v>1</v>
      </c>
      <c r="E25" s="70">
        <v>0</v>
      </c>
      <c r="F25" s="71">
        <v>1</v>
      </c>
      <c r="G25" s="67">
        <v>3000000</v>
      </c>
      <c r="H25" s="70">
        <v>3</v>
      </c>
      <c r="I25" s="105" t="s">
        <v>278</v>
      </c>
      <c r="J25" s="84"/>
    </row>
    <row r="26" spans="1:10" s="60" customFormat="1">
      <c r="A26" s="70">
        <f t="shared" si="0"/>
        <v>25</v>
      </c>
      <c r="B26" s="70">
        <f t="shared" si="2"/>
        <v>2</v>
      </c>
      <c r="C26" s="70">
        <f t="shared" ref="C26:C43" si="3">C24+1</f>
        <v>2</v>
      </c>
      <c r="D26" s="70">
        <v>2</v>
      </c>
      <c r="E26" s="70">
        <v>0</v>
      </c>
      <c r="F26" s="71">
        <v>1.02</v>
      </c>
      <c r="G26" s="67">
        <v>3000000</v>
      </c>
      <c r="H26" s="70">
        <v>4</v>
      </c>
      <c r="I26" s="105" t="s">
        <v>279</v>
      </c>
      <c r="J26" s="84"/>
    </row>
    <row r="27" spans="1:10" s="60" customFormat="1">
      <c r="A27" s="70">
        <f t="shared" si="0"/>
        <v>26</v>
      </c>
      <c r="B27" s="70">
        <f t="shared" si="2"/>
        <v>2</v>
      </c>
      <c r="C27" s="70">
        <f t="shared" si="3"/>
        <v>3</v>
      </c>
      <c r="D27" s="70">
        <v>1</v>
      </c>
      <c r="E27" s="70">
        <v>0</v>
      </c>
      <c r="F27" s="71">
        <v>1.04</v>
      </c>
      <c r="G27" s="67">
        <v>3000000</v>
      </c>
      <c r="H27" s="70">
        <v>3</v>
      </c>
      <c r="I27" s="105" t="s">
        <v>280</v>
      </c>
      <c r="J27" s="84"/>
    </row>
    <row r="28" spans="1:10" s="60" customFormat="1">
      <c r="A28" s="70">
        <f t="shared" si="0"/>
        <v>27</v>
      </c>
      <c r="B28" s="70">
        <f t="shared" si="2"/>
        <v>2</v>
      </c>
      <c r="C28" s="70">
        <f t="shared" si="3"/>
        <v>3</v>
      </c>
      <c r="D28" s="70">
        <v>2</v>
      </c>
      <c r="E28" s="70">
        <v>0</v>
      </c>
      <c r="F28" s="71">
        <v>1.06</v>
      </c>
      <c r="G28" s="67">
        <v>3000000</v>
      </c>
      <c r="H28" s="70">
        <v>4</v>
      </c>
      <c r="I28" s="105" t="s">
        <v>281</v>
      </c>
      <c r="J28" s="84"/>
    </row>
    <row r="29" spans="1:10" s="60" customFormat="1">
      <c r="A29" s="70">
        <f t="shared" si="0"/>
        <v>28</v>
      </c>
      <c r="B29" s="70">
        <f t="shared" si="2"/>
        <v>2</v>
      </c>
      <c r="C29" s="70">
        <f t="shared" si="3"/>
        <v>4</v>
      </c>
      <c r="D29" s="70">
        <v>1</v>
      </c>
      <c r="E29" s="70">
        <v>0</v>
      </c>
      <c r="F29" s="71">
        <v>1.08</v>
      </c>
      <c r="G29" s="67">
        <v>3000000</v>
      </c>
      <c r="H29" s="70">
        <v>3</v>
      </c>
      <c r="I29" s="105" t="s">
        <v>282</v>
      </c>
      <c r="J29" s="84"/>
    </row>
    <row r="30" spans="1:10" s="60" customFormat="1">
      <c r="A30" s="70">
        <f t="shared" si="0"/>
        <v>29</v>
      </c>
      <c r="B30" s="70">
        <f t="shared" si="2"/>
        <v>2</v>
      </c>
      <c r="C30" s="70">
        <f t="shared" si="3"/>
        <v>4</v>
      </c>
      <c r="D30" s="70">
        <v>2</v>
      </c>
      <c r="E30" s="70">
        <v>0</v>
      </c>
      <c r="F30" s="71">
        <v>1.1000000000000001</v>
      </c>
      <c r="G30" s="67">
        <v>3000000</v>
      </c>
      <c r="H30" s="70">
        <v>4</v>
      </c>
      <c r="I30" s="105" t="s">
        <v>283</v>
      </c>
      <c r="J30" s="84"/>
    </row>
    <row r="31" spans="1:10" s="60" customFormat="1">
      <c r="A31" s="70">
        <f t="shared" si="0"/>
        <v>30</v>
      </c>
      <c r="B31" s="70">
        <f t="shared" si="2"/>
        <v>2</v>
      </c>
      <c r="C31" s="70">
        <f t="shared" si="3"/>
        <v>5</v>
      </c>
      <c r="D31" s="70">
        <v>1</v>
      </c>
      <c r="E31" s="70">
        <v>0</v>
      </c>
      <c r="F31" s="71">
        <v>1.1200000000000001</v>
      </c>
      <c r="G31" s="67">
        <v>3000000</v>
      </c>
      <c r="H31" s="70">
        <v>3</v>
      </c>
      <c r="I31" s="105" t="s">
        <v>284</v>
      </c>
      <c r="J31" s="84"/>
    </row>
    <row r="32" spans="1:10" s="60" customFormat="1">
      <c r="A32" s="70">
        <f t="shared" si="0"/>
        <v>31</v>
      </c>
      <c r="B32" s="70">
        <f t="shared" si="2"/>
        <v>2</v>
      </c>
      <c r="C32" s="70">
        <f t="shared" si="3"/>
        <v>5</v>
      </c>
      <c r="D32" s="70">
        <v>2</v>
      </c>
      <c r="E32" s="70">
        <v>0</v>
      </c>
      <c r="F32" s="71">
        <v>1.1399999999999999</v>
      </c>
      <c r="G32" s="67">
        <v>3000000</v>
      </c>
      <c r="H32" s="70">
        <v>4</v>
      </c>
      <c r="I32" s="105" t="s">
        <v>285</v>
      </c>
      <c r="J32" s="84"/>
    </row>
    <row r="33" spans="1:10" s="60" customFormat="1">
      <c r="A33" s="70">
        <f t="shared" si="0"/>
        <v>32</v>
      </c>
      <c r="B33" s="70">
        <f t="shared" si="2"/>
        <v>2</v>
      </c>
      <c r="C33" s="70">
        <f t="shared" si="3"/>
        <v>6</v>
      </c>
      <c r="D33" s="70">
        <v>1</v>
      </c>
      <c r="E33" s="70">
        <v>0</v>
      </c>
      <c r="F33" s="71">
        <v>1.1599999999999999</v>
      </c>
      <c r="G33" s="67">
        <v>3000000</v>
      </c>
      <c r="H33" s="70">
        <v>3</v>
      </c>
      <c r="I33" s="105" t="s">
        <v>286</v>
      </c>
      <c r="J33" s="84"/>
    </row>
    <row r="34" spans="1:10" s="60" customFormat="1">
      <c r="A34" s="70">
        <f t="shared" si="0"/>
        <v>33</v>
      </c>
      <c r="B34" s="70">
        <f t="shared" si="2"/>
        <v>2</v>
      </c>
      <c r="C34" s="70">
        <f t="shared" si="3"/>
        <v>6</v>
      </c>
      <c r="D34" s="70">
        <v>2</v>
      </c>
      <c r="E34" s="70">
        <v>0</v>
      </c>
      <c r="F34" s="71">
        <v>1.3</v>
      </c>
      <c r="G34" s="67">
        <v>3000000</v>
      </c>
      <c r="H34" s="70">
        <v>4</v>
      </c>
      <c r="I34" s="105" t="s">
        <v>287</v>
      </c>
      <c r="J34" s="84"/>
    </row>
    <row r="35" spans="1:10" s="60" customFormat="1">
      <c r="A35" s="70">
        <f t="shared" si="0"/>
        <v>34</v>
      </c>
      <c r="B35" s="70">
        <f t="shared" si="2"/>
        <v>2</v>
      </c>
      <c r="C35" s="70">
        <f t="shared" si="3"/>
        <v>7</v>
      </c>
      <c r="D35" s="70">
        <v>1</v>
      </c>
      <c r="E35" s="70">
        <v>0</v>
      </c>
      <c r="F35" s="71">
        <v>1.44</v>
      </c>
      <c r="G35" s="67">
        <v>3000000</v>
      </c>
      <c r="H35" s="70">
        <v>3</v>
      </c>
      <c r="I35" s="105" t="s">
        <v>288</v>
      </c>
      <c r="J35" s="84"/>
    </row>
    <row r="36" spans="1:10" s="60" customFormat="1">
      <c r="A36" s="70">
        <f t="shared" si="0"/>
        <v>35</v>
      </c>
      <c r="B36" s="70">
        <f t="shared" si="2"/>
        <v>2</v>
      </c>
      <c r="C36" s="70">
        <f t="shared" si="3"/>
        <v>7</v>
      </c>
      <c r="D36" s="70">
        <v>2</v>
      </c>
      <c r="E36" s="70">
        <v>4</v>
      </c>
      <c r="F36" s="71">
        <v>1.58</v>
      </c>
      <c r="G36" s="67">
        <v>3000000</v>
      </c>
      <c r="H36" s="70">
        <v>4</v>
      </c>
      <c r="I36" s="105" t="s">
        <v>289</v>
      </c>
      <c r="J36" s="84"/>
    </row>
    <row r="37" spans="1:10" s="60" customFormat="1">
      <c r="A37" s="70">
        <f t="shared" si="0"/>
        <v>36</v>
      </c>
      <c r="B37" s="70">
        <f t="shared" si="2"/>
        <v>2</v>
      </c>
      <c r="C37" s="70">
        <f t="shared" si="3"/>
        <v>8</v>
      </c>
      <c r="D37" s="70">
        <v>1</v>
      </c>
      <c r="E37" s="70">
        <v>6</v>
      </c>
      <c r="F37" s="71">
        <v>1.72</v>
      </c>
      <c r="G37" s="67">
        <v>3000000</v>
      </c>
      <c r="H37" s="70">
        <v>3</v>
      </c>
      <c r="I37" s="105" t="s">
        <v>290</v>
      </c>
      <c r="J37" s="84"/>
    </row>
    <row r="38" spans="1:10" s="60" customFormat="1">
      <c r="A38" s="70">
        <f t="shared" si="0"/>
        <v>37</v>
      </c>
      <c r="B38" s="70">
        <f t="shared" si="2"/>
        <v>2</v>
      </c>
      <c r="C38" s="70">
        <f t="shared" si="3"/>
        <v>8</v>
      </c>
      <c r="D38" s="70">
        <v>2</v>
      </c>
      <c r="E38" s="70">
        <v>17</v>
      </c>
      <c r="F38" s="71">
        <v>1.86</v>
      </c>
      <c r="G38" s="67">
        <v>3000000</v>
      </c>
      <c r="H38" s="70">
        <v>4</v>
      </c>
      <c r="I38" s="105" t="s">
        <v>291</v>
      </c>
      <c r="J38" s="84"/>
    </row>
    <row r="39" spans="1:10" s="60" customFormat="1">
      <c r="A39" s="70">
        <f t="shared" si="0"/>
        <v>38</v>
      </c>
      <c r="B39" s="70">
        <f t="shared" si="2"/>
        <v>2</v>
      </c>
      <c r="C39" s="70">
        <f t="shared" si="3"/>
        <v>9</v>
      </c>
      <c r="D39" s="70">
        <v>1</v>
      </c>
      <c r="E39" s="70">
        <v>20</v>
      </c>
      <c r="F39" s="71">
        <v>2</v>
      </c>
      <c r="G39" s="67">
        <v>3000000</v>
      </c>
      <c r="H39" s="70">
        <v>3</v>
      </c>
      <c r="I39" s="105" t="s">
        <v>292</v>
      </c>
      <c r="J39" s="84"/>
    </row>
    <row r="40" spans="1:10" s="60" customFormat="1">
      <c r="A40" s="70">
        <f t="shared" si="0"/>
        <v>39</v>
      </c>
      <c r="B40" s="70">
        <f t="shared" si="2"/>
        <v>2</v>
      </c>
      <c r="C40" s="70">
        <f t="shared" si="3"/>
        <v>9</v>
      </c>
      <c r="D40" s="70">
        <v>2</v>
      </c>
      <c r="E40" s="70">
        <v>32</v>
      </c>
      <c r="F40" s="71">
        <v>2.14</v>
      </c>
      <c r="G40" s="67">
        <v>3000000</v>
      </c>
      <c r="H40" s="70">
        <v>4</v>
      </c>
      <c r="I40" s="105" t="s">
        <v>293</v>
      </c>
      <c r="J40" s="84"/>
    </row>
    <row r="41" spans="1:10" s="60" customFormat="1">
      <c r="A41" s="70">
        <f t="shared" si="0"/>
        <v>40</v>
      </c>
      <c r="B41" s="70">
        <f t="shared" si="2"/>
        <v>2</v>
      </c>
      <c r="C41" s="70">
        <f t="shared" si="3"/>
        <v>10</v>
      </c>
      <c r="D41" s="70">
        <v>1</v>
      </c>
      <c r="E41" s="70"/>
      <c r="F41" s="71"/>
      <c r="G41" s="67">
        <v>3000000</v>
      </c>
      <c r="H41" s="70">
        <v>3</v>
      </c>
      <c r="I41" s="83"/>
      <c r="J41" s="84"/>
    </row>
    <row r="42" spans="1:10" s="60" customFormat="1">
      <c r="A42" s="70">
        <f t="shared" si="0"/>
        <v>41</v>
      </c>
      <c r="B42" s="70">
        <f t="shared" si="2"/>
        <v>2</v>
      </c>
      <c r="C42" s="70">
        <f t="shared" si="3"/>
        <v>10</v>
      </c>
      <c r="D42" s="70">
        <v>2</v>
      </c>
      <c r="E42" s="70"/>
      <c r="F42" s="71"/>
      <c r="G42" s="67">
        <v>3000000</v>
      </c>
      <c r="H42" s="70">
        <v>4</v>
      </c>
      <c r="I42" s="83"/>
      <c r="J42" s="84"/>
    </row>
    <row r="43" spans="1:10" s="60" customFormat="1">
      <c r="A43" s="72">
        <f t="shared" si="0"/>
        <v>42</v>
      </c>
      <c r="B43" s="72">
        <f t="shared" si="2"/>
        <v>2</v>
      </c>
      <c r="C43" s="72">
        <f t="shared" si="3"/>
        <v>11</v>
      </c>
      <c r="D43" s="72">
        <v>3</v>
      </c>
      <c r="E43" s="72">
        <v>45</v>
      </c>
      <c r="F43" s="73">
        <v>2.2000000000000002</v>
      </c>
      <c r="G43" s="67">
        <v>3000000</v>
      </c>
      <c r="H43" s="72">
        <v>9</v>
      </c>
      <c r="I43" s="85" t="s">
        <v>43</v>
      </c>
      <c r="J43" s="86">
        <v>300</v>
      </c>
    </row>
    <row r="44" spans="1:10" s="61" customFormat="1">
      <c r="A44" s="74">
        <f t="shared" si="0"/>
        <v>43</v>
      </c>
      <c r="B44" s="74">
        <f t="shared" si="2"/>
        <v>3</v>
      </c>
      <c r="C44" s="74">
        <v>1</v>
      </c>
      <c r="D44" s="74">
        <v>1</v>
      </c>
      <c r="E44" s="74">
        <v>0</v>
      </c>
      <c r="F44" s="71">
        <v>2.2200000000000002</v>
      </c>
      <c r="G44" s="67">
        <v>3000000</v>
      </c>
      <c r="H44" s="74">
        <v>5</v>
      </c>
      <c r="I44" s="87"/>
      <c r="J44" s="88"/>
    </row>
    <row r="45" spans="1:10" s="61" customFormat="1">
      <c r="A45" s="74">
        <f t="shared" si="0"/>
        <v>44</v>
      </c>
      <c r="B45" s="74">
        <f t="shared" si="2"/>
        <v>3</v>
      </c>
      <c r="C45" s="74">
        <v>1</v>
      </c>
      <c r="D45" s="74">
        <v>2</v>
      </c>
      <c r="E45" s="74">
        <v>0</v>
      </c>
      <c r="F45" s="73">
        <v>2.2400000000000002</v>
      </c>
      <c r="G45" s="67">
        <v>3000000</v>
      </c>
      <c r="H45" s="74">
        <v>6</v>
      </c>
      <c r="I45" s="87"/>
      <c r="J45" s="88"/>
    </row>
    <row r="46" spans="1:10" s="61" customFormat="1">
      <c r="A46" s="74">
        <f t="shared" si="0"/>
        <v>45</v>
      </c>
      <c r="B46" s="74">
        <f t="shared" si="2"/>
        <v>3</v>
      </c>
      <c r="C46" s="74">
        <f>C44+1</f>
        <v>2</v>
      </c>
      <c r="D46" s="74">
        <v>1</v>
      </c>
      <c r="E46" s="74">
        <v>0</v>
      </c>
      <c r="F46" s="71">
        <v>2.2599999999999998</v>
      </c>
      <c r="G46" s="67">
        <v>3000000</v>
      </c>
      <c r="H46" s="74">
        <v>5</v>
      </c>
      <c r="I46" s="87"/>
      <c r="J46" s="88"/>
    </row>
    <row r="47" spans="1:10" s="61" customFormat="1">
      <c r="A47" s="74">
        <f t="shared" si="0"/>
        <v>46</v>
      </c>
      <c r="B47" s="74">
        <f t="shared" si="2"/>
        <v>3</v>
      </c>
      <c r="C47" s="74">
        <f t="shared" ref="C47:C64" si="4">C45+1</f>
        <v>2</v>
      </c>
      <c r="D47" s="74">
        <v>2</v>
      </c>
      <c r="E47" s="74">
        <v>0</v>
      </c>
      <c r="F47" s="73">
        <v>2.2799999999999998</v>
      </c>
      <c r="G47" s="67">
        <v>3000000</v>
      </c>
      <c r="H47" s="74">
        <v>6</v>
      </c>
      <c r="I47" s="87"/>
      <c r="J47" s="88"/>
    </row>
    <row r="48" spans="1:10" s="61" customFormat="1">
      <c r="A48" s="74">
        <f t="shared" si="0"/>
        <v>47</v>
      </c>
      <c r="B48" s="74">
        <f t="shared" si="2"/>
        <v>3</v>
      </c>
      <c r="C48" s="74">
        <f t="shared" si="4"/>
        <v>3</v>
      </c>
      <c r="D48" s="74">
        <v>1</v>
      </c>
      <c r="E48" s="74">
        <v>0</v>
      </c>
      <c r="F48" s="71">
        <v>2.2999999999999998</v>
      </c>
      <c r="G48" s="67">
        <v>3000000</v>
      </c>
      <c r="H48" s="74">
        <v>5</v>
      </c>
      <c r="I48" s="106" t="s">
        <v>294</v>
      </c>
      <c r="J48" s="88"/>
    </row>
    <row r="49" spans="1:10" s="61" customFormat="1">
      <c r="A49" s="74">
        <f t="shared" si="0"/>
        <v>48</v>
      </c>
      <c r="B49" s="74">
        <f t="shared" si="2"/>
        <v>3</v>
      </c>
      <c r="C49" s="74">
        <f t="shared" si="4"/>
        <v>3</v>
      </c>
      <c r="D49" s="74">
        <v>2</v>
      </c>
      <c r="E49" s="74">
        <v>0</v>
      </c>
      <c r="F49" s="73">
        <v>2.3199999999999998</v>
      </c>
      <c r="G49" s="67">
        <v>3000000</v>
      </c>
      <c r="H49" s="74">
        <v>6</v>
      </c>
      <c r="I49" s="106" t="s">
        <v>295</v>
      </c>
      <c r="J49" s="88"/>
    </row>
    <row r="50" spans="1:10" s="61" customFormat="1">
      <c r="A50" s="74">
        <f t="shared" si="0"/>
        <v>49</v>
      </c>
      <c r="B50" s="74">
        <f t="shared" si="2"/>
        <v>3</v>
      </c>
      <c r="C50" s="74">
        <f t="shared" si="4"/>
        <v>4</v>
      </c>
      <c r="D50" s="74">
        <v>1</v>
      </c>
      <c r="E50" s="74">
        <v>0</v>
      </c>
      <c r="F50" s="71">
        <v>2.34</v>
      </c>
      <c r="G50" s="67">
        <v>3000000</v>
      </c>
      <c r="H50" s="74">
        <v>5</v>
      </c>
      <c r="I50" s="106" t="s">
        <v>296</v>
      </c>
      <c r="J50" s="88"/>
    </row>
    <row r="51" spans="1:10" s="61" customFormat="1">
      <c r="A51" s="74">
        <f t="shared" si="0"/>
        <v>50</v>
      </c>
      <c r="B51" s="74">
        <f t="shared" si="2"/>
        <v>3</v>
      </c>
      <c r="C51" s="74">
        <f t="shared" si="4"/>
        <v>4</v>
      </c>
      <c r="D51" s="74">
        <v>2</v>
      </c>
      <c r="E51" s="74">
        <v>0</v>
      </c>
      <c r="F51" s="73">
        <v>2.36</v>
      </c>
      <c r="G51" s="67">
        <v>3000000</v>
      </c>
      <c r="H51" s="74">
        <v>6</v>
      </c>
      <c r="I51" s="106" t="s">
        <v>297</v>
      </c>
      <c r="J51" s="88"/>
    </row>
    <row r="52" spans="1:10" s="61" customFormat="1">
      <c r="A52" s="74">
        <f t="shared" si="0"/>
        <v>51</v>
      </c>
      <c r="B52" s="74">
        <f t="shared" si="2"/>
        <v>3</v>
      </c>
      <c r="C52" s="74">
        <f t="shared" si="4"/>
        <v>5</v>
      </c>
      <c r="D52" s="74">
        <v>1</v>
      </c>
      <c r="E52" s="74">
        <v>0</v>
      </c>
      <c r="F52" s="71">
        <v>2.38</v>
      </c>
      <c r="G52" s="67">
        <v>3000000</v>
      </c>
      <c r="H52" s="74">
        <v>5</v>
      </c>
      <c r="I52" s="106" t="s">
        <v>298</v>
      </c>
      <c r="J52" s="88"/>
    </row>
    <row r="53" spans="1:10" s="61" customFormat="1">
      <c r="A53" s="74">
        <f t="shared" si="0"/>
        <v>52</v>
      </c>
      <c r="B53" s="74">
        <f t="shared" si="2"/>
        <v>3</v>
      </c>
      <c r="C53" s="74">
        <f t="shared" si="4"/>
        <v>5</v>
      </c>
      <c r="D53" s="74">
        <v>2</v>
      </c>
      <c r="E53" s="74">
        <v>0</v>
      </c>
      <c r="F53" s="73">
        <v>2.4</v>
      </c>
      <c r="G53" s="67">
        <v>3000000</v>
      </c>
      <c r="H53" s="74">
        <v>6</v>
      </c>
      <c r="I53" s="106" t="s">
        <v>299</v>
      </c>
      <c r="J53" s="88"/>
    </row>
    <row r="54" spans="1:10" s="61" customFormat="1">
      <c r="A54" s="74">
        <f t="shared" si="0"/>
        <v>53</v>
      </c>
      <c r="B54" s="74">
        <f t="shared" si="2"/>
        <v>3</v>
      </c>
      <c r="C54" s="74">
        <f t="shared" si="4"/>
        <v>6</v>
      </c>
      <c r="D54" s="74">
        <v>1</v>
      </c>
      <c r="E54" s="74">
        <v>0</v>
      </c>
      <c r="F54" s="71">
        <v>2.42</v>
      </c>
      <c r="G54" s="67">
        <v>3000000</v>
      </c>
      <c r="H54" s="74">
        <v>5</v>
      </c>
      <c r="I54" s="106" t="s">
        <v>300</v>
      </c>
      <c r="J54" s="88"/>
    </row>
    <row r="55" spans="1:10" s="61" customFormat="1">
      <c r="A55" s="74">
        <f t="shared" si="0"/>
        <v>54</v>
      </c>
      <c r="B55" s="74">
        <f t="shared" si="2"/>
        <v>3</v>
      </c>
      <c r="C55" s="74">
        <f t="shared" si="4"/>
        <v>6</v>
      </c>
      <c r="D55" s="74">
        <v>2</v>
      </c>
      <c r="E55" s="74">
        <v>6</v>
      </c>
      <c r="F55" s="73">
        <v>2.44</v>
      </c>
      <c r="G55" s="67">
        <v>3000000</v>
      </c>
      <c r="H55" s="74">
        <v>6</v>
      </c>
      <c r="I55" s="106" t="s">
        <v>301</v>
      </c>
      <c r="J55" s="88"/>
    </row>
    <row r="56" spans="1:10" s="61" customFormat="1">
      <c r="A56" s="74">
        <f t="shared" si="0"/>
        <v>55</v>
      </c>
      <c r="B56" s="74">
        <f t="shared" si="2"/>
        <v>3</v>
      </c>
      <c r="C56" s="74">
        <f t="shared" si="4"/>
        <v>7</v>
      </c>
      <c r="D56" s="74">
        <v>1</v>
      </c>
      <c r="E56" s="74">
        <v>24</v>
      </c>
      <c r="F56" s="71">
        <v>2.46</v>
      </c>
      <c r="G56" s="67">
        <v>3000000</v>
      </c>
      <c r="H56" s="74">
        <v>5</v>
      </c>
      <c r="I56" s="106" t="s">
        <v>302</v>
      </c>
      <c r="J56" s="88"/>
    </row>
    <row r="57" spans="1:10" s="61" customFormat="1">
      <c r="A57" s="74">
        <f t="shared" si="0"/>
        <v>56</v>
      </c>
      <c r="B57" s="74">
        <f t="shared" si="2"/>
        <v>3</v>
      </c>
      <c r="C57" s="74">
        <f t="shared" si="4"/>
        <v>7</v>
      </c>
      <c r="D57" s="74">
        <v>2</v>
      </c>
      <c r="E57" s="74">
        <v>25</v>
      </c>
      <c r="F57" s="73">
        <v>2.48</v>
      </c>
      <c r="G57" s="67">
        <v>3000000</v>
      </c>
      <c r="H57" s="74">
        <v>6</v>
      </c>
      <c r="I57" s="106" t="s">
        <v>303</v>
      </c>
      <c r="J57" s="88"/>
    </row>
    <row r="58" spans="1:10" s="61" customFormat="1">
      <c r="A58" s="74">
        <f t="shared" si="0"/>
        <v>57</v>
      </c>
      <c r="B58" s="74">
        <f t="shared" si="2"/>
        <v>3</v>
      </c>
      <c r="C58" s="74">
        <f t="shared" si="4"/>
        <v>8</v>
      </c>
      <c r="D58" s="74">
        <v>1</v>
      </c>
      <c r="E58" s="74">
        <v>27</v>
      </c>
      <c r="F58" s="71">
        <v>2.5</v>
      </c>
      <c r="G58" s="67">
        <v>3000000</v>
      </c>
      <c r="H58" s="74">
        <v>5</v>
      </c>
      <c r="I58" s="106" t="s">
        <v>304</v>
      </c>
      <c r="J58" s="88"/>
    </row>
    <row r="59" spans="1:10" s="61" customFormat="1">
      <c r="A59" s="74">
        <f t="shared" si="0"/>
        <v>58</v>
      </c>
      <c r="B59" s="74">
        <f t="shared" si="2"/>
        <v>3</v>
      </c>
      <c r="C59" s="74">
        <f t="shared" si="4"/>
        <v>8</v>
      </c>
      <c r="D59" s="74">
        <v>2</v>
      </c>
      <c r="E59" s="74">
        <v>41</v>
      </c>
      <c r="F59" s="73">
        <v>2.52</v>
      </c>
      <c r="G59" s="67">
        <v>3000000</v>
      </c>
      <c r="H59" s="74">
        <v>6</v>
      </c>
      <c r="I59" s="106" t="s">
        <v>305</v>
      </c>
      <c r="J59" s="88"/>
    </row>
    <row r="60" spans="1:10" s="61" customFormat="1">
      <c r="A60" s="74">
        <f t="shared" si="0"/>
        <v>59</v>
      </c>
      <c r="B60" s="74">
        <f t="shared" si="2"/>
        <v>3</v>
      </c>
      <c r="C60" s="74">
        <f t="shared" si="4"/>
        <v>9</v>
      </c>
      <c r="D60" s="74">
        <v>1</v>
      </c>
      <c r="E60" s="74">
        <v>44</v>
      </c>
      <c r="F60" s="71">
        <v>2.54</v>
      </c>
      <c r="G60" s="67">
        <v>3000000</v>
      </c>
      <c r="H60" s="74">
        <v>5</v>
      </c>
      <c r="I60" s="106" t="s">
        <v>306</v>
      </c>
      <c r="J60" s="88"/>
    </row>
    <row r="61" spans="1:10" s="61" customFormat="1">
      <c r="A61" s="74">
        <f t="shared" si="0"/>
        <v>60</v>
      </c>
      <c r="B61" s="74">
        <f t="shared" si="2"/>
        <v>3</v>
      </c>
      <c r="C61" s="74">
        <f t="shared" si="4"/>
        <v>9</v>
      </c>
      <c r="D61" s="74">
        <v>2</v>
      </c>
      <c r="E61" s="74">
        <v>60</v>
      </c>
      <c r="F61" s="73">
        <v>2.56</v>
      </c>
      <c r="G61" s="67">
        <v>3000000</v>
      </c>
      <c r="H61" s="74">
        <v>6</v>
      </c>
      <c r="I61" s="106" t="s">
        <v>307</v>
      </c>
      <c r="J61" s="88"/>
    </row>
    <row r="62" spans="1:10" s="61" customFormat="1">
      <c r="A62" s="74">
        <f t="shared" si="0"/>
        <v>61</v>
      </c>
      <c r="B62" s="74">
        <f t="shared" si="2"/>
        <v>3</v>
      </c>
      <c r="C62" s="74">
        <f t="shared" si="4"/>
        <v>10</v>
      </c>
      <c r="D62" s="74">
        <v>1</v>
      </c>
      <c r="E62" s="74"/>
      <c r="F62" s="75"/>
      <c r="G62" s="67">
        <v>3000000</v>
      </c>
      <c r="H62" s="74">
        <v>5</v>
      </c>
      <c r="I62" s="87"/>
      <c r="J62" s="88"/>
    </row>
    <row r="63" spans="1:10" s="61" customFormat="1">
      <c r="A63" s="74">
        <f t="shared" si="0"/>
        <v>62</v>
      </c>
      <c r="B63" s="74">
        <f t="shared" si="2"/>
        <v>3</v>
      </c>
      <c r="C63" s="74">
        <f t="shared" si="4"/>
        <v>10</v>
      </c>
      <c r="D63" s="74">
        <v>2</v>
      </c>
      <c r="E63" s="74"/>
      <c r="F63" s="75"/>
      <c r="G63" s="67">
        <v>3000000</v>
      </c>
      <c r="H63" s="74">
        <v>6</v>
      </c>
      <c r="I63" s="87"/>
      <c r="J63" s="88"/>
    </row>
    <row r="64" spans="1:10" s="61" customFormat="1">
      <c r="A64" s="76">
        <f t="shared" si="0"/>
        <v>63</v>
      </c>
      <c r="B64" s="76">
        <f t="shared" si="2"/>
        <v>3</v>
      </c>
      <c r="C64" s="76">
        <f t="shared" si="4"/>
        <v>11</v>
      </c>
      <c r="D64" s="76">
        <v>3</v>
      </c>
      <c r="E64" s="76">
        <v>65</v>
      </c>
      <c r="F64" s="77">
        <v>2.6</v>
      </c>
      <c r="G64" s="67">
        <v>3000000</v>
      </c>
      <c r="H64" s="76"/>
      <c r="I64" s="89" t="s">
        <v>308</v>
      </c>
      <c r="J64" s="90">
        <v>500</v>
      </c>
    </row>
    <row r="65" spans="1:10">
      <c r="A65" s="10">
        <f t="shared" si="0"/>
        <v>64</v>
      </c>
      <c r="B65" s="10">
        <f t="shared" si="2"/>
        <v>4</v>
      </c>
      <c r="C65" s="10">
        <v>1</v>
      </c>
      <c r="D65" s="10">
        <v>1</v>
      </c>
      <c r="E65" s="10">
        <v>0</v>
      </c>
      <c r="F65" s="71">
        <v>2.62</v>
      </c>
      <c r="G65" s="67">
        <v>3000000</v>
      </c>
      <c r="H65" s="10">
        <v>7</v>
      </c>
      <c r="I65" s="93"/>
      <c r="J65" s="94"/>
    </row>
    <row r="66" spans="1:10">
      <c r="A66" s="10">
        <f t="shared" si="0"/>
        <v>65</v>
      </c>
      <c r="B66" s="10">
        <f t="shared" si="2"/>
        <v>4</v>
      </c>
      <c r="C66" s="10">
        <v>1</v>
      </c>
      <c r="D66" s="10">
        <v>2</v>
      </c>
      <c r="E66" s="10">
        <v>0</v>
      </c>
      <c r="F66" s="77">
        <v>2.64</v>
      </c>
      <c r="G66" s="67">
        <v>3050000</v>
      </c>
      <c r="H66" s="10">
        <v>8</v>
      </c>
      <c r="I66" s="93"/>
      <c r="J66" s="94"/>
    </row>
    <row r="67" spans="1:10">
      <c r="A67" s="10">
        <f t="shared" si="0"/>
        <v>66</v>
      </c>
      <c r="B67" s="10">
        <f t="shared" si="2"/>
        <v>4</v>
      </c>
      <c r="C67" s="10">
        <f>C65+1</f>
        <v>2</v>
      </c>
      <c r="D67" s="10">
        <v>1</v>
      </c>
      <c r="E67" s="10">
        <v>0</v>
      </c>
      <c r="F67" s="71">
        <v>2.66</v>
      </c>
      <c r="G67" s="67">
        <v>3100000</v>
      </c>
      <c r="H67" s="10">
        <v>7</v>
      </c>
      <c r="I67" s="93"/>
      <c r="J67" s="95"/>
    </row>
    <row r="68" spans="1:10">
      <c r="A68" s="10">
        <f t="shared" ref="A68:A85" si="5">A67+1</f>
        <v>67</v>
      </c>
      <c r="B68" s="10">
        <f t="shared" si="2"/>
        <v>4</v>
      </c>
      <c r="C68" s="10">
        <f t="shared" ref="C68:C85" si="6">C66+1</f>
        <v>2</v>
      </c>
      <c r="D68" s="10">
        <v>2</v>
      </c>
      <c r="E68" s="10">
        <v>0</v>
      </c>
      <c r="F68" s="77">
        <v>2.68</v>
      </c>
      <c r="G68" s="67">
        <v>3150000</v>
      </c>
      <c r="H68" s="10">
        <v>8</v>
      </c>
      <c r="I68" s="93"/>
      <c r="J68" s="95"/>
    </row>
    <row r="69" spans="1:10">
      <c r="A69" s="10">
        <f t="shared" si="5"/>
        <v>68</v>
      </c>
      <c r="B69" s="10">
        <f t="shared" si="2"/>
        <v>4</v>
      </c>
      <c r="C69" s="10">
        <f t="shared" si="6"/>
        <v>3</v>
      </c>
      <c r="D69" s="10">
        <v>1</v>
      </c>
      <c r="E69" s="10">
        <v>0</v>
      </c>
      <c r="F69" s="71">
        <v>2.7</v>
      </c>
      <c r="G69" s="67">
        <v>3200000</v>
      </c>
      <c r="H69" s="10">
        <v>7</v>
      </c>
      <c r="I69" s="107" t="s">
        <v>309</v>
      </c>
      <c r="J69" s="95"/>
    </row>
    <row r="70" spans="1:10">
      <c r="A70" s="10">
        <f t="shared" si="5"/>
        <v>69</v>
      </c>
      <c r="B70" s="10">
        <f t="shared" si="2"/>
        <v>4</v>
      </c>
      <c r="C70" s="10">
        <f t="shared" si="6"/>
        <v>3</v>
      </c>
      <c r="D70" s="10">
        <v>2</v>
      </c>
      <c r="E70" s="10">
        <v>0</v>
      </c>
      <c r="F70" s="77">
        <v>2.72</v>
      </c>
      <c r="G70" s="67">
        <v>3250000</v>
      </c>
      <c r="H70" s="10">
        <v>8</v>
      </c>
      <c r="I70" s="107" t="s">
        <v>310</v>
      </c>
      <c r="J70" s="95"/>
    </row>
    <row r="71" spans="1:10">
      <c r="A71" s="10">
        <f t="shared" si="5"/>
        <v>70</v>
      </c>
      <c r="B71" s="10">
        <f t="shared" si="2"/>
        <v>4</v>
      </c>
      <c r="C71" s="10">
        <f t="shared" si="6"/>
        <v>4</v>
      </c>
      <c r="D71" s="10">
        <v>1</v>
      </c>
      <c r="E71" s="10">
        <v>0</v>
      </c>
      <c r="F71" s="71">
        <v>2.74</v>
      </c>
      <c r="G71" s="67">
        <v>3300000</v>
      </c>
      <c r="H71" s="10">
        <v>7</v>
      </c>
      <c r="I71" s="107" t="s">
        <v>311</v>
      </c>
      <c r="J71" s="95"/>
    </row>
    <row r="72" spans="1:10">
      <c r="A72" s="10">
        <f t="shared" si="5"/>
        <v>71</v>
      </c>
      <c r="B72" s="10">
        <f t="shared" si="2"/>
        <v>4</v>
      </c>
      <c r="C72" s="10">
        <f t="shared" si="6"/>
        <v>4</v>
      </c>
      <c r="D72" s="10">
        <v>2</v>
      </c>
      <c r="E72" s="10">
        <v>6</v>
      </c>
      <c r="F72" s="77">
        <v>2.76</v>
      </c>
      <c r="G72" s="67">
        <v>3350000</v>
      </c>
      <c r="H72" s="10">
        <v>8</v>
      </c>
      <c r="I72" s="107" t="s">
        <v>312</v>
      </c>
      <c r="J72" s="95"/>
    </row>
    <row r="73" spans="1:10">
      <c r="A73" s="10">
        <f t="shared" si="5"/>
        <v>72</v>
      </c>
      <c r="B73" s="10">
        <f t="shared" si="2"/>
        <v>4</v>
      </c>
      <c r="C73" s="10">
        <f t="shared" si="6"/>
        <v>5</v>
      </c>
      <c r="D73" s="10">
        <v>1</v>
      </c>
      <c r="E73" s="10">
        <v>5</v>
      </c>
      <c r="F73" s="71">
        <v>2.78</v>
      </c>
      <c r="G73" s="67">
        <v>3400000</v>
      </c>
      <c r="H73" s="10">
        <v>7</v>
      </c>
      <c r="I73" s="107" t="s">
        <v>313</v>
      </c>
      <c r="J73" s="95"/>
    </row>
    <row r="74" spans="1:10">
      <c r="A74" s="10">
        <f t="shared" si="5"/>
        <v>73</v>
      </c>
      <c r="B74" s="10">
        <f t="shared" si="2"/>
        <v>4</v>
      </c>
      <c r="C74" s="10">
        <f t="shared" si="6"/>
        <v>5</v>
      </c>
      <c r="D74" s="10">
        <v>2</v>
      </c>
      <c r="E74" s="10">
        <v>17</v>
      </c>
      <c r="F74" s="77">
        <v>2.8</v>
      </c>
      <c r="G74" s="67">
        <v>3450000</v>
      </c>
      <c r="H74" s="10">
        <v>8</v>
      </c>
      <c r="I74" s="107" t="s">
        <v>314</v>
      </c>
      <c r="J74" s="95"/>
    </row>
    <row r="75" spans="1:10">
      <c r="A75" s="10">
        <f t="shared" si="5"/>
        <v>74</v>
      </c>
      <c r="B75" s="10">
        <f t="shared" si="2"/>
        <v>4</v>
      </c>
      <c r="C75" s="10">
        <f t="shared" si="6"/>
        <v>6</v>
      </c>
      <c r="D75" s="10">
        <v>1</v>
      </c>
      <c r="E75" s="10">
        <v>16</v>
      </c>
      <c r="F75" s="71">
        <v>2.82</v>
      </c>
      <c r="G75" s="67">
        <v>3500000</v>
      </c>
      <c r="H75" s="10">
        <v>7</v>
      </c>
      <c r="I75" s="107" t="s">
        <v>315</v>
      </c>
      <c r="J75" s="95"/>
    </row>
    <row r="76" spans="1:10">
      <c r="A76" s="10">
        <f t="shared" si="5"/>
        <v>75</v>
      </c>
      <c r="B76" s="10">
        <f t="shared" si="2"/>
        <v>4</v>
      </c>
      <c r="C76" s="10">
        <f t="shared" si="6"/>
        <v>6</v>
      </c>
      <c r="D76" s="10">
        <v>2</v>
      </c>
      <c r="E76" s="10">
        <v>29</v>
      </c>
      <c r="F76" s="77">
        <v>2.84</v>
      </c>
      <c r="G76" s="67">
        <v>3550000</v>
      </c>
      <c r="H76" s="10">
        <v>8</v>
      </c>
      <c r="I76" s="107" t="s">
        <v>316</v>
      </c>
      <c r="J76" s="95"/>
    </row>
    <row r="77" spans="1:10">
      <c r="A77" s="10">
        <f t="shared" si="5"/>
        <v>76</v>
      </c>
      <c r="B77" s="10">
        <f t="shared" si="2"/>
        <v>4</v>
      </c>
      <c r="C77" s="10">
        <f t="shared" si="6"/>
        <v>7</v>
      </c>
      <c r="D77" s="10">
        <v>1</v>
      </c>
      <c r="E77" s="10">
        <v>28</v>
      </c>
      <c r="F77" s="71">
        <v>2.86</v>
      </c>
      <c r="G77" s="67">
        <v>3600000</v>
      </c>
      <c r="H77" s="10">
        <v>7</v>
      </c>
      <c r="I77" s="107" t="s">
        <v>317</v>
      </c>
      <c r="J77" s="95"/>
    </row>
    <row r="78" spans="1:10">
      <c r="A78" s="10">
        <f t="shared" si="5"/>
        <v>77</v>
      </c>
      <c r="B78" s="10">
        <f t="shared" si="2"/>
        <v>4</v>
      </c>
      <c r="C78" s="10">
        <f t="shared" si="6"/>
        <v>7</v>
      </c>
      <c r="D78" s="10">
        <v>2</v>
      </c>
      <c r="E78" s="10">
        <v>41</v>
      </c>
      <c r="F78" s="77">
        <v>2.88</v>
      </c>
      <c r="G78" s="67">
        <v>3650000</v>
      </c>
      <c r="H78" s="10">
        <v>8</v>
      </c>
      <c r="I78" s="107" t="s">
        <v>318</v>
      </c>
      <c r="J78" s="95"/>
    </row>
    <row r="79" spans="1:10">
      <c r="A79" s="10">
        <f t="shared" si="5"/>
        <v>78</v>
      </c>
      <c r="B79" s="10">
        <f t="shared" si="2"/>
        <v>4</v>
      </c>
      <c r="C79" s="10">
        <f t="shared" si="6"/>
        <v>8</v>
      </c>
      <c r="D79" s="10">
        <v>1</v>
      </c>
      <c r="E79" s="10">
        <v>40</v>
      </c>
      <c r="F79" s="71">
        <v>2.9</v>
      </c>
      <c r="G79" s="67">
        <v>3700000</v>
      </c>
      <c r="H79" s="10">
        <v>7</v>
      </c>
      <c r="I79" s="107" t="s">
        <v>319</v>
      </c>
      <c r="J79" s="95"/>
    </row>
    <row r="80" spans="1:10">
      <c r="A80" s="10">
        <f t="shared" si="5"/>
        <v>79</v>
      </c>
      <c r="B80" s="10">
        <f t="shared" si="2"/>
        <v>4</v>
      </c>
      <c r="C80" s="10">
        <f t="shared" si="6"/>
        <v>8</v>
      </c>
      <c r="D80" s="10">
        <v>2</v>
      </c>
      <c r="E80" s="10">
        <v>55</v>
      </c>
      <c r="F80" s="77">
        <v>2.92</v>
      </c>
      <c r="G80" s="67">
        <v>3750000</v>
      </c>
      <c r="H80" s="10">
        <v>8</v>
      </c>
      <c r="I80" s="107" t="s">
        <v>320</v>
      </c>
      <c r="J80" s="95"/>
    </row>
    <row r="81" spans="1:10">
      <c r="A81" s="10">
        <f t="shared" si="5"/>
        <v>80</v>
      </c>
      <c r="B81" s="10">
        <f t="shared" si="2"/>
        <v>4</v>
      </c>
      <c r="C81" s="10">
        <f t="shared" si="6"/>
        <v>9</v>
      </c>
      <c r="D81" s="10">
        <v>1</v>
      </c>
      <c r="E81" s="10">
        <v>54</v>
      </c>
      <c r="F81" s="71">
        <v>2.94</v>
      </c>
      <c r="G81" s="67">
        <v>3800000</v>
      </c>
      <c r="H81" s="10">
        <v>7</v>
      </c>
      <c r="I81" s="107" t="s">
        <v>321</v>
      </c>
      <c r="J81" s="95"/>
    </row>
    <row r="82" spans="1:10">
      <c r="A82" s="10">
        <f t="shared" si="5"/>
        <v>81</v>
      </c>
      <c r="B82" s="10">
        <f t="shared" si="2"/>
        <v>4</v>
      </c>
      <c r="C82" s="10">
        <f t="shared" si="6"/>
        <v>9</v>
      </c>
      <c r="D82" s="10">
        <v>2</v>
      </c>
      <c r="E82" s="10">
        <v>71</v>
      </c>
      <c r="F82" s="77">
        <v>2.96</v>
      </c>
      <c r="G82" s="67">
        <v>3850000</v>
      </c>
      <c r="H82" s="10">
        <v>8</v>
      </c>
      <c r="I82" s="107" t="s">
        <v>322</v>
      </c>
      <c r="J82" s="95"/>
    </row>
    <row r="83" spans="1:10">
      <c r="A83" s="10">
        <f t="shared" si="5"/>
        <v>82</v>
      </c>
      <c r="B83" s="10">
        <f t="shared" si="2"/>
        <v>4</v>
      </c>
      <c r="C83" s="10">
        <f t="shared" si="6"/>
        <v>10</v>
      </c>
      <c r="D83" s="10">
        <v>1</v>
      </c>
      <c r="E83" s="10"/>
      <c r="F83" s="91"/>
      <c r="G83" s="67">
        <v>3900000</v>
      </c>
      <c r="H83" s="10">
        <v>7</v>
      </c>
      <c r="I83" s="93"/>
      <c r="J83" s="95"/>
    </row>
    <row r="84" spans="1:10">
      <c r="A84" s="10">
        <f t="shared" si="5"/>
        <v>83</v>
      </c>
      <c r="B84" s="10">
        <f t="shared" si="2"/>
        <v>4</v>
      </c>
      <c r="C84" s="10">
        <f t="shared" si="6"/>
        <v>10</v>
      </c>
      <c r="D84" s="10">
        <v>2</v>
      </c>
      <c r="E84" s="10"/>
      <c r="F84" s="91"/>
      <c r="G84" s="67">
        <v>3950000</v>
      </c>
      <c r="H84" s="10">
        <v>8</v>
      </c>
      <c r="I84" s="93"/>
      <c r="J84" s="95"/>
    </row>
    <row r="85" spans="1:10">
      <c r="A85" s="6">
        <f t="shared" si="5"/>
        <v>84</v>
      </c>
      <c r="B85" s="6">
        <f t="shared" si="2"/>
        <v>4</v>
      </c>
      <c r="C85" s="6">
        <f t="shared" si="6"/>
        <v>11</v>
      </c>
      <c r="D85" s="6">
        <v>3</v>
      </c>
      <c r="E85" s="6">
        <v>85</v>
      </c>
      <c r="F85" s="92">
        <v>3</v>
      </c>
      <c r="G85" s="67">
        <v>4000000</v>
      </c>
      <c r="H85" s="6"/>
      <c r="I85" s="89" t="s">
        <v>308</v>
      </c>
      <c r="J85" s="90">
        <v>500</v>
      </c>
    </row>
  </sheetData>
  <autoFilter ref="A1:J85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1"/>
  <sheetViews>
    <sheetView workbookViewId="0">
      <pane ySplit="1" topLeftCell="A2" activePane="bottomLeft" state="frozen"/>
      <selection pane="bottomLeft" sqref="A1:D870"/>
    </sheetView>
  </sheetViews>
  <sheetFormatPr defaultColWidth="9" defaultRowHeight="15"/>
  <cols>
    <col min="1" max="1" width="9" style="54"/>
    <col min="2" max="4" width="9" style="28"/>
  </cols>
  <sheetData>
    <row r="1" spans="1:4">
      <c r="A1" s="29" t="s">
        <v>0</v>
      </c>
      <c r="B1" s="29" t="s">
        <v>44</v>
      </c>
      <c r="C1" s="29" t="s">
        <v>11</v>
      </c>
      <c r="D1" s="29" t="s">
        <v>12</v>
      </c>
    </row>
    <row r="2" spans="1:4">
      <c r="A2" s="54">
        <v>100001</v>
      </c>
      <c r="B2" s="28">
        <v>1</v>
      </c>
      <c r="C2" s="28">
        <v>1</v>
      </c>
      <c r="D2" s="28">
        <v>180</v>
      </c>
    </row>
    <row r="3" spans="1:4">
      <c r="A3" s="54">
        <v>100002</v>
      </c>
      <c r="B3" s="28">
        <v>6</v>
      </c>
      <c r="C3" s="28">
        <v>1</v>
      </c>
      <c r="D3" s="28">
        <v>0</v>
      </c>
    </row>
    <row r="4" spans="1:4">
      <c r="A4" s="54">
        <v>100003</v>
      </c>
      <c r="B4" s="28">
        <v>9</v>
      </c>
      <c r="C4" s="28">
        <v>1</v>
      </c>
      <c r="D4" s="28">
        <v>180</v>
      </c>
    </row>
    <row r="5" spans="1:4">
      <c r="A5" s="54">
        <v>100004</v>
      </c>
      <c r="B5" s="28">
        <v>12</v>
      </c>
      <c r="C5" s="28">
        <v>1</v>
      </c>
      <c r="D5" s="28">
        <v>0</v>
      </c>
    </row>
    <row r="6" spans="1:4">
      <c r="A6" s="54">
        <v>100005</v>
      </c>
      <c r="B6" s="28">
        <v>15</v>
      </c>
      <c r="C6" s="28">
        <v>1</v>
      </c>
      <c r="D6" s="28">
        <v>180</v>
      </c>
    </row>
    <row r="7" spans="1:4">
      <c r="A7" s="54">
        <v>100006</v>
      </c>
      <c r="B7" s="28">
        <v>18</v>
      </c>
      <c r="C7" s="28">
        <v>1</v>
      </c>
      <c r="D7" s="28">
        <v>180</v>
      </c>
    </row>
    <row r="8" spans="1:4">
      <c r="A8" s="54">
        <v>100007</v>
      </c>
      <c r="B8" s="28">
        <v>21</v>
      </c>
      <c r="C8" s="28">
        <v>1</v>
      </c>
      <c r="D8" s="28">
        <v>180</v>
      </c>
    </row>
    <row r="9" spans="1:4">
      <c r="A9" s="54">
        <v>100008</v>
      </c>
      <c r="B9" s="28">
        <v>24</v>
      </c>
      <c r="C9" s="28">
        <v>1</v>
      </c>
      <c r="D9" s="28">
        <v>180</v>
      </c>
    </row>
    <row r="10" spans="1:4">
      <c r="A10" s="54">
        <v>100009</v>
      </c>
      <c r="B10" s="28">
        <v>27</v>
      </c>
      <c r="C10" s="28">
        <v>1</v>
      </c>
      <c r="D10" s="28">
        <v>180</v>
      </c>
    </row>
    <row r="11" spans="1:4">
      <c r="A11" s="54">
        <v>100010</v>
      </c>
      <c r="B11" s="28">
        <v>30</v>
      </c>
      <c r="C11" s="28">
        <v>1</v>
      </c>
      <c r="D11" s="28">
        <v>180</v>
      </c>
    </row>
    <row r="12" spans="1:4">
      <c r="A12" s="54">
        <v>100011</v>
      </c>
      <c r="B12" s="28">
        <v>33</v>
      </c>
      <c r="C12" s="28">
        <v>1</v>
      </c>
      <c r="D12" s="28">
        <v>180</v>
      </c>
    </row>
    <row r="13" spans="1:4">
      <c r="A13" s="54">
        <v>100012</v>
      </c>
      <c r="B13" s="28">
        <v>36</v>
      </c>
      <c r="C13" s="28">
        <v>1</v>
      </c>
      <c r="D13" s="28">
        <v>180</v>
      </c>
    </row>
    <row r="14" spans="1:4">
      <c r="A14" s="54">
        <v>100013</v>
      </c>
      <c r="B14" s="28">
        <v>39</v>
      </c>
      <c r="C14" s="28">
        <v>1</v>
      </c>
      <c r="D14" s="28">
        <v>180</v>
      </c>
    </row>
    <row r="15" spans="1:4">
      <c r="A15" s="54">
        <v>100014</v>
      </c>
      <c r="B15" s="28">
        <v>42</v>
      </c>
      <c r="C15" s="28">
        <v>1</v>
      </c>
      <c r="D15" s="28">
        <v>180</v>
      </c>
    </row>
    <row r="16" spans="1:4">
      <c r="A16" s="54">
        <v>100015</v>
      </c>
      <c r="B16" s="28">
        <v>45</v>
      </c>
      <c r="C16" s="28">
        <v>1</v>
      </c>
      <c r="D16" s="28">
        <v>180</v>
      </c>
    </row>
    <row r="17" spans="1:4">
      <c r="A17" s="54">
        <v>100016</v>
      </c>
      <c r="B17" s="28">
        <v>48</v>
      </c>
      <c r="C17" s="28">
        <v>1</v>
      </c>
      <c r="D17" s="28">
        <v>180</v>
      </c>
    </row>
    <row r="18" spans="1:4">
      <c r="A18" s="54">
        <v>100017</v>
      </c>
      <c r="B18" s="28">
        <v>51</v>
      </c>
      <c r="C18" s="28">
        <v>1</v>
      </c>
      <c r="D18" s="28">
        <v>180</v>
      </c>
    </row>
    <row r="19" spans="1:4">
      <c r="A19" s="54">
        <v>100018</v>
      </c>
      <c r="B19" s="28">
        <v>54</v>
      </c>
      <c r="C19" s="28">
        <v>1</v>
      </c>
      <c r="D19" s="28">
        <v>180</v>
      </c>
    </row>
    <row r="20" spans="1:4">
      <c r="A20" s="54">
        <v>100019</v>
      </c>
      <c r="B20" s="28">
        <v>57</v>
      </c>
      <c r="C20" s="28">
        <v>1</v>
      </c>
      <c r="D20" s="28">
        <v>180</v>
      </c>
    </row>
    <row r="21" spans="1:4">
      <c r="A21" s="54">
        <v>100020</v>
      </c>
      <c r="B21" s="28">
        <v>60</v>
      </c>
      <c r="C21" s="28">
        <v>1</v>
      </c>
      <c r="D21" s="28">
        <v>180</v>
      </c>
    </row>
    <row r="22" spans="1:4">
      <c r="A22" s="54">
        <v>100021</v>
      </c>
      <c r="B22" s="28">
        <v>63</v>
      </c>
      <c r="C22" s="28">
        <v>1</v>
      </c>
      <c r="D22" s="28">
        <v>180</v>
      </c>
    </row>
    <row r="23" spans="1:4">
      <c r="A23" s="54">
        <v>100022</v>
      </c>
      <c r="B23" s="28">
        <v>66</v>
      </c>
      <c r="C23" s="28">
        <v>1</v>
      </c>
      <c r="D23" s="28">
        <v>180</v>
      </c>
    </row>
    <row r="24" spans="1:4">
      <c r="A24" s="54">
        <v>100023</v>
      </c>
      <c r="B24" s="28">
        <v>69</v>
      </c>
      <c r="C24" s="28">
        <v>1</v>
      </c>
      <c r="D24" s="28">
        <v>180</v>
      </c>
    </row>
    <row r="25" spans="1:4">
      <c r="A25" s="54">
        <v>100024</v>
      </c>
      <c r="B25" s="28">
        <v>72</v>
      </c>
      <c r="C25" s="28">
        <v>1</v>
      </c>
      <c r="D25" s="28">
        <v>180</v>
      </c>
    </row>
    <row r="26" spans="1:4">
      <c r="A26" s="54">
        <v>100025</v>
      </c>
      <c r="B26" s="28">
        <v>75</v>
      </c>
      <c r="C26" s="28">
        <v>1</v>
      </c>
      <c r="D26" s="28">
        <v>0</v>
      </c>
    </row>
    <row r="27" spans="1:4">
      <c r="A27" s="54">
        <v>100026</v>
      </c>
      <c r="B27" s="28">
        <v>78</v>
      </c>
      <c r="C27" s="28">
        <v>1</v>
      </c>
      <c r="D27" s="28">
        <v>180</v>
      </c>
    </row>
    <row r="28" spans="1:4">
      <c r="A28" s="54">
        <v>100027</v>
      </c>
      <c r="B28" s="28">
        <v>81</v>
      </c>
      <c r="C28" s="28">
        <v>1</v>
      </c>
      <c r="D28" s="28">
        <v>180</v>
      </c>
    </row>
    <row r="29" spans="1:4">
      <c r="A29" s="54">
        <v>100028</v>
      </c>
      <c r="B29" s="28">
        <v>84</v>
      </c>
      <c r="C29" s="28">
        <v>1</v>
      </c>
      <c r="D29" s="28">
        <v>180</v>
      </c>
    </row>
    <row r="30" spans="1:4">
      <c r="A30" s="54">
        <v>100029</v>
      </c>
      <c r="B30" s="28">
        <v>87</v>
      </c>
      <c r="C30" s="28">
        <v>1</v>
      </c>
      <c r="D30" s="28">
        <v>180</v>
      </c>
    </row>
    <row r="31" spans="1:4">
      <c r="A31" s="54">
        <v>100030</v>
      </c>
      <c r="B31" s="28">
        <v>90</v>
      </c>
      <c r="C31" s="28">
        <v>1</v>
      </c>
      <c r="D31" s="28">
        <v>180</v>
      </c>
    </row>
    <row r="32" spans="1:4">
      <c r="A32" s="54">
        <v>100031</v>
      </c>
      <c r="B32" s="28">
        <v>93</v>
      </c>
      <c r="C32" s="28">
        <v>1</v>
      </c>
      <c r="D32" s="28">
        <v>180</v>
      </c>
    </row>
    <row r="33" spans="1:4">
      <c r="A33" s="54">
        <v>100032</v>
      </c>
      <c r="B33" s="28">
        <v>96</v>
      </c>
      <c r="C33" s="28">
        <v>1</v>
      </c>
      <c r="D33" s="28">
        <v>180</v>
      </c>
    </row>
    <row r="34" spans="1:4">
      <c r="A34" s="54">
        <v>100033</v>
      </c>
      <c r="B34" s="28">
        <v>99</v>
      </c>
      <c r="C34" s="28">
        <v>1</v>
      </c>
      <c r="D34" s="28">
        <v>180</v>
      </c>
    </row>
    <row r="35" spans="1:4">
      <c r="A35" s="54">
        <v>100034</v>
      </c>
      <c r="B35" s="28">
        <v>102</v>
      </c>
      <c r="C35" s="28">
        <v>1</v>
      </c>
      <c r="D35" s="28">
        <v>180</v>
      </c>
    </row>
    <row r="36" spans="1:4">
      <c r="A36" s="54">
        <v>100035</v>
      </c>
      <c r="B36" s="28">
        <v>105</v>
      </c>
      <c r="C36" s="28">
        <v>1</v>
      </c>
      <c r="D36" s="28">
        <v>180</v>
      </c>
    </row>
    <row r="37" spans="1:4">
      <c r="A37" s="54">
        <v>100036</v>
      </c>
      <c r="B37" s="28">
        <v>108</v>
      </c>
      <c r="C37" s="28">
        <v>1</v>
      </c>
      <c r="D37" s="28">
        <v>180</v>
      </c>
    </row>
    <row r="38" spans="1:4">
      <c r="A38" s="54">
        <v>100037</v>
      </c>
      <c r="B38" s="28">
        <v>111</v>
      </c>
      <c r="C38" s="28">
        <v>1</v>
      </c>
      <c r="D38" s="28">
        <v>180</v>
      </c>
    </row>
    <row r="39" spans="1:4">
      <c r="A39" s="54">
        <v>100038</v>
      </c>
      <c r="B39" s="28">
        <v>114</v>
      </c>
      <c r="C39" s="28">
        <v>1</v>
      </c>
      <c r="D39" s="28">
        <v>180</v>
      </c>
    </row>
    <row r="40" spans="1:4">
      <c r="A40" s="54">
        <v>100039</v>
      </c>
      <c r="B40" s="28">
        <v>117</v>
      </c>
      <c r="C40" s="28">
        <v>1</v>
      </c>
      <c r="D40" s="28">
        <v>180</v>
      </c>
    </row>
    <row r="41" spans="1:4">
      <c r="A41" s="54">
        <v>100040</v>
      </c>
      <c r="B41" s="28">
        <v>120</v>
      </c>
      <c r="C41" s="28">
        <v>1</v>
      </c>
      <c r="D41" s="28">
        <v>180</v>
      </c>
    </row>
    <row r="42" spans="1:4">
      <c r="A42" s="54">
        <v>100041</v>
      </c>
      <c r="B42" s="28">
        <v>123</v>
      </c>
      <c r="C42" s="28">
        <v>1</v>
      </c>
      <c r="D42" s="28">
        <v>180</v>
      </c>
    </row>
    <row r="43" spans="1:4">
      <c r="A43" s="54">
        <v>100042</v>
      </c>
      <c r="B43" s="28">
        <v>126</v>
      </c>
      <c r="C43" s="28">
        <v>1</v>
      </c>
      <c r="D43" s="28">
        <v>180</v>
      </c>
    </row>
    <row r="44" spans="1:4">
      <c r="A44" s="54">
        <v>100043</v>
      </c>
      <c r="B44" s="28">
        <v>129</v>
      </c>
      <c r="C44" s="28">
        <v>1</v>
      </c>
      <c r="D44" s="28">
        <v>180</v>
      </c>
    </row>
    <row r="45" spans="1:4">
      <c r="A45" s="54">
        <v>100044</v>
      </c>
      <c r="B45" s="28">
        <v>132</v>
      </c>
      <c r="C45" s="28">
        <v>1</v>
      </c>
      <c r="D45" s="28">
        <v>180</v>
      </c>
    </row>
    <row r="46" spans="1:4">
      <c r="A46" s="54">
        <v>100045</v>
      </c>
      <c r="B46" s="28">
        <v>135</v>
      </c>
      <c r="C46" s="28">
        <v>1</v>
      </c>
      <c r="D46" s="28">
        <v>180</v>
      </c>
    </row>
    <row r="47" spans="1:4">
      <c r="A47" s="54">
        <v>100046</v>
      </c>
      <c r="B47" s="28">
        <v>2</v>
      </c>
      <c r="C47" s="28">
        <v>1</v>
      </c>
      <c r="D47" s="28">
        <v>37</v>
      </c>
    </row>
    <row r="48" spans="1:4">
      <c r="A48" s="54">
        <v>100047</v>
      </c>
      <c r="B48" s="28">
        <v>4</v>
      </c>
      <c r="C48" s="28">
        <v>1</v>
      </c>
      <c r="D48" s="28">
        <v>37</v>
      </c>
    </row>
    <row r="49" spans="1:4">
      <c r="A49" s="54">
        <v>100048</v>
      </c>
      <c r="B49" s="28">
        <v>7</v>
      </c>
      <c r="C49" s="28">
        <v>1</v>
      </c>
      <c r="D49" s="28">
        <v>0</v>
      </c>
    </row>
    <row r="50" spans="1:4">
      <c r="A50" s="54">
        <v>100049</v>
      </c>
      <c r="B50" s="28">
        <v>10</v>
      </c>
      <c r="C50" s="28">
        <v>1</v>
      </c>
      <c r="D50" s="28">
        <v>37</v>
      </c>
    </row>
    <row r="51" spans="1:4">
      <c r="A51" s="54">
        <v>100050</v>
      </c>
      <c r="B51" s="28">
        <v>13</v>
      </c>
      <c r="C51" s="28">
        <v>1</v>
      </c>
      <c r="D51" s="28">
        <v>0</v>
      </c>
    </row>
    <row r="52" spans="1:4">
      <c r="A52" s="54">
        <v>100051</v>
      </c>
      <c r="B52" s="28">
        <v>16</v>
      </c>
      <c r="C52" s="28">
        <v>1</v>
      </c>
      <c r="D52" s="28">
        <v>37</v>
      </c>
    </row>
    <row r="53" spans="1:4">
      <c r="A53" s="54">
        <v>100052</v>
      </c>
      <c r="B53" s="28">
        <v>19</v>
      </c>
      <c r="C53" s="28">
        <v>1</v>
      </c>
      <c r="D53" s="28">
        <v>37</v>
      </c>
    </row>
    <row r="54" spans="1:4">
      <c r="A54" s="54">
        <v>100053</v>
      </c>
      <c r="B54" s="28">
        <v>22</v>
      </c>
      <c r="C54" s="28">
        <v>1</v>
      </c>
      <c r="D54" s="28">
        <v>37</v>
      </c>
    </row>
    <row r="55" spans="1:4">
      <c r="A55" s="54">
        <v>100054</v>
      </c>
      <c r="B55" s="28">
        <v>25</v>
      </c>
      <c r="C55" s="28">
        <v>1</v>
      </c>
      <c r="D55" s="28">
        <v>37</v>
      </c>
    </row>
    <row r="56" spans="1:4">
      <c r="A56" s="54">
        <v>100055</v>
      </c>
      <c r="B56" s="28">
        <v>28</v>
      </c>
      <c r="C56" s="28">
        <v>1</v>
      </c>
      <c r="D56" s="28">
        <v>37</v>
      </c>
    </row>
    <row r="57" spans="1:4">
      <c r="A57" s="54">
        <v>100056</v>
      </c>
      <c r="B57" s="28">
        <v>31</v>
      </c>
      <c r="C57" s="28">
        <v>1</v>
      </c>
      <c r="D57" s="28">
        <v>37</v>
      </c>
    </row>
    <row r="58" spans="1:4">
      <c r="A58" s="54">
        <v>100057</v>
      </c>
      <c r="B58" s="28">
        <v>34</v>
      </c>
      <c r="C58" s="28">
        <v>1</v>
      </c>
      <c r="D58" s="28">
        <v>37</v>
      </c>
    </row>
    <row r="59" spans="1:4">
      <c r="A59" s="54">
        <v>100058</v>
      </c>
      <c r="B59" s="28">
        <v>37</v>
      </c>
      <c r="C59" s="28">
        <v>1</v>
      </c>
      <c r="D59" s="28">
        <v>37</v>
      </c>
    </row>
    <row r="60" spans="1:4">
      <c r="A60" s="54">
        <v>100059</v>
      </c>
      <c r="B60" s="28">
        <v>40</v>
      </c>
      <c r="C60" s="28">
        <v>1</v>
      </c>
      <c r="D60" s="28">
        <v>37</v>
      </c>
    </row>
    <row r="61" spans="1:4">
      <c r="A61" s="54">
        <v>100060</v>
      </c>
      <c r="B61" s="28">
        <v>43</v>
      </c>
      <c r="C61" s="28">
        <v>1</v>
      </c>
      <c r="D61" s="28">
        <v>37</v>
      </c>
    </row>
    <row r="62" spans="1:4">
      <c r="A62" s="54">
        <v>100061</v>
      </c>
      <c r="B62" s="28">
        <v>46</v>
      </c>
      <c r="C62" s="28">
        <v>1</v>
      </c>
      <c r="D62" s="28">
        <v>37</v>
      </c>
    </row>
    <row r="63" spans="1:4">
      <c r="A63" s="54">
        <v>100062</v>
      </c>
      <c r="B63" s="28">
        <v>49</v>
      </c>
      <c r="C63" s="28">
        <v>1</v>
      </c>
      <c r="D63" s="28">
        <v>37</v>
      </c>
    </row>
    <row r="64" spans="1:4">
      <c r="A64" s="54">
        <v>100063</v>
      </c>
      <c r="B64" s="28">
        <v>52</v>
      </c>
      <c r="C64" s="28">
        <v>1</v>
      </c>
      <c r="D64" s="28">
        <v>37</v>
      </c>
    </row>
    <row r="65" spans="1:4">
      <c r="A65" s="54">
        <v>100064</v>
      </c>
      <c r="B65" s="28">
        <v>55</v>
      </c>
      <c r="C65" s="28">
        <v>1</v>
      </c>
      <c r="D65" s="28">
        <v>37</v>
      </c>
    </row>
    <row r="66" spans="1:4">
      <c r="A66" s="54">
        <v>100065</v>
      </c>
      <c r="B66" s="28">
        <v>58</v>
      </c>
      <c r="C66" s="28">
        <v>1</v>
      </c>
      <c r="D66" s="28">
        <v>37</v>
      </c>
    </row>
    <row r="67" spans="1:4">
      <c r="A67" s="54">
        <v>100066</v>
      </c>
      <c r="B67" s="28">
        <v>61</v>
      </c>
      <c r="C67" s="28">
        <v>1</v>
      </c>
      <c r="D67" s="28">
        <v>37</v>
      </c>
    </row>
    <row r="68" spans="1:4">
      <c r="A68" s="54">
        <v>100067</v>
      </c>
      <c r="B68" s="28">
        <v>64</v>
      </c>
      <c r="C68" s="28">
        <v>1</v>
      </c>
      <c r="D68" s="28">
        <v>37</v>
      </c>
    </row>
    <row r="69" spans="1:4">
      <c r="A69" s="54">
        <v>100068</v>
      </c>
      <c r="B69" s="28">
        <v>67</v>
      </c>
      <c r="C69" s="28">
        <v>1</v>
      </c>
      <c r="D69" s="28">
        <v>37</v>
      </c>
    </row>
    <row r="70" spans="1:4">
      <c r="A70" s="54">
        <v>100069</v>
      </c>
      <c r="B70" s="28">
        <v>70</v>
      </c>
      <c r="C70" s="28">
        <v>1</v>
      </c>
      <c r="D70" s="28">
        <v>37</v>
      </c>
    </row>
    <row r="71" spans="1:4">
      <c r="A71" s="54">
        <v>100070</v>
      </c>
      <c r="B71" s="28">
        <v>73</v>
      </c>
      <c r="C71" s="28">
        <v>1</v>
      </c>
      <c r="D71" s="28">
        <v>37</v>
      </c>
    </row>
    <row r="72" spans="1:4">
      <c r="A72" s="54">
        <v>100071</v>
      </c>
      <c r="B72" s="28">
        <v>76</v>
      </c>
      <c r="C72" s="28">
        <v>1</v>
      </c>
      <c r="D72" s="28">
        <v>0</v>
      </c>
    </row>
    <row r="73" spans="1:4">
      <c r="A73" s="54">
        <v>100072</v>
      </c>
      <c r="B73" s="28">
        <v>79</v>
      </c>
      <c r="C73" s="28">
        <v>1</v>
      </c>
      <c r="D73" s="28">
        <v>37</v>
      </c>
    </row>
    <row r="74" spans="1:4">
      <c r="A74" s="54">
        <v>100073</v>
      </c>
      <c r="B74" s="28">
        <v>82</v>
      </c>
      <c r="C74" s="28">
        <v>1</v>
      </c>
      <c r="D74" s="28">
        <v>37</v>
      </c>
    </row>
    <row r="75" spans="1:4">
      <c r="A75" s="54">
        <v>100074</v>
      </c>
      <c r="B75" s="28">
        <v>85</v>
      </c>
      <c r="C75" s="28">
        <v>1</v>
      </c>
      <c r="D75" s="28">
        <v>37</v>
      </c>
    </row>
    <row r="76" spans="1:4">
      <c r="A76" s="54">
        <v>100075</v>
      </c>
      <c r="B76" s="28">
        <v>88</v>
      </c>
      <c r="C76" s="28">
        <v>1</v>
      </c>
      <c r="D76" s="28">
        <v>37</v>
      </c>
    </row>
    <row r="77" spans="1:4">
      <c r="A77" s="54">
        <v>100076</v>
      </c>
      <c r="B77" s="28">
        <v>91</v>
      </c>
      <c r="C77" s="28">
        <v>1</v>
      </c>
      <c r="D77" s="28">
        <v>37</v>
      </c>
    </row>
    <row r="78" spans="1:4">
      <c r="A78" s="54">
        <v>100077</v>
      </c>
      <c r="B78" s="28">
        <v>94</v>
      </c>
      <c r="C78" s="28">
        <v>1</v>
      </c>
      <c r="D78" s="28">
        <v>37</v>
      </c>
    </row>
    <row r="79" spans="1:4">
      <c r="A79" s="54">
        <v>100078</v>
      </c>
      <c r="B79" s="28">
        <v>97</v>
      </c>
      <c r="C79" s="28">
        <v>1</v>
      </c>
      <c r="D79" s="28">
        <v>37</v>
      </c>
    </row>
    <row r="80" spans="1:4">
      <c r="A80" s="54">
        <v>100079</v>
      </c>
      <c r="B80" s="28">
        <v>100</v>
      </c>
      <c r="C80" s="28">
        <v>1</v>
      </c>
      <c r="D80" s="28">
        <v>37</v>
      </c>
    </row>
    <row r="81" spans="1:4">
      <c r="A81" s="54">
        <v>100080</v>
      </c>
      <c r="B81" s="28">
        <v>103</v>
      </c>
      <c r="C81" s="28">
        <v>1</v>
      </c>
      <c r="D81" s="28">
        <v>37</v>
      </c>
    </row>
    <row r="82" spans="1:4">
      <c r="A82" s="54">
        <v>100081</v>
      </c>
      <c r="B82" s="28">
        <v>106</v>
      </c>
      <c r="C82" s="28">
        <v>1</v>
      </c>
      <c r="D82" s="28">
        <v>37</v>
      </c>
    </row>
    <row r="83" spans="1:4">
      <c r="A83" s="54">
        <v>100082</v>
      </c>
      <c r="B83" s="28">
        <v>109</v>
      </c>
      <c r="C83" s="28">
        <v>1</v>
      </c>
      <c r="D83" s="28">
        <v>37</v>
      </c>
    </row>
    <row r="84" spans="1:4">
      <c r="A84" s="54">
        <v>100083</v>
      </c>
      <c r="B84" s="28">
        <v>112</v>
      </c>
      <c r="C84" s="28">
        <v>1</v>
      </c>
      <c r="D84" s="28">
        <v>37</v>
      </c>
    </row>
    <row r="85" spans="1:4">
      <c r="A85" s="54">
        <v>100084</v>
      </c>
      <c r="B85" s="28">
        <v>115</v>
      </c>
      <c r="C85" s="28">
        <v>1</v>
      </c>
      <c r="D85" s="28">
        <v>37</v>
      </c>
    </row>
    <row r="86" spans="1:4">
      <c r="A86" s="54">
        <v>100085</v>
      </c>
      <c r="B86" s="28">
        <v>118</v>
      </c>
      <c r="C86" s="28">
        <v>1</v>
      </c>
      <c r="D86" s="28">
        <v>37</v>
      </c>
    </row>
    <row r="87" spans="1:4">
      <c r="A87" s="54">
        <v>100086</v>
      </c>
      <c r="B87" s="28">
        <v>121</v>
      </c>
      <c r="C87" s="28">
        <v>1</v>
      </c>
      <c r="D87" s="28">
        <v>37</v>
      </c>
    </row>
    <row r="88" spans="1:4">
      <c r="A88" s="54">
        <v>100087</v>
      </c>
      <c r="B88" s="28">
        <v>124</v>
      </c>
      <c r="C88" s="28">
        <v>1</v>
      </c>
      <c r="D88" s="28">
        <v>37</v>
      </c>
    </row>
    <row r="89" spans="1:4">
      <c r="A89" s="54">
        <v>100088</v>
      </c>
      <c r="B89" s="28">
        <v>127</v>
      </c>
      <c r="C89" s="28">
        <v>1</v>
      </c>
      <c r="D89" s="28">
        <v>37</v>
      </c>
    </row>
    <row r="90" spans="1:4">
      <c r="A90" s="54">
        <v>100089</v>
      </c>
      <c r="B90" s="28">
        <v>130</v>
      </c>
      <c r="C90" s="28">
        <v>1</v>
      </c>
      <c r="D90" s="28">
        <v>37</v>
      </c>
    </row>
    <row r="91" spans="1:4">
      <c r="A91" s="54">
        <v>100090</v>
      </c>
      <c r="B91" s="28">
        <v>133</v>
      </c>
      <c r="C91" s="28">
        <v>1</v>
      </c>
      <c r="D91" s="28">
        <v>37</v>
      </c>
    </row>
    <row r="92" spans="1:4">
      <c r="A92" s="54">
        <v>100091</v>
      </c>
      <c r="B92" s="28">
        <v>136</v>
      </c>
      <c r="C92" s="28">
        <v>1</v>
      </c>
      <c r="D92" s="28">
        <v>37</v>
      </c>
    </row>
    <row r="93" spans="1:4">
      <c r="A93" s="54">
        <v>100092</v>
      </c>
      <c r="B93" s="28">
        <v>138</v>
      </c>
      <c r="C93" s="28">
        <v>1</v>
      </c>
      <c r="D93" s="28">
        <v>37</v>
      </c>
    </row>
    <row r="94" spans="1:4">
      <c r="A94" s="54">
        <v>100093</v>
      </c>
      <c r="B94" s="28">
        <v>140</v>
      </c>
      <c r="C94" s="28">
        <v>1</v>
      </c>
      <c r="D94" s="28">
        <v>37</v>
      </c>
    </row>
    <row r="95" spans="1:4">
      <c r="A95" s="54">
        <v>100094</v>
      </c>
      <c r="B95" s="28">
        <v>142</v>
      </c>
      <c r="C95" s="28">
        <v>1</v>
      </c>
      <c r="D95" s="28">
        <v>37</v>
      </c>
    </row>
    <row r="96" spans="1:4">
      <c r="A96" s="54">
        <v>100095</v>
      </c>
      <c r="B96" s="28">
        <v>144</v>
      </c>
      <c r="C96" s="28">
        <v>1</v>
      </c>
      <c r="D96" s="28">
        <v>37</v>
      </c>
    </row>
    <row r="97" spans="1:4">
      <c r="A97" s="54">
        <v>100096</v>
      </c>
      <c r="B97" s="28">
        <v>146</v>
      </c>
      <c r="C97" s="28">
        <v>1</v>
      </c>
      <c r="D97" s="28">
        <v>37</v>
      </c>
    </row>
    <row r="98" spans="1:4">
      <c r="A98" s="54">
        <v>100097</v>
      </c>
      <c r="B98" s="28">
        <v>148</v>
      </c>
      <c r="C98" s="28">
        <v>1</v>
      </c>
      <c r="D98" s="28">
        <v>37</v>
      </c>
    </row>
    <row r="99" spans="1:4">
      <c r="A99" s="54">
        <v>100098</v>
      </c>
      <c r="B99" s="28">
        <v>150</v>
      </c>
      <c r="C99" s="28">
        <v>1</v>
      </c>
      <c r="D99" s="28">
        <v>37</v>
      </c>
    </row>
    <row r="100" spans="1:4">
      <c r="A100" s="54">
        <v>101001</v>
      </c>
      <c r="B100" s="28">
        <v>2</v>
      </c>
      <c r="C100" s="28">
        <v>2</v>
      </c>
      <c r="D100" s="28">
        <v>175</v>
      </c>
    </row>
    <row r="101" spans="1:4">
      <c r="A101" s="54">
        <v>101002</v>
      </c>
      <c r="B101" s="28">
        <v>4</v>
      </c>
      <c r="C101" s="28">
        <v>2</v>
      </c>
      <c r="D101" s="28">
        <v>175</v>
      </c>
    </row>
    <row r="102" spans="1:4">
      <c r="A102" s="54">
        <v>101003</v>
      </c>
      <c r="B102" s="28">
        <v>7</v>
      </c>
      <c r="C102" s="28">
        <v>2</v>
      </c>
      <c r="D102" s="28">
        <v>0</v>
      </c>
    </row>
    <row r="103" spans="1:4">
      <c r="A103" s="54">
        <v>101004</v>
      </c>
      <c r="B103" s="28">
        <v>10</v>
      </c>
      <c r="C103" s="28">
        <v>2</v>
      </c>
      <c r="D103" s="28">
        <v>175</v>
      </c>
    </row>
    <row r="104" spans="1:4">
      <c r="A104" s="54">
        <v>101005</v>
      </c>
      <c r="B104" s="28">
        <v>13</v>
      </c>
      <c r="C104" s="28">
        <v>2</v>
      </c>
      <c r="D104" s="28">
        <v>0</v>
      </c>
    </row>
    <row r="105" spans="1:4">
      <c r="A105" s="54">
        <v>101006</v>
      </c>
      <c r="B105" s="28">
        <v>16</v>
      </c>
      <c r="C105" s="28">
        <v>2</v>
      </c>
      <c r="D105" s="28">
        <v>175</v>
      </c>
    </row>
    <row r="106" spans="1:4">
      <c r="A106" s="54">
        <v>101007</v>
      </c>
      <c r="B106" s="28">
        <v>19</v>
      </c>
      <c r="C106" s="28">
        <v>2</v>
      </c>
      <c r="D106" s="28">
        <v>175</v>
      </c>
    </row>
    <row r="107" spans="1:4">
      <c r="A107" s="54">
        <v>101008</v>
      </c>
      <c r="B107" s="28">
        <v>22</v>
      </c>
      <c r="C107" s="28">
        <v>2</v>
      </c>
      <c r="D107" s="28">
        <v>175</v>
      </c>
    </row>
    <row r="108" spans="1:4">
      <c r="A108" s="54">
        <v>101009</v>
      </c>
      <c r="B108" s="28">
        <v>25</v>
      </c>
      <c r="C108" s="28">
        <v>2</v>
      </c>
      <c r="D108" s="28">
        <v>175</v>
      </c>
    </row>
    <row r="109" spans="1:4">
      <c r="A109" s="54">
        <v>101010</v>
      </c>
      <c r="B109" s="28">
        <v>28</v>
      </c>
      <c r="C109" s="28">
        <v>2</v>
      </c>
      <c r="D109" s="28">
        <v>175</v>
      </c>
    </row>
    <row r="110" spans="1:4">
      <c r="A110" s="54">
        <v>101011</v>
      </c>
      <c r="B110" s="28">
        <v>31</v>
      </c>
      <c r="C110" s="28">
        <v>2</v>
      </c>
      <c r="D110" s="28">
        <v>175</v>
      </c>
    </row>
    <row r="111" spans="1:4">
      <c r="A111" s="54">
        <v>101012</v>
      </c>
      <c r="B111" s="28">
        <v>34</v>
      </c>
      <c r="C111" s="28">
        <v>2</v>
      </c>
      <c r="D111" s="28">
        <v>175</v>
      </c>
    </row>
    <row r="112" spans="1:4">
      <c r="A112" s="54">
        <v>101013</v>
      </c>
      <c r="B112" s="28">
        <v>37</v>
      </c>
      <c r="C112" s="28">
        <v>2</v>
      </c>
      <c r="D112" s="28">
        <v>175</v>
      </c>
    </row>
    <row r="113" spans="1:4">
      <c r="A113" s="54">
        <v>101014</v>
      </c>
      <c r="B113" s="28">
        <v>40</v>
      </c>
      <c r="C113" s="28">
        <v>2</v>
      </c>
      <c r="D113" s="28">
        <v>175</v>
      </c>
    </row>
    <row r="114" spans="1:4">
      <c r="A114" s="54">
        <v>101015</v>
      </c>
      <c r="B114" s="28">
        <v>43</v>
      </c>
      <c r="C114" s="28">
        <v>2</v>
      </c>
      <c r="D114" s="28">
        <v>175</v>
      </c>
    </row>
    <row r="115" spans="1:4">
      <c r="A115" s="54">
        <v>101016</v>
      </c>
      <c r="B115" s="28">
        <v>46</v>
      </c>
      <c r="C115" s="28">
        <v>2</v>
      </c>
      <c r="D115" s="28">
        <v>175</v>
      </c>
    </row>
    <row r="116" spans="1:4">
      <c r="A116" s="54">
        <v>101017</v>
      </c>
      <c r="B116" s="28">
        <v>49</v>
      </c>
      <c r="C116" s="28">
        <v>2</v>
      </c>
      <c r="D116" s="28">
        <v>175</v>
      </c>
    </row>
    <row r="117" spans="1:4">
      <c r="A117" s="54">
        <v>101018</v>
      </c>
      <c r="B117" s="28">
        <v>52</v>
      </c>
      <c r="C117" s="28">
        <v>2</v>
      </c>
      <c r="D117" s="28">
        <v>175</v>
      </c>
    </row>
    <row r="118" spans="1:4">
      <c r="A118" s="54">
        <v>101019</v>
      </c>
      <c r="B118" s="28">
        <v>55</v>
      </c>
      <c r="C118" s="28">
        <v>2</v>
      </c>
      <c r="D118" s="28">
        <v>175</v>
      </c>
    </row>
    <row r="119" spans="1:4">
      <c r="A119" s="54">
        <v>101020</v>
      </c>
      <c r="B119" s="28">
        <v>58</v>
      </c>
      <c r="C119" s="28">
        <v>2</v>
      </c>
      <c r="D119" s="28">
        <v>175</v>
      </c>
    </row>
    <row r="120" spans="1:4">
      <c r="A120" s="54">
        <v>101021</v>
      </c>
      <c r="B120" s="28">
        <v>61</v>
      </c>
      <c r="C120" s="28">
        <v>2</v>
      </c>
      <c r="D120" s="28">
        <v>175</v>
      </c>
    </row>
    <row r="121" spans="1:4">
      <c r="A121" s="54">
        <v>101022</v>
      </c>
      <c r="B121" s="28">
        <v>64</v>
      </c>
      <c r="C121" s="28">
        <v>2</v>
      </c>
      <c r="D121" s="28">
        <v>175</v>
      </c>
    </row>
    <row r="122" spans="1:4">
      <c r="A122" s="54">
        <v>101023</v>
      </c>
      <c r="B122" s="28">
        <v>67</v>
      </c>
      <c r="C122" s="28">
        <v>2</v>
      </c>
      <c r="D122" s="28">
        <v>175</v>
      </c>
    </row>
    <row r="123" spans="1:4">
      <c r="A123" s="54">
        <v>101024</v>
      </c>
      <c r="B123" s="28">
        <v>70</v>
      </c>
      <c r="C123" s="28">
        <v>2</v>
      </c>
      <c r="D123" s="28">
        <v>175</v>
      </c>
    </row>
    <row r="124" spans="1:4">
      <c r="A124" s="54">
        <v>101025</v>
      </c>
      <c r="B124" s="28">
        <v>73</v>
      </c>
      <c r="C124" s="28">
        <v>2</v>
      </c>
      <c r="D124" s="28">
        <v>175</v>
      </c>
    </row>
    <row r="125" spans="1:4">
      <c r="A125" s="54">
        <v>101026</v>
      </c>
      <c r="B125" s="28">
        <v>76</v>
      </c>
      <c r="C125" s="28">
        <v>2</v>
      </c>
      <c r="D125" s="28">
        <v>0</v>
      </c>
    </row>
    <row r="126" spans="1:4">
      <c r="A126" s="54">
        <v>101027</v>
      </c>
      <c r="B126" s="28">
        <v>79</v>
      </c>
      <c r="C126" s="28">
        <v>2</v>
      </c>
      <c r="D126" s="28">
        <v>175</v>
      </c>
    </row>
    <row r="127" spans="1:4">
      <c r="A127" s="54">
        <v>101028</v>
      </c>
      <c r="B127" s="28">
        <v>82</v>
      </c>
      <c r="C127" s="28">
        <v>2</v>
      </c>
      <c r="D127" s="28">
        <v>175</v>
      </c>
    </row>
    <row r="128" spans="1:4">
      <c r="A128" s="54">
        <v>101029</v>
      </c>
      <c r="B128" s="28">
        <v>85</v>
      </c>
      <c r="C128" s="28">
        <v>2</v>
      </c>
      <c r="D128" s="28">
        <v>175</v>
      </c>
    </row>
    <row r="129" spans="1:4">
      <c r="A129" s="54">
        <v>101030</v>
      </c>
      <c r="B129" s="28">
        <v>88</v>
      </c>
      <c r="C129" s="28">
        <v>2</v>
      </c>
      <c r="D129" s="28">
        <v>175</v>
      </c>
    </row>
    <row r="130" spans="1:4">
      <c r="A130" s="54">
        <v>101031</v>
      </c>
      <c r="B130" s="28">
        <v>91</v>
      </c>
      <c r="C130" s="28">
        <v>2</v>
      </c>
      <c r="D130" s="28">
        <v>175</v>
      </c>
    </row>
    <row r="131" spans="1:4">
      <c r="A131" s="54">
        <v>101032</v>
      </c>
      <c r="B131" s="28">
        <v>94</v>
      </c>
      <c r="C131" s="28">
        <v>2</v>
      </c>
      <c r="D131" s="28">
        <v>175</v>
      </c>
    </row>
    <row r="132" spans="1:4">
      <c r="A132" s="54">
        <v>101033</v>
      </c>
      <c r="B132" s="28">
        <v>97</v>
      </c>
      <c r="C132" s="28">
        <v>2</v>
      </c>
      <c r="D132" s="28">
        <v>175</v>
      </c>
    </row>
    <row r="133" spans="1:4">
      <c r="A133" s="54">
        <v>101034</v>
      </c>
      <c r="B133" s="28">
        <v>100</v>
      </c>
      <c r="C133" s="28">
        <v>2</v>
      </c>
      <c r="D133" s="28">
        <v>175</v>
      </c>
    </row>
    <row r="134" spans="1:4">
      <c r="A134" s="54">
        <v>101035</v>
      </c>
      <c r="B134" s="28">
        <v>103</v>
      </c>
      <c r="C134" s="28">
        <v>2</v>
      </c>
      <c r="D134" s="28">
        <v>175</v>
      </c>
    </row>
    <row r="135" spans="1:4">
      <c r="A135" s="54">
        <v>101036</v>
      </c>
      <c r="B135" s="28">
        <v>106</v>
      </c>
      <c r="C135" s="28">
        <v>2</v>
      </c>
      <c r="D135" s="28">
        <v>175</v>
      </c>
    </row>
    <row r="136" spans="1:4">
      <c r="A136" s="54">
        <v>101037</v>
      </c>
      <c r="B136" s="28">
        <v>109</v>
      </c>
      <c r="C136" s="28">
        <v>2</v>
      </c>
      <c r="D136" s="28">
        <v>175</v>
      </c>
    </row>
    <row r="137" spans="1:4">
      <c r="A137" s="54">
        <v>101038</v>
      </c>
      <c r="B137" s="28">
        <v>112</v>
      </c>
      <c r="C137" s="28">
        <v>2</v>
      </c>
      <c r="D137" s="28">
        <v>175</v>
      </c>
    </row>
    <row r="138" spans="1:4">
      <c r="A138" s="54">
        <v>101039</v>
      </c>
      <c r="B138" s="28">
        <v>115</v>
      </c>
      <c r="C138" s="28">
        <v>2</v>
      </c>
      <c r="D138" s="28">
        <v>175</v>
      </c>
    </row>
    <row r="139" spans="1:4">
      <c r="A139" s="54">
        <v>101040</v>
      </c>
      <c r="B139" s="28">
        <v>118</v>
      </c>
      <c r="C139" s="28">
        <v>2</v>
      </c>
      <c r="D139" s="28">
        <v>175</v>
      </c>
    </row>
    <row r="140" spans="1:4">
      <c r="A140" s="54">
        <v>101041</v>
      </c>
      <c r="B140" s="28">
        <v>121</v>
      </c>
      <c r="C140" s="28">
        <v>2</v>
      </c>
      <c r="D140" s="28">
        <v>175</v>
      </c>
    </row>
    <row r="141" spans="1:4">
      <c r="A141" s="54">
        <v>101042</v>
      </c>
      <c r="B141" s="28">
        <v>124</v>
      </c>
      <c r="C141" s="28">
        <v>2</v>
      </c>
      <c r="D141" s="28">
        <v>175</v>
      </c>
    </row>
    <row r="142" spans="1:4">
      <c r="A142" s="54">
        <v>101043</v>
      </c>
      <c r="B142" s="28">
        <v>127</v>
      </c>
      <c r="C142" s="28">
        <v>2</v>
      </c>
      <c r="D142" s="28">
        <v>175</v>
      </c>
    </row>
    <row r="143" spans="1:4">
      <c r="A143" s="54">
        <v>101044</v>
      </c>
      <c r="B143" s="28">
        <v>130</v>
      </c>
      <c r="C143" s="28">
        <v>2</v>
      </c>
      <c r="D143" s="28">
        <v>175</v>
      </c>
    </row>
    <row r="144" spans="1:4">
      <c r="A144" s="54">
        <v>101045</v>
      </c>
      <c r="B144" s="28">
        <v>133</v>
      </c>
      <c r="C144" s="28">
        <v>2</v>
      </c>
      <c r="D144" s="28">
        <v>175</v>
      </c>
    </row>
    <row r="145" spans="1:4">
      <c r="A145" s="54">
        <v>101046</v>
      </c>
      <c r="B145" s="28">
        <v>136</v>
      </c>
      <c r="C145" s="28">
        <v>2</v>
      </c>
      <c r="D145" s="28">
        <v>175</v>
      </c>
    </row>
    <row r="146" spans="1:4">
      <c r="A146" s="54">
        <v>101047</v>
      </c>
      <c r="B146" s="28">
        <v>138</v>
      </c>
      <c r="C146" s="28">
        <v>2</v>
      </c>
      <c r="D146" s="28">
        <v>175</v>
      </c>
    </row>
    <row r="147" spans="1:4">
      <c r="A147" s="54">
        <v>101048</v>
      </c>
      <c r="B147" s="28">
        <v>140</v>
      </c>
      <c r="C147" s="28">
        <v>2</v>
      </c>
      <c r="D147" s="28">
        <v>175</v>
      </c>
    </row>
    <row r="148" spans="1:4">
      <c r="A148" s="54">
        <v>101049</v>
      </c>
      <c r="B148" s="28">
        <v>142</v>
      </c>
      <c r="C148" s="28">
        <v>2</v>
      </c>
      <c r="D148" s="28">
        <v>175</v>
      </c>
    </row>
    <row r="149" spans="1:4">
      <c r="A149" s="54">
        <v>101050</v>
      </c>
      <c r="B149" s="28">
        <v>144</v>
      </c>
      <c r="C149" s="28">
        <v>2</v>
      </c>
      <c r="D149" s="28">
        <v>175</v>
      </c>
    </row>
    <row r="150" spans="1:4">
      <c r="A150" s="54">
        <v>101051</v>
      </c>
      <c r="B150" s="28">
        <v>146</v>
      </c>
      <c r="C150" s="28">
        <v>2</v>
      </c>
      <c r="D150" s="28">
        <v>175</v>
      </c>
    </row>
    <row r="151" spans="1:4">
      <c r="A151" s="54">
        <v>101052</v>
      </c>
      <c r="B151" s="28">
        <v>148</v>
      </c>
      <c r="C151" s="28">
        <v>2</v>
      </c>
      <c r="D151" s="28">
        <v>175</v>
      </c>
    </row>
    <row r="152" spans="1:4">
      <c r="A152" s="54">
        <v>101053</v>
      </c>
      <c r="B152" s="28">
        <v>150</v>
      </c>
      <c r="C152" s="28">
        <v>2</v>
      </c>
      <c r="D152" s="28">
        <v>175</v>
      </c>
    </row>
    <row r="153" spans="1:4">
      <c r="A153" s="54">
        <v>101054</v>
      </c>
      <c r="B153" s="28">
        <v>3</v>
      </c>
      <c r="C153" s="28">
        <v>2</v>
      </c>
      <c r="D153" s="28">
        <v>9</v>
      </c>
    </row>
    <row r="154" spans="1:4">
      <c r="A154" s="54">
        <v>101055</v>
      </c>
      <c r="B154" s="28">
        <v>5</v>
      </c>
      <c r="C154" s="28">
        <v>2</v>
      </c>
      <c r="D154" s="28">
        <v>9</v>
      </c>
    </row>
    <row r="155" spans="1:4">
      <c r="A155" s="54">
        <v>101056</v>
      </c>
      <c r="B155" s="28">
        <v>8</v>
      </c>
      <c r="C155" s="28">
        <v>2</v>
      </c>
      <c r="D155" s="28">
        <v>0</v>
      </c>
    </row>
    <row r="156" spans="1:4">
      <c r="A156" s="54">
        <v>101057</v>
      </c>
      <c r="B156" s="28">
        <v>11</v>
      </c>
      <c r="C156" s="28">
        <v>2</v>
      </c>
      <c r="D156" s="28">
        <v>9</v>
      </c>
    </row>
    <row r="157" spans="1:4">
      <c r="A157" s="54">
        <v>101058</v>
      </c>
      <c r="B157" s="28">
        <v>14</v>
      </c>
      <c r="C157" s="28">
        <v>2</v>
      </c>
      <c r="D157" s="28">
        <v>0</v>
      </c>
    </row>
    <row r="158" spans="1:4">
      <c r="A158" s="54">
        <v>101059</v>
      </c>
      <c r="B158" s="28">
        <v>17</v>
      </c>
      <c r="C158" s="28">
        <v>2</v>
      </c>
      <c r="D158" s="28">
        <v>9</v>
      </c>
    </row>
    <row r="159" spans="1:4">
      <c r="A159" s="54">
        <v>101060</v>
      </c>
      <c r="B159" s="28">
        <v>20</v>
      </c>
      <c r="C159" s="28">
        <v>2</v>
      </c>
      <c r="D159" s="28">
        <v>9</v>
      </c>
    </row>
    <row r="160" spans="1:4">
      <c r="A160" s="54">
        <v>101061</v>
      </c>
      <c r="B160" s="28">
        <v>23</v>
      </c>
      <c r="C160" s="28">
        <v>2</v>
      </c>
      <c r="D160" s="28">
        <v>9</v>
      </c>
    </row>
    <row r="161" spans="1:4">
      <c r="A161" s="54">
        <v>101062</v>
      </c>
      <c r="B161" s="28">
        <v>26</v>
      </c>
      <c r="C161" s="28">
        <v>2</v>
      </c>
      <c r="D161" s="28">
        <v>9</v>
      </c>
    </row>
    <row r="162" spans="1:4">
      <c r="A162" s="54">
        <v>101063</v>
      </c>
      <c r="B162" s="28">
        <v>29</v>
      </c>
      <c r="C162" s="28">
        <v>2</v>
      </c>
      <c r="D162" s="28">
        <v>9</v>
      </c>
    </row>
    <row r="163" spans="1:4">
      <c r="A163" s="54">
        <v>101064</v>
      </c>
      <c r="B163" s="28">
        <v>32</v>
      </c>
      <c r="C163" s="28">
        <v>2</v>
      </c>
      <c r="D163" s="28">
        <v>9</v>
      </c>
    </row>
    <row r="164" spans="1:4">
      <c r="A164" s="54">
        <v>101065</v>
      </c>
      <c r="B164" s="28">
        <v>35</v>
      </c>
      <c r="C164" s="28">
        <v>2</v>
      </c>
      <c r="D164" s="28">
        <v>9</v>
      </c>
    </row>
    <row r="165" spans="1:4">
      <c r="A165" s="54">
        <v>101066</v>
      </c>
      <c r="B165" s="28">
        <v>38</v>
      </c>
      <c r="C165" s="28">
        <v>2</v>
      </c>
      <c r="D165" s="28">
        <v>9</v>
      </c>
    </row>
    <row r="166" spans="1:4">
      <c r="A166" s="54">
        <v>101067</v>
      </c>
      <c r="B166" s="28">
        <v>41</v>
      </c>
      <c r="C166" s="28">
        <v>2</v>
      </c>
      <c r="D166" s="28">
        <v>9</v>
      </c>
    </row>
    <row r="167" spans="1:4">
      <c r="A167" s="54">
        <v>101068</v>
      </c>
      <c r="B167" s="28">
        <v>44</v>
      </c>
      <c r="C167" s="28">
        <v>2</v>
      </c>
      <c r="D167" s="28">
        <v>9</v>
      </c>
    </row>
    <row r="168" spans="1:4">
      <c r="A168" s="54">
        <v>101069</v>
      </c>
      <c r="B168" s="28">
        <v>47</v>
      </c>
      <c r="C168" s="28">
        <v>2</v>
      </c>
      <c r="D168" s="28">
        <v>9</v>
      </c>
    </row>
    <row r="169" spans="1:4">
      <c r="A169" s="54">
        <v>101070</v>
      </c>
      <c r="B169" s="28">
        <v>50</v>
      </c>
      <c r="C169" s="28">
        <v>2</v>
      </c>
      <c r="D169" s="28">
        <v>9</v>
      </c>
    </row>
    <row r="170" spans="1:4">
      <c r="A170" s="54">
        <v>101071</v>
      </c>
      <c r="B170" s="28">
        <v>53</v>
      </c>
      <c r="C170" s="28">
        <v>2</v>
      </c>
      <c r="D170" s="28">
        <v>9</v>
      </c>
    </row>
    <row r="171" spans="1:4">
      <c r="A171" s="54">
        <v>101072</v>
      </c>
      <c r="B171" s="28">
        <v>56</v>
      </c>
      <c r="C171" s="28">
        <v>2</v>
      </c>
      <c r="D171" s="28">
        <v>9</v>
      </c>
    </row>
    <row r="172" spans="1:4">
      <c r="A172" s="54">
        <v>101073</v>
      </c>
      <c r="B172" s="28">
        <v>59</v>
      </c>
      <c r="C172" s="28">
        <v>2</v>
      </c>
      <c r="D172" s="28">
        <v>9</v>
      </c>
    </row>
    <row r="173" spans="1:4">
      <c r="A173" s="54">
        <v>101074</v>
      </c>
      <c r="B173" s="28">
        <v>62</v>
      </c>
      <c r="C173" s="28">
        <v>2</v>
      </c>
      <c r="D173" s="28">
        <v>9</v>
      </c>
    </row>
    <row r="174" spans="1:4">
      <c r="A174" s="54">
        <v>101075</v>
      </c>
      <c r="B174" s="28">
        <v>65</v>
      </c>
      <c r="C174" s="28">
        <v>2</v>
      </c>
      <c r="D174" s="28">
        <v>9</v>
      </c>
    </row>
    <row r="175" spans="1:4">
      <c r="A175" s="54">
        <v>101076</v>
      </c>
      <c r="B175" s="28">
        <v>68</v>
      </c>
      <c r="C175" s="28">
        <v>2</v>
      </c>
      <c r="D175" s="28">
        <v>9</v>
      </c>
    </row>
    <row r="176" spans="1:4">
      <c r="A176" s="54">
        <v>101077</v>
      </c>
      <c r="B176" s="28">
        <v>71</v>
      </c>
      <c r="C176" s="28">
        <v>2</v>
      </c>
      <c r="D176" s="28">
        <v>9</v>
      </c>
    </row>
    <row r="177" spans="1:4">
      <c r="A177" s="54">
        <v>101078</v>
      </c>
      <c r="B177" s="28">
        <v>74</v>
      </c>
      <c r="C177" s="28">
        <v>2</v>
      </c>
      <c r="D177" s="28">
        <v>9</v>
      </c>
    </row>
    <row r="178" spans="1:4">
      <c r="A178" s="54">
        <v>101079</v>
      </c>
      <c r="B178" s="28">
        <v>77</v>
      </c>
      <c r="C178" s="28">
        <v>2</v>
      </c>
      <c r="D178" s="28">
        <v>0</v>
      </c>
    </row>
    <row r="179" spans="1:4">
      <c r="A179" s="54">
        <v>101080</v>
      </c>
      <c r="B179" s="28">
        <v>80</v>
      </c>
      <c r="C179" s="28">
        <v>2</v>
      </c>
      <c r="D179" s="28">
        <v>9</v>
      </c>
    </row>
    <row r="180" spans="1:4">
      <c r="A180" s="54">
        <v>101081</v>
      </c>
      <c r="B180" s="28">
        <v>83</v>
      </c>
      <c r="C180" s="28">
        <v>2</v>
      </c>
      <c r="D180" s="28">
        <v>9</v>
      </c>
    </row>
    <row r="181" spans="1:4">
      <c r="A181" s="54">
        <v>101082</v>
      </c>
      <c r="B181" s="28">
        <v>86</v>
      </c>
      <c r="C181" s="28">
        <v>2</v>
      </c>
      <c r="D181" s="28">
        <v>9</v>
      </c>
    </row>
    <row r="182" spans="1:4">
      <c r="A182" s="54">
        <v>101083</v>
      </c>
      <c r="B182" s="28">
        <v>89</v>
      </c>
      <c r="C182" s="28">
        <v>2</v>
      </c>
      <c r="D182" s="28">
        <v>9</v>
      </c>
    </row>
    <row r="183" spans="1:4">
      <c r="A183" s="54">
        <v>101084</v>
      </c>
      <c r="B183" s="28">
        <v>92</v>
      </c>
      <c r="C183" s="28">
        <v>2</v>
      </c>
      <c r="D183" s="28">
        <v>9</v>
      </c>
    </row>
    <row r="184" spans="1:4">
      <c r="A184" s="54">
        <v>101085</v>
      </c>
      <c r="B184" s="28">
        <v>95</v>
      </c>
      <c r="C184" s="28">
        <v>2</v>
      </c>
      <c r="D184" s="28">
        <v>9</v>
      </c>
    </row>
    <row r="185" spans="1:4">
      <c r="A185" s="54">
        <v>101086</v>
      </c>
      <c r="B185" s="28">
        <v>98</v>
      </c>
      <c r="C185" s="28">
        <v>2</v>
      </c>
      <c r="D185" s="28">
        <v>9</v>
      </c>
    </row>
    <row r="186" spans="1:4">
      <c r="A186" s="54">
        <v>101087</v>
      </c>
      <c r="B186" s="28">
        <v>101</v>
      </c>
      <c r="C186" s="28">
        <v>2</v>
      </c>
      <c r="D186" s="28">
        <v>9</v>
      </c>
    </row>
    <row r="187" spans="1:4">
      <c r="A187" s="54">
        <v>101088</v>
      </c>
      <c r="B187" s="28">
        <v>104</v>
      </c>
      <c r="C187" s="28">
        <v>2</v>
      </c>
      <c r="D187" s="28">
        <v>9</v>
      </c>
    </row>
    <row r="188" spans="1:4">
      <c r="A188" s="54">
        <v>101089</v>
      </c>
      <c r="B188" s="28">
        <v>107</v>
      </c>
      <c r="C188" s="28">
        <v>2</v>
      </c>
      <c r="D188" s="28">
        <v>9</v>
      </c>
    </row>
    <row r="189" spans="1:4">
      <c r="A189" s="54">
        <v>101090</v>
      </c>
      <c r="B189" s="28">
        <v>110</v>
      </c>
      <c r="C189" s="28">
        <v>2</v>
      </c>
      <c r="D189" s="28">
        <v>9</v>
      </c>
    </row>
    <row r="190" spans="1:4">
      <c r="A190" s="54">
        <v>101091</v>
      </c>
      <c r="B190" s="28">
        <v>113</v>
      </c>
      <c r="C190" s="28">
        <v>2</v>
      </c>
      <c r="D190" s="28">
        <v>9</v>
      </c>
    </row>
    <row r="191" spans="1:4">
      <c r="A191" s="54">
        <v>101092</v>
      </c>
      <c r="B191" s="28">
        <v>116</v>
      </c>
      <c r="C191" s="28">
        <v>2</v>
      </c>
      <c r="D191" s="28">
        <v>9</v>
      </c>
    </row>
    <row r="192" spans="1:4">
      <c r="A192" s="54">
        <v>101093</v>
      </c>
      <c r="B192" s="28">
        <v>119</v>
      </c>
      <c r="C192" s="28">
        <v>2</v>
      </c>
      <c r="D192" s="28">
        <v>9</v>
      </c>
    </row>
    <row r="193" spans="1:4">
      <c r="A193" s="54">
        <v>101094</v>
      </c>
      <c r="B193" s="28">
        <v>122</v>
      </c>
      <c r="C193" s="28">
        <v>2</v>
      </c>
      <c r="D193" s="28">
        <v>9</v>
      </c>
    </row>
    <row r="194" spans="1:4">
      <c r="A194" s="54">
        <v>101095</v>
      </c>
      <c r="B194" s="28">
        <v>125</v>
      </c>
      <c r="C194" s="28">
        <v>2</v>
      </c>
      <c r="D194" s="28">
        <v>9</v>
      </c>
    </row>
    <row r="195" spans="1:4">
      <c r="A195" s="54">
        <v>101096</v>
      </c>
      <c r="B195" s="28">
        <v>128</v>
      </c>
      <c r="C195" s="28">
        <v>2</v>
      </c>
      <c r="D195" s="28">
        <v>9</v>
      </c>
    </row>
    <row r="196" spans="1:4">
      <c r="A196" s="54">
        <v>101097</v>
      </c>
      <c r="B196" s="28">
        <v>131</v>
      </c>
      <c r="C196" s="28">
        <v>2</v>
      </c>
      <c r="D196" s="28">
        <v>9</v>
      </c>
    </row>
    <row r="197" spans="1:4">
      <c r="A197" s="54">
        <v>101098</v>
      </c>
      <c r="B197" s="28">
        <v>134</v>
      </c>
      <c r="C197" s="28">
        <v>2</v>
      </c>
      <c r="D197" s="28">
        <v>9</v>
      </c>
    </row>
    <row r="198" spans="1:4">
      <c r="A198" s="54">
        <v>101099</v>
      </c>
      <c r="B198" s="28">
        <v>137</v>
      </c>
      <c r="C198" s="28">
        <v>2</v>
      </c>
      <c r="D198" s="28">
        <v>9</v>
      </c>
    </row>
    <row r="199" spans="1:4">
      <c r="A199" s="54">
        <v>101100</v>
      </c>
      <c r="B199" s="28">
        <v>139</v>
      </c>
      <c r="C199" s="28">
        <v>2</v>
      </c>
      <c r="D199" s="28">
        <v>9</v>
      </c>
    </row>
    <row r="200" spans="1:4">
      <c r="A200" s="54">
        <v>101101</v>
      </c>
      <c r="B200" s="28">
        <v>141</v>
      </c>
      <c r="C200" s="28">
        <v>2</v>
      </c>
      <c r="D200" s="28">
        <v>9</v>
      </c>
    </row>
    <row r="201" spans="1:4">
      <c r="A201" s="54">
        <v>101102</v>
      </c>
      <c r="B201" s="28">
        <v>143</v>
      </c>
      <c r="C201" s="28">
        <v>2</v>
      </c>
      <c r="D201" s="28">
        <v>9</v>
      </c>
    </row>
    <row r="202" spans="1:4">
      <c r="A202" s="54">
        <v>101103</v>
      </c>
      <c r="B202" s="28">
        <v>145</v>
      </c>
      <c r="C202" s="28">
        <v>2</v>
      </c>
      <c r="D202" s="28">
        <v>9</v>
      </c>
    </row>
    <row r="203" spans="1:4">
      <c r="A203" s="54">
        <v>101104</v>
      </c>
      <c r="B203" s="28">
        <v>147</v>
      </c>
      <c r="C203" s="28">
        <v>2</v>
      </c>
      <c r="D203" s="28">
        <v>9</v>
      </c>
    </row>
    <row r="204" spans="1:4">
      <c r="A204" s="54">
        <v>101105</v>
      </c>
      <c r="B204" s="28">
        <v>149</v>
      </c>
      <c r="C204" s="28">
        <v>2</v>
      </c>
      <c r="D204" s="28">
        <v>9</v>
      </c>
    </row>
    <row r="205" spans="1:4">
      <c r="A205" s="54">
        <v>101106</v>
      </c>
      <c r="B205" s="28">
        <v>151</v>
      </c>
      <c r="C205" s="28">
        <v>2</v>
      </c>
      <c r="D205" s="28">
        <v>9</v>
      </c>
    </row>
    <row r="206" spans="1:4">
      <c r="A206" s="54">
        <v>102001</v>
      </c>
      <c r="B206" s="55">
        <v>1</v>
      </c>
      <c r="C206" s="56">
        <v>3</v>
      </c>
      <c r="D206" s="57">
        <v>133</v>
      </c>
    </row>
    <row r="207" spans="1:4">
      <c r="A207" s="54">
        <v>102002</v>
      </c>
      <c r="B207" s="55">
        <v>6</v>
      </c>
      <c r="C207" s="56">
        <v>3</v>
      </c>
      <c r="D207" s="57">
        <v>0</v>
      </c>
    </row>
    <row r="208" spans="1:4">
      <c r="A208" s="54">
        <v>102003</v>
      </c>
      <c r="B208" s="55">
        <v>9</v>
      </c>
      <c r="C208" s="56">
        <v>3</v>
      </c>
      <c r="D208" s="57">
        <v>133</v>
      </c>
    </row>
    <row r="209" spans="1:4">
      <c r="A209" s="54">
        <v>102004</v>
      </c>
      <c r="B209" s="55">
        <v>12</v>
      </c>
      <c r="C209" s="56">
        <v>3</v>
      </c>
      <c r="D209" s="57">
        <v>0</v>
      </c>
    </row>
    <row r="210" spans="1:4">
      <c r="A210" s="54">
        <v>102005</v>
      </c>
      <c r="B210" s="55">
        <v>15</v>
      </c>
      <c r="C210" s="56">
        <v>3</v>
      </c>
      <c r="D210" s="57">
        <v>133</v>
      </c>
    </row>
    <row r="211" spans="1:4">
      <c r="A211" s="54">
        <v>102006</v>
      </c>
      <c r="B211" s="55">
        <v>18</v>
      </c>
      <c r="C211" s="56">
        <v>3</v>
      </c>
      <c r="D211" s="57">
        <v>133</v>
      </c>
    </row>
    <row r="212" spans="1:4">
      <c r="A212" s="54">
        <v>102007</v>
      </c>
      <c r="B212" s="55">
        <v>21</v>
      </c>
      <c r="C212" s="56">
        <v>3</v>
      </c>
      <c r="D212" s="57">
        <v>133</v>
      </c>
    </row>
    <row r="213" spans="1:4">
      <c r="A213" s="54">
        <v>102008</v>
      </c>
      <c r="B213" s="55">
        <v>24</v>
      </c>
      <c r="C213" s="56">
        <v>3</v>
      </c>
      <c r="D213" s="57">
        <v>133</v>
      </c>
    </row>
    <row r="214" spans="1:4">
      <c r="A214" s="54">
        <v>102009</v>
      </c>
      <c r="B214" s="55">
        <v>27</v>
      </c>
      <c r="C214" s="56">
        <v>3</v>
      </c>
      <c r="D214" s="57">
        <v>133</v>
      </c>
    </row>
    <row r="215" spans="1:4">
      <c r="A215" s="54">
        <v>102010</v>
      </c>
      <c r="B215" s="55">
        <v>30</v>
      </c>
      <c r="C215" s="56">
        <v>3</v>
      </c>
      <c r="D215" s="57">
        <v>133</v>
      </c>
    </row>
    <row r="216" spans="1:4">
      <c r="A216" s="54">
        <v>102011</v>
      </c>
      <c r="B216" s="55">
        <v>33</v>
      </c>
      <c r="C216" s="56">
        <v>3</v>
      </c>
      <c r="D216" s="57">
        <v>133</v>
      </c>
    </row>
    <row r="217" spans="1:4">
      <c r="A217" s="54">
        <v>102012</v>
      </c>
      <c r="B217" s="55">
        <v>36</v>
      </c>
      <c r="C217" s="56">
        <v>3</v>
      </c>
      <c r="D217" s="57">
        <v>133</v>
      </c>
    </row>
    <row r="218" spans="1:4">
      <c r="A218" s="54">
        <v>102013</v>
      </c>
      <c r="B218" s="55">
        <v>39</v>
      </c>
      <c r="C218" s="56">
        <v>3</v>
      </c>
      <c r="D218" s="57">
        <v>133</v>
      </c>
    </row>
    <row r="219" spans="1:4">
      <c r="A219" s="54">
        <v>102014</v>
      </c>
      <c r="B219" s="55">
        <v>42</v>
      </c>
      <c r="C219" s="56">
        <v>3</v>
      </c>
      <c r="D219" s="57">
        <v>133</v>
      </c>
    </row>
    <row r="220" spans="1:4">
      <c r="A220" s="54">
        <v>102015</v>
      </c>
      <c r="B220" s="55">
        <v>45</v>
      </c>
      <c r="C220" s="56">
        <v>3</v>
      </c>
      <c r="D220" s="57">
        <v>133</v>
      </c>
    </row>
    <row r="221" spans="1:4">
      <c r="A221" s="54">
        <v>102016</v>
      </c>
      <c r="B221" s="55">
        <v>48</v>
      </c>
      <c r="C221" s="56">
        <v>3</v>
      </c>
      <c r="D221" s="57">
        <v>133</v>
      </c>
    </row>
    <row r="222" spans="1:4">
      <c r="A222" s="54">
        <v>102017</v>
      </c>
      <c r="B222" s="55">
        <v>51</v>
      </c>
      <c r="C222" s="56">
        <v>3</v>
      </c>
      <c r="D222" s="57">
        <v>133</v>
      </c>
    </row>
    <row r="223" spans="1:4">
      <c r="A223" s="54">
        <v>102018</v>
      </c>
      <c r="B223" s="55">
        <v>54</v>
      </c>
      <c r="C223" s="56">
        <v>3</v>
      </c>
      <c r="D223" s="57">
        <v>133</v>
      </c>
    </row>
    <row r="224" spans="1:4">
      <c r="A224" s="54">
        <v>102019</v>
      </c>
      <c r="B224" s="55">
        <v>57</v>
      </c>
      <c r="C224" s="56">
        <v>3</v>
      </c>
      <c r="D224" s="57">
        <v>133</v>
      </c>
    </row>
    <row r="225" spans="1:4">
      <c r="A225" s="54">
        <v>102020</v>
      </c>
      <c r="B225" s="55">
        <v>60</v>
      </c>
      <c r="C225" s="56">
        <v>3</v>
      </c>
      <c r="D225" s="57">
        <v>133</v>
      </c>
    </row>
    <row r="226" spans="1:4">
      <c r="A226" s="54">
        <v>102021</v>
      </c>
      <c r="B226" s="55">
        <v>63</v>
      </c>
      <c r="C226" s="56">
        <v>3</v>
      </c>
      <c r="D226" s="57">
        <v>133</v>
      </c>
    </row>
    <row r="227" spans="1:4">
      <c r="A227" s="54">
        <v>102022</v>
      </c>
      <c r="B227" s="55">
        <v>66</v>
      </c>
      <c r="C227" s="56">
        <v>3</v>
      </c>
      <c r="D227" s="57">
        <v>133</v>
      </c>
    </row>
    <row r="228" spans="1:4">
      <c r="A228" s="54">
        <v>102023</v>
      </c>
      <c r="B228" s="55">
        <v>69</v>
      </c>
      <c r="C228" s="56">
        <v>3</v>
      </c>
      <c r="D228" s="57">
        <v>133</v>
      </c>
    </row>
    <row r="229" spans="1:4">
      <c r="A229" s="54">
        <v>102024</v>
      </c>
      <c r="B229" s="55">
        <v>72</v>
      </c>
      <c r="C229" s="56">
        <v>3</v>
      </c>
      <c r="D229" s="57">
        <v>133</v>
      </c>
    </row>
    <row r="230" spans="1:4">
      <c r="A230" s="54">
        <v>102025</v>
      </c>
      <c r="B230" s="55">
        <v>75</v>
      </c>
      <c r="C230" s="56">
        <v>3</v>
      </c>
      <c r="D230" s="57">
        <v>0</v>
      </c>
    </row>
    <row r="231" spans="1:4">
      <c r="A231" s="54">
        <v>102026</v>
      </c>
      <c r="B231" s="55">
        <v>78</v>
      </c>
      <c r="C231" s="56">
        <v>3</v>
      </c>
      <c r="D231" s="57">
        <v>133</v>
      </c>
    </row>
    <row r="232" spans="1:4">
      <c r="A232" s="54">
        <v>102027</v>
      </c>
      <c r="B232" s="55">
        <v>81</v>
      </c>
      <c r="C232" s="56">
        <v>3</v>
      </c>
      <c r="D232" s="57">
        <v>133</v>
      </c>
    </row>
    <row r="233" spans="1:4">
      <c r="A233" s="54">
        <v>102028</v>
      </c>
      <c r="B233" s="55">
        <v>84</v>
      </c>
      <c r="C233" s="56">
        <v>3</v>
      </c>
      <c r="D233" s="57">
        <v>133</v>
      </c>
    </row>
    <row r="234" spans="1:4">
      <c r="A234" s="54">
        <v>102029</v>
      </c>
      <c r="B234" s="55">
        <v>87</v>
      </c>
      <c r="C234" s="56">
        <v>3</v>
      </c>
      <c r="D234" s="57">
        <v>133</v>
      </c>
    </row>
    <row r="235" spans="1:4">
      <c r="A235" s="54">
        <v>102030</v>
      </c>
      <c r="B235" s="55">
        <v>90</v>
      </c>
      <c r="C235" s="56">
        <v>3</v>
      </c>
      <c r="D235" s="57">
        <v>133</v>
      </c>
    </row>
    <row r="236" spans="1:4">
      <c r="A236" s="54">
        <v>102031</v>
      </c>
      <c r="B236" s="55">
        <v>93</v>
      </c>
      <c r="C236" s="56">
        <v>3</v>
      </c>
      <c r="D236" s="57">
        <v>133</v>
      </c>
    </row>
    <row r="237" spans="1:4">
      <c r="A237" s="54">
        <v>102032</v>
      </c>
      <c r="B237" s="55">
        <v>96</v>
      </c>
      <c r="C237" s="56">
        <v>3</v>
      </c>
      <c r="D237" s="57">
        <v>133</v>
      </c>
    </row>
    <row r="238" spans="1:4">
      <c r="A238" s="54">
        <v>102033</v>
      </c>
      <c r="B238" s="55">
        <v>99</v>
      </c>
      <c r="C238" s="56">
        <v>3</v>
      </c>
      <c r="D238" s="57">
        <v>133</v>
      </c>
    </row>
    <row r="239" spans="1:4">
      <c r="A239" s="54">
        <v>102034</v>
      </c>
      <c r="B239" s="55">
        <v>102</v>
      </c>
      <c r="C239" s="56">
        <v>3</v>
      </c>
      <c r="D239" s="57">
        <v>133</v>
      </c>
    </row>
    <row r="240" spans="1:4">
      <c r="A240" s="54">
        <v>102035</v>
      </c>
      <c r="B240" s="55">
        <v>105</v>
      </c>
      <c r="C240" s="56">
        <v>3</v>
      </c>
      <c r="D240" s="57">
        <v>133</v>
      </c>
    </row>
    <row r="241" spans="1:4">
      <c r="A241" s="54">
        <v>102036</v>
      </c>
      <c r="B241" s="55">
        <v>108</v>
      </c>
      <c r="C241" s="56">
        <v>3</v>
      </c>
      <c r="D241" s="57">
        <v>133</v>
      </c>
    </row>
    <row r="242" spans="1:4">
      <c r="A242" s="54">
        <v>102037</v>
      </c>
      <c r="B242" s="55">
        <v>111</v>
      </c>
      <c r="C242" s="56">
        <v>3</v>
      </c>
      <c r="D242" s="57">
        <v>133</v>
      </c>
    </row>
    <row r="243" spans="1:4">
      <c r="A243" s="54">
        <v>102038</v>
      </c>
      <c r="B243" s="55">
        <v>114</v>
      </c>
      <c r="C243" s="56">
        <v>3</v>
      </c>
      <c r="D243" s="57">
        <v>133</v>
      </c>
    </row>
    <row r="244" spans="1:4">
      <c r="A244" s="54">
        <v>102039</v>
      </c>
      <c r="B244" s="55">
        <v>117</v>
      </c>
      <c r="C244" s="56">
        <v>3</v>
      </c>
      <c r="D244" s="57">
        <v>133</v>
      </c>
    </row>
    <row r="245" spans="1:4">
      <c r="A245" s="54">
        <v>102040</v>
      </c>
      <c r="B245" s="55">
        <v>120</v>
      </c>
      <c r="C245" s="56">
        <v>3</v>
      </c>
      <c r="D245" s="57">
        <v>133</v>
      </c>
    </row>
    <row r="246" spans="1:4">
      <c r="A246" s="54">
        <v>102041</v>
      </c>
      <c r="B246" s="55">
        <v>123</v>
      </c>
      <c r="C246" s="56">
        <v>3</v>
      </c>
      <c r="D246" s="57">
        <v>133</v>
      </c>
    </row>
    <row r="247" spans="1:4">
      <c r="A247" s="54">
        <v>102042</v>
      </c>
      <c r="B247" s="55">
        <v>126</v>
      </c>
      <c r="C247" s="56">
        <v>3</v>
      </c>
      <c r="D247" s="57">
        <v>133</v>
      </c>
    </row>
    <row r="248" spans="1:4">
      <c r="A248" s="54">
        <v>102043</v>
      </c>
      <c r="B248" s="55">
        <v>129</v>
      </c>
      <c r="C248" s="56">
        <v>3</v>
      </c>
      <c r="D248" s="57">
        <v>133</v>
      </c>
    </row>
    <row r="249" spans="1:4">
      <c r="A249" s="54">
        <v>102044</v>
      </c>
      <c r="B249" s="55">
        <v>132</v>
      </c>
      <c r="C249" s="56">
        <v>3</v>
      </c>
      <c r="D249" s="57">
        <v>133</v>
      </c>
    </row>
    <row r="250" spans="1:4">
      <c r="A250" s="54">
        <v>102045</v>
      </c>
      <c r="B250" s="55">
        <v>135</v>
      </c>
      <c r="C250" s="56">
        <v>3</v>
      </c>
      <c r="D250" s="57">
        <v>133</v>
      </c>
    </row>
    <row r="251" spans="1:4">
      <c r="A251" s="54">
        <v>102046</v>
      </c>
      <c r="B251" s="55">
        <v>2</v>
      </c>
      <c r="C251" s="56">
        <v>3</v>
      </c>
      <c r="D251" s="55">
        <v>74</v>
      </c>
    </row>
    <row r="252" spans="1:4">
      <c r="A252" s="54">
        <v>102047</v>
      </c>
      <c r="B252" s="55">
        <v>4</v>
      </c>
      <c r="C252" s="56">
        <v>3</v>
      </c>
      <c r="D252" s="55">
        <v>74</v>
      </c>
    </row>
    <row r="253" spans="1:4">
      <c r="A253" s="54">
        <v>102048</v>
      </c>
      <c r="B253" s="55">
        <v>7</v>
      </c>
      <c r="C253" s="56">
        <v>3</v>
      </c>
      <c r="D253" s="55">
        <v>0</v>
      </c>
    </row>
    <row r="254" spans="1:4">
      <c r="A254" s="54">
        <v>102049</v>
      </c>
      <c r="B254" s="55">
        <v>10</v>
      </c>
      <c r="C254" s="56">
        <v>3</v>
      </c>
      <c r="D254" s="55">
        <v>74</v>
      </c>
    </row>
    <row r="255" spans="1:4">
      <c r="A255" s="54">
        <v>102050</v>
      </c>
      <c r="B255" s="55">
        <v>13</v>
      </c>
      <c r="C255" s="56">
        <v>3</v>
      </c>
      <c r="D255" s="55">
        <v>0</v>
      </c>
    </row>
    <row r="256" spans="1:4">
      <c r="A256" s="54">
        <v>102051</v>
      </c>
      <c r="B256" s="55">
        <v>16</v>
      </c>
      <c r="C256" s="56">
        <v>3</v>
      </c>
      <c r="D256" s="55">
        <v>74</v>
      </c>
    </row>
    <row r="257" spans="1:4">
      <c r="A257" s="54">
        <v>102052</v>
      </c>
      <c r="B257" s="55">
        <v>19</v>
      </c>
      <c r="C257" s="56">
        <v>3</v>
      </c>
      <c r="D257" s="55">
        <v>74</v>
      </c>
    </row>
    <row r="258" spans="1:4">
      <c r="A258" s="54">
        <v>102053</v>
      </c>
      <c r="B258" s="55">
        <v>22</v>
      </c>
      <c r="C258" s="56">
        <v>3</v>
      </c>
      <c r="D258" s="55">
        <v>74</v>
      </c>
    </row>
    <row r="259" spans="1:4">
      <c r="A259" s="54">
        <v>102054</v>
      </c>
      <c r="B259" s="55">
        <v>25</v>
      </c>
      <c r="C259" s="56">
        <v>3</v>
      </c>
      <c r="D259" s="55">
        <v>74</v>
      </c>
    </row>
    <row r="260" spans="1:4">
      <c r="A260" s="54">
        <v>102055</v>
      </c>
      <c r="B260" s="55">
        <v>28</v>
      </c>
      <c r="C260" s="56">
        <v>3</v>
      </c>
      <c r="D260" s="55">
        <v>74</v>
      </c>
    </row>
    <row r="261" spans="1:4">
      <c r="A261" s="54">
        <v>102056</v>
      </c>
      <c r="B261" s="55">
        <v>31</v>
      </c>
      <c r="C261" s="56">
        <v>3</v>
      </c>
      <c r="D261" s="55">
        <v>74</v>
      </c>
    </row>
    <row r="262" spans="1:4">
      <c r="A262" s="54">
        <v>102057</v>
      </c>
      <c r="B262" s="55">
        <v>34</v>
      </c>
      <c r="C262" s="56">
        <v>3</v>
      </c>
      <c r="D262" s="55">
        <v>74</v>
      </c>
    </row>
    <row r="263" spans="1:4">
      <c r="A263" s="54">
        <v>102058</v>
      </c>
      <c r="B263" s="55">
        <v>37</v>
      </c>
      <c r="C263" s="56">
        <v>3</v>
      </c>
      <c r="D263" s="55">
        <v>74</v>
      </c>
    </row>
    <row r="264" spans="1:4">
      <c r="A264" s="54">
        <v>102059</v>
      </c>
      <c r="B264" s="55">
        <v>40</v>
      </c>
      <c r="C264" s="56">
        <v>3</v>
      </c>
      <c r="D264" s="55">
        <v>74</v>
      </c>
    </row>
    <row r="265" spans="1:4">
      <c r="A265" s="54">
        <v>102060</v>
      </c>
      <c r="B265" s="55">
        <v>43</v>
      </c>
      <c r="C265" s="56">
        <v>3</v>
      </c>
      <c r="D265" s="55">
        <v>74</v>
      </c>
    </row>
    <row r="266" spans="1:4">
      <c r="A266" s="54">
        <v>102061</v>
      </c>
      <c r="B266" s="55">
        <v>46</v>
      </c>
      <c r="C266" s="56">
        <v>3</v>
      </c>
      <c r="D266" s="55">
        <v>74</v>
      </c>
    </row>
    <row r="267" spans="1:4">
      <c r="A267" s="54">
        <v>102062</v>
      </c>
      <c r="B267" s="55">
        <v>49</v>
      </c>
      <c r="C267" s="56">
        <v>3</v>
      </c>
      <c r="D267" s="55">
        <v>74</v>
      </c>
    </row>
    <row r="268" spans="1:4">
      <c r="A268" s="54">
        <v>102063</v>
      </c>
      <c r="B268" s="55">
        <v>52</v>
      </c>
      <c r="C268" s="56">
        <v>3</v>
      </c>
      <c r="D268" s="55">
        <v>74</v>
      </c>
    </row>
    <row r="269" spans="1:4">
      <c r="A269" s="54">
        <v>102064</v>
      </c>
      <c r="B269" s="55">
        <v>55</v>
      </c>
      <c r="C269" s="56">
        <v>3</v>
      </c>
      <c r="D269" s="55">
        <v>74</v>
      </c>
    </row>
    <row r="270" spans="1:4">
      <c r="A270" s="54">
        <v>102065</v>
      </c>
      <c r="B270" s="55">
        <v>58</v>
      </c>
      <c r="C270" s="56">
        <v>3</v>
      </c>
      <c r="D270" s="55">
        <v>74</v>
      </c>
    </row>
    <row r="271" spans="1:4">
      <c r="A271" s="54">
        <v>102066</v>
      </c>
      <c r="B271" s="55">
        <v>61</v>
      </c>
      <c r="C271" s="56">
        <v>3</v>
      </c>
      <c r="D271" s="55">
        <v>74</v>
      </c>
    </row>
    <row r="272" spans="1:4">
      <c r="A272" s="54">
        <v>102067</v>
      </c>
      <c r="B272" s="55">
        <v>64</v>
      </c>
      <c r="C272" s="56">
        <v>3</v>
      </c>
      <c r="D272" s="55">
        <v>74</v>
      </c>
    </row>
    <row r="273" spans="1:4">
      <c r="A273" s="54">
        <v>102068</v>
      </c>
      <c r="B273" s="55">
        <v>67</v>
      </c>
      <c r="C273" s="56">
        <v>3</v>
      </c>
      <c r="D273" s="55">
        <v>74</v>
      </c>
    </row>
    <row r="274" spans="1:4">
      <c r="A274" s="54">
        <v>102069</v>
      </c>
      <c r="B274" s="55">
        <v>70</v>
      </c>
      <c r="C274" s="56">
        <v>3</v>
      </c>
      <c r="D274" s="55">
        <v>74</v>
      </c>
    </row>
    <row r="275" spans="1:4">
      <c r="A275" s="54">
        <v>102070</v>
      </c>
      <c r="B275" s="55">
        <v>73</v>
      </c>
      <c r="C275" s="56">
        <v>3</v>
      </c>
      <c r="D275" s="55">
        <v>74</v>
      </c>
    </row>
    <row r="276" spans="1:4">
      <c r="A276" s="54">
        <v>102071</v>
      </c>
      <c r="B276" s="55">
        <v>76</v>
      </c>
      <c r="C276" s="56">
        <v>3</v>
      </c>
      <c r="D276" s="55">
        <v>0</v>
      </c>
    </row>
    <row r="277" spans="1:4">
      <c r="A277" s="54">
        <v>102072</v>
      </c>
      <c r="B277" s="55">
        <v>79</v>
      </c>
      <c r="C277" s="56">
        <v>3</v>
      </c>
      <c r="D277" s="55">
        <v>74</v>
      </c>
    </row>
    <row r="278" spans="1:4">
      <c r="A278" s="54">
        <v>102073</v>
      </c>
      <c r="B278" s="55">
        <v>82</v>
      </c>
      <c r="C278" s="56">
        <v>3</v>
      </c>
      <c r="D278" s="55">
        <v>74</v>
      </c>
    </row>
    <row r="279" spans="1:4">
      <c r="A279" s="54">
        <v>102074</v>
      </c>
      <c r="B279" s="55">
        <v>85</v>
      </c>
      <c r="C279" s="56">
        <v>3</v>
      </c>
      <c r="D279" s="55">
        <v>74</v>
      </c>
    </row>
    <row r="280" spans="1:4">
      <c r="A280" s="54">
        <v>102075</v>
      </c>
      <c r="B280" s="55">
        <v>88</v>
      </c>
      <c r="C280" s="56">
        <v>3</v>
      </c>
      <c r="D280" s="55">
        <v>74</v>
      </c>
    </row>
    <row r="281" spans="1:4">
      <c r="A281" s="54">
        <v>102076</v>
      </c>
      <c r="B281" s="55">
        <v>91</v>
      </c>
      <c r="C281" s="56">
        <v>3</v>
      </c>
      <c r="D281" s="55">
        <v>74</v>
      </c>
    </row>
    <row r="282" spans="1:4">
      <c r="A282" s="54">
        <v>102077</v>
      </c>
      <c r="B282" s="55">
        <v>94</v>
      </c>
      <c r="C282" s="56">
        <v>3</v>
      </c>
      <c r="D282" s="55">
        <v>74</v>
      </c>
    </row>
    <row r="283" spans="1:4">
      <c r="A283" s="54">
        <v>102078</v>
      </c>
      <c r="B283" s="55">
        <v>97</v>
      </c>
      <c r="C283" s="56">
        <v>3</v>
      </c>
      <c r="D283" s="55">
        <v>74</v>
      </c>
    </row>
    <row r="284" spans="1:4">
      <c r="A284" s="54">
        <v>102079</v>
      </c>
      <c r="B284" s="55">
        <v>100</v>
      </c>
      <c r="C284" s="56">
        <v>3</v>
      </c>
      <c r="D284" s="55">
        <v>74</v>
      </c>
    </row>
    <row r="285" spans="1:4">
      <c r="A285" s="54">
        <v>102080</v>
      </c>
      <c r="B285" s="55">
        <v>103</v>
      </c>
      <c r="C285" s="56">
        <v>3</v>
      </c>
      <c r="D285" s="55">
        <v>74</v>
      </c>
    </row>
    <row r="286" spans="1:4">
      <c r="A286" s="54">
        <v>102081</v>
      </c>
      <c r="B286" s="55">
        <v>106</v>
      </c>
      <c r="C286" s="56">
        <v>3</v>
      </c>
      <c r="D286" s="55">
        <v>74</v>
      </c>
    </row>
    <row r="287" spans="1:4">
      <c r="A287" s="54">
        <v>102082</v>
      </c>
      <c r="B287" s="55">
        <v>109</v>
      </c>
      <c r="C287" s="56">
        <v>3</v>
      </c>
      <c r="D287" s="55">
        <v>74</v>
      </c>
    </row>
    <row r="288" spans="1:4">
      <c r="A288" s="54">
        <v>102083</v>
      </c>
      <c r="B288" s="55">
        <v>112</v>
      </c>
      <c r="C288" s="56">
        <v>3</v>
      </c>
      <c r="D288" s="55">
        <v>74</v>
      </c>
    </row>
    <row r="289" spans="1:4">
      <c r="A289" s="54">
        <v>102084</v>
      </c>
      <c r="B289" s="55">
        <v>115</v>
      </c>
      <c r="C289" s="56">
        <v>3</v>
      </c>
      <c r="D289" s="55">
        <v>74</v>
      </c>
    </row>
    <row r="290" spans="1:4">
      <c r="A290" s="54">
        <v>102085</v>
      </c>
      <c r="B290" s="55">
        <v>118</v>
      </c>
      <c r="C290" s="56">
        <v>3</v>
      </c>
      <c r="D290" s="55">
        <v>74</v>
      </c>
    </row>
    <row r="291" spans="1:4">
      <c r="A291" s="54">
        <v>102086</v>
      </c>
      <c r="B291" s="55">
        <v>121</v>
      </c>
      <c r="C291" s="56">
        <v>3</v>
      </c>
      <c r="D291" s="55">
        <v>74</v>
      </c>
    </row>
    <row r="292" spans="1:4">
      <c r="A292" s="54">
        <v>102087</v>
      </c>
      <c r="B292" s="55">
        <v>124</v>
      </c>
      <c r="C292" s="56">
        <v>3</v>
      </c>
      <c r="D292" s="55">
        <v>74</v>
      </c>
    </row>
    <row r="293" spans="1:4">
      <c r="A293" s="54">
        <v>102088</v>
      </c>
      <c r="B293" s="55">
        <v>127</v>
      </c>
      <c r="C293" s="56">
        <v>3</v>
      </c>
      <c r="D293" s="55">
        <v>74</v>
      </c>
    </row>
    <row r="294" spans="1:4">
      <c r="A294" s="54">
        <v>102089</v>
      </c>
      <c r="B294" s="55">
        <v>130</v>
      </c>
      <c r="C294" s="56">
        <v>3</v>
      </c>
      <c r="D294" s="55">
        <v>74</v>
      </c>
    </row>
    <row r="295" spans="1:4">
      <c r="A295" s="54">
        <v>102090</v>
      </c>
      <c r="B295" s="55">
        <v>133</v>
      </c>
      <c r="C295" s="56">
        <v>3</v>
      </c>
      <c r="D295" s="55">
        <v>74</v>
      </c>
    </row>
    <row r="296" spans="1:4">
      <c r="A296" s="54">
        <v>102091</v>
      </c>
      <c r="B296" s="55">
        <v>136</v>
      </c>
      <c r="C296" s="56">
        <v>3</v>
      </c>
      <c r="D296" s="55">
        <v>74</v>
      </c>
    </row>
    <row r="297" spans="1:4">
      <c r="A297" s="54">
        <v>102092</v>
      </c>
      <c r="B297" s="55">
        <v>138</v>
      </c>
      <c r="C297" s="56">
        <v>3</v>
      </c>
      <c r="D297" s="55">
        <v>74</v>
      </c>
    </row>
    <row r="298" spans="1:4">
      <c r="A298" s="54">
        <v>102093</v>
      </c>
      <c r="B298" s="55">
        <v>140</v>
      </c>
      <c r="C298" s="56">
        <v>3</v>
      </c>
      <c r="D298" s="55">
        <v>74</v>
      </c>
    </row>
    <row r="299" spans="1:4">
      <c r="A299" s="54">
        <v>102094</v>
      </c>
      <c r="B299" s="55">
        <v>142</v>
      </c>
      <c r="C299" s="56">
        <v>3</v>
      </c>
      <c r="D299" s="55">
        <v>74</v>
      </c>
    </row>
    <row r="300" spans="1:4">
      <c r="A300" s="54">
        <v>102095</v>
      </c>
      <c r="B300" s="55">
        <v>144</v>
      </c>
      <c r="C300" s="56">
        <v>3</v>
      </c>
      <c r="D300" s="55">
        <v>74</v>
      </c>
    </row>
    <row r="301" spans="1:4">
      <c r="A301" s="54">
        <v>102096</v>
      </c>
      <c r="B301" s="55">
        <v>146</v>
      </c>
      <c r="C301" s="56">
        <v>3</v>
      </c>
      <c r="D301" s="55">
        <v>74</v>
      </c>
    </row>
    <row r="302" spans="1:4">
      <c r="A302" s="54">
        <v>102097</v>
      </c>
      <c r="B302" s="55">
        <v>148</v>
      </c>
      <c r="C302" s="56">
        <v>3</v>
      </c>
      <c r="D302" s="55">
        <v>74</v>
      </c>
    </row>
    <row r="303" spans="1:4">
      <c r="A303" s="54">
        <v>102098</v>
      </c>
      <c r="B303" s="55">
        <v>150</v>
      </c>
      <c r="C303" s="56">
        <v>3</v>
      </c>
      <c r="D303" s="55">
        <v>74</v>
      </c>
    </row>
    <row r="304" spans="1:4">
      <c r="A304" s="54">
        <v>103001</v>
      </c>
      <c r="B304" s="55">
        <v>2</v>
      </c>
      <c r="C304" s="55">
        <v>4</v>
      </c>
      <c r="D304" s="55">
        <v>138</v>
      </c>
    </row>
    <row r="305" spans="1:4">
      <c r="A305" s="54">
        <v>103002</v>
      </c>
      <c r="B305" s="55">
        <v>4</v>
      </c>
      <c r="C305" s="55">
        <v>4</v>
      </c>
      <c r="D305" s="55">
        <v>138</v>
      </c>
    </row>
    <row r="306" spans="1:4">
      <c r="A306" s="54">
        <v>103003</v>
      </c>
      <c r="B306" s="55">
        <v>7</v>
      </c>
      <c r="C306" s="55">
        <v>4</v>
      </c>
      <c r="D306" s="55">
        <v>0</v>
      </c>
    </row>
    <row r="307" spans="1:4">
      <c r="A307" s="54">
        <v>103004</v>
      </c>
      <c r="B307" s="55">
        <v>10</v>
      </c>
      <c r="C307" s="55">
        <v>4</v>
      </c>
      <c r="D307" s="55">
        <v>138</v>
      </c>
    </row>
    <row r="308" spans="1:4">
      <c r="A308" s="54">
        <v>103005</v>
      </c>
      <c r="B308" s="55">
        <v>13</v>
      </c>
      <c r="C308" s="55">
        <v>4</v>
      </c>
      <c r="D308" s="55">
        <v>0</v>
      </c>
    </row>
    <row r="309" spans="1:4">
      <c r="A309" s="54">
        <v>103006</v>
      </c>
      <c r="B309" s="55">
        <v>16</v>
      </c>
      <c r="C309" s="55">
        <v>4</v>
      </c>
      <c r="D309" s="55">
        <v>138</v>
      </c>
    </row>
    <row r="310" spans="1:4">
      <c r="A310" s="54">
        <v>103007</v>
      </c>
      <c r="B310" s="55">
        <v>19</v>
      </c>
      <c r="C310" s="55">
        <v>4</v>
      </c>
      <c r="D310" s="55">
        <v>138</v>
      </c>
    </row>
    <row r="311" spans="1:4">
      <c r="A311" s="54">
        <v>103008</v>
      </c>
      <c r="B311" s="55">
        <v>22</v>
      </c>
      <c r="C311" s="55">
        <v>4</v>
      </c>
      <c r="D311" s="55">
        <v>138</v>
      </c>
    </row>
    <row r="312" spans="1:4">
      <c r="A312" s="54">
        <v>103009</v>
      </c>
      <c r="B312" s="55">
        <v>25</v>
      </c>
      <c r="C312" s="55">
        <v>4</v>
      </c>
      <c r="D312" s="55">
        <v>138</v>
      </c>
    </row>
    <row r="313" spans="1:4">
      <c r="A313" s="54">
        <v>103010</v>
      </c>
      <c r="B313" s="55">
        <v>28</v>
      </c>
      <c r="C313" s="55">
        <v>4</v>
      </c>
      <c r="D313" s="55">
        <v>138</v>
      </c>
    </row>
    <row r="314" spans="1:4">
      <c r="A314" s="54">
        <v>103011</v>
      </c>
      <c r="B314" s="55">
        <v>31</v>
      </c>
      <c r="C314" s="55">
        <v>4</v>
      </c>
      <c r="D314" s="55">
        <v>138</v>
      </c>
    </row>
    <row r="315" spans="1:4">
      <c r="A315" s="54">
        <v>103012</v>
      </c>
      <c r="B315" s="55">
        <v>34</v>
      </c>
      <c r="C315" s="55">
        <v>4</v>
      </c>
      <c r="D315" s="55">
        <v>138</v>
      </c>
    </row>
    <row r="316" spans="1:4">
      <c r="A316" s="54">
        <v>103013</v>
      </c>
      <c r="B316" s="55">
        <v>37</v>
      </c>
      <c r="C316" s="55">
        <v>4</v>
      </c>
      <c r="D316" s="55">
        <v>138</v>
      </c>
    </row>
    <row r="317" spans="1:4">
      <c r="A317" s="54">
        <v>103014</v>
      </c>
      <c r="B317" s="55">
        <v>40</v>
      </c>
      <c r="C317" s="55">
        <v>4</v>
      </c>
      <c r="D317" s="55">
        <v>138</v>
      </c>
    </row>
    <row r="318" spans="1:4">
      <c r="A318" s="54">
        <v>103015</v>
      </c>
      <c r="B318" s="55">
        <v>43</v>
      </c>
      <c r="C318" s="55">
        <v>4</v>
      </c>
      <c r="D318" s="55">
        <v>138</v>
      </c>
    </row>
    <row r="319" spans="1:4">
      <c r="A319" s="54">
        <v>103016</v>
      </c>
      <c r="B319" s="55">
        <v>46</v>
      </c>
      <c r="C319" s="55">
        <v>4</v>
      </c>
      <c r="D319" s="55">
        <v>138</v>
      </c>
    </row>
    <row r="320" spans="1:4">
      <c r="A320" s="54">
        <v>103017</v>
      </c>
      <c r="B320" s="55">
        <v>49</v>
      </c>
      <c r="C320" s="55">
        <v>4</v>
      </c>
      <c r="D320" s="55">
        <v>138</v>
      </c>
    </row>
    <row r="321" spans="1:4">
      <c r="A321" s="54">
        <v>103018</v>
      </c>
      <c r="B321" s="55">
        <v>52</v>
      </c>
      <c r="C321" s="55">
        <v>4</v>
      </c>
      <c r="D321" s="55">
        <v>138</v>
      </c>
    </row>
    <row r="322" spans="1:4">
      <c r="A322" s="54">
        <v>103019</v>
      </c>
      <c r="B322" s="55">
        <v>55</v>
      </c>
      <c r="C322" s="55">
        <v>4</v>
      </c>
      <c r="D322" s="55">
        <v>138</v>
      </c>
    </row>
    <row r="323" spans="1:4">
      <c r="A323" s="54">
        <v>103020</v>
      </c>
      <c r="B323" s="55">
        <v>58</v>
      </c>
      <c r="C323" s="55">
        <v>4</v>
      </c>
      <c r="D323" s="55">
        <v>138</v>
      </c>
    </row>
    <row r="324" spans="1:4">
      <c r="A324" s="54">
        <v>103021</v>
      </c>
      <c r="B324" s="55">
        <v>61</v>
      </c>
      <c r="C324" s="55">
        <v>4</v>
      </c>
      <c r="D324" s="55">
        <v>138</v>
      </c>
    </row>
    <row r="325" spans="1:4">
      <c r="A325" s="54">
        <v>103022</v>
      </c>
      <c r="B325" s="55">
        <v>64</v>
      </c>
      <c r="C325" s="55">
        <v>4</v>
      </c>
      <c r="D325" s="55">
        <v>138</v>
      </c>
    </row>
    <row r="326" spans="1:4">
      <c r="A326" s="54">
        <v>103023</v>
      </c>
      <c r="B326" s="55">
        <v>67</v>
      </c>
      <c r="C326" s="55">
        <v>4</v>
      </c>
      <c r="D326" s="55">
        <v>138</v>
      </c>
    </row>
    <row r="327" spans="1:4">
      <c r="A327" s="54">
        <v>103024</v>
      </c>
      <c r="B327" s="55">
        <v>70</v>
      </c>
      <c r="C327" s="55">
        <v>4</v>
      </c>
      <c r="D327" s="55">
        <v>138</v>
      </c>
    </row>
    <row r="328" spans="1:4">
      <c r="A328" s="54">
        <v>103025</v>
      </c>
      <c r="B328" s="55">
        <v>73</v>
      </c>
      <c r="C328" s="55">
        <v>4</v>
      </c>
      <c r="D328" s="55">
        <v>138</v>
      </c>
    </row>
    <row r="329" spans="1:4">
      <c r="A329" s="54">
        <v>103026</v>
      </c>
      <c r="B329" s="55">
        <v>76</v>
      </c>
      <c r="C329" s="55">
        <v>4</v>
      </c>
      <c r="D329" s="55">
        <v>0</v>
      </c>
    </row>
    <row r="330" spans="1:4">
      <c r="A330" s="54">
        <v>103027</v>
      </c>
      <c r="B330" s="55">
        <v>79</v>
      </c>
      <c r="C330" s="55">
        <v>4</v>
      </c>
      <c r="D330" s="55">
        <v>138</v>
      </c>
    </row>
    <row r="331" spans="1:4">
      <c r="A331" s="54">
        <v>103028</v>
      </c>
      <c r="B331" s="55">
        <v>82</v>
      </c>
      <c r="C331" s="55">
        <v>4</v>
      </c>
      <c r="D331" s="55">
        <v>138</v>
      </c>
    </row>
    <row r="332" spans="1:4">
      <c r="A332" s="54">
        <v>103029</v>
      </c>
      <c r="B332" s="55">
        <v>85</v>
      </c>
      <c r="C332" s="55">
        <v>4</v>
      </c>
      <c r="D332" s="55">
        <v>138</v>
      </c>
    </row>
    <row r="333" spans="1:4">
      <c r="A333" s="54">
        <v>103030</v>
      </c>
      <c r="B333" s="55">
        <v>88</v>
      </c>
      <c r="C333" s="55">
        <v>4</v>
      </c>
      <c r="D333" s="55">
        <v>138</v>
      </c>
    </row>
    <row r="334" spans="1:4">
      <c r="A334" s="54">
        <v>103031</v>
      </c>
      <c r="B334" s="55">
        <v>91</v>
      </c>
      <c r="C334" s="55">
        <v>4</v>
      </c>
      <c r="D334" s="55">
        <v>138</v>
      </c>
    </row>
    <row r="335" spans="1:4">
      <c r="A335" s="54">
        <v>103032</v>
      </c>
      <c r="B335" s="55">
        <v>94</v>
      </c>
      <c r="C335" s="55">
        <v>4</v>
      </c>
      <c r="D335" s="55">
        <v>138</v>
      </c>
    </row>
    <row r="336" spans="1:4">
      <c r="A336" s="54">
        <v>103033</v>
      </c>
      <c r="B336" s="55">
        <v>97</v>
      </c>
      <c r="C336" s="55">
        <v>4</v>
      </c>
      <c r="D336" s="55">
        <v>138</v>
      </c>
    </row>
    <row r="337" spans="1:4">
      <c r="A337" s="54">
        <v>103034</v>
      </c>
      <c r="B337" s="55">
        <v>100</v>
      </c>
      <c r="C337" s="55">
        <v>4</v>
      </c>
      <c r="D337" s="55">
        <v>138</v>
      </c>
    </row>
    <row r="338" spans="1:4">
      <c r="A338" s="54">
        <v>103035</v>
      </c>
      <c r="B338" s="55">
        <v>103</v>
      </c>
      <c r="C338" s="55">
        <v>4</v>
      </c>
      <c r="D338" s="55">
        <v>138</v>
      </c>
    </row>
    <row r="339" spans="1:4">
      <c r="A339" s="54">
        <v>103036</v>
      </c>
      <c r="B339" s="55">
        <v>106</v>
      </c>
      <c r="C339" s="55">
        <v>4</v>
      </c>
      <c r="D339" s="55">
        <v>138</v>
      </c>
    </row>
    <row r="340" spans="1:4">
      <c r="A340" s="54">
        <v>103037</v>
      </c>
      <c r="B340" s="55">
        <v>109</v>
      </c>
      <c r="C340" s="55">
        <v>4</v>
      </c>
      <c r="D340" s="55">
        <v>138</v>
      </c>
    </row>
    <row r="341" spans="1:4">
      <c r="A341" s="54">
        <v>103038</v>
      </c>
      <c r="B341" s="55">
        <v>112</v>
      </c>
      <c r="C341" s="55">
        <v>4</v>
      </c>
      <c r="D341" s="55">
        <v>138</v>
      </c>
    </row>
    <row r="342" spans="1:4">
      <c r="A342" s="54">
        <v>103039</v>
      </c>
      <c r="B342" s="55">
        <v>115</v>
      </c>
      <c r="C342" s="55">
        <v>4</v>
      </c>
      <c r="D342" s="55">
        <v>138</v>
      </c>
    </row>
    <row r="343" spans="1:4">
      <c r="A343" s="54">
        <v>103040</v>
      </c>
      <c r="B343" s="55">
        <v>118</v>
      </c>
      <c r="C343" s="55">
        <v>4</v>
      </c>
      <c r="D343" s="55">
        <v>138</v>
      </c>
    </row>
    <row r="344" spans="1:4">
      <c r="A344" s="54">
        <v>103041</v>
      </c>
      <c r="B344" s="55">
        <v>121</v>
      </c>
      <c r="C344" s="55">
        <v>4</v>
      </c>
      <c r="D344" s="55">
        <v>138</v>
      </c>
    </row>
    <row r="345" spans="1:4">
      <c r="A345" s="54">
        <v>103042</v>
      </c>
      <c r="B345" s="55">
        <v>124</v>
      </c>
      <c r="C345" s="55">
        <v>4</v>
      </c>
      <c r="D345" s="55">
        <v>138</v>
      </c>
    </row>
    <row r="346" spans="1:4">
      <c r="A346" s="54">
        <v>103043</v>
      </c>
      <c r="B346" s="55">
        <v>127</v>
      </c>
      <c r="C346" s="55">
        <v>4</v>
      </c>
      <c r="D346" s="55">
        <v>138</v>
      </c>
    </row>
    <row r="347" spans="1:4">
      <c r="A347" s="54">
        <v>103044</v>
      </c>
      <c r="B347" s="55">
        <v>130</v>
      </c>
      <c r="C347" s="55">
        <v>4</v>
      </c>
      <c r="D347" s="55">
        <v>138</v>
      </c>
    </row>
    <row r="348" spans="1:4">
      <c r="A348" s="54">
        <v>103045</v>
      </c>
      <c r="B348" s="55">
        <v>133</v>
      </c>
      <c r="C348" s="55">
        <v>4</v>
      </c>
      <c r="D348" s="55">
        <v>138</v>
      </c>
    </row>
    <row r="349" spans="1:4">
      <c r="A349" s="54">
        <v>103046</v>
      </c>
      <c r="B349" s="55">
        <v>136</v>
      </c>
      <c r="C349" s="55">
        <v>4</v>
      </c>
      <c r="D349" s="55">
        <v>138</v>
      </c>
    </row>
    <row r="350" spans="1:4">
      <c r="A350" s="54">
        <v>103047</v>
      </c>
      <c r="B350" s="55">
        <v>138</v>
      </c>
      <c r="C350" s="55">
        <v>4</v>
      </c>
      <c r="D350" s="55">
        <v>138</v>
      </c>
    </row>
    <row r="351" spans="1:4">
      <c r="A351" s="54">
        <v>103048</v>
      </c>
      <c r="B351" s="55">
        <v>140</v>
      </c>
      <c r="C351" s="55">
        <v>4</v>
      </c>
      <c r="D351" s="55">
        <v>138</v>
      </c>
    </row>
    <row r="352" spans="1:4">
      <c r="A352" s="54">
        <v>103049</v>
      </c>
      <c r="B352" s="55">
        <v>142</v>
      </c>
      <c r="C352" s="55">
        <v>4</v>
      </c>
      <c r="D352" s="55">
        <v>138</v>
      </c>
    </row>
    <row r="353" spans="1:4">
      <c r="A353" s="54">
        <v>103050</v>
      </c>
      <c r="B353" s="55">
        <v>144</v>
      </c>
      <c r="C353" s="55">
        <v>4</v>
      </c>
      <c r="D353" s="55">
        <v>138</v>
      </c>
    </row>
    <row r="354" spans="1:4">
      <c r="A354" s="54">
        <v>103051</v>
      </c>
      <c r="B354" s="55">
        <v>146</v>
      </c>
      <c r="C354" s="55">
        <v>4</v>
      </c>
      <c r="D354" s="55">
        <v>138</v>
      </c>
    </row>
    <row r="355" spans="1:4">
      <c r="A355" s="54">
        <v>103052</v>
      </c>
      <c r="B355" s="55">
        <v>148</v>
      </c>
      <c r="C355" s="55">
        <v>4</v>
      </c>
      <c r="D355" s="55">
        <v>138</v>
      </c>
    </row>
    <row r="356" spans="1:4">
      <c r="A356" s="54">
        <v>103053</v>
      </c>
      <c r="B356" s="55">
        <v>150</v>
      </c>
      <c r="C356" s="55">
        <v>4</v>
      </c>
      <c r="D356" s="55">
        <v>138</v>
      </c>
    </row>
    <row r="357" spans="1:4">
      <c r="A357" s="54">
        <v>103054</v>
      </c>
      <c r="B357" s="58">
        <v>3</v>
      </c>
      <c r="C357" s="55">
        <v>4</v>
      </c>
      <c r="D357" s="55">
        <v>46</v>
      </c>
    </row>
    <row r="358" spans="1:4">
      <c r="A358" s="54">
        <v>103055</v>
      </c>
      <c r="B358" s="58">
        <v>5</v>
      </c>
      <c r="C358" s="55">
        <v>4</v>
      </c>
      <c r="D358" s="55">
        <v>46</v>
      </c>
    </row>
    <row r="359" spans="1:4">
      <c r="A359" s="54">
        <v>103056</v>
      </c>
      <c r="B359" s="58">
        <v>8</v>
      </c>
      <c r="C359" s="55">
        <v>4</v>
      </c>
      <c r="D359" s="55">
        <v>0</v>
      </c>
    </row>
    <row r="360" spans="1:4">
      <c r="A360" s="54">
        <v>103057</v>
      </c>
      <c r="B360" s="58">
        <v>11</v>
      </c>
      <c r="C360" s="55">
        <v>4</v>
      </c>
      <c r="D360" s="55">
        <v>46</v>
      </c>
    </row>
    <row r="361" spans="1:4">
      <c r="A361" s="54">
        <v>103058</v>
      </c>
      <c r="B361" s="58">
        <v>14</v>
      </c>
      <c r="C361" s="55">
        <v>4</v>
      </c>
      <c r="D361" s="55">
        <v>0</v>
      </c>
    </row>
    <row r="362" spans="1:4">
      <c r="A362" s="54">
        <v>103059</v>
      </c>
      <c r="B362" s="58">
        <v>17</v>
      </c>
      <c r="C362" s="55">
        <v>4</v>
      </c>
      <c r="D362" s="55">
        <v>46</v>
      </c>
    </row>
    <row r="363" spans="1:4">
      <c r="A363" s="54">
        <v>103060</v>
      </c>
      <c r="B363" s="58">
        <v>20</v>
      </c>
      <c r="C363" s="55">
        <v>4</v>
      </c>
      <c r="D363" s="55">
        <v>46</v>
      </c>
    </row>
    <row r="364" spans="1:4">
      <c r="A364" s="54">
        <v>103061</v>
      </c>
      <c r="B364" s="58">
        <v>23</v>
      </c>
      <c r="C364" s="55">
        <v>4</v>
      </c>
      <c r="D364" s="55">
        <v>46</v>
      </c>
    </row>
    <row r="365" spans="1:4">
      <c r="A365" s="54">
        <v>103062</v>
      </c>
      <c r="B365" s="58">
        <v>26</v>
      </c>
      <c r="C365" s="55">
        <v>4</v>
      </c>
      <c r="D365" s="55">
        <v>46</v>
      </c>
    </row>
    <row r="366" spans="1:4">
      <c r="A366" s="54">
        <v>103063</v>
      </c>
      <c r="B366" s="58">
        <v>29</v>
      </c>
      <c r="C366" s="55">
        <v>4</v>
      </c>
      <c r="D366" s="55">
        <v>46</v>
      </c>
    </row>
    <row r="367" spans="1:4">
      <c r="A367" s="54">
        <v>103064</v>
      </c>
      <c r="B367" s="58">
        <v>32</v>
      </c>
      <c r="C367" s="55">
        <v>4</v>
      </c>
      <c r="D367" s="55">
        <v>46</v>
      </c>
    </row>
    <row r="368" spans="1:4">
      <c r="A368" s="54">
        <v>103065</v>
      </c>
      <c r="B368" s="58">
        <v>35</v>
      </c>
      <c r="C368" s="55">
        <v>4</v>
      </c>
      <c r="D368" s="55">
        <v>46</v>
      </c>
    </row>
    <row r="369" spans="1:4">
      <c r="A369" s="54">
        <v>103066</v>
      </c>
      <c r="B369" s="58">
        <v>38</v>
      </c>
      <c r="C369" s="55">
        <v>4</v>
      </c>
      <c r="D369" s="55">
        <v>46</v>
      </c>
    </row>
    <row r="370" spans="1:4">
      <c r="A370" s="54">
        <v>103067</v>
      </c>
      <c r="B370" s="58">
        <v>41</v>
      </c>
      <c r="C370" s="55">
        <v>4</v>
      </c>
      <c r="D370" s="55">
        <v>46</v>
      </c>
    </row>
    <row r="371" spans="1:4">
      <c r="A371" s="54">
        <v>103068</v>
      </c>
      <c r="B371" s="58">
        <v>44</v>
      </c>
      <c r="C371" s="55">
        <v>4</v>
      </c>
      <c r="D371" s="55">
        <v>46</v>
      </c>
    </row>
    <row r="372" spans="1:4">
      <c r="A372" s="54">
        <v>103069</v>
      </c>
      <c r="B372" s="58">
        <v>47</v>
      </c>
      <c r="C372" s="55">
        <v>4</v>
      </c>
      <c r="D372" s="55">
        <v>46</v>
      </c>
    </row>
    <row r="373" spans="1:4">
      <c r="A373" s="54">
        <v>103070</v>
      </c>
      <c r="B373" s="58">
        <v>50</v>
      </c>
      <c r="C373" s="55">
        <v>4</v>
      </c>
      <c r="D373" s="55">
        <v>46</v>
      </c>
    </row>
    <row r="374" spans="1:4">
      <c r="A374" s="54">
        <v>103071</v>
      </c>
      <c r="B374" s="58">
        <v>53</v>
      </c>
      <c r="C374" s="55">
        <v>4</v>
      </c>
      <c r="D374" s="55">
        <v>46</v>
      </c>
    </row>
    <row r="375" spans="1:4">
      <c r="A375" s="54">
        <v>103072</v>
      </c>
      <c r="B375" s="58">
        <v>56</v>
      </c>
      <c r="C375" s="55">
        <v>4</v>
      </c>
      <c r="D375" s="55">
        <v>46</v>
      </c>
    </row>
    <row r="376" spans="1:4">
      <c r="A376" s="54">
        <v>103073</v>
      </c>
      <c r="B376" s="58">
        <v>59</v>
      </c>
      <c r="C376" s="55">
        <v>4</v>
      </c>
      <c r="D376" s="55">
        <v>46</v>
      </c>
    </row>
    <row r="377" spans="1:4">
      <c r="A377" s="54">
        <v>103074</v>
      </c>
      <c r="B377" s="58">
        <v>62</v>
      </c>
      <c r="C377" s="55">
        <v>4</v>
      </c>
      <c r="D377" s="55">
        <v>46</v>
      </c>
    </row>
    <row r="378" spans="1:4">
      <c r="A378" s="54">
        <v>103075</v>
      </c>
      <c r="B378" s="58">
        <v>65</v>
      </c>
      <c r="C378" s="55">
        <v>4</v>
      </c>
      <c r="D378" s="55">
        <v>46</v>
      </c>
    </row>
    <row r="379" spans="1:4">
      <c r="A379" s="54">
        <v>103076</v>
      </c>
      <c r="B379" s="58">
        <v>68</v>
      </c>
      <c r="C379" s="55">
        <v>4</v>
      </c>
      <c r="D379" s="55">
        <v>46</v>
      </c>
    </row>
    <row r="380" spans="1:4">
      <c r="A380" s="54">
        <v>103077</v>
      </c>
      <c r="B380" s="58">
        <v>71</v>
      </c>
      <c r="C380" s="55">
        <v>4</v>
      </c>
      <c r="D380" s="55">
        <v>46</v>
      </c>
    </row>
    <row r="381" spans="1:4">
      <c r="A381" s="54">
        <v>103078</v>
      </c>
      <c r="B381" s="58">
        <v>74</v>
      </c>
      <c r="C381" s="55">
        <v>4</v>
      </c>
      <c r="D381" s="55">
        <v>46</v>
      </c>
    </row>
    <row r="382" spans="1:4">
      <c r="A382" s="54">
        <v>103079</v>
      </c>
      <c r="B382" s="58">
        <v>77</v>
      </c>
      <c r="C382" s="55">
        <v>4</v>
      </c>
      <c r="D382" s="55">
        <v>0</v>
      </c>
    </row>
    <row r="383" spans="1:4">
      <c r="A383" s="54">
        <v>103080</v>
      </c>
      <c r="B383" s="58">
        <v>80</v>
      </c>
      <c r="C383" s="55">
        <v>4</v>
      </c>
      <c r="D383" s="55">
        <v>46</v>
      </c>
    </row>
    <row r="384" spans="1:4">
      <c r="A384" s="54">
        <v>103081</v>
      </c>
      <c r="B384" s="58">
        <v>83</v>
      </c>
      <c r="C384" s="55">
        <v>4</v>
      </c>
      <c r="D384" s="55">
        <v>46</v>
      </c>
    </row>
    <row r="385" spans="1:4">
      <c r="A385" s="54">
        <v>103082</v>
      </c>
      <c r="B385" s="58">
        <v>86</v>
      </c>
      <c r="C385" s="55">
        <v>4</v>
      </c>
      <c r="D385" s="55">
        <v>46</v>
      </c>
    </row>
    <row r="386" spans="1:4">
      <c r="A386" s="54">
        <v>103083</v>
      </c>
      <c r="B386" s="58">
        <v>89</v>
      </c>
      <c r="C386" s="55">
        <v>4</v>
      </c>
      <c r="D386" s="55">
        <v>46</v>
      </c>
    </row>
    <row r="387" spans="1:4">
      <c r="A387" s="54">
        <v>103084</v>
      </c>
      <c r="B387" s="58">
        <v>92</v>
      </c>
      <c r="C387" s="55">
        <v>4</v>
      </c>
      <c r="D387" s="55">
        <v>46</v>
      </c>
    </row>
    <row r="388" spans="1:4">
      <c r="A388" s="54">
        <v>103085</v>
      </c>
      <c r="B388" s="58">
        <v>95</v>
      </c>
      <c r="C388" s="55">
        <v>4</v>
      </c>
      <c r="D388" s="55">
        <v>46</v>
      </c>
    </row>
    <row r="389" spans="1:4">
      <c r="A389" s="54">
        <v>103086</v>
      </c>
      <c r="B389" s="58">
        <v>98</v>
      </c>
      <c r="C389" s="55">
        <v>4</v>
      </c>
      <c r="D389" s="55">
        <v>46</v>
      </c>
    </row>
    <row r="390" spans="1:4">
      <c r="A390" s="54">
        <v>103087</v>
      </c>
      <c r="B390" s="58">
        <v>101</v>
      </c>
      <c r="C390" s="55">
        <v>4</v>
      </c>
      <c r="D390" s="55">
        <v>46</v>
      </c>
    </row>
    <row r="391" spans="1:4">
      <c r="A391" s="54">
        <v>103088</v>
      </c>
      <c r="B391" s="58">
        <v>104</v>
      </c>
      <c r="C391" s="55">
        <v>4</v>
      </c>
      <c r="D391" s="55">
        <v>46</v>
      </c>
    </row>
    <row r="392" spans="1:4">
      <c r="A392" s="54">
        <v>103089</v>
      </c>
      <c r="B392" s="58">
        <v>107</v>
      </c>
      <c r="C392" s="55">
        <v>4</v>
      </c>
      <c r="D392" s="55">
        <v>46</v>
      </c>
    </row>
    <row r="393" spans="1:4">
      <c r="A393" s="54">
        <v>103090</v>
      </c>
      <c r="B393" s="58">
        <v>110</v>
      </c>
      <c r="C393" s="55">
        <v>4</v>
      </c>
      <c r="D393" s="55">
        <v>46</v>
      </c>
    </row>
    <row r="394" spans="1:4">
      <c r="A394" s="54">
        <v>103091</v>
      </c>
      <c r="B394" s="58">
        <v>113</v>
      </c>
      <c r="C394" s="55">
        <v>4</v>
      </c>
      <c r="D394" s="55">
        <v>46</v>
      </c>
    </row>
    <row r="395" spans="1:4">
      <c r="A395" s="54">
        <v>103092</v>
      </c>
      <c r="B395" s="58">
        <v>116</v>
      </c>
      <c r="C395" s="55">
        <v>4</v>
      </c>
      <c r="D395" s="55">
        <v>46</v>
      </c>
    </row>
    <row r="396" spans="1:4">
      <c r="A396" s="54">
        <v>103093</v>
      </c>
      <c r="B396" s="58">
        <v>119</v>
      </c>
      <c r="C396" s="55">
        <v>4</v>
      </c>
      <c r="D396" s="55">
        <v>46</v>
      </c>
    </row>
    <row r="397" spans="1:4">
      <c r="A397" s="54">
        <v>103094</v>
      </c>
      <c r="B397" s="58">
        <v>122</v>
      </c>
      <c r="C397" s="55">
        <v>4</v>
      </c>
      <c r="D397" s="55">
        <v>46</v>
      </c>
    </row>
    <row r="398" spans="1:4">
      <c r="A398" s="54">
        <v>103095</v>
      </c>
      <c r="B398" s="58">
        <v>125</v>
      </c>
      <c r="C398" s="55">
        <v>4</v>
      </c>
      <c r="D398" s="55">
        <v>46</v>
      </c>
    </row>
    <row r="399" spans="1:4">
      <c r="A399" s="54">
        <v>103096</v>
      </c>
      <c r="B399" s="58">
        <v>128</v>
      </c>
      <c r="C399" s="55">
        <v>4</v>
      </c>
      <c r="D399" s="55">
        <v>46</v>
      </c>
    </row>
    <row r="400" spans="1:4">
      <c r="A400" s="54">
        <v>103097</v>
      </c>
      <c r="B400" s="58">
        <v>131</v>
      </c>
      <c r="C400" s="55">
        <v>4</v>
      </c>
      <c r="D400" s="55">
        <v>46</v>
      </c>
    </row>
    <row r="401" spans="1:4">
      <c r="A401" s="54">
        <v>103098</v>
      </c>
      <c r="B401" s="58">
        <v>134</v>
      </c>
      <c r="C401" s="55">
        <v>4</v>
      </c>
      <c r="D401" s="55">
        <v>46</v>
      </c>
    </row>
    <row r="402" spans="1:4">
      <c r="A402" s="54">
        <v>103099</v>
      </c>
      <c r="B402" s="58">
        <v>137</v>
      </c>
      <c r="C402" s="55">
        <v>4</v>
      </c>
      <c r="D402" s="55">
        <v>46</v>
      </c>
    </row>
    <row r="403" spans="1:4">
      <c r="A403" s="54">
        <v>103100</v>
      </c>
      <c r="B403" s="58">
        <v>139</v>
      </c>
      <c r="C403" s="55">
        <v>4</v>
      </c>
      <c r="D403" s="55">
        <v>46</v>
      </c>
    </row>
    <row r="404" spans="1:4">
      <c r="A404" s="54">
        <v>103101</v>
      </c>
      <c r="B404" s="58">
        <v>141</v>
      </c>
      <c r="C404" s="55">
        <v>4</v>
      </c>
      <c r="D404" s="55">
        <v>46</v>
      </c>
    </row>
    <row r="405" spans="1:4">
      <c r="A405" s="54">
        <v>103102</v>
      </c>
      <c r="B405" s="58">
        <v>143</v>
      </c>
      <c r="C405" s="55">
        <v>4</v>
      </c>
      <c r="D405" s="55">
        <v>46</v>
      </c>
    </row>
    <row r="406" spans="1:4">
      <c r="A406" s="54">
        <v>103103</v>
      </c>
      <c r="B406" s="58">
        <v>145</v>
      </c>
      <c r="C406" s="55">
        <v>4</v>
      </c>
      <c r="D406" s="55">
        <v>46</v>
      </c>
    </row>
    <row r="407" spans="1:4">
      <c r="A407" s="54">
        <v>103104</v>
      </c>
      <c r="B407" s="58">
        <v>147</v>
      </c>
      <c r="C407" s="55">
        <v>4</v>
      </c>
      <c r="D407" s="55">
        <v>46</v>
      </c>
    </row>
    <row r="408" spans="1:4">
      <c r="A408" s="54">
        <v>103105</v>
      </c>
      <c r="B408" s="58">
        <v>149</v>
      </c>
      <c r="C408" s="55">
        <v>4</v>
      </c>
      <c r="D408" s="55">
        <v>46</v>
      </c>
    </row>
    <row r="409" spans="1:4">
      <c r="A409" s="54">
        <v>103106</v>
      </c>
      <c r="B409" s="58">
        <v>151</v>
      </c>
      <c r="C409" s="55">
        <v>4</v>
      </c>
      <c r="D409" s="55">
        <v>46</v>
      </c>
    </row>
    <row r="410" spans="1:4">
      <c r="A410" s="54">
        <v>104001</v>
      </c>
      <c r="B410" s="55">
        <v>1</v>
      </c>
      <c r="C410" s="56">
        <v>5</v>
      </c>
      <c r="D410" s="57">
        <v>111</v>
      </c>
    </row>
    <row r="411" spans="1:4">
      <c r="A411" s="54">
        <v>104002</v>
      </c>
      <c r="B411" s="55">
        <v>6</v>
      </c>
      <c r="C411" s="56">
        <v>5</v>
      </c>
      <c r="D411" s="57">
        <v>0</v>
      </c>
    </row>
    <row r="412" spans="1:4">
      <c r="A412" s="54">
        <v>104003</v>
      </c>
      <c r="B412" s="55">
        <v>9</v>
      </c>
      <c r="C412" s="56">
        <v>5</v>
      </c>
      <c r="D412" s="57">
        <v>111</v>
      </c>
    </row>
    <row r="413" spans="1:4">
      <c r="A413" s="54">
        <v>104004</v>
      </c>
      <c r="B413" s="55">
        <v>12</v>
      </c>
      <c r="C413" s="56">
        <v>5</v>
      </c>
      <c r="D413" s="57">
        <v>0</v>
      </c>
    </row>
    <row r="414" spans="1:4">
      <c r="A414" s="54">
        <v>104005</v>
      </c>
      <c r="B414" s="55">
        <v>15</v>
      </c>
      <c r="C414" s="56">
        <v>5</v>
      </c>
      <c r="D414" s="57">
        <v>111</v>
      </c>
    </row>
    <row r="415" spans="1:4">
      <c r="A415" s="54">
        <v>104006</v>
      </c>
      <c r="B415" s="55">
        <v>18</v>
      </c>
      <c r="C415" s="56">
        <v>5</v>
      </c>
      <c r="D415" s="57">
        <v>111</v>
      </c>
    </row>
    <row r="416" spans="1:4">
      <c r="A416" s="54">
        <v>104007</v>
      </c>
      <c r="B416" s="55">
        <v>21</v>
      </c>
      <c r="C416" s="56">
        <v>5</v>
      </c>
      <c r="D416" s="57">
        <v>111</v>
      </c>
    </row>
    <row r="417" spans="1:4">
      <c r="A417" s="54">
        <v>104008</v>
      </c>
      <c r="B417" s="55">
        <v>24</v>
      </c>
      <c r="C417" s="56">
        <v>5</v>
      </c>
      <c r="D417" s="57">
        <v>111</v>
      </c>
    </row>
    <row r="418" spans="1:4">
      <c r="A418" s="54">
        <v>104009</v>
      </c>
      <c r="B418" s="55">
        <v>27</v>
      </c>
      <c r="C418" s="56">
        <v>5</v>
      </c>
      <c r="D418" s="57">
        <v>111</v>
      </c>
    </row>
    <row r="419" spans="1:4">
      <c r="A419" s="54">
        <v>104010</v>
      </c>
      <c r="B419" s="55">
        <v>30</v>
      </c>
      <c r="C419" s="56">
        <v>5</v>
      </c>
      <c r="D419" s="57">
        <v>111</v>
      </c>
    </row>
    <row r="420" spans="1:4">
      <c r="A420" s="54">
        <v>104011</v>
      </c>
      <c r="B420" s="55">
        <v>33</v>
      </c>
      <c r="C420" s="56">
        <v>5</v>
      </c>
      <c r="D420" s="57">
        <v>111</v>
      </c>
    </row>
    <row r="421" spans="1:4">
      <c r="A421" s="54">
        <v>104012</v>
      </c>
      <c r="B421" s="55">
        <v>36</v>
      </c>
      <c r="C421" s="56">
        <v>5</v>
      </c>
      <c r="D421" s="57">
        <v>111</v>
      </c>
    </row>
    <row r="422" spans="1:4">
      <c r="A422" s="54">
        <v>104013</v>
      </c>
      <c r="B422" s="55">
        <v>39</v>
      </c>
      <c r="C422" s="56">
        <v>5</v>
      </c>
      <c r="D422" s="57">
        <v>111</v>
      </c>
    </row>
    <row r="423" spans="1:4">
      <c r="A423" s="54">
        <v>104014</v>
      </c>
      <c r="B423" s="55">
        <v>42</v>
      </c>
      <c r="C423" s="56">
        <v>5</v>
      </c>
      <c r="D423" s="57">
        <v>111</v>
      </c>
    </row>
    <row r="424" spans="1:4">
      <c r="A424" s="54">
        <v>104015</v>
      </c>
      <c r="B424" s="55">
        <v>45</v>
      </c>
      <c r="C424" s="56">
        <v>5</v>
      </c>
      <c r="D424" s="57">
        <v>111</v>
      </c>
    </row>
    <row r="425" spans="1:4">
      <c r="A425" s="54">
        <v>104016</v>
      </c>
      <c r="B425" s="55">
        <v>48</v>
      </c>
      <c r="C425" s="56">
        <v>5</v>
      </c>
      <c r="D425" s="57">
        <v>111</v>
      </c>
    </row>
    <row r="426" spans="1:4">
      <c r="A426" s="54">
        <v>104017</v>
      </c>
      <c r="B426" s="55">
        <v>51</v>
      </c>
      <c r="C426" s="56">
        <v>5</v>
      </c>
      <c r="D426" s="57">
        <v>111</v>
      </c>
    </row>
    <row r="427" spans="1:4">
      <c r="A427" s="54">
        <v>104018</v>
      </c>
      <c r="B427" s="55">
        <v>54</v>
      </c>
      <c r="C427" s="56">
        <v>5</v>
      </c>
      <c r="D427" s="57">
        <v>111</v>
      </c>
    </row>
    <row r="428" spans="1:4">
      <c r="A428" s="54">
        <v>104019</v>
      </c>
      <c r="B428" s="55">
        <v>57</v>
      </c>
      <c r="C428" s="56">
        <v>5</v>
      </c>
      <c r="D428" s="57">
        <v>111</v>
      </c>
    </row>
    <row r="429" spans="1:4">
      <c r="A429" s="54">
        <v>104020</v>
      </c>
      <c r="B429" s="55">
        <v>60</v>
      </c>
      <c r="C429" s="56">
        <v>5</v>
      </c>
      <c r="D429" s="57">
        <v>111</v>
      </c>
    </row>
    <row r="430" spans="1:4">
      <c r="A430" s="54">
        <v>104021</v>
      </c>
      <c r="B430" s="55">
        <v>63</v>
      </c>
      <c r="C430" s="56">
        <v>5</v>
      </c>
      <c r="D430" s="57">
        <v>111</v>
      </c>
    </row>
    <row r="431" spans="1:4">
      <c r="A431" s="54">
        <v>104022</v>
      </c>
      <c r="B431" s="55">
        <v>66</v>
      </c>
      <c r="C431" s="56">
        <v>5</v>
      </c>
      <c r="D431" s="57">
        <v>111</v>
      </c>
    </row>
    <row r="432" spans="1:4">
      <c r="A432" s="54">
        <v>104023</v>
      </c>
      <c r="B432" s="55">
        <v>69</v>
      </c>
      <c r="C432" s="56">
        <v>5</v>
      </c>
      <c r="D432" s="57">
        <v>111</v>
      </c>
    </row>
    <row r="433" spans="1:4">
      <c r="A433" s="54">
        <v>104024</v>
      </c>
      <c r="B433" s="55">
        <v>72</v>
      </c>
      <c r="C433" s="56">
        <v>5</v>
      </c>
      <c r="D433" s="57">
        <v>111</v>
      </c>
    </row>
    <row r="434" spans="1:4">
      <c r="A434" s="54">
        <v>104025</v>
      </c>
      <c r="B434" s="55">
        <v>75</v>
      </c>
      <c r="C434" s="56">
        <v>5</v>
      </c>
      <c r="D434" s="57">
        <v>0</v>
      </c>
    </row>
    <row r="435" spans="1:4">
      <c r="A435" s="54">
        <v>104026</v>
      </c>
      <c r="B435" s="55">
        <v>78</v>
      </c>
      <c r="C435" s="56">
        <v>5</v>
      </c>
      <c r="D435" s="57">
        <v>111</v>
      </c>
    </row>
    <row r="436" spans="1:4">
      <c r="A436" s="54">
        <v>104027</v>
      </c>
      <c r="B436" s="55">
        <v>81</v>
      </c>
      <c r="C436" s="56">
        <v>5</v>
      </c>
      <c r="D436" s="57">
        <v>111</v>
      </c>
    </row>
    <row r="437" spans="1:4">
      <c r="A437" s="54">
        <v>104028</v>
      </c>
      <c r="B437" s="55">
        <v>84</v>
      </c>
      <c r="C437" s="56">
        <v>5</v>
      </c>
      <c r="D437" s="57">
        <v>111</v>
      </c>
    </row>
    <row r="438" spans="1:4">
      <c r="A438" s="54">
        <v>104029</v>
      </c>
      <c r="B438" s="55">
        <v>87</v>
      </c>
      <c r="C438" s="56">
        <v>5</v>
      </c>
      <c r="D438" s="57">
        <v>111</v>
      </c>
    </row>
    <row r="439" spans="1:4">
      <c r="A439" s="54">
        <v>104030</v>
      </c>
      <c r="B439" s="55">
        <v>90</v>
      </c>
      <c r="C439" s="56">
        <v>5</v>
      </c>
      <c r="D439" s="57">
        <v>111</v>
      </c>
    </row>
    <row r="440" spans="1:4">
      <c r="A440" s="54">
        <v>104031</v>
      </c>
      <c r="B440" s="55">
        <v>93</v>
      </c>
      <c r="C440" s="56">
        <v>5</v>
      </c>
      <c r="D440" s="57">
        <v>111</v>
      </c>
    </row>
    <row r="441" spans="1:4">
      <c r="A441" s="54">
        <v>104032</v>
      </c>
      <c r="B441" s="55">
        <v>96</v>
      </c>
      <c r="C441" s="56">
        <v>5</v>
      </c>
      <c r="D441" s="57">
        <v>111</v>
      </c>
    </row>
    <row r="442" spans="1:4">
      <c r="A442" s="54">
        <v>104033</v>
      </c>
      <c r="B442" s="55">
        <v>99</v>
      </c>
      <c r="C442" s="56">
        <v>5</v>
      </c>
      <c r="D442" s="57">
        <v>111</v>
      </c>
    </row>
    <row r="443" spans="1:4">
      <c r="A443" s="54">
        <v>104034</v>
      </c>
      <c r="B443" s="55">
        <v>102</v>
      </c>
      <c r="C443" s="56">
        <v>5</v>
      </c>
      <c r="D443" s="57">
        <v>111</v>
      </c>
    </row>
    <row r="444" spans="1:4">
      <c r="A444" s="54">
        <v>104035</v>
      </c>
      <c r="B444" s="55">
        <v>105</v>
      </c>
      <c r="C444" s="56">
        <v>5</v>
      </c>
      <c r="D444" s="57">
        <v>111</v>
      </c>
    </row>
    <row r="445" spans="1:4">
      <c r="A445" s="54">
        <v>104036</v>
      </c>
      <c r="B445" s="55">
        <v>108</v>
      </c>
      <c r="C445" s="56">
        <v>5</v>
      </c>
      <c r="D445" s="57">
        <v>111</v>
      </c>
    </row>
    <row r="446" spans="1:4">
      <c r="A446" s="54">
        <v>104037</v>
      </c>
      <c r="B446" s="55">
        <v>111</v>
      </c>
      <c r="C446" s="56">
        <v>5</v>
      </c>
      <c r="D446" s="57">
        <v>111</v>
      </c>
    </row>
    <row r="447" spans="1:4">
      <c r="A447" s="54">
        <v>104038</v>
      </c>
      <c r="B447" s="55">
        <v>114</v>
      </c>
      <c r="C447" s="56">
        <v>5</v>
      </c>
      <c r="D447" s="57">
        <v>111</v>
      </c>
    </row>
    <row r="448" spans="1:4">
      <c r="A448" s="54">
        <v>104039</v>
      </c>
      <c r="B448" s="55">
        <v>117</v>
      </c>
      <c r="C448" s="56">
        <v>5</v>
      </c>
      <c r="D448" s="57">
        <v>111</v>
      </c>
    </row>
    <row r="449" spans="1:4">
      <c r="A449" s="54">
        <v>104040</v>
      </c>
      <c r="B449" s="55">
        <v>120</v>
      </c>
      <c r="C449" s="56">
        <v>5</v>
      </c>
      <c r="D449" s="57">
        <v>111</v>
      </c>
    </row>
    <row r="450" spans="1:4">
      <c r="A450" s="54">
        <v>104041</v>
      </c>
      <c r="B450" s="55">
        <v>123</v>
      </c>
      <c r="C450" s="56">
        <v>5</v>
      </c>
      <c r="D450" s="57">
        <v>111</v>
      </c>
    </row>
    <row r="451" spans="1:4">
      <c r="A451" s="54">
        <v>104042</v>
      </c>
      <c r="B451" s="55">
        <v>126</v>
      </c>
      <c r="C451" s="56">
        <v>5</v>
      </c>
      <c r="D451" s="57">
        <v>111</v>
      </c>
    </row>
    <row r="452" spans="1:4">
      <c r="A452" s="54">
        <v>104043</v>
      </c>
      <c r="B452" s="55">
        <v>129</v>
      </c>
      <c r="C452" s="56">
        <v>5</v>
      </c>
      <c r="D452" s="57">
        <v>111</v>
      </c>
    </row>
    <row r="453" spans="1:4">
      <c r="A453" s="54">
        <v>104044</v>
      </c>
      <c r="B453" s="55">
        <v>132</v>
      </c>
      <c r="C453" s="56">
        <v>5</v>
      </c>
      <c r="D453" s="57">
        <v>111</v>
      </c>
    </row>
    <row r="454" spans="1:4">
      <c r="A454" s="54">
        <v>104045</v>
      </c>
      <c r="B454" s="55">
        <v>135</v>
      </c>
      <c r="C454" s="56">
        <v>5</v>
      </c>
      <c r="D454" s="57">
        <v>111</v>
      </c>
    </row>
    <row r="455" spans="1:4">
      <c r="A455" s="54">
        <v>104046</v>
      </c>
      <c r="B455" s="55">
        <v>2</v>
      </c>
      <c r="C455" s="56">
        <v>5</v>
      </c>
      <c r="D455" s="55">
        <v>93</v>
      </c>
    </row>
    <row r="456" spans="1:4">
      <c r="A456" s="54">
        <v>104047</v>
      </c>
      <c r="B456" s="55">
        <v>4</v>
      </c>
      <c r="C456" s="56">
        <v>5</v>
      </c>
      <c r="D456" s="55">
        <v>93</v>
      </c>
    </row>
    <row r="457" spans="1:4">
      <c r="A457" s="54">
        <v>104048</v>
      </c>
      <c r="B457" s="55">
        <v>7</v>
      </c>
      <c r="C457" s="56">
        <v>5</v>
      </c>
      <c r="D457" s="55">
        <v>0</v>
      </c>
    </row>
    <row r="458" spans="1:4">
      <c r="A458" s="54">
        <v>104049</v>
      </c>
      <c r="B458" s="55">
        <v>10</v>
      </c>
      <c r="C458" s="56">
        <v>5</v>
      </c>
      <c r="D458" s="55">
        <v>93</v>
      </c>
    </row>
    <row r="459" spans="1:4">
      <c r="A459" s="54">
        <v>104050</v>
      </c>
      <c r="B459" s="55">
        <v>13</v>
      </c>
      <c r="C459" s="56">
        <v>5</v>
      </c>
      <c r="D459" s="55">
        <v>0</v>
      </c>
    </row>
    <row r="460" spans="1:4">
      <c r="A460" s="54">
        <v>104051</v>
      </c>
      <c r="B460" s="55">
        <v>16</v>
      </c>
      <c r="C460" s="56">
        <v>5</v>
      </c>
      <c r="D460" s="55">
        <v>93</v>
      </c>
    </row>
    <row r="461" spans="1:4">
      <c r="A461" s="54">
        <v>104052</v>
      </c>
      <c r="B461" s="55">
        <v>19</v>
      </c>
      <c r="C461" s="56">
        <v>5</v>
      </c>
      <c r="D461" s="55">
        <v>93</v>
      </c>
    </row>
    <row r="462" spans="1:4">
      <c r="A462" s="54">
        <v>104053</v>
      </c>
      <c r="B462" s="55">
        <v>22</v>
      </c>
      <c r="C462" s="56">
        <v>5</v>
      </c>
      <c r="D462" s="55">
        <v>93</v>
      </c>
    </row>
    <row r="463" spans="1:4">
      <c r="A463" s="54">
        <v>104054</v>
      </c>
      <c r="B463" s="55">
        <v>25</v>
      </c>
      <c r="C463" s="56">
        <v>5</v>
      </c>
      <c r="D463" s="55">
        <v>93</v>
      </c>
    </row>
    <row r="464" spans="1:4">
      <c r="A464" s="54">
        <v>104055</v>
      </c>
      <c r="B464" s="55">
        <v>28</v>
      </c>
      <c r="C464" s="56">
        <v>5</v>
      </c>
      <c r="D464" s="55">
        <v>93</v>
      </c>
    </row>
    <row r="465" spans="1:4">
      <c r="A465" s="54">
        <v>104056</v>
      </c>
      <c r="B465" s="55">
        <v>31</v>
      </c>
      <c r="C465" s="56">
        <v>5</v>
      </c>
      <c r="D465" s="55">
        <v>93</v>
      </c>
    </row>
    <row r="466" spans="1:4">
      <c r="A466" s="54">
        <v>104057</v>
      </c>
      <c r="B466" s="55">
        <v>34</v>
      </c>
      <c r="C466" s="56">
        <v>5</v>
      </c>
      <c r="D466" s="55">
        <v>93</v>
      </c>
    </row>
    <row r="467" spans="1:4">
      <c r="A467" s="54">
        <v>104058</v>
      </c>
      <c r="B467" s="55">
        <v>37</v>
      </c>
      <c r="C467" s="56">
        <v>5</v>
      </c>
      <c r="D467" s="55">
        <v>93</v>
      </c>
    </row>
    <row r="468" spans="1:4">
      <c r="A468" s="54">
        <v>104059</v>
      </c>
      <c r="B468" s="55">
        <v>40</v>
      </c>
      <c r="C468" s="56">
        <v>5</v>
      </c>
      <c r="D468" s="55">
        <v>93</v>
      </c>
    </row>
    <row r="469" spans="1:4">
      <c r="A469" s="54">
        <v>104060</v>
      </c>
      <c r="B469" s="55">
        <v>43</v>
      </c>
      <c r="C469" s="56">
        <v>5</v>
      </c>
      <c r="D469" s="55">
        <v>93</v>
      </c>
    </row>
    <row r="470" spans="1:4">
      <c r="A470" s="54">
        <v>104061</v>
      </c>
      <c r="B470" s="55">
        <v>46</v>
      </c>
      <c r="C470" s="56">
        <v>5</v>
      </c>
      <c r="D470" s="55">
        <v>93</v>
      </c>
    </row>
    <row r="471" spans="1:4">
      <c r="A471" s="54">
        <v>104062</v>
      </c>
      <c r="B471" s="55">
        <v>49</v>
      </c>
      <c r="C471" s="56">
        <v>5</v>
      </c>
      <c r="D471" s="55">
        <v>93</v>
      </c>
    </row>
    <row r="472" spans="1:4">
      <c r="A472" s="54">
        <v>104063</v>
      </c>
      <c r="B472" s="55">
        <v>52</v>
      </c>
      <c r="C472" s="56">
        <v>5</v>
      </c>
      <c r="D472" s="55">
        <v>93</v>
      </c>
    </row>
    <row r="473" spans="1:4">
      <c r="A473" s="54">
        <v>104064</v>
      </c>
      <c r="B473" s="55">
        <v>55</v>
      </c>
      <c r="C473" s="56">
        <v>5</v>
      </c>
      <c r="D473" s="55">
        <v>93</v>
      </c>
    </row>
    <row r="474" spans="1:4">
      <c r="A474" s="54">
        <v>104065</v>
      </c>
      <c r="B474" s="55">
        <v>58</v>
      </c>
      <c r="C474" s="56">
        <v>5</v>
      </c>
      <c r="D474" s="55">
        <v>93</v>
      </c>
    </row>
    <row r="475" spans="1:4">
      <c r="A475" s="54">
        <v>104066</v>
      </c>
      <c r="B475" s="55">
        <v>61</v>
      </c>
      <c r="C475" s="56">
        <v>5</v>
      </c>
      <c r="D475" s="55">
        <v>93</v>
      </c>
    </row>
    <row r="476" spans="1:4">
      <c r="A476" s="54">
        <v>104067</v>
      </c>
      <c r="B476" s="55">
        <v>64</v>
      </c>
      <c r="C476" s="56">
        <v>5</v>
      </c>
      <c r="D476" s="55">
        <v>93</v>
      </c>
    </row>
    <row r="477" spans="1:4">
      <c r="A477" s="54">
        <v>104068</v>
      </c>
      <c r="B477" s="55">
        <v>67</v>
      </c>
      <c r="C477" s="56">
        <v>5</v>
      </c>
      <c r="D477" s="55">
        <v>93</v>
      </c>
    </row>
    <row r="478" spans="1:4">
      <c r="A478" s="54">
        <v>104069</v>
      </c>
      <c r="B478" s="55">
        <v>70</v>
      </c>
      <c r="C478" s="56">
        <v>5</v>
      </c>
      <c r="D478" s="55">
        <v>93</v>
      </c>
    </row>
    <row r="479" spans="1:4">
      <c r="A479" s="54">
        <v>104070</v>
      </c>
      <c r="B479" s="55">
        <v>73</v>
      </c>
      <c r="C479" s="56">
        <v>5</v>
      </c>
      <c r="D479" s="55">
        <v>93</v>
      </c>
    </row>
    <row r="480" spans="1:4">
      <c r="A480" s="54">
        <v>104071</v>
      </c>
      <c r="B480" s="55">
        <v>76</v>
      </c>
      <c r="C480" s="56">
        <v>5</v>
      </c>
      <c r="D480" s="55">
        <v>0</v>
      </c>
    </row>
    <row r="481" spans="1:4">
      <c r="A481" s="54">
        <v>104072</v>
      </c>
      <c r="B481" s="55">
        <v>79</v>
      </c>
      <c r="C481" s="56">
        <v>5</v>
      </c>
      <c r="D481" s="55">
        <v>93</v>
      </c>
    </row>
    <row r="482" spans="1:4">
      <c r="A482" s="54">
        <v>104073</v>
      </c>
      <c r="B482" s="55">
        <v>82</v>
      </c>
      <c r="C482" s="56">
        <v>5</v>
      </c>
      <c r="D482" s="55">
        <v>93</v>
      </c>
    </row>
    <row r="483" spans="1:4">
      <c r="A483" s="54">
        <v>104074</v>
      </c>
      <c r="B483" s="55">
        <v>85</v>
      </c>
      <c r="C483" s="56">
        <v>5</v>
      </c>
      <c r="D483" s="55">
        <v>93</v>
      </c>
    </row>
    <row r="484" spans="1:4">
      <c r="A484" s="54">
        <v>104075</v>
      </c>
      <c r="B484" s="55">
        <v>88</v>
      </c>
      <c r="C484" s="56">
        <v>5</v>
      </c>
      <c r="D484" s="55">
        <v>93</v>
      </c>
    </row>
    <row r="485" spans="1:4">
      <c r="A485" s="54">
        <v>104076</v>
      </c>
      <c r="B485" s="55">
        <v>91</v>
      </c>
      <c r="C485" s="56">
        <v>5</v>
      </c>
      <c r="D485" s="55">
        <v>93</v>
      </c>
    </row>
    <row r="486" spans="1:4">
      <c r="A486" s="54">
        <v>104077</v>
      </c>
      <c r="B486" s="55">
        <v>94</v>
      </c>
      <c r="C486" s="56">
        <v>5</v>
      </c>
      <c r="D486" s="55">
        <v>93</v>
      </c>
    </row>
    <row r="487" spans="1:4">
      <c r="A487" s="54">
        <v>104078</v>
      </c>
      <c r="B487" s="55">
        <v>97</v>
      </c>
      <c r="C487" s="56">
        <v>5</v>
      </c>
      <c r="D487" s="55">
        <v>93</v>
      </c>
    </row>
    <row r="488" spans="1:4">
      <c r="A488" s="54">
        <v>104079</v>
      </c>
      <c r="B488" s="55">
        <v>100</v>
      </c>
      <c r="C488" s="56">
        <v>5</v>
      </c>
      <c r="D488" s="55">
        <v>93</v>
      </c>
    </row>
    <row r="489" spans="1:4">
      <c r="A489" s="54">
        <v>104080</v>
      </c>
      <c r="B489" s="55">
        <v>103</v>
      </c>
      <c r="C489" s="56">
        <v>5</v>
      </c>
      <c r="D489" s="55">
        <v>93</v>
      </c>
    </row>
    <row r="490" spans="1:4">
      <c r="A490" s="54">
        <v>104081</v>
      </c>
      <c r="B490" s="55">
        <v>106</v>
      </c>
      <c r="C490" s="56">
        <v>5</v>
      </c>
      <c r="D490" s="55">
        <v>93</v>
      </c>
    </row>
    <row r="491" spans="1:4">
      <c r="A491" s="54">
        <v>104082</v>
      </c>
      <c r="B491" s="55">
        <v>109</v>
      </c>
      <c r="C491" s="56">
        <v>5</v>
      </c>
      <c r="D491" s="55">
        <v>93</v>
      </c>
    </row>
    <row r="492" spans="1:4">
      <c r="A492" s="54">
        <v>104083</v>
      </c>
      <c r="B492" s="55">
        <v>112</v>
      </c>
      <c r="C492" s="56">
        <v>5</v>
      </c>
      <c r="D492" s="55">
        <v>93</v>
      </c>
    </row>
    <row r="493" spans="1:4">
      <c r="A493" s="54">
        <v>104084</v>
      </c>
      <c r="B493" s="55">
        <v>115</v>
      </c>
      <c r="C493" s="56">
        <v>5</v>
      </c>
      <c r="D493" s="55">
        <v>93</v>
      </c>
    </row>
    <row r="494" spans="1:4">
      <c r="A494" s="54">
        <v>104085</v>
      </c>
      <c r="B494" s="55">
        <v>118</v>
      </c>
      <c r="C494" s="56">
        <v>5</v>
      </c>
      <c r="D494" s="55">
        <v>93</v>
      </c>
    </row>
    <row r="495" spans="1:4">
      <c r="A495" s="54">
        <v>104086</v>
      </c>
      <c r="B495" s="55">
        <v>121</v>
      </c>
      <c r="C495" s="56">
        <v>5</v>
      </c>
      <c r="D495" s="55">
        <v>93</v>
      </c>
    </row>
    <row r="496" spans="1:4">
      <c r="A496" s="54">
        <v>104087</v>
      </c>
      <c r="B496" s="55">
        <v>124</v>
      </c>
      <c r="C496" s="56">
        <v>5</v>
      </c>
      <c r="D496" s="55">
        <v>93</v>
      </c>
    </row>
    <row r="497" spans="1:4">
      <c r="A497" s="54">
        <v>104088</v>
      </c>
      <c r="B497" s="55">
        <v>127</v>
      </c>
      <c r="C497" s="56">
        <v>5</v>
      </c>
      <c r="D497" s="55">
        <v>93</v>
      </c>
    </row>
    <row r="498" spans="1:4">
      <c r="A498" s="54">
        <v>104089</v>
      </c>
      <c r="B498" s="55">
        <v>130</v>
      </c>
      <c r="C498" s="56">
        <v>5</v>
      </c>
      <c r="D498" s="55">
        <v>93</v>
      </c>
    </row>
    <row r="499" spans="1:4">
      <c r="A499" s="54">
        <v>104090</v>
      </c>
      <c r="B499" s="55">
        <v>133</v>
      </c>
      <c r="C499" s="56">
        <v>5</v>
      </c>
      <c r="D499" s="55">
        <v>93</v>
      </c>
    </row>
    <row r="500" spans="1:4">
      <c r="A500" s="54">
        <v>104091</v>
      </c>
      <c r="B500" s="55">
        <v>136</v>
      </c>
      <c r="C500" s="56">
        <v>5</v>
      </c>
      <c r="D500" s="55">
        <v>93</v>
      </c>
    </row>
    <row r="501" spans="1:4">
      <c r="A501" s="54">
        <v>104092</v>
      </c>
      <c r="B501" s="55">
        <v>138</v>
      </c>
      <c r="C501" s="56">
        <v>5</v>
      </c>
      <c r="D501" s="55">
        <v>93</v>
      </c>
    </row>
    <row r="502" spans="1:4">
      <c r="A502" s="54">
        <v>104093</v>
      </c>
      <c r="B502" s="55">
        <v>140</v>
      </c>
      <c r="C502" s="56">
        <v>5</v>
      </c>
      <c r="D502" s="55">
        <v>93</v>
      </c>
    </row>
    <row r="503" spans="1:4">
      <c r="A503" s="54">
        <v>104094</v>
      </c>
      <c r="B503" s="55">
        <v>142</v>
      </c>
      <c r="C503" s="56">
        <v>5</v>
      </c>
      <c r="D503" s="55">
        <v>93</v>
      </c>
    </row>
    <row r="504" spans="1:4">
      <c r="A504" s="54">
        <v>104095</v>
      </c>
      <c r="B504" s="55">
        <v>144</v>
      </c>
      <c r="C504" s="56">
        <v>5</v>
      </c>
      <c r="D504" s="55">
        <v>93</v>
      </c>
    </row>
    <row r="505" spans="1:4">
      <c r="A505" s="54">
        <v>104096</v>
      </c>
      <c r="B505" s="55">
        <v>146</v>
      </c>
      <c r="C505" s="56">
        <v>5</v>
      </c>
      <c r="D505" s="55">
        <v>93</v>
      </c>
    </row>
    <row r="506" spans="1:4">
      <c r="A506" s="54">
        <v>104097</v>
      </c>
      <c r="B506" s="55">
        <v>148</v>
      </c>
      <c r="C506" s="56">
        <v>5</v>
      </c>
      <c r="D506" s="55">
        <v>93</v>
      </c>
    </row>
    <row r="507" spans="1:4">
      <c r="A507" s="54">
        <v>104098</v>
      </c>
      <c r="B507" s="55">
        <v>150</v>
      </c>
      <c r="C507" s="56">
        <v>5</v>
      </c>
      <c r="D507" s="55">
        <v>93</v>
      </c>
    </row>
    <row r="508" spans="1:4">
      <c r="A508" s="54">
        <v>105001</v>
      </c>
      <c r="B508" s="55">
        <v>2</v>
      </c>
      <c r="C508" s="55">
        <v>6</v>
      </c>
      <c r="D508" s="57">
        <v>111</v>
      </c>
    </row>
    <row r="509" spans="1:4">
      <c r="A509" s="54">
        <v>105002</v>
      </c>
      <c r="B509" s="55">
        <v>4</v>
      </c>
      <c r="C509" s="55">
        <v>6</v>
      </c>
      <c r="D509" s="57">
        <v>111</v>
      </c>
    </row>
    <row r="510" spans="1:4">
      <c r="A510" s="54">
        <v>105003</v>
      </c>
      <c r="B510" s="55">
        <v>7</v>
      </c>
      <c r="C510" s="55">
        <v>6</v>
      </c>
      <c r="D510" s="57">
        <v>0</v>
      </c>
    </row>
    <row r="511" spans="1:4">
      <c r="A511" s="54">
        <v>105004</v>
      </c>
      <c r="B511" s="55">
        <v>10</v>
      </c>
      <c r="C511" s="55">
        <v>6</v>
      </c>
      <c r="D511" s="57">
        <v>111</v>
      </c>
    </row>
    <row r="512" spans="1:4">
      <c r="A512" s="54">
        <v>105005</v>
      </c>
      <c r="B512" s="55">
        <v>13</v>
      </c>
      <c r="C512" s="55">
        <v>6</v>
      </c>
      <c r="D512" s="57">
        <v>0</v>
      </c>
    </row>
    <row r="513" spans="1:4">
      <c r="A513" s="54">
        <v>105006</v>
      </c>
      <c r="B513" s="55">
        <v>16</v>
      </c>
      <c r="C513" s="55">
        <v>6</v>
      </c>
      <c r="D513" s="57">
        <v>111</v>
      </c>
    </row>
    <row r="514" spans="1:4">
      <c r="A514" s="54">
        <v>105007</v>
      </c>
      <c r="B514" s="55">
        <v>19</v>
      </c>
      <c r="C514" s="55">
        <v>6</v>
      </c>
      <c r="D514" s="57">
        <v>111</v>
      </c>
    </row>
    <row r="515" spans="1:4">
      <c r="A515" s="54">
        <v>105008</v>
      </c>
      <c r="B515" s="55">
        <v>22</v>
      </c>
      <c r="C515" s="55">
        <v>6</v>
      </c>
      <c r="D515" s="57">
        <v>111</v>
      </c>
    </row>
    <row r="516" spans="1:4">
      <c r="A516" s="54">
        <v>105009</v>
      </c>
      <c r="B516" s="55">
        <v>25</v>
      </c>
      <c r="C516" s="55">
        <v>6</v>
      </c>
      <c r="D516" s="57">
        <v>111</v>
      </c>
    </row>
    <row r="517" spans="1:4">
      <c r="A517" s="54">
        <v>105010</v>
      </c>
      <c r="B517" s="55">
        <v>28</v>
      </c>
      <c r="C517" s="55">
        <v>6</v>
      </c>
      <c r="D517" s="57">
        <v>111</v>
      </c>
    </row>
    <row r="518" spans="1:4">
      <c r="A518" s="54">
        <v>105011</v>
      </c>
      <c r="B518" s="55">
        <v>31</v>
      </c>
      <c r="C518" s="55">
        <v>6</v>
      </c>
      <c r="D518" s="57">
        <v>111</v>
      </c>
    </row>
    <row r="519" spans="1:4">
      <c r="A519" s="54">
        <v>105012</v>
      </c>
      <c r="B519" s="55">
        <v>34</v>
      </c>
      <c r="C519" s="55">
        <v>6</v>
      </c>
      <c r="D519" s="57">
        <v>111</v>
      </c>
    </row>
    <row r="520" spans="1:4">
      <c r="A520" s="54">
        <v>105013</v>
      </c>
      <c r="B520" s="55">
        <v>37</v>
      </c>
      <c r="C520" s="55">
        <v>6</v>
      </c>
      <c r="D520" s="57">
        <v>111</v>
      </c>
    </row>
    <row r="521" spans="1:4">
      <c r="A521" s="54">
        <v>105014</v>
      </c>
      <c r="B521" s="55">
        <v>40</v>
      </c>
      <c r="C521" s="55">
        <v>6</v>
      </c>
      <c r="D521" s="57">
        <v>111</v>
      </c>
    </row>
    <row r="522" spans="1:4">
      <c r="A522" s="54">
        <v>105015</v>
      </c>
      <c r="B522" s="55">
        <v>43</v>
      </c>
      <c r="C522" s="55">
        <v>6</v>
      </c>
      <c r="D522" s="57">
        <v>111</v>
      </c>
    </row>
    <row r="523" spans="1:4">
      <c r="A523" s="54">
        <v>105016</v>
      </c>
      <c r="B523" s="55">
        <v>46</v>
      </c>
      <c r="C523" s="55">
        <v>6</v>
      </c>
      <c r="D523" s="57">
        <v>111</v>
      </c>
    </row>
    <row r="524" spans="1:4">
      <c r="A524" s="54">
        <v>105017</v>
      </c>
      <c r="B524" s="55">
        <v>49</v>
      </c>
      <c r="C524" s="55">
        <v>6</v>
      </c>
      <c r="D524" s="57">
        <v>111</v>
      </c>
    </row>
    <row r="525" spans="1:4">
      <c r="A525" s="54">
        <v>105018</v>
      </c>
      <c r="B525" s="55">
        <v>52</v>
      </c>
      <c r="C525" s="55">
        <v>6</v>
      </c>
      <c r="D525" s="57">
        <v>111</v>
      </c>
    </row>
    <row r="526" spans="1:4">
      <c r="A526" s="54">
        <v>105019</v>
      </c>
      <c r="B526" s="55">
        <v>55</v>
      </c>
      <c r="C526" s="55">
        <v>6</v>
      </c>
      <c r="D526" s="57">
        <v>111</v>
      </c>
    </row>
    <row r="527" spans="1:4">
      <c r="A527" s="54">
        <v>105020</v>
      </c>
      <c r="B527" s="55">
        <v>58</v>
      </c>
      <c r="C527" s="55">
        <v>6</v>
      </c>
      <c r="D527" s="57">
        <v>111</v>
      </c>
    </row>
    <row r="528" spans="1:4">
      <c r="A528" s="54">
        <v>105021</v>
      </c>
      <c r="B528" s="55">
        <v>61</v>
      </c>
      <c r="C528" s="55">
        <v>6</v>
      </c>
      <c r="D528" s="57">
        <v>111</v>
      </c>
    </row>
    <row r="529" spans="1:4">
      <c r="A529" s="54">
        <v>105022</v>
      </c>
      <c r="B529" s="55">
        <v>64</v>
      </c>
      <c r="C529" s="55">
        <v>6</v>
      </c>
      <c r="D529" s="57">
        <v>111</v>
      </c>
    </row>
    <row r="530" spans="1:4">
      <c r="A530" s="54">
        <v>105023</v>
      </c>
      <c r="B530" s="55">
        <v>67</v>
      </c>
      <c r="C530" s="55">
        <v>6</v>
      </c>
      <c r="D530" s="57">
        <v>111</v>
      </c>
    </row>
    <row r="531" spans="1:4">
      <c r="A531" s="54">
        <v>105024</v>
      </c>
      <c r="B531" s="55">
        <v>70</v>
      </c>
      <c r="C531" s="55">
        <v>6</v>
      </c>
      <c r="D531" s="57">
        <v>111</v>
      </c>
    </row>
    <row r="532" spans="1:4">
      <c r="A532" s="54">
        <v>105025</v>
      </c>
      <c r="B532" s="55">
        <v>73</v>
      </c>
      <c r="C532" s="55">
        <v>6</v>
      </c>
      <c r="D532" s="57">
        <v>111</v>
      </c>
    </row>
    <row r="533" spans="1:4">
      <c r="A533" s="54">
        <v>105026</v>
      </c>
      <c r="B533" s="55">
        <v>76</v>
      </c>
      <c r="C533" s="55">
        <v>6</v>
      </c>
      <c r="D533" s="57">
        <v>0</v>
      </c>
    </row>
    <row r="534" spans="1:4">
      <c r="A534" s="54">
        <v>105027</v>
      </c>
      <c r="B534" s="55">
        <v>79</v>
      </c>
      <c r="C534" s="55">
        <v>6</v>
      </c>
      <c r="D534" s="57">
        <v>111</v>
      </c>
    </row>
    <row r="535" spans="1:4">
      <c r="A535" s="54">
        <v>105028</v>
      </c>
      <c r="B535" s="55">
        <v>82</v>
      </c>
      <c r="C535" s="55">
        <v>6</v>
      </c>
      <c r="D535" s="57">
        <v>111</v>
      </c>
    </row>
    <row r="536" spans="1:4">
      <c r="A536" s="54">
        <v>105029</v>
      </c>
      <c r="B536" s="55">
        <v>85</v>
      </c>
      <c r="C536" s="55">
        <v>6</v>
      </c>
      <c r="D536" s="57">
        <v>111</v>
      </c>
    </row>
    <row r="537" spans="1:4">
      <c r="A537" s="54">
        <v>105030</v>
      </c>
      <c r="B537" s="55">
        <v>88</v>
      </c>
      <c r="C537" s="55">
        <v>6</v>
      </c>
      <c r="D537" s="57">
        <v>111</v>
      </c>
    </row>
    <row r="538" spans="1:4">
      <c r="A538" s="54">
        <v>105031</v>
      </c>
      <c r="B538" s="55">
        <v>91</v>
      </c>
      <c r="C538" s="55">
        <v>6</v>
      </c>
      <c r="D538" s="57">
        <v>111</v>
      </c>
    </row>
    <row r="539" spans="1:4">
      <c r="A539" s="54">
        <v>105032</v>
      </c>
      <c r="B539" s="55">
        <v>94</v>
      </c>
      <c r="C539" s="55">
        <v>6</v>
      </c>
      <c r="D539" s="57">
        <v>111</v>
      </c>
    </row>
    <row r="540" spans="1:4">
      <c r="A540" s="54">
        <v>105033</v>
      </c>
      <c r="B540" s="55">
        <v>97</v>
      </c>
      <c r="C540" s="55">
        <v>6</v>
      </c>
      <c r="D540" s="57">
        <v>111</v>
      </c>
    </row>
    <row r="541" spans="1:4">
      <c r="A541" s="54">
        <v>105034</v>
      </c>
      <c r="B541" s="55">
        <v>100</v>
      </c>
      <c r="C541" s="55">
        <v>6</v>
      </c>
      <c r="D541" s="57">
        <v>111</v>
      </c>
    </row>
    <row r="542" spans="1:4">
      <c r="A542" s="54">
        <v>105035</v>
      </c>
      <c r="B542" s="55">
        <v>103</v>
      </c>
      <c r="C542" s="55">
        <v>6</v>
      </c>
      <c r="D542" s="57">
        <v>111</v>
      </c>
    </row>
    <row r="543" spans="1:4">
      <c r="A543" s="54">
        <v>105036</v>
      </c>
      <c r="B543" s="55">
        <v>106</v>
      </c>
      <c r="C543" s="55">
        <v>6</v>
      </c>
      <c r="D543" s="57">
        <v>111</v>
      </c>
    </row>
    <row r="544" spans="1:4">
      <c r="A544" s="54">
        <v>105037</v>
      </c>
      <c r="B544" s="55">
        <v>109</v>
      </c>
      <c r="C544" s="55">
        <v>6</v>
      </c>
      <c r="D544" s="57">
        <v>111</v>
      </c>
    </row>
    <row r="545" spans="1:4">
      <c r="A545" s="54">
        <v>105038</v>
      </c>
      <c r="B545" s="55">
        <v>112</v>
      </c>
      <c r="C545" s="55">
        <v>6</v>
      </c>
      <c r="D545" s="57">
        <v>111</v>
      </c>
    </row>
    <row r="546" spans="1:4">
      <c r="A546" s="54">
        <v>105039</v>
      </c>
      <c r="B546" s="55">
        <v>115</v>
      </c>
      <c r="C546" s="55">
        <v>6</v>
      </c>
      <c r="D546" s="57">
        <v>111</v>
      </c>
    </row>
    <row r="547" spans="1:4">
      <c r="A547" s="54">
        <v>105040</v>
      </c>
      <c r="B547" s="55">
        <v>118</v>
      </c>
      <c r="C547" s="55">
        <v>6</v>
      </c>
      <c r="D547" s="57">
        <v>111</v>
      </c>
    </row>
    <row r="548" spans="1:4">
      <c r="A548" s="54">
        <v>105041</v>
      </c>
      <c r="B548" s="55">
        <v>121</v>
      </c>
      <c r="C548" s="55">
        <v>6</v>
      </c>
      <c r="D548" s="57">
        <v>111</v>
      </c>
    </row>
    <row r="549" spans="1:4">
      <c r="A549" s="54">
        <v>105042</v>
      </c>
      <c r="B549" s="55">
        <v>124</v>
      </c>
      <c r="C549" s="55">
        <v>6</v>
      </c>
      <c r="D549" s="57">
        <v>111</v>
      </c>
    </row>
    <row r="550" spans="1:4">
      <c r="A550" s="54">
        <v>105043</v>
      </c>
      <c r="B550" s="55">
        <v>127</v>
      </c>
      <c r="C550" s="55">
        <v>6</v>
      </c>
      <c r="D550" s="57">
        <v>111</v>
      </c>
    </row>
    <row r="551" spans="1:4">
      <c r="A551" s="54">
        <v>105044</v>
      </c>
      <c r="B551" s="55">
        <v>130</v>
      </c>
      <c r="C551" s="55">
        <v>6</v>
      </c>
      <c r="D551" s="57">
        <v>111</v>
      </c>
    </row>
    <row r="552" spans="1:4">
      <c r="A552" s="54">
        <v>105045</v>
      </c>
      <c r="B552" s="55">
        <v>133</v>
      </c>
      <c r="C552" s="55">
        <v>6</v>
      </c>
      <c r="D552" s="57">
        <v>111</v>
      </c>
    </row>
    <row r="553" spans="1:4">
      <c r="A553" s="54">
        <v>105046</v>
      </c>
      <c r="B553" s="55">
        <v>136</v>
      </c>
      <c r="C553" s="55">
        <v>6</v>
      </c>
      <c r="D553" s="57">
        <v>111</v>
      </c>
    </row>
    <row r="554" spans="1:4">
      <c r="A554" s="54">
        <v>105047</v>
      </c>
      <c r="B554" s="55">
        <v>138</v>
      </c>
      <c r="C554" s="55">
        <v>6</v>
      </c>
      <c r="D554" s="57">
        <v>111</v>
      </c>
    </row>
    <row r="555" spans="1:4">
      <c r="A555" s="54">
        <v>105048</v>
      </c>
      <c r="B555" s="55">
        <v>140</v>
      </c>
      <c r="C555" s="55">
        <v>6</v>
      </c>
      <c r="D555" s="57">
        <v>111</v>
      </c>
    </row>
    <row r="556" spans="1:4">
      <c r="A556" s="54">
        <v>105049</v>
      </c>
      <c r="B556" s="55">
        <v>142</v>
      </c>
      <c r="C556" s="55">
        <v>6</v>
      </c>
      <c r="D556" s="57">
        <v>111</v>
      </c>
    </row>
    <row r="557" spans="1:4">
      <c r="A557" s="54">
        <v>105050</v>
      </c>
      <c r="B557" s="55">
        <v>144</v>
      </c>
      <c r="C557" s="55">
        <v>6</v>
      </c>
      <c r="D557" s="57">
        <v>111</v>
      </c>
    </row>
    <row r="558" spans="1:4">
      <c r="A558" s="54">
        <v>105051</v>
      </c>
      <c r="B558" s="55">
        <v>146</v>
      </c>
      <c r="C558" s="55">
        <v>6</v>
      </c>
      <c r="D558" s="57">
        <v>111</v>
      </c>
    </row>
    <row r="559" spans="1:4">
      <c r="A559" s="54">
        <v>105052</v>
      </c>
      <c r="B559" s="55">
        <v>148</v>
      </c>
      <c r="C559" s="55">
        <v>6</v>
      </c>
      <c r="D559" s="57">
        <v>111</v>
      </c>
    </row>
    <row r="560" spans="1:4">
      <c r="A560" s="54">
        <v>105053</v>
      </c>
      <c r="B560" s="55">
        <v>150</v>
      </c>
      <c r="C560" s="55">
        <v>6</v>
      </c>
      <c r="D560" s="57">
        <v>111</v>
      </c>
    </row>
    <row r="561" spans="1:4">
      <c r="A561" s="54">
        <v>105054</v>
      </c>
      <c r="B561" s="58">
        <v>3</v>
      </c>
      <c r="C561" s="55">
        <v>6</v>
      </c>
      <c r="D561" s="57">
        <v>74</v>
      </c>
    </row>
    <row r="562" spans="1:4">
      <c r="A562" s="54">
        <v>105055</v>
      </c>
      <c r="B562" s="58">
        <v>5</v>
      </c>
      <c r="C562" s="55">
        <v>6</v>
      </c>
      <c r="D562" s="57">
        <v>74</v>
      </c>
    </row>
    <row r="563" spans="1:4">
      <c r="A563" s="54">
        <v>105056</v>
      </c>
      <c r="B563" s="58">
        <v>8</v>
      </c>
      <c r="C563" s="55">
        <v>6</v>
      </c>
      <c r="D563" s="57">
        <v>0</v>
      </c>
    </row>
    <row r="564" spans="1:4">
      <c r="A564" s="54">
        <v>105057</v>
      </c>
      <c r="B564" s="58">
        <v>11</v>
      </c>
      <c r="C564" s="55">
        <v>6</v>
      </c>
      <c r="D564" s="57">
        <v>74</v>
      </c>
    </row>
    <row r="565" spans="1:4">
      <c r="A565" s="54">
        <v>105058</v>
      </c>
      <c r="B565" s="58">
        <v>14</v>
      </c>
      <c r="C565" s="55">
        <v>6</v>
      </c>
      <c r="D565" s="57">
        <v>0</v>
      </c>
    </row>
    <row r="566" spans="1:4">
      <c r="A566" s="54">
        <v>105059</v>
      </c>
      <c r="B566" s="58">
        <v>17</v>
      </c>
      <c r="C566" s="55">
        <v>6</v>
      </c>
      <c r="D566" s="57">
        <v>74</v>
      </c>
    </row>
    <row r="567" spans="1:4">
      <c r="A567" s="54">
        <v>105060</v>
      </c>
      <c r="B567" s="58">
        <v>20</v>
      </c>
      <c r="C567" s="55">
        <v>6</v>
      </c>
      <c r="D567" s="57">
        <v>74</v>
      </c>
    </row>
    <row r="568" spans="1:4">
      <c r="A568" s="54">
        <v>105061</v>
      </c>
      <c r="B568" s="58">
        <v>23</v>
      </c>
      <c r="C568" s="55">
        <v>6</v>
      </c>
      <c r="D568" s="57">
        <v>74</v>
      </c>
    </row>
    <row r="569" spans="1:4">
      <c r="A569" s="54">
        <v>105062</v>
      </c>
      <c r="B569" s="58">
        <v>26</v>
      </c>
      <c r="C569" s="55">
        <v>6</v>
      </c>
      <c r="D569" s="57">
        <v>74</v>
      </c>
    </row>
    <row r="570" spans="1:4">
      <c r="A570" s="54">
        <v>105063</v>
      </c>
      <c r="B570" s="58">
        <v>29</v>
      </c>
      <c r="C570" s="55">
        <v>6</v>
      </c>
      <c r="D570" s="57">
        <v>74</v>
      </c>
    </row>
    <row r="571" spans="1:4">
      <c r="A571" s="54">
        <v>105064</v>
      </c>
      <c r="B571" s="58">
        <v>32</v>
      </c>
      <c r="C571" s="55">
        <v>6</v>
      </c>
      <c r="D571" s="57">
        <v>74</v>
      </c>
    </row>
    <row r="572" spans="1:4">
      <c r="A572" s="54">
        <v>105065</v>
      </c>
      <c r="B572" s="58">
        <v>35</v>
      </c>
      <c r="C572" s="55">
        <v>6</v>
      </c>
      <c r="D572" s="57">
        <v>74</v>
      </c>
    </row>
    <row r="573" spans="1:4">
      <c r="A573" s="54">
        <v>105066</v>
      </c>
      <c r="B573" s="58">
        <v>38</v>
      </c>
      <c r="C573" s="55">
        <v>6</v>
      </c>
      <c r="D573" s="57">
        <v>74</v>
      </c>
    </row>
    <row r="574" spans="1:4">
      <c r="A574" s="54">
        <v>105067</v>
      </c>
      <c r="B574" s="58">
        <v>41</v>
      </c>
      <c r="C574" s="55">
        <v>6</v>
      </c>
      <c r="D574" s="57">
        <v>74</v>
      </c>
    </row>
    <row r="575" spans="1:4">
      <c r="A575" s="54">
        <v>105068</v>
      </c>
      <c r="B575" s="58">
        <v>44</v>
      </c>
      <c r="C575" s="55">
        <v>6</v>
      </c>
      <c r="D575" s="57">
        <v>74</v>
      </c>
    </row>
    <row r="576" spans="1:4">
      <c r="A576" s="54">
        <v>105069</v>
      </c>
      <c r="B576" s="58">
        <v>47</v>
      </c>
      <c r="C576" s="55">
        <v>6</v>
      </c>
      <c r="D576" s="57">
        <v>74</v>
      </c>
    </row>
    <row r="577" spans="1:4">
      <c r="A577" s="54">
        <v>105070</v>
      </c>
      <c r="B577" s="58">
        <v>50</v>
      </c>
      <c r="C577" s="55">
        <v>6</v>
      </c>
      <c r="D577" s="57">
        <v>74</v>
      </c>
    </row>
    <row r="578" spans="1:4">
      <c r="A578" s="54">
        <v>105071</v>
      </c>
      <c r="B578" s="58">
        <v>53</v>
      </c>
      <c r="C578" s="55">
        <v>6</v>
      </c>
      <c r="D578" s="57">
        <v>74</v>
      </c>
    </row>
    <row r="579" spans="1:4">
      <c r="A579" s="54">
        <v>105072</v>
      </c>
      <c r="B579" s="58">
        <v>56</v>
      </c>
      <c r="C579" s="55">
        <v>6</v>
      </c>
      <c r="D579" s="57">
        <v>74</v>
      </c>
    </row>
    <row r="580" spans="1:4">
      <c r="A580" s="54">
        <v>105073</v>
      </c>
      <c r="B580" s="58">
        <v>59</v>
      </c>
      <c r="C580" s="55">
        <v>6</v>
      </c>
      <c r="D580" s="57">
        <v>74</v>
      </c>
    </row>
    <row r="581" spans="1:4">
      <c r="A581" s="54">
        <v>105074</v>
      </c>
      <c r="B581" s="58">
        <v>62</v>
      </c>
      <c r="C581" s="55">
        <v>6</v>
      </c>
      <c r="D581" s="57">
        <v>74</v>
      </c>
    </row>
    <row r="582" spans="1:4">
      <c r="A582" s="54">
        <v>105075</v>
      </c>
      <c r="B582" s="58">
        <v>65</v>
      </c>
      <c r="C582" s="55">
        <v>6</v>
      </c>
      <c r="D582" s="57">
        <v>74</v>
      </c>
    </row>
    <row r="583" spans="1:4">
      <c r="A583" s="54">
        <v>105076</v>
      </c>
      <c r="B583" s="58">
        <v>68</v>
      </c>
      <c r="C583" s="55">
        <v>6</v>
      </c>
      <c r="D583" s="57">
        <v>74</v>
      </c>
    </row>
    <row r="584" spans="1:4">
      <c r="A584" s="54">
        <v>105077</v>
      </c>
      <c r="B584" s="58">
        <v>71</v>
      </c>
      <c r="C584" s="55">
        <v>6</v>
      </c>
      <c r="D584" s="57">
        <v>74</v>
      </c>
    </row>
    <row r="585" spans="1:4">
      <c r="A585" s="54">
        <v>105078</v>
      </c>
      <c r="B585" s="58">
        <v>74</v>
      </c>
      <c r="C585" s="55">
        <v>6</v>
      </c>
      <c r="D585" s="57">
        <v>74</v>
      </c>
    </row>
    <row r="586" spans="1:4">
      <c r="A586" s="54">
        <v>105079</v>
      </c>
      <c r="B586" s="58">
        <v>77</v>
      </c>
      <c r="C586" s="55">
        <v>6</v>
      </c>
      <c r="D586" s="57">
        <v>0</v>
      </c>
    </row>
    <row r="587" spans="1:4">
      <c r="A587" s="54">
        <v>105080</v>
      </c>
      <c r="B587" s="58">
        <v>80</v>
      </c>
      <c r="C587" s="55">
        <v>6</v>
      </c>
      <c r="D587" s="57">
        <v>74</v>
      </c>
    </row>
    <row r="588" spans="1:4">
      <c r="A588" s="54">
        <v>105081</v>
      </c>
      <c r="B588" s="58">
        <v>83</v>
      </c>
      <c r="C588" s="55">
        <v>6</v>
      </c>
      <c r="D588" s="57">
        <v>74</v>
      </c>
    </row>
    <row r="589" spans="1:4">
      <c r="A589" s="54">
        <v>105082</v>
      </c>
      <c r="B589" s="58">
        <v>86</v>
      </c>
      <c r="C589" s="55">
        <v>6</v>
      </c>
      <c r="D589" s="57">
        <v>74</v>
      </c>
    </row>
    <row r="590" spans="1:4">
      <c r="A590" s="54">
        <v>105083</v>
      </c>
      <c r="B590" s="58">
        <v>89</v>
      </c>
      <c r="C590" s="55">
        <v>6</v>
      </c>
      <c r="D590" s="57">
        <v>74</v>
      </c>
    </row>
    <row r="591" spans="1:4">
      <c r="A591" s="54">
        <v>105084</v>
      </c>
      <c r="B591" s="58">
        <v>92</v>
      </c>
      <c r="C591" s="55">
        <v>6</v>
      </c>
      <c r="D591" s="57">
        <v>74</v>
      </c>
    </row>
    <row r="592" spans="1:4">
      <c r="A592" s="54">
        <v>105085</v>
      </c>
      <c r="B592" s="58">
        <v>95</v>
      </c>
      <c r="C592" s="55">
        <v>6</v>
      </c>
      <c r="D592" s="57">
        <v>74</v>
      </c>
    </row>
    <row r="593" spans="1:4">
      <c r="A593" s="54">
        <v>105086</v>
      </c>
      <c r="B593" s="58">
        <v>98</v>
      </c>
      <c r="C593" s="55">
        <v>6</v>
      </c>
      <c r="D593" s="57">
        <v>74</v>
      </c>
    </row>
    <row r="594" spans="1:4">
      <c r="A594" s="54">
        <v>105087</v>
      </c>
      <c r="B594" s="58">
        <v>101</v>
      </c>
      <c r="C594" s="55">
        <v>6</v>
      </c>
      <c r="D594" s="57">
        <v>74</v>
      </c>
    </row>
    <row r="595" spans="1:4">
      <c r="A595" s="54">
        <v>105088</v>
      </c>
      <c r="B595" s="58">
        <v>104</v>
      </c>
      <c r="C595" s="55">
        <v>6</v>
      </c>
      <c r="D595" s="57">
        <v>74</v>
      </c>
    </row>
    <row r="596" spans="1:4">
      <c r="A596" s="54">
        <v>105089</v>
      </c>
      <c r="B596" s="58">
        <v>107</v>
      </c>
      <c r="C596" s="55">
        <v>6</v>
      </c>
      <c r="D596" s="57">
        <v>74</v>
      </c>
    </row>
    <row r="597" spans="1:4">
      <c r="A597" s="54">
        <v>105090</v>
      </c>
      <c r="B597" s="58">
        <v>110</v>
      </c>
      <c r="C597" s="55">
        <v>6</v>
      </c>
      <c r="D597" s="57">
        <v>74</v>
      </c>
    </row>
    <row r="598" spans="1:4">
      <c r="A598" s="54">
        <v>105091</v>
      </c>
      <c r="B598" s="58">
        <v>113</v>
      </c>
      <c r="C598" s="55">
        <v>6</v>
      </c>
      <c r="D598" s="57">
        <v>74</v>
      </c>
    </row>
    <row r="599" spans="1:4">
      <c r="A599" s="54">
        <v>105092</v>
      </c>
      <c r="B599" s="58">
        <v>116</v>
      </c>
      <c r="C599" s="55">
        <v>6</v>
      </c>
      <c r="D599" s="57">
        <v>74</v>
      </c>
    </row>
    <row r="600" spans="1:4">
      <c r="A600" s="54">
        <v>105093</v>
      </c>
      <c r="B600" s="58">
        <v>119</v>
      </c>
      <c r="C600" s="55">
        <v>6</v>
      </c>
      <c r="D600" s="57">
        <v>74</v>
      </c>
    </row>
    <row r="601" spans="1:4">
      <c r="A601" s="54">
        <v>105094</v>
      </c>
      <c r="B601" s="58">
        <v>122</v>
      </c>
      <c r="C601" s="55">
        <v>6</v>
      </c>
      <c r="D601" s="57">
        <v>74</v>
      </c>
    </row>
    <row r="602" spans="1:4">
      <c r="A602" s="54">
        <v>105095</v>
      </c>
      <c r="B602" s="58">
        <v>125</v>
      </c>
      <c r="C602" s="55">
        <v>6</v>
      </c>
      <c r="D602" s="57">
        <v>74</v>
      </c>
    </row>
    <row r="603" spans="1:4">
      <c r="A603" s="54">
        <v>105096</v>
      </c>
      <c r="B603" s="58">
        <v>128</v>
      </c>
      <c r="C603" s="55">
        <v>6</v>
      </c>
      <c r="D603" s="57">
        <v>74</v>
      </c>
    </row>
    <row r="604" spans="1:4">
      <c r="A604" s="54">
        <v>105097</v>
      </c>
      <c r="B604" s="58">
        <v>131</v>
      </c>
      <c r="C604" s="55">
        <v>6</v>
      </c>
      <c r="D604" s="57">
        <v>74</v>
      </c>
    </row>
    <row r="605" spans="1:4">
      <c r="A605" s="54">
        <v>105098</v>
      </c>
      <c r="B605" s="58">
        <v>134</v>
      </c>
      <c r="C605" s="55">
        <v>6</v>
      </c>
      <c r="D605" s="57">
        <v>74</v>
      </c>
    </row>
    <row r="606" spans="1:4">
      <c r="A606" s="54">
        <v>105099</v>
      </c>
      <c r="B606" s="58">
        <v>137</v>
      </c>
      <c r="C606" s="55">
        <v>6</v>
      </c>
      <c r="D606" s="57">
        <v>74</v>
      </c>
    </row>
    <row r="607" spans="1:4">
      <c r="A607" s="54">
        <v>105100</v>
      </c>
      <c r="B607" s="58">
        <v>139</v>
      </c>
      <c r="C607" s="55">
        <v>6</v>
      </c>
      <c r="D607" s="57">
        <v>74</v>
      </c>
    </row>
    <row r="608" spans="1:4">
      <c r="A608" s="54">
        <v>105101</v>
      </c>
      <c r="B608" s="58">
        <v>141</v>
      </c>
      <c r="C608" s="55">
        <v>6</v>
      </c>
      <c r="D608" s="57">
        <v>74</v>
      </c>
    </row>
    <row r="609" spans="1:4">
      <c r="A609" s="54">
        <v>105102</v>
      </c>
      <c r="B609" s="58">
        <v>143</v>
      </c>
      <c r="C609" s="55">
        <v>6</v>
      </c>
      <c r="D609" s="57">
        <v>74</v>
      </c>
    </row>
    <row r="610" spans="1:4">
      <c r="A610" s="54">
        <v>105103</v>
      </c>
      <c r="B610" s="58">
        <v>145</v>
      </c>
      <c r="C610" s="55">
        <v>6</v>
      </c>
      <c r="D610" s="57">
        <v>74</v>
      </c>
    </row>
    <row r="611" spans="1:4">
      <c r="A611" s="54">
        <v>105104</v>
      </c>
      <c r="B611" s="58">
        <v>147</v>
      </c>
      <c r="C611" s="55">
        <v>6</v>
      </c>
      <c r="D611" s="57">
        <v>74</v>
      </c>
    </row>
    <row r="612" spans="1:4">
      <c r="A612" s="54">
        <v>105105</v>
      </c>
      <c r="B612" s="58">
        <v>149</v>
      </c>
      <c r="C612" s="55">
        <v>6</v>
      </c>
      <c r="D612" s="57">
        <v>74</v>
      </c>
    </row>
    <row r="613" spans="1:4">
      <c r="A613" s="54">
        <v>105106</v>
      </c>
      <c r="B613" s="58">
        <v>151</v>
      </c>
      <c r="C613" s="55">
        <v>6</v>
      </c>
      <c r="D613" s="57">
        <v>74</v>
      </c>
    </row>
    <row r="614" spans="1:4">
      <c r="A614" s="54">
        <v>106001</v>
      </c>
      <c r="B614" s="55">
        <v>1</v>
      </c>
      <c r="C614" s="56">
        <v>7</v>
      </c>
      <c r="D614" s="57">
        <v>88</v>
      </c>
    </row>
    <row r="615" spans="1:4">
      <c r="A615" s="54">
        <v>106002</v>
      </c>
      <c r="B615" s="55">
        <v>6</v>
      </c>
      <c r="C615" s="56">
        <v>7</v>
      </c>
      <c r="D615" s="57">
        <v>0</v>
      </c>
    </row>
    <row r="616" spans="1:4">
      <c r="A616" s="54">
        <v>106003</v>
      </c>
      <c r="B616" s="55">
        <v>9</v>
      </c>
      <c r="C616" s="56">
        <v>7</v>
      </c>
      <c r="D616" s="57">
        <v>88</v>
      </c>
    </row>
    <row r="617" spans="1:4">
      <c r="A617" s="54">
        <v>106004</v>
      </c>
      <c r="B617" s="55">
        <v>12</v>
      </c>
      <c r="C617" s="56">
        <v>7</v>
      </c>
      <c r="D617" s="57">
        <v>0</v>
      </c>
    </row>
    <row r="618" spans="1:4">
      <c r="A618" s="54">
        <v>106005</v>
      </c>
      <c r="B618" s="55">
        <v>15</v>
      </c>
      <c r="C618" s="56">
        <v>7</v>
      </c>
      <c r="D618" s="57">
        <v>88</v>
      </c>
    </row>
    <row r="619" spans="1:4">
      <c r="A619" s="54">
        <v>106006</v>
      </c>
      <c r="B619" s="55">
        <v>18</v>
      </c>
      <c r="C619" s="56">
        <v>7</v>
      </c>
      <c r="D619" s="57">
        <v>88</v>
      </c>
    </row>
    <row r="620" spans="1:4">
      <c r="A620" s="54">
        <v>106007</v>
      </c>
      <c r="B620" s="55">
        <v>21</v>
      </c>
      <c r="C620" s="56">
        <v>7</v>
      </c>
      <c r="D620" s="57">
        <v>88</v>
      </c>
    </row>
    <row r="621" spans="1:4">
      <c r="A621" s="54">
        <v>106008</v>
      </c>
      <c r="B621" s="55">
        <v>24</v>
      </c>
      <c r="C621" s="56">
        <v>7</v>
      </c>
      <c r="D621" s="57">
        <v>88</v>
      </c>
    </row>
    <row r="622" spans="1:4">
      <c r="A622" s="54">
        <v>106009</v>
      </c>
      <c r="B622" s="55">
        <v>27</v>
      </c>
      <c r="C622" s="56">
        <v>7</v>
      </c>
      <c r="D622" s="57">
        <v>88</v>
      </c>
    </row>
    <row r="623" spans="1:4">
      <c r="A623" s="54">
        <v>106010</v>
      </c>
      <c r="B623" s="55">
        <v>30</v>
      </c>
      <c r="C623" s="56">
        <v>7</v>
      </c>
      <c r="D623" s="57">
        <v>88</v>
      </c>
    </row>
    <row r="624" spans="1:4">
      <c r="A624" s="54">
        <v>106011</v>
      </c>
      <c r="B624" s="55">
        <v>33</v>
      </c>
      <c r="C624" s="56">
        <v>7</v>
      </c>
      <c r="D624" s="57">
        <v>88</v>
      </c>
    </row>
    <row r="625" spans="1:4">
      <c r="A625" s="54">
        <v>106012</v>
      </c>
      <c r="B625" s="55">
        <v>36</v>
      </c>
      <c r="C625" s="56">
        <v>7</v>
      </c>
      <c r="D625" s="57">
        <v>88</v>
      </c>
    </row>
    <row r="626" spans="1:4">
      <c r="A626" s="54">
        <v>106013</v>
      </c>
      <c r="B626" s="55">
        <v>39</v>
      </c>
      <c r="C626" s="56">
        <v>7</v>
      </c>
      <c r="D626" s="57">
        <v>88</v>
      </c>
    </row>
    <row r="627" spans="1:4">
      <c r="A627" s="54">
        <v>106014</v>
      </c>
      <c r="B627" s="55">
        <v>42</v>
      </c>
      <c r="C627" s="56">
        <v>7</v>
      </c>
      <c r="D627" s="57">
        <v>88</v>
      </c>
    </row>
    <row r="628" spans="1:4">
      <c r="A628" s="54">
        <v>106015</v>
      </c>
      <c r="B628" s="55">
        <v>45</v>
      </c>
      <c r="C628" s="56">
        <v>7</v>
      </c>
      <c r="D628" s="57">
        <v>88</v>
      </c>
    </row>
    <row r="629" spans="1:4">
      <c r="A629" s="54">
        <v>106016</v>
      </c>
      <c r="B629" s="55">
        <v>48</v>
      </c>
      <c r="C629" s="56">
        <v>7</v>
      </c>
      <c r="D629" s="57">
        <v>88</v>
      </c>
    </row>
    <row r="630" spans="1:4">
      <c r="A630" s="54">
        <v>106017</v>
      </c>
      <c r="B630" s="55">
        <v>51</v>
      </c>
      <c r="C630" s="56">
        <v>7</v>
      </c>
      <c r="D630" s="57">
        <v>88</v>
      </c>
    </row>
    <row r="631" spans="1:4">
      <c r="A631" s="54">
        <v>106018</v>
      </c>
      <c r="B631" s="55">
        <v>54</v>
      </c>
      <c r="C631" s="56">
        <v>7</v>
      </c>
      <c r="D631" s="57">
        <v>88</v>
      </c>
    </row>
    <row r="632" spans="1:4">
      <c r="A632" s="54">
        <v>106019</v>
      </c>
      <c r="B632" s="55">
        <v>57</v>
      </c>
      <c r="C632" s="56">
        <v>7</v>
      </c>
      <c r="D632" s="57">
        <v>88</v>
      </c>
    </row>
    <row r="633" spans="1:4">
      <c r="A633" s="54">
        <v>106020</v>
      </c>
      <c r="B633" s="55">
        <v>60</v>
      </c>
      <c r="C633" s="56">
        <v>7</v>
      </c>
      <c r="D633" s="57">
        <v>88</v>
      </c>
    </row>
    <row r="634" spans="1:4">
      <c r="A634" s="54">
        <v>106021</v>
      </c>
      <c r="B634" s="55">
        <v>63</v>
      </c>
      <c r="C634" s="56">
        <v>7</v>
      </c>
      <c r="D634" s="57">
        <v>88</v>
      </c>
    </row>
    <row r="635" spans="1:4">
      <c r="A635" s="54">
        <v>106022</v>
      </c>
      <c r="B635" s="55">
        <v>66</v>
      </c>
      <c r="C635" s="56">
        <v>7</v>
      </c>
      <c r="D635" s="57">
        <v>88</v>
      </c>
    </row>
    <row r="636" spans="1:4">
      <c r="A636" s="54">
        <v>106023</v>
      </c>
      <c r="B636" s="55">
        <v>69</v>
      </c>
      <c r="C636" s="56">
        <v>7</v>
      </c>
      <c r="D636" s="57">
        <v>88</v>
      </c>
    </row>
    <row r="637" spans="1:4">
      <c r="A637" s="54">
        <v>106024</v>
      </c>
      <c r="B637" s="55">
        <v>72</v>
      </c>
      <c r="C637" s="56">
        <v>7</v>
      </c>
      <c r="D637" s="57">
        <v>88</v>
      </c>
    </row>
    <row r="638" spans="1:4">
      <c r="A638" s="54">
        <v>106025</v>
      </c>
      <c r="B638" s="55">
        <v>75</v>
      </c>
      <c r="C638" s="56">
        <v>7</v>
      </c>
      <c r="D638" s="57">
        <v>0</v>
      </c>
    </row>
    <row r="639" spans="1:4">
      <c r="A639" s="54">
        <v>106026</v>
      </c>
      <c r="B639" s="55">
        <v>78</v>
      </c>
      <c r="C639" s="56">
        <v>7</v>
      </c>
      <c r="D639" s="57">
        <v>88</v>
      </c>
    </row>
    <row r="640" spans="1:4">
      <c r="A640" s="54">
        <v>106027</v>
      </c>
      <c r="B640" s="55">
        <v>81</v>
      </c>
      <c r="C640" s="56">
        <v>7</v>
      </c>
      <c r="D640" s="57">
        <v>88</v>
      </c>
    </row>
    <row r="641" spans="1:4">
      <c r="A641" s="54">
        <v>106028</v>
      </c>
      <c r="B641" s="55">
        <v>84</v>
      </c>
      <c r="C641" s="56">
        <v>7</v>
      </c>
      <c r="D641" s="57">
        <v>88</v>
      </c>
    </row>
    <row r="642" spans="1:4">
      <c r="A642" s="54">
        <v>106029</v>
      </c>
      <c r="B642" s="55">
        <v>87</v>
      </c>
      <c r="C642" s="56">
        <v>7</v>
      </c>
      <c r="D642" s="57">
        <v>88</v>
      </c>
    </row>
    <row r="643" spans="1:4">
      <c r="A643" s="54">
        <v>106030</v>
      </c>
      <c r="B643" s="55">
        <v>90</v>
      </c>
      <c r="C643" s="56">
        <v>7</v>
      </c>
      <c r="D643" s="57">
        <v>88</v>
      </c>
    </row>
    <row r="644" spans="1:4">
      <c r="A644" s="54">
        <v>106031</v>
      </c>
      <c r="B644" s="55">
        <v>93</v>
      </c>
      <c r="C644" s="56">
        <v>7</v>
      </c>
      <c r="D644" s="57">
        <v>88</v>
      </c>
    </row>
    <row r="645" spans="1:4">
      <c r="A645" s="54">
        <v>106032</v>
      </c>
      <c r="B645" s="55">
        <v>96</v>
      </c>
      <c r="C645" s="56">
        <v>7</v>
      </c>
      <c r="D645" s="57">
        <v>88</v>
      </c>
    </row>
    <row r="646" spans="1:4">
      <c r="A646" s="54">
        <v>106033</v>
      </c>
      <c r="B646" s="55">
        <v>99</v>
      </c>
      <c r="C646" s="56">
        <v>7</v>
      </c>
      <c r="D646" s="57">
        <v>88</v>
      </c>
    </row>
    <row r="647" spans="1:4">
      <c r="A647" s="54">
        <v>106034</v>
      </c>
      <c r="B647" s="55">
        <v>102</v>
      </c>
      <c r="C647" s="56">
        <v>7</v>
      </c>
      <c r="D647" s="57">
        <v>88</v>
      </c>
    </row>
    <row r="648" spans="1:4">
      <c r="A648" s="54">
        <v>106035</v>
      </c>
      <c r="B648" s="55">
        <v>105</v>
      </c>
      <c r="C648" s="56">
        <v>7</v>
      </c>
      <c r="D648" s="57">
        <v>88</v>
      </c>
    </row>
    <row r="649" spans="1:4">
      <c r="A649" s="54">
        <v>106036</v>
      </c>
      <c r="B649" s="55">
        <v>108</v>
      </c>
      <c r="C649" s="56">
        <v>7</v>
      </c>
      <c r="D649" s="57">
        <v>88</v>
      </c>
    </row>
    <row r="650" spans="1:4">
      <c r="A650" s="54">
        <v>106037</v>
      </c>
      <c r="B650" s="55">
        <v>111</v>
      </c>
      <c r="C650" s="56">
        <v>7</v>
      </c>
      <c r="D650" s="57">
        <v>88</v>
      </c>
    </row>
    <row r="651" spans="1:4">
      <c r="A651" s="54">
        <v>106038</v>
      </c>
      <c r="B651" s="55">
        <v>114</v>
      </c>
      <c r="C651" s="56">
        <v>7</v>
      </c>
      <c r="D651" s="57">
        <v>88</v>
      </c>
    </row>
    <row r="652" spans="1:4">
      <c r="A652" s="54">
        <v>106039</v>
      </c>
      <c r="B652" s="55">
        <v>117</v>
      </c>
      <c r="C652" s="56">
        <v>7</v>
      </c>
      <c r="D652" s="57">
        <v>88</v>
      </c>
    </row>
    <row r="653" spans="1:4">
      <c r="A653" s="54">
        <v>106040</v>
      </c>
      <c r="B653" s="55">
        <v>120</v>
      </c>
      <c r="C653" s="56">
        <v>7</v>
      </c>
      <c r="D653" s="57">
        <v>88</v>
      </c>
    </row>
    <row r="654" spans="1:4">
      <c r="A654" s="54">
        <v>106041</v>
      </c>
      <c r="B654" s="55">
        <v>123</v>
      </c>
      <c r="C654" s="56">
        <v>7</v>
      </c>
      <c r="D654" s="57">
        <v>88</v>
      </c>
    </row>
    <row r="655" spans="1:4">
      <c r="A655" s="54">
        <v>106042</v>
      </c>
      <c r="B655" s="55">
        <v>126</v>
      </c>
      <c r="C655" s="56">
        <v>7</v>
      </c>
      <c r="D655" s="57">
        <v>88</v>
      </c>
    </row>
    <row r="656" spans="1:4">
      <c r="A656" s="54">
        <v>106043</v>
      </c>
      <c r="B656" s="55">
        <v>129</v>
      </c>
      <c r="C656" s="56">
        <v>7</v>
      </c>
      <c r="D656" s="57">
        <v>88</v>
      </c>
    </row>
    <row r="657" spans="1:4">
      <c r="A657" s="54">
        <v>106044</v>
      </c>
      <c r="B657" s="55">
        <v>132</v>
      </c>
      <c r="C657" s="56">
        <v>7</v>
      </c>
      <c r="D657" s="57">
        <v>88</v>
      </c>
    </row>
    <row r="658" spans="1:4">
      <c r="A658" s="54">
        <v>106045</v>
      </c>
      <c r="B658" s="55">
        <v>135</v>
      </c>
      <c r="C658" s="56">
        <v>7</v>
      </c>
      <c r="D658" s="57">
        <v>88</v>
      </c>
    </row>
    <row r="659" spans="1:4">
      <c r="A659" s="54">
        <v>106046</v>
      </c>
      <c r="B659" s="55">
        <v>2</v>
      </c>
      <c r="C659" s="56">
        <v>7</v>
      </c>
      <c r="D659" s="55">
        <v>111</v>
      </c>
    </row>
    <row r="660" spans="1:4">
      <c r="A660" s="54">
        <v>106047</v>
      </c>
      <c r="B660" s="55">
        <v>4</v>
      </c>
      <c r="C660" s="56">
        <v>7</v>
      </c>
      <c r="D660" s="55">
        <v>111</v>
      </c>
    </row>
    <row r="661" spans="1:4">
      <c r="A661" s="54">
        <v>106048</v>
      </c>
      <c r="B661" s="55">
        <v>7</v>
      </c>
      <c r="C661" s="56">
        <v>7</v>
      </c>
      <c r="D661" s="55">
        <v>0</v>
      </c>
    </row>
    <row r="662" spans="1:4">
      <c r="A662" s="54">
        <v>106049</v>
      </c>
      <c r="B662" s="55">
        <v>10</v>
      </c>
      <c r="C662" s="56">
        <v>7</v>
      </c>
      <c r="D662" s="55">
        <v>111</v>
      </c>
    </row>
    <row r="663" spans="1:4">
      <c r="A663" s="54">
        <v>106050</v>
      </c>
      <c r="B663" s="55">
        <v>13</v>
      </c>
      <c r="C663" s="56">
        <v>7</v>
      </c>
      <c r="D663" s="55">
        <v>0</v>
      </c>
    </row>
    <row r="664" spans="1:4">
      <c r="A664" s="54">
        <v>106051</v>
      </c>
      <c r="B664" s="55">
        <v>16</v>
      </c>
      <c r="C664" s="56">
        <v>7</v>
      </c>
      <c r="D664" s="55">
        <v>111</v>
      </c>
    </row>
    <row r="665" spans="1:4">
      <c r="A665" s="54">
        <v>106052</v>
      </c>
      <c r="B665" s="55">
        <v>19</v>
      </c>
      <c r="C665" s="56">
        <v>7</v>
      </c>
      <c r="D665" s="55">
        <v>111</v>
      </c>
    </row>
    <row r="666" spans="1:4">
      <c r="A666" s="54">
        <v>106053</v>
      </c>
      <c r="B666" s="55">
        <v>22</v>
      </c>
      <c r="C666" s="56">
        <v>7</v>
      </c>
      <c r="D666" s="55">
        <v>111</v>
      </c>
    </row>
    <row r="667" spans="1:4">
      <c r="A667" s="54">
        <v>106054</v>
      </c>
      <c r="B667" s="55">
        <v>25</v>
      </c>
      <c r="C667" s="56">
        <v>7</v>
      </c>
      <c r="D667" s="55">
        <v>111</v>
      </c>
    </row>
    <row r="668" spans="1:4">
      <c r="A668" s="54">
        <v>106055</v>
      </c>
      <c r="B668" s="55">
        <v>28</v>
      </c>
      <c r="C668" s="56">
        <v>7</v>
      </c>
      <c r="D668" s="55">
        <v>111</v>
      </c>
    </row>
    <row r="669" spans="1:4">
      <c r="A669" s="54">
        <v>106056</v>
      </c>
      <c r="B669" s="55">
        <v>31</v>
      </c>
      <c r="C669" s="56">
        <v>7</v>
      </c>
      <c r="D669" s="55">
        <v>111</v>
      </c>
    </row>
    <row r="670" spans="1:4">
      <c r="A670" s="54">
        <v>106057</v>
      </c>
      <c r="B670" s="55">
        <v>34</v>
      </c>
      <c r="C670" s="56">
        <v>7</v>
      </c>
      <c r="D670" s="55">
        <v>111</v>
      </c>
    </row>
    <row r="671" spans="1:4">
      <c r="A671" s="54">
        <v>106058</v>
      </c>
      <c r="B671" s="55">
        <v>37</v>
      </c>
      <c r="C671" s="56">
        <v>7</v>
      </c>
      <c r="D671" s="55">
        <v>111</v>
      </c>
    </row>
    <row r="672" spans="1:4">
      <c r="A672" s="54">
        <v>106059</v>
      </c>
      <c r="B672" s="55">
        <v>40</v>
      </c>
      <c r="C672" s="56">
        <v>7</v>
      </c>
      <c r="D672" s="55">
        <v>111</v>
      </c>
    </row>
    <row r="673" spans="1:4">
      <c r="A673" s="54">
        <v>106060</v>
      </c>
      <c r="B673" s="55">
        <v>43</v>
      </c>
      <c r="C673" s="56">
        <v>7</v>
      </c>
      <c r="D673" s="55">
        <v>111</v>
      </c>
    </row>
    <row r="674" spans="1:4">
      <c r="A674" s="54">
        <v>106061</v>
      </c>
      <c r="B674" s="55">
        <v>46</v>
      </c>
      <c r="C674" s="56">
        <v>7</v>
      </c>
      <c r="D674" s="55">
        <v>111</v>
      </c>
    </row>
    <row r="675" spans="1:4">
      <c r="A675" s="54">
        <v>106062</v>
      </c>
      <c r="B675" s="55">
        <v>49</v>
      </c>
      <c r="C675" s="56">
        <v>7</v>
      </c>
      <c r="D675" s="55">
        <v>111</v>
      </c>
    </row>
    <row r="676" spans="1:4">
      <c r="A676" s="54">
        <v>106063</v>
      </c>
      <c r="B676" s="55">
        <v>52</v>
      </c>
      <c r="C676" s="56">
        <v>7</v>
      </c>
      <c r="D676" s="55">
        <v>111</v>
      </c>
    </row>
    <row r="677" spans="1:4">
      <c r="A677" s="54">
        <v>106064</v>
      </c>
      <c r="B677" s="55">
        <v>55</v>
      </c>
      <c r="C677" s="56">
        <v>7</v>
      </c>
      <c r="D677" s="55">
        <v>111</v>
      </c>
    </row>
    <row r="678" spans="1:4">
      <c r="A678" s="54">
        <v>106065</v>
      </c>
      <c r="B678" s="55">
        <v>58</v>
      </c>
      <c r="C678" s="56">
        <v>7</v>
      </c>
      <c r="D678" s="55">
        <v>111</v>
      </c>
    </row>
    <row r="679" spans="1:4">
      <c r="A679" s="54">
        <v>106066</v>
      </c>
      <c r="B679" s="55">
        <v>61</v>
      </c>
      <c r="C679" s="56">
        <v>7</v>
      </c>
      <c r="D679" s="55">
        <v>111</v>
      </c>
    </row>
    <row r="680" spans="1:4">
      <c r="A680" s="54">
        <v>106067</v>
      </c>
      <c r="B680" s="55">
        <v>64</v>
      </c>
      <c r="C680" s="56">
        <v>7</v>
      </c>
      <c r="D680" s="55">
        <v>111</v>
      </c>
    </row>
    <row r="681" spans="1:4">
      <c r="A681" s="54">
        <v>106068</v>
      </c>
      <c r="B681" s="55">
        <v>67</v>
      </c>
      <c r="C681" s="56">
        <v>7</v>
      </c>
      <c r="D681" s="55">
        <v>111</v>
      </c>
    </row>
    <row r="682" spans="1:4">
      <c r="A682" s="54">
        <v>106069</v>
      </c>
      <c r="B682" s="55">
        <v>70</v>
      </c>
      <c r="C682" s="56">
        <v>7</v>
      </c>
      <c r="D682" s="55">
        <v>111</v>
      </c>
    </row>
    <row r="683" spans="1:4">
      <c r="A683" s="54">
        <v>106070</v>
      </c>
      <c r="B683" s="55">
        <v>73</v>
      </c>
      <c r="C683" s="56">
        <v>7</v>
      </c>
      <c r="D683" s="55">
        <v>111</v>
      </c>
    </row>
    <row r="684" spans="1:4">
      <c r="A684" s="54">
        <v>106071</v>
      </c>
      <c r="B684" s="55">
        <v>76</v>
      </c>
      <c r="C684" s="56">
        <v>7</v>
      </c>
      <c r="D684" s="55">
        <v>0</v>
      </c>
    </row>
    <row r="685" spans="1:4">
      <c r="A685" s="54">
        <v>106072</v>
      </c>
      <c r="B685" s="55">
        <v>79</v>
      </c>
      <c r="C685" s="56">
        <v>7</v>
      </c>
      <c r="D685" s="55">
        <v>111</v>
      </c>
    </row>
    <row r="686" spans="1:4">
      <c r="A686" s="54">
        <v>106073</v>
      </c>
      <c r="B686" s="55">
        <v>82</v>
      </c>
      <c r="C686" s="56">
        <v>7</v>
      </c>
      <c r="D686" s="55">
        <v>111</v>
      </c>
    </row>
    <row r="687" spans="1:4">
      <c r="A687" s="54">
        <v>106074</v>
      </c>
      <c r="B687" s="55">
        <v>85</v>
      </c>
      <c r="C687" s="56">
        <v>7</v>
      </c>
      <c r="D687" s="55">
        <v>111</v>
      </c>
    </row>
    <row r="688" spans="1:4">
      <c r="A688" s="54">
        <v>106075</v>
      </c>
      <c r="B688" s="55">
        <v>88</v>
      </c>
      <c r="C688" s="56">
        <v>7</v>
      </c>
      <c r="D688" s="55">
        <v>111</v>
      </c>
    </row>
    <row r="689" spans="1:4">
      <c r="A689" s="54">
        <v>106076</v>
      </c>
      <c r="B689" s="55">
        <v>91</v>
      </c>
      <c r="C689" s="56">
        <v>7</v>
      </c>
      <c r="D689" s="55">
        <v>111</v>
      </c>
    </row>
    <row r="690" spans="1:4">
      <c r="A690" s="54">
        <v>106077</v>
      </c>
      <c r="B690" s="55">
        <v>94</v>
      </c>
      <c r="C690" s="56">
        <v>7</v>
      </c>
      <c r="D690" s="55">
        <v>111</v>
      </c>
    </row>
    <row r="691" spans="1:4">
      <c r="A691" s="54">
        <v>106078</v>
      </c>
      <c r="B691" s="55">
        <v>97</v>
      </c>
      <c r="C691" s="56">
        <v>7</v>
      </c>
      <c r="D691" s="55">
        <v>111</v>
      </c>
    </row>
    <row r="692" spans="1:4">
      <c r="A692" s="54">
        <v>106079</v>
      </c>
      <c r="B692" s="55">
        <v>100</v>
      </c>
      <c r="C692" s="56">
        <v>7</v>
      </c>
      <c r="D692" s="55">
        <v>111</v>
      </c>
    </row>
    <row r="693" spans="1:4">
      <c r="A693" s="54">
        <v>106080</v>
      </c>
      <c r="B693" s="55">
        <v>103</v>
      </c>
      <c r="C693" s="56">
        <v>7</v>
      </c>
      <c r="D693" s="55">
        <v>111</v>
      </c>
    </row>
    <row r="694" spans="1:4">
      <c r="A694" s="54">
        <v>106081</v>
      </c>
      <c r="B694" s="55">
        <v>106</v>
      </c>
      <c r="C694" s="56">
        <v>7</v>
      </c>
      <c r="D694" s="55">
        <v>111</v>
      </c>
    </row>
    <row r="695" spans="1:4">
      <c r="A695" s="54">
        <v>106082</v>
      </c>
      <c r="B695" s="55">
        <v>109</v>
      </c>
      <c r="C695" s="56">
        <v>7</v>
      </c>
      <c r="D695" s="55">
        <v>111</v>
      </c>
    </row>
    <row r="696" spans="1:4">
      <c r="A696" s="54">
        <v>106083</v>
      </c>
      <c r="B696" s="55">
        <v>112</v>
      </c>
      <c r="C696" s="56">
        <v>7</v>
      </c>
      <c r="D696" s="55">
        <v>111</v>
      </c>
    </row>
    <row r="697" spans="1:4">
      <c r="A697" s="54">
        <v>106084</v>
      </c>
      <c r="B697" s="55">
        <v>115</v>
      </c>
      <c r="C697" s="56">
        <v>7</v>
      </c>
      <c r="D697" s="55">
        <v>111</v>
      </c>
    </row>
    <row r="698" spans="1:4">
      <c r="A698" s="54">
        <v>106085</v>
      </c>
      <c r="B698" s="55">
        <v>118</v>
      </c>
      <c r="C698" s="56">
        <v>7</v>
      </c>
      <c r="D698" s="55">
        <v>111</v>
      </c>
    </row>
    <row r="699" spans="1:4">
      <c r="A699" s="54">
        <v>106086</v>
      </c>
      <c r="B699" s="55">
        <v>121</v>
      </c>
      <c r="C699" s="56">
        <v>7</v>
      </c>
      <c r="D699" s="55">
        <v>111</v>
      </c>
    </row>
    <row r="700" spans="1:4">
      <c r="A700" s="54">
        <v>106087</v>
      </c>
      <c r="B700" s="55">
        <v>124</v>
      </c>
      <c r="C700" s="56">
        <v>7</v>
      </c>
      <c r="D700" s="55">
        <v>111</v>
      </c>
    </row>
    <row r="701" spans="1:4">
      <c r="A701" s="54">
        <v>106088</v>
      </c>
      <c r="B701" s="55">
        <v>127</v>
      </c>
      <c r="C701" s="56">
        <v>7</v>
      </c>
      <c r="D701" s="55">
        <v>111</v>
      </c>
    </row>
    <row r="702" spans="1:4">
      <c r="A702" s="54">
        <v>106089</v>
      </c>
      <c r="B702" s="55">
        <v>130</v>
      </c>
      <c r="C702" s="56">
        <v>7</v>
      </c>
      <c r="D702" s="55">
        <v>111</v>
      </c>
    </row>
    <row r="703" spans="1:4">
      <c r="A703" s="54">
        <v>106090</v>
      </c>
      <c r="B703" s="55">
        <v>133</v>
      </c>
      <c r="C703" s="56">
        <v>7</v>
      </c>
      <c r="D703" s="55">
        <v>111</v>
      </c>
    </row>
    <row r="704" spans="1:4">
      <c r="A704" s="54">
        <v>106091</v>
      </c>
      <c r="B704" s="55">
        <v>136</v>
      </c>
      <c r="C704" s="56">
        <v>7</v>
      </c>
      <c r="D704" s="55">
        <v>111</v>
      </c>
    </row>
    <row r="705" spans="1:4">
      <c r="A705" s="54">
        <v>106092</v>
      </c>
      <c r="B705" s="55">
        <v>138</v>
      </c>
      <c r="C705" s="56">
        <v>7</v>
      </c>
      <c r="D705" s="55">
        <v>111</v>
      </c>
    </row>
    <row r="706" spans="1:4">
      <c r="A706" s="54">
        <v>106093</v>
      </c>
      <c r="B706" s="55">
        <v>140</v>
      </c>
      <c r="C706" s="56">
        <v>7</v>
      </c>
      <c r="D706" s="55">
        <v>111</v>
      </c>
    </row>
    <row r="707" spans="1:4">
      <c r="A707" s="54">
        <v>106094</v>
      </c>
      <c r="B707" s="55">
        <v>142</v>
      </c>
      <c r="C707" s="56">
        <v>7</v>
      </c>
      <c r="D707" s="55">
        <v>111</v>
      </c>
    </row>
    <row r="708" spans="1:4">
      <c r="A708" s="54">
        <v>106095</v>
      </c>
      <c r="B708" s="55">
        <v>144</v>
      </c>
      <c r="C708" s="56">
        <v>7</v>
      </c>
      <c r="D708" s="55">
        <v>111</v>
      </c>
    </row>
    <row r="709" spans="1:4">
      <c r="A709" s="54">
        <v>106096</v>
      </c>
      <c r="B709" s="55">
        <v>146</v>
      </c>
      <c r="C709" s="56">
        <v>7</v>
      </c>
      <c r="D709" s="55">
        <v>111</v>
      </c>
    </row>
    <row r="710" spans="1:4">
      <c r="A710" s="54">
        <v>106097</v>
      </c>
      <c r="B710" s="55">
        <v>148</v>
      </c>
      <c r="C710" s="56">
        <v>7</v>
      </c>
      <c r="D710" s="55">
        <v>111</v>
      </c>
    </row>
    <row r="711" spans="1:4">
      <c r="A711" s="54">
        <v>106098</v>
      </c>
      <c r="B711" s="55">
        <v>150</v>
      </c>
      <c r="C711" s="56">
        <v>7</v>
      </c>
      <c r="D711" s="55">
        <v>111</v>
      </c>
    </row>
    <row r="712" spans="1:4">
      <c r="A712" s="54">
        <v>107001</v>
      </c>
      <c r="B712" s="55">
        <v>2</v>
      </c>
      <c r="C712" s="55">
        <v>8</v>
      </c>
      <c r="D712" s="57">
        <v>100</v>
      </c>
    </row>
    <row r="713" spans="1:4">
      <c r="A713" s="54">
        <v>107002</v>
      </c>
      <c r="B713" s="55">
        <v>4</v>
      </c>
      <c r="C713" s="55">
        <v>8</v>
      </c>
      <c r="D713" s="57">
        <v>100</v>
      </c>
    </row>
    <row r="714" spans="1:4">
      <c r="A714" s="54">
        <v>107003</v>
      </c>
      <c r="B714" s="55">
        <v>7</v>
      </c>
      <c r="C714" s="55">
        <v>8</v>
      </c>
      <c r="D714" s="57">
        <v>0</v>
      </c>
    </row>
    <row r="715" spans="1:4">
      <c r="A715" s="54">
        <v>107004</v>
      </c>
      <c r="B715" s="55">
        <v>10</v>
      </c>
      <c r="C715" s="55">
        <v>8</v>
      </c>
      <c r="D715" s="57">
        <v>100</v>
      </c>
    </row>
    <row r="716" spans="1:4">
      <c r="A716" s="54">
        <v>107005</v>
      </c>
      <c r="B716" s="55">
        <v>13</v>
      </c>
      <c r="C716" s="55">
        <v>8</v>
      </c>
      <c r="D716" s="57">
        <v>0</v>
      </c>
    </row>
    <row r="717" spans="1:4">
      <c r="A717" s="54">
        <v>107006</v>
      </c>
      <c r="B717" s="55">
        <v>16</v>
      </c>
      <c r="C717" s="55">
        <v>8</v>
      </c>
      <c r="D717" s="57">
        <v>100</v>
      </c>
    </row>
    <row r="718" spans="1:4">
      <c r="A718" s="54">
        <v>107007</v>
      </c>
      <c r="B718" s="55">
        <v>19</v>
      </c>
      <c r="C718" s="55">
        <v>8</v>
      </c>
      <c r="D718" s="57">
        <v>100</v>
      </c>
    </row>
    <row r="719" spans="1:4">
      <c r="A719" s="54">
        <v>107008</v>
      </c>
      <c r="B719" s="55">
        <v>22</v>
      </c>
      <c r="C719" s="55">
        <v>8</v>
      </c>
      <c r="D719" s="57">
        <v>100</v>
      </c>
    </row>
    <row r="720" spans="1:4">
      <c r="A720" s="54">
        <v>107009</v>
      </c>
      <c r="B720" s="55">
        <v>25</v>
      </c>
      <c r="C720" s="55">
        <v>8</v>
      </c>
      <c r="D720" s="57">
        <v>100</v>
      </c>
    </row>
    <row r="721" spans="1:4">
      <c r="A721" s="54">
        <v>107010</v>
      </c>
      <c r="B721" s="55">
        <v>28</v>
      </c>
      <c r="C721" s="55">
        <v>8</v>
      </c>
      <c r="D721" s="57">
        <v>100</v>
      </c>
    </row>
    <row r="722" spans="1:4">
      <c r="A722" s="54">
        <v>107011</v>
      </c>
      <c r="B722" s="55">
        <v>31</v>
      </c>
      <c r="C722" s="55">
        <v>8</v>
      </c>
      <c r="D722" s="57">
        <v>100</v>
      </c>
    </row>
    <row r="723" spans="1:4">
      <c r="A723" s="54">
        <v>107012</v>
      </c>
      <c r="B723" s="55">
        <v>34</v>
      </c>
      <c r="C723" s="55">
        <v>8</v>
      </c>
      <c r="D723" s="57">
        <v>100</v>
      </c>
    </row>
    <row r="724" spans="1:4">
      <c r="A724" s="54">
        <v>107013</v>
      </c>
      <c r="B724" s="55">
        <v>37</v>
      </c>
      <c r="C724" s="55">
        <v>8</v>
      </c>
      <c r="D724" s="57">
        <v>100</v>
      </c>
    </row>
    <row r="725" spans="1:4">
      <c r="A725" s="54">
        <v>107014</v>
      </c>
      <c r="B725" s="55">
        <v>40</v>
      </c>
      <c r="C725" s="55">
        <v>8</v>
      </c>
      <c r="D725" s="57">
        <v>100</v>
      </c>
    </row>
    <row r="726" spans="1:4">
      <c r="A726" s="54">
        <v>107015</v>
      </c>
      <c r="B726" s="55">
        <v>43</v>
      </c>
      <c r="C726" s="55">
        <v>8</v>
      </c>
      <c r="D726" s="57">
        <v>100</v>
      </c>
    </row>
    <row r="727" spans="1:4">
      <c r="A727" s="54">
        <v>107016</v>
      </c>
      <c r="B727" s="55">
        <v>46</v>
      </c>
      <c r="C727" s="55">
        <v>8</v>
      </c>
      <c r="D727" s="57">
        <v>100</v>
      </c>
    </row>
    <row r="728" spans="1:4">
      <c r="A728" s="54">
        <v>107017</v>
      </c>
      <c r="B728" s="55">
        <v>49</v>
      </c>
      <c r="C728" s="55">
        <v>8</v>
      </c>
      <c r="D728" s="57">
        <v>100</v>
      </c>
    </row>
    <row r="729" spans="1:4">
      <c r="A729" s="54">
        <v>107018</v>
      </c>
      <c r="B729" s="55">
        <v>52</v>
      </c>
      <c r="C729" s="55">
        <v>8</v>
      </c>
      <c r="D729" s="57">
        <v>100</v>
      </c>
    </row>
    <row r="730" spans="1:4">
      <c r="A730" s="54">
        <v>107019</v>
      </c>
      <c r="B730" s="55">
        <v>55</v>
      </c>
      <c r="C730" s="55">
        <v>8</v>
      </c>
      <c r="D730" s="57">
        <v>100</v>
      </c>
    </row>
    <row r="731" spans="1:4">
      <c r="A731" s="54">
        <v>107020</v>
      </c>
      <c r="B731" s="55">
        <v>58</v>
      </c>
      <c r="C731" s="55">
        <v>8</v>
      </c>
      <c r="D731" s="57">
        <v>100</v>
      </c>
    </row>
    <row r="732" spans="1:4">
      <c r="A732" s="54">
        <v>107021</v>
      </c>
      <c r="B732" s="55">
        <v>61</v>
      </c>
      <c r="C732" s="55">
        <v>8</v>
      </c>
      <c r="D732" s="57">
        <v>100</v>
      </c>
    </row>
    <row r="733" spans="1:4">
      <c r="A733" s="54">
        <v>107022</v>
      </c>
      <c r="B733" s="55">
        <v>64</v>
      </c>
      <c r="C733" s="55">
        <v>8</v>
      </c>
      <c r="D733" s="57">
        <v>100</v>
      </c>
    </row>
    <row r="734" spans="1:4">
      <c r="A734" s="54">
        <v>107023</v>
      </c>
      <c r="B734" s="55">
        <v>67</v>
      </c>
      <c r="C734" s="55">
        <v>8</v>
      </c>
      <c r="D734" s="57">
        <v>100</v>
      </c>
    </row>
    <row r="735" spans="1:4">
      <c r="A735" s="54">
        <v>107024</v>
      </c>
      <c r="B735" s="55">
        <v>70</v>
      </c>
      <c r="C735" s="55">
        <v>8</v>
      </c>
      <c r="D735" s="57">
        <v>100</v>
      </c>
    </row>
    <row r="736" spans="1:4">
      <c r="A736" s="54">
        <v>107025</v>
      </c>
      <c r="B736" s="55">
        <v>73</v>
      </c>
      <c r="C736" s="55">
        <v>8</v>
      </c>
      <c r="D736" s="57">
        <v>100</v>
      </c>
    </row>
    <row r="737" spans="1:4">
      <c r="A737" s="54">
        <v>107026</v>
      </c>
      <c r="B737" s="55">
        <v>76</v>
      </c>
      <c r="C737" s="55">
        <v>8</v>
      </c>
      <c r="D737" s="57">
        <v>0</v>
      </c>
    </row>
    <row r="738" spans="1:4">
      <c r="A738" s="54">
        <v>107027</v>
      </c>
      <c r="B738" s="55">
        <v>79</v>
      </c>
      <c r="C738" s="55">
        <v>8</v>
      </c>
      <c r="D738" s="57">
        <v>100</v>
      </c>
    </row>
    <row r="739" spans="1:4">
      <c r="A739" s="54">
        <v>107028</v>
      </c>
      <c r="B739" s="55">
        <v>82</v>
      </c>
      <c r="C739" s="55">
        <v>8</v>
      </c>
      <c r="D739" s="57">
        <v>100</v>
      </c>
    </row>
    <row r="740" spans="1:4">
      <c r="A740" s="54">
        <v>107029</v>
      </c>
      <c r="B740" s="55">
        <v>85</v>
      </c>
      <c r="C740" s="55">
        <v>8</v>
      </c>
      <c r="D740" s="57">
        <v>100</v>
      </c>
    </row>
    <row r="741" spans="1:4">
      <c r="A741" s="54">
        <v>107030</v>
      </c>
      <c r="B741" s="55">
        <v>88</v>
      </c>
      <c r="C741" s="55">
        <v>8</v>
      </c>
      <c r="D741" s="57">
        <v>100</v>
      </c>
    </row>
    <row r="742" spans="1:4">
      <c r="A742" s="54">
        <v>107031</v>
      </c>
      <c r="B742" s="55">
        <v>91</v>
      </c>
      <c r="C742" s="55">
        <v>8</v>
      </c>
      <c r="D742" s="57">
        <v>100</v>
      </c>
    </row>
    <row r="743" spans="1:4">
      <c r="A743" s="54">
        <v>107032</v>
      </c>
      <c r="B743" s="55">
        <v>94</v>
      </c>
      <c r="C743" s="55">
        <v>8</v>
      </c>
      <c r="D743" s="57">
        <v>100</v>
      </c>
    </row>
    <row r="744" spans="1:4">
      <c r="A744" s="54">
        <v>107033</v>
      </c>
      <c r="B744" s="55">
        <v>97</v>
      </c>
      <c r="C744" s="55">
        <v>8</v>
      </c>
      <c r="D744" s="57">
        <v>100</v>
      </c>
    </row>
    <row r="745" spans="1:4">
      <c r="A745" s="54">
        <v>107034</v>
      </c>
      <c r="B745" s="55">
        <v>100</v>
      </c>
      <c r="C745" s="55">
        <v>8</v>
      </c>
      <c r="D745" s="57">
        <v>100</v>
      </c>
    </row>
    <row r="746" spans="1:4">
      <c r="A746" s="54">
        <v>107035</v>
      </c>
      <c r="B746" s="55">
        <v>103</v>
      </c>
      <c r="C746" s="55">
        <v>8</v>
      </c>
      <c r="D746" s="57">
        <v>100</v>
      </c>
    </row>
    <row r="747" spans="1:4">
      <c r="A747" s="54">
        <v>107036</v>
      </c>
      <c r="B747" s="55">
        <v>106</v>
      </c>
      <c r="C747" s="55">
        <v>8</v>
      </c>
      <c r="D747" s="57">
        <v>100</v>
      </c>
    </row>
    <row r="748" spans="1:4">
      <c r="A748" s="54">
        <v>107037</v>
      </c>
      <c r="B748" s="55">
        <v>109</v>
      </c>
      <c r="C748" s="55">
        <v>8</v>
      </c>
      <c r="D748" s="57">
        <v>100</v>
      </c>
    </row>
    <row r="749" spans="1:4">
      <c r="A749" s="54">
        <v>107038</v>
      </c>
      <c r="B749" s="55">
        <v>112</v>
      </c>
      <c r="C749" s="55">
        <v>8</v>
      </c>
      <c r="D749" s="57">
        <v>100</v>
      </c>
    </row>
    <row r="750" spans="1:4">
      <c r="A750" s="54">
        <v>107039</v>
      </c>
      <c r="B750" s="55">
        <v>115</v>
      </c>
      <c r="C750" s="55">
        <v>8</v>
      </c>
      <c r="D750" s="57">
        <v>100</v>
      </c>
    </row>
    <row r="751" spans="1:4">
      <c r="A751" s="54">
        <v>107040</v>
      </c>
      <c r="B751" s="55">
        <v>118</v>
      </c>
      <c r="C751" s="55">
        <v>8</v>
      </c>
      <c r="D751" s="57">
        <v>100</v>
      </c>
    </row>
    <row r="752" spans="1:4">
      <c r="A752" s="54">
        <v>107041</v>
      </c>
      <c r="B752" s="55">
        <v>121</v>
      </c>
      <c r="C752" s="55">
        <v>8</v>
      </c>
      <c r="D752" s="57">
        <v>100</v>
      </c>
    </row>
    <row r="753" spans="1:4">
      <c r="A753" s="54">
        <v>107042</v>
      </c>
      <c r="B753" s="55">
        <v>124</v>
      </c>
      <c r="C753" s="55">
        <v>8</v>
      </c>
      <c r="D753" s="57">
        <v>100</v>
      </c>
    </row>
    <row r="754" spans="1:4">
      <c r="A754" s="54">
        <v>107043</v>
      </c>
      <c r="B754" s="55">
        <v>127</v>
      </c>
      <c r="C754" s="55">
        <v>8</v>
      </c>
      <c r="D754" s="57">
        <v>100</v>
      </c>
    </row>
    <row r="755" spans="1:4">
      <c r="A755" s="54">
        <v>107044</v>
      </c>
      <c r="B755" s="55">
        <v>130</v>
      </c>
      <c r="C755" s="55">
        <v>8</v>
      </c>
      <c r="D755" s="57">
        <v>100</v>
      </c>
    </row>
    <row r="756" spans="1:4">
      <c r="A756" s="54">
        <v>107045</v>
      </c>
      <c r="B756" s="55">
        <v>133</v>
      </c>
      <c r="C756" s="55">
        <v>8</v>
      </c>
      <c r="D756" s="57">
        <v>100</v>
      </c>
    </row>
    <row r="757" spans="1:4">
      <c r="A757" s="54">
        <v>107046</v>
      </c>
      <c r="B757" s="55">
        <v>136</v>
      </c>
      <c r="C757" s="55">
        <v>8</v>
      </c>
      <c r="D757" s="57">
        <v>100</v>
      </c>
    </row>
    <row r="758" spans="1:4">
      <c r="A758" s="54">
        <v>107047</v>
      </c>
      <c r="B758" s="55">
        <v>138</v>
      </c>
      <c r="C758" s="55">
        <v>8</v>
      </c>
      <c r="D758" s="57">
        <v>100</v>
      </c>
    </row>
    <row r="759" spans="1:4">
      <c r="A759" s="54">
        <v>107048</v>
      </c>
      <c r="B759" s="55">
        <v>140</v>
      </c>
      <c r="C759" s="55">
        <v>8</v>
      </c>
      <c r="D759" s="57">
        <v>100</v>
      </c>
    </row>
    <row r="760" spans="1:4">
      <c r="A760" s="54">
        <v>107049</v>
      </c>
      <c r="B760" s="55">
        <v>142</v>
      </c>
      <c r="C760" s="55">
        <v>8</v>
      </c>
      <c r="D760" s="57">
        <v>100</v>
      </c>
    </row>
    <row r="761" spans="1:4">
      <c r="A761" s="54">
        <v>107050</v>
      </c>
      <c r="B761" s="55">
        <v>144</v>
      </c>
      <c r="C761" s="55">
        <v>8</v>
      </c>
      <c r="D761" s="57">
        <v>100</v>
      </c>
    </row>
    <row r="762" spans="1:4">
      <c r="A762" s="54">
        <v>107051</v>
      </c>
      <c r="B762" s="55">
        <v>146</v>
      </c>
      <c r="C762" s="55">
        <v>8</v>
      </c>
      <c r="D762" s="57">
        <v>100</v>
      </c>
    </row>
    <row r="763" spans="1:4">
      <c r="A763" s="54">
        <v>107052</v>
      </c>
      <c r="B763" s="55">
        <v>148</v>
      </c>
      <c r="C763" s="55">
        <v>8</v>
      </c>
      <c r="D763" s="57">
        <v>100</v>
      </c>
    </row>
    <row r="764" spans="1:4">
      <c r="A764" s="54">
        <v>107053</v>
      </c>
      <c r="B764" s="55">
        <v>150</v>
      </c>
      <c r="C764" s="55">
        <v>8</v>
      </c>
      <c r="D764" s="57">
        <v>100</v>
      </c>
    </row>
    <row r="765" spans="1:4">
      <c r="A765" s="54">
        <v>107054</v>
      </c>
      <c r="B765" s="58">
        <v>3</v>
      </c>
      <c r="C765" s="55">
        <v>8</v>
      </c>
      <c r="D765" s="57">
        <v>100</v>
      </c>
    </row>
    <row r="766" spans="1:4">
      <c r="A766" s="54">
        <v>107055</v>
      </c>
      <c r="B766" s="58">
        <v>5</v>
      </c>
      <c r="C766" s="55">
        <v>8</v>
      </c>
      <c r="D766" s="57">
        <v>100</v>
      </c>
    </row>
    <row r="767" spans="1:4">
      <c r="A767" s="54">
        <v>107056</v>
      </c>
      <c r="B767" s="58">
        <v>8</v>
      </c>
      <c r="C767" s="55">
        <v>8</v>
      </c>
      <c r="D767" s="57">
        <v>0</v>
      </c>
    </row>
    <row r="768" spans="1:4">
      <c r="A768" s="54">
        <v>107057</v>
      </c>
      <c r="B768" s="58">
        <v>11</v>
      </c>
      <c r="C768" s="55">
        <v>8</v>
      </c>
      <c r="D768" s="57">
        <v>100</v>
      </c>
    </row>
    <row r="769" spans="1:4">
      <c r="A769" s="54">
        <v>107058</v>
      </c>
      <c r="B769" s="58">
        <v>14</v>
      </c>
      <c r="C769" s="55">
        <v>8</v>
      </c>
      <c r="D769" s="57">
        <v>0</v>
      </c>
    </row>
    <row r="770" spans="1:4">
      <c r="A770" s="54">
        <v>107059</v>
      </c>
      <c r="B770" s="58">
        <v>17</v>
      </c>
      <c r="C770" s="55">
        <v>8</v>
      </c>
      <c r="D770" s="57">
        <v>100</v>
      </c>
    </row>
    <row r="771" spans="1:4">
      <c r="A771" s="54">
        <v>107060</v>
      </c>
      <c r="B771" s="58">
        <v>20</v>
      </c>
      <c r="C771" s="55">
        <v>8</v>
      </c>
      <c r="D771" s="57">
        <v>100</v>
      </c>
    </row>
    <row r="772" spans="1:4">
      <c r="A772" s="54">
        <v>107061</v>
      </c>
      <c r="B772" s="58">
        <v>23</v>
      </c>
      <c r="C772" s="55">
        <v>8</v>
      </c>
      <c r="D772" s="57">
        <v>100</v>
      </c>
    </row>
    <row r="773" spans="1:4">
      <c r="A773" s="54">
        <v>107062</v>
      </c>
      <c r="B773" s="58">
        <v>26</v>
      </c>
      <c r="C773" s="55">
        <v>8</v>
      </c>
      <c r="D773" s="57">
        <v>100</v>
      </c>
    </row>
    <row r="774" spans="1:4">
      <c r="A774" s="54">
        <v>107063</v>
      </c>
      <c r="B774" s="58">
        <v>29</v>
      </c>
      <c r="C774" s="55">
        <v>8</v>
      </c>
      <c r="D774" s="57">
        <v>100</v>
      </c>
    </row>
    <row r="775" spans="1:4">
      <c r="A775" s="54">
        <v>107064</v>
      </c>
      <c r="B775" s="58">
        <v>32</v>
      </c>
      <c r="C775" s="55">
        <v>8</v>
      </c>
      <c r="D775" s="57">
        <v>100</v>
      </c>
    </row>
    <row r="776" spans="1:4">
      <c r="A776" s="54">
        <v>107065</v>
      </c>
      <c r="B776" s="58">
        <v>35</v>
      </c>
      <c r="C776" s="55">
        <v>8</v>
      </c>
      <c r="D776" s="57">
        <v>100</v>
      </c>
    </row>
    <row r="777" spans="1:4">
      <c r="A777" s="54">
        <v>107066</v>
      </c>
      <c r="B777" s="58">
        <v>38</v>
      </c>
      <c r="C777" s="55">
        <v>8</v>
      </c>
      <c r="D777" s="57">
        <v>100</v>
      </c>
    </row>
    <row r="778" spans="1:4">
      <c r="A778" s="54">
        <v>107067</v>
      </c>
      <c r="B778" s="58">
        <v>41</v>
      </c>
      <c r="C778" s="55">
        <v>8</v>
      </c>
      <c r="D778" s="57">
        <v>100</v>
      </c>
    </row>
    <row r="779" spans="1:4">
      <c r="A779" s="54">
        <v>107068</v>
      </c>
      <c r="B779" s="58">
        <v>44</v>
      </c>
      <c r="C779" s="55">
        <v>8</v>
      </c>
      <c r="D779" s="57">
        <v>100</v>
      </c>
    </row>
    <row r="780" spans="1:4">
      <c r="A780" s="54">
        <v>107069</v>
      </c>
      <c r="B780" s="58">
        <v>47</v>
      </c>
      <c r="C780" s="55">
        <v>8</v>
      </c>
      <c r="D780" s="57">
        <v>100</v>
      </c>
    </row>
    <row r="781" spans="1:4">
      <c r="A781" s="54">
        <v>107070</v>
      </c>
      <c r="B781" s="58">
        <v>50</v>
      </c>
      <c r="C781" s="55">
        <v>8</v>
      </c>
      <c r="D781" s="57">
        <v>100</v>
      </c>
    </row>
    <row r="782" spans="1:4">
      <c r="A782" s="54">
        <v>107071</v>
      </c>
      <c r="B782" s="58">
        <v>53</v>
      </c>
      <c r="C782" s="55">
        <v>8</v>
      </c>
      <c r="D782" s="57">
        <v>100</v>
      </c>
    </row>
    <row r="783" spans="1:4">
      <c r="A783" s="54">
        <v>107072</v>
      </c>
      <c r="B783" s="58">
        <v>56</v>
      </c>
      <c r="C783" s="55">
        <v>8</v>
      </c>
      <c r="D783" s="57">
        <v>100</v>
      </c>
    </row>
    <row r="784" spans="1:4">
      <c r="A784" s="54">
        <v>107073</v>
      </c>
      <c r="B784" s="58">
        <v>59</v>
      </c>
      <c r="C784" s="55">
        <v>8</v>
      </c>
      <c r="D784" s="57">
        <v>100</v>
      </c>
    </row>
    <row r="785" spans="1:4">
      <c r="A785" s="54">
        <v>107074</v>
      </c>
      <c r="B785" s="58">
        <v>62</v>
      </c>
      <c r="C785" s="55">
        <v>8</v>
      </c>
      <c r="D785" s="57">
        <v>100</v>
      </c>
    </row>
    <row r="786" spans="1:4">
      <c r="A786" s="54">
        <v>107075</v>
      </c>
      <c r="B786" s="58">
        <v>65</v>
      </c>
      <c r="C786" s="55">
        <v>8</v>
      </c>
      <c r="D786" s="57">
        <v>100</v>
      </c>
    </row>
    <row r="787" spans="1:4">
      <c r="A787" s="54">
        <v>107076</v>
      </c>
      <c r="B787" s="58">
        <v>68</v>
      </c>
      <c r="C787" s="55">
        <v>8</v>
      </c>
      <c r="D787" s="57">
        <v>100</v>
      </c>
    </row>
    <row r="788" spans="1:4">
      <c r="A788" s="54">
        <v>107077</v>
      </c>
      <c r="B788" s="58">
        <v>71</v>
      </c>
      <c r="C788" s="55">
        <v>8</v>
      </c>
      <c r="D788" s="57">
        <v>100</v>
      </c>
    </row>
    <row r="789" spans="1:4">
      <c r="A789" s="54">
        <v>107078</v>
      </c>
      <c r="B789" s="58">
        <v>74</v>
      </c>
      <c r="C789" s="55">
        <v>8</v>
      </c>
      <c r="D789" s="57">
        <v>100</v>
      </c>
    </row>
    <row r="790" spans="1:4">
      <c r="A790" s="54">
        <v>107079</v>
      </c>
      <c r="B790" s="58">
        <v>77</v>
      </c>
      <c r="C790" s="55">
        <v>8</v>
      </c>
      <c r="D790" s="57">
        <v>0</v>
      </c>
    </row>
    <row r="791" spans="1:4">
      <c r="A791" s="54">
        <v>107080</v>
      </c>
      <c r="B791" s="58">
        <v>80</v>
      </c>
      <c r="C791" s="55">
        <v>8</v>
      </c>
      <c r="D791" s="57">
        <v>100</v>
      </c>
    </row>
    <row r="792" spans="1:4">
      <c r="A792" s="54">
        <v>107081</v>
      </c>
      <c r="B792" s="58">
        <v>83</v>
      </c>
      <c r="C792" s="55">
        <v>8</v>
      </c>
      <c r="D792" s="57">
        <v>100</v>
      </c>
    </row>
    <row r="793" spans="1:4">
      <c r="A793" s="54">
        <v>107082</v>
      </c>
      <c r="B793" s="58">
        <v>86</v>
      </c>
      <c r="C793" s="55">
        <v>8</v>
      </c>
      <c r="D793" s="57">
        <v>100</v>
      </c>
    </row>
    <row r="794" spans="1:4">
      <c r="A794" s="54">
        <v>107083</v>
      </c>
      <c r="B794" s="58">
        <v>89</v>
      </c>
      <c r="C794" s="55">
        <v>8</v>
      </c>
      <c r="D794" s="57">
        <v>100</v>
      </c>
    </row>
    <row r="795" spans="1:4">
      <c r="A795" s="54">
        <v>107084</v>
      </c>
      <c r="B795" s="58">
        <v>92</v>
      </c>
      <c r="C795" s="55">
        <v>8</v>
      </c>
      <c r="D795" s="57">
        <v>100</v>
      </c>
    </row>
    <row r="796" spans="1:4">
      <c r="A796" s="54">
        <v>107085</v>
      </c>
      <c r="B796" s="58">
        <v>95</v>
      </c>
      <c r="C796" s="55">
        <v>8</v>
      </c>
      <c r="D796" s="57">
        <v>100</v>
      </c>
    </row>
    <row r="797" spans="1:4">
      <c r="A797" s="54">
        <v>107086</v>
      </c>
      <c r="B797" s="58">
        <v>98</v>
      </c>
      <c r="C797" s="55">
        <v>8</v>
      </c>
      <c r="D797" s="57">
        <v>100</v>
      </c>
    </row>
    <row r="798" spans="1:4">
      <c r="A798" s="54">
        <v>107087</v>
      </c>
      <c r="B798" s="58">
        <v>101</v>
      </c>
      <c r="C798" s="55">
        <v>8</v>
      </c>
      <c r="D798" s="57">
        <v>100</v>
      </c>
    </row>
    <row r="799" spans="1:4">
      <c r="A799" s="54">
        <v>107088</v>
      </c>
      <c r="B799" s="58">
        <v>104</v>
      </c>
      <c r="C799" s="55">
        <v>8</v>
      </c>
      <c r="D799" s="57">
        <v>100</v>
      </c>
    </row>
    <row r="800" spans="1:4">
      <c r="A800" s="54">
        <v>107089</v>
      </c>
      <c r="B800" s="58">
        <v>107</v>
      </c>
      <c r="C800" s="55">
        <v>8</v>
      </c>
      <c r="D800" s="57">
        <v>100</v>
      </c>
    </row>
    <row r="801" spans="1:4">
      <c r="A801" s="54">
        <v>107090</v>
      </c>
      <c r="B801" s="58">
        <v>110</v>
      </c>
      <c r="C801" s="55">
        <v>8</v>
      </c>
      <c r="D801" s="57">
        <v>100</v>
      </c>
    </row>
    <row r="802" spans="1:4">
      <c r="A802" s="54">
        <v>107091</v>
      </c>
      <c r="B802" s="58">
        <v>113</v>
      </c>
      <c r="C802" s="55">
        <v>8</v>
      </c>
      <c r="D802" s="57">
        <v>100</v>
      </c>
    </row>
    <row r="803" spans="1:4">
      <c r="A803" s="54">
        <v>107092</v>
      </c>
      <c r="B803" s="58">
        <v>116</v>
      </c>
      <c r="C803" s="55">
        <v>8</v>
      </c>
      <c r="D803" s="57">
        <v>100</v>
      </c>
    </row>
    <row r="804" spans="1:4">
      <c r="A804" s="54">
        <v>107093</v>
      </c>
      <c r="B804" s="58">
        <v>119</v>
      </c>
      <c r="C804" s="55">
        <v>8</v>
      </c>
      <c r="D804" s="57">
        <v>100</v>
      </c>
    </row>
    <row r="805" spans="1:4">
      <c r="A805" s="54">
        <v>107094</v>
      </c>
      <c r="B805" s="58">
        <v>122</v>
      </c>
      <c r="C805" s="55">
        <v>8</v>
      </c>
      <c r="D805" s="57">
        <v>100</v>
      </c>
    </row>
    <row r="806" spans="1:4">
      <c r="A806" s="54">
        <v>107095</v>
      </c>
      <c r="B806" s="58">
        <v>125</v>
      </c>
      <c r="C806" s="55">
        <v>8</v>
      </c>
      <c r="D806" s="57">
        <v>100</v>
      </c>
    </row>
    <row r="807" spans="1:4">
      <c r="A807" s="54">
        <v>107096</v>
      </c>
      <c r="B807" s="58">
        <v>128</v>
      </c>
      <c r="C807" s="55">
        <v>8</v>
      </c>
      <c r="D807" s="57">
        <v>100</v>
      </c>
    </row>
    <row r="808" spans="1:4">
      <c r="A808" s="54">
        <v>107097</v>
      </c>
      <c r="B808" s="58">
        <v>131</v>
      </c>
      <c r="C808" s="55">
        <v>8</v>
      </c>
      <c r="D808" s="57">
        <v>100</v>
      </c>
    </row>
    <row r="809" spans="1:4">
      <c r="A809" s="54">
        <v>107098</v>
      </c>
      <c r="B809" s="58">
        <v>134</v>
      </c>
      <c r="C809" s="55">
        <v>8</v>
      </c>
      <c r="D809" s="57">
        <v>100</v>
      </c>
    </row>
    <row r="810" spans="1:4">
      <c r="A810" s="54">
        <v>107099</v>
      </c>
      <c r="B810" s="58">
        <v>137</v>
      </c>
      <c r="C810" s="55">
        <v>8</v>
      </c>
      <c r="D810" s="57">
        <v>100</v>
      </c>
    </row>
    <row r="811" spans="1:4">
      <c r="A811" s="54">
        <v>107100</v>
      </c>
      <c r="B811" s="58">
        <v>139</v>
      </c>
      <c r="C811" s="55">
        <v>8</v>
      </c>
      <c r="D811" s="57">
        <v>100</v>
      </c>
    </row>
    <row r="812" spans="1:4">
      <c r="A812" s="54">
        <v>107101</v>
      </c>
      <c r="B812" s="58">
        <v>141</v>
      </c>
      <c r="C812" s="55">
        <v>8</v>
      </c>
      <c r="D812" s="57">
        <v>100</v>
      </c>
    </row>
    <row r="813" spans="1:4">
      <c r="A813" s="54">
        <v>107102</v>
      </c>
      <c r="B813" s="58">
        <v>143</v>
      </c>
      <c r="C813" s="55">
        <v>8</v>
      </c>
      <c r="D813" s="57">
        <v>100</v>
      </c>
    </row>
    <row r="814" spans="1:4">
      <c r="A814" s="54">
        <v>107103</v>
      </c>
      <c r="B814" s="58">
        <v>145</v>
      </c>
      <c r="C814" s="55">
        <v>8</v>
      </c>
      <c r="D814" s="57">
        <v>100</v>
      </c>
    </row>
    <row r="815" spans="1:4">
      <c r="A815" s="54">
        <v>107104</v>
      </c>
      <c r="B815" s="58">
        <v>147</v>
      </c>
      <c r="C815" s="55">
        <v>8</v>
      </c>
      <c r="D815" s="57">
        <v>100</v>
      </c>
    </row>
    <row r="816" spans="1:4">
      <c r="A816" s="54">
        <v>107105</v>
      </c>
      <c r="B816" s="58">
        <v>149</v>
      </c>
      <c r="C816" s="55">
        <v>8</v>
      </c>
      <c r="D816" s="57">
        <v>100</v>
      </c>
    </row>
    <row r="817" spans="1:4">
      <c r="A817" s="54">
        <v>107106</v>
      </c>
      <c r="B817" s="58">
        <v>151</v>
      </c>
      <c r="C817" s="55">
        <v>8</v>
      </c>
      <c r="D817" s="57">
        <v>100</v>
      </c>
    </row>
    <row r="818" spans="1:4">
      <c r="A818" s="54">
        <v>108001</v>
      </c>
      <c r="B818" s="28">
        <v>3</v>
      </c>
      <c r="C818" s="28">
        <v>9</v>
      </c>
      <c r="D818" s="57">
        <v>100</v>
      </c>
    </row>
    <row r="819" spans="1:4">
      <c r="A819" s="54">
        <v>108002</v>
      </c>
      <c r="B819" s="28">
        <v>5</v>
      </c>
      <c r="C819" s="28">
        <v>9</v>
      </c>
      <c r="D819" s="57">
        <v>100</v>
      </c>
    </row>
    <row r="820" spans="1:4">
      <c r="A820" s="54">
        <v>108003</v>
      </c>
      <c r="B820" s="28">
        <v>8</v>
      </c>
      <c r="C820" s="28">
        <v>9</v>
      </c>
      <c r="D820" s="57">
        <v>0</v>
      </c>
    </row>
    <row r="821" spans="1:4">
      <c r="A821" s="54">
        <v>108004</v>
      </c>
      <c r="B821" s="28">
        <v>11</v>
      </c>
      <c r="C821" s="28">
        <v>9</v>
      </c>
      <c r="D821" s="57">
        <v>100</v>
      </c>
    </row>
    <row r="822" spans="1:4">
      <c r="A822" s="54">
        <v>108005</v>
      </c>
      <c r="B822" s="28">
        <v>14</v>
      </c>
      <c r="C822" s="28">
        <v>9</v>
      </c>
      <c r="D822" s="57">
        <v>0</v>
      </c>
    </row>
    <row r="823" spans="1:4">
      <c r="A823" s="54">
        <v>108006</v>
      </c>
      <c r="B823" s="28">
        <v>17</v>
      </c>
      <c r="C823" s="28">
        <v>9</v>
      </c>
      <c r="D823" s="57">
        <v>100</v>
      </c>
    </row>
    <row r="824" spans="1:4">
      <c r="A824" s="54">
        <v>108007</v>
      </c>
      <c r="B824" s="28">
        <v>20</v>
      </c>
      <c r="C824" s="28">
        <v>9</v>
      </c>
      <c r="D824" s="57">
        <v>100</v>
      </c>
    </row>
    <row r="825" spans="1:4">
      <c r="A825" s="54">
        <v>108008</v>
      </c>
      <c r="B825" s="28">
        <v>23</v>
      </c>
      <c r="C825" s="28">
        <v>9</v>
      </c>
      <c r="D825" s="57">
        <v>100</v>
      </c>
    </row>
    <row r="826" spans="1:4">
      <c r="A826" s="54">
        <v>108009</v>
      </c>
      <c r="B826" s="28">
        <v>26</v>
      </c>
      <c r="C826" s="28">
        <v>9</v>
      </c>
      <c r="D826" s="57">
        <v>100</v>
      </c>
    </row>
    <row r="827" spans="1:4">
      <c r="A827" s="54">
        <v>108010</v>
      </c>
      <c r="B827" s="28">
        <v>29</v>
      </c>
      <c r="C827" s="28">
        <v>9</v>
      </c>
      <c r="D827" s="57">
        <v>100</v>
      </c>
    </row>
    <row r="828" spans="1:4">
      <c r="A828" s="54">
        <v>108011</v>
      </c>
      <c r="B828" s="28">
        <v>32</v>
      </c>
      <c r="C828" s="28">
        <v>9</v>
      </c>
      <c r="D828" s="57">
        <v>100</v>
      </c>
    </row>
    <row r="829" spans="1:4">
      <c r="A829" s="54">
        <v>108012</v>
      </c>
      <c r="B829" s="28">
        <v>35</v>
      </c>
      <c r="C829" s="28">
        <v>9</v>
      </c>
      <c r="D829" s="57">
        <v>100</v>
      </c>
    </row>
    <row r="830" spans="1:4">
      <c r="A830" s="54">
        <v>108013</v>
      </c>
      <c r="B830" s="28">
        <v>38</v>
      </c>
      <c r="C830" s="28">
        <v>9</v>
      </c>
      <c r="D830" s="57">
        <v>100</v>
      </c>
    </row>
    <row r="831" spans="1:4">
      <c r="A831" s="54">
        <v>108014</v>
      </c>
      <c r="B831" s="28">
        <v>41</v>
      </c>
      <c r="C831" s="28">
        <v>9</v>
      </c>
      <c r="D831" s="57">
        <v>100</v>
      </c>
    </row>
    <row r="832" spans="1:4">
      <c r="A832" s="54">
        <v>108015</v>
      </c>
      <c r="B832" s="28">
        <v>44</v>
      </c>
      <c r="C832" s="28">
        <v>9</v>
      </c>
      <c r="D832" s="57">
        <v>100</v>
      </c>
    </row>
    <row r="833" spans="1:4">
      <c r="A833" s="54">
        <v>108016</v>
      </c>
      <c r="B833" s="28">
        <v>47</v>
      </c>
      <c r="C833" s="28">
        <v>9</v>
      </c>
      <c r="D833" s="57">
        <v>100</v>
      </c>
    </row>
    <row r="834" spans="1:4">
      <c r="A834" s="54">
        <v>108017</v>
      </c>
      <c r="B834" s="28">
        <v>50</v>
      </c>
      <c r="C834" s="28">
        <v>9</v>
      </c>
      <c r="D834" s="57">
        <v>100</v>
      </c>
    </row>
    <row r="835" spans="1:4">
      <c r="A835" s="54">
        <v>108018</v>
      </c>
      <c r="B835" s="28">
        <v>53</v>
      </c>
      <c r="C835" s="28">
        <v>9</v>
      </c>
      <c r="D835" s="57">
        <v>100</v>
      </c>
    </row>
    <row r="836" spans="1:4">
      <c r="A836" s="54">
        <v>108019</v>
      </c>
      <c r="B836" s="28">
        <v>56</v>
      </c>
      <c r="C836" s="28">
        <v>9</v>
      </c>
      <c r="D836" s="57">
        <v>100</v>
      </c>
    </row>
    <row r="837" spans="1:4">
      <c r="A837" s="54">
        <v>108020</v>
      </c>
      <c r="B837" s="28">
        <v>59</v>
      </c>
      <c r="C837" s="28">
        <v>9</v>
      </c>
      <c r="D837" s="57">
        <v>100</v>
      </c>
    </row>
    <row r="838" spans="1:4">
      <c r="A838" s="54">
        <v>108021</v>
      </c>
      <c r="B838" s="28">
        <v>62</v>
      </c>
      <c r="C838" s="28">
        <v>9</v>
      </c>
      <c r="D838" s="57">
        <v>100</v>
      </c>
    </row>
    <row r="839" spans="1:4">
      <c r="A839" s="54">
        <v>108022</v>
      </c>
      <c r="B839" s="28">
        <v>65</v>
      </c>
      <c r="C839" s="28">
        <v>9</v>
      </c>
      <c r="D839" s="57">
        <v>100</v>
      </c>
    </row>
    <row r="840" spans="1:4">
      <c r="A840" s="54">
        <v>108023</v>
      </c>
      <c r="B840" s="28">
        <v>68</v>
      </c>
      <c r="C840" s="28">
        <v>9</v>
      </c>
      <c r="D840" s="57">
        <v>100</v>
      </c>
    </row>
    <row r="841" spans="1:4">
      <c r="A841" s="54">
        <v>108024</v>
      </c>
      <c r="B841" s="28">
        <v>71</v>
      </c>
      <c r="C841" s="28">
        <v>9</v>
      </c>
      <c r="D841" s="57">
        <v>100</v>
      </c>
    </row>
    <row r="842" spans="1:4">
      <c r="A842" s="54">
        <v>108025</v>
      </c>
      <c r="B842" s="28">
        <v>74</v>
      </c>
      <c r="C842" s="28">
        <v>9</v>
      </c>
      <c r="D842" s="57">
        <v>100</v>
      </c>
    </row>
    <row r="843" spans="1:4">
      <c r="A843" s="54">
        <v>108026</v>
      </c>
      <c r="B843" s="28">
        <v>77</v>
      </c>
      <c r="C843" s="28">
        <v>9</v>
      </c>
      <c r="D843" s="57">
        <v>0</v>
      </c>
    </row>
    <row r="844" spans="1:4">
      <c r="A844" s="54">
        <v>108027</v>
      </c>
      <c r="B844" s="28">
        <v>80</v>
      </c>
      <c r="C844" s="28">
        <v>9</v>
      </c>
      <c r="D844" s="57">
        <v>100</v>
      </c>
    </row>
    <row r="845" spans="1:4">
      <c r="A845" s="54">
        <v>108028</v>
      </c>
      <c r="B845" s="28">
        <v>83</v>
      </c>
      <c r="C845" s="28">
        <v>9</v>
      </c>
      <c r="D845" s="57">
        <v>100</v>
      </c>
    </row>
    <row r="846" spans="1:4">
      <c r="A846" s="54">
        <v>108029</v>
      </c>
      <c r="B846" s="28">
        <v>86</v>
      </c>
      <c r="C846" s="28">
        <v>9</v>
      </c>
      <c r="D846" s="57">
        <v>100</v>
      </c>
    </row>
    <row r="847" spans="1:4">
      <c r="A847" s="54">
        <v>108030</v>
      </c>
      <c r="B847" s="28">
        <v>89</v>
      </c>
      <c r="C847" s="28">
        <v>9</v>
      </c>
      <c r="D847" s="57">
        <v>100</v>
      </c>
    </row>
    <row r="848" spans="1:4">
      <c r="A848" s="54">
        <v>108031</v>
      </c>
      <c r="B848" s="28">
        <v>92</v>
      </c>
      <c r="C848" s="28">
        <v>9</v>
      </c>
      <c r="D848" s="57">
        <v>100</v>
      </c>
    </row>
    <row r="849" spans="1:4">
      <c r="A849" s="54">
        <v>108032</v>
      </c>
      <c r="B849" s="28">
        <v>95</v>
      </c>
      <c r="C849" s="28">
        <v>9</v>
      </c>
      <c r="D849" s="57">
        <v>100</v>
      </c>
    </row>
    <row r="850" spans="1:4">
      <c r="A850" s="54">
        <v>108033</v>
      </c>
      <c r="B850" s="28">
        <v>98</v>
      </c>
      <c r="C850" s="28">
        <v>9</v>
      </c>
      <c r="D850" s="57">
        <v>100</v>
      </c>
    </row>
    <row r="851" spans="1:4">
      <c r="A851" s="54">
        <v>108034</v>
      </c>
      <c r="B851" s="28">
        <v>101</v>
      </c>
      <c r="C851" s="28">
        <v>9</v>
      </c>
      <c r="D851" s="57">
        <v>100</v>
      </c>
    </row>
    <row r="852" spans="1:4">
      <c r="A852" s="54">
        <v>108035</v>
      </c>
      <c r="B852" s="28">
        <v>104</v>
      </c>
      <c r="C852" s="28">
        <v>9</v>
      </c>
      <c r="D852" s="57">
        <v>100</v>
      </c>
    </row>
    <row r="853" spans="1:4">
      <c r="A853" s="54">
        <v>108036</v>
      </c>
      <c r="B853" s="28">
        <v>107</v>
      </c>
      <c r="C853" s="28">
        <v>9</v>
      </c>
      <c r="D853" s="57">
        <v>100</v>
      </c>
    </row>
    <row r="854" spans="1:4">
      <c r="A854" s="54">
        <v>108037</v>
      </c>
      <c r="B854" s="28">
        <v>110</v>
      </c>
      <c r="C854" s="28">
        <v>9</v>
      </c>
      <c r="D854" s="57">
        <v>100</v>
      </c>
    </row>
    <row r="855" spans="1:4">
      <c r="A855" s="54">
        <v>108038</v>
      </c>
      <c r="B855" s="28">
        <v>113</v>
      </c>
      <c r="C855" s="28">
        <v>9</v>
      </c>
      <c r="D855" s="57">
        <v>100</v>
      </c>
    </row>
    <row r="856" spans="1:4">
      <c r="A856" s="54">
        <v>108039</v>
      </c>
      <c r="B856" s="28">
        <v>116</v>
      </c>
      <c r="C856" s="28">
        <v>9</v>
      </c>
      <c r="D856" s="57">
        <v>100</v>
      </c>
    </row>
    <row r="857" spans="1:4">
      <c r="A857" s="54">
        <v>108040</v>
      </c>
      <c r="B857" s="28">
        <v>119</v>
      </c>
      <c r="C857" s="28">
        <v>9</v>
      </c>
      <c r="D857" s="57">
        <v>100</v>
      </c>
    </row>
    <row r="858" spans="1:4">
      <c r="A858" s="54">
        <v>108041</v>
      </c>
      <c r="B858" s="28">
        <v>122</v>
      </c>
      <c r="C858" s="28">
        <v>9</v>
      </c>
      <c r="D858" s="57">
        <v>100</v>
      </c>
    </row>
    <row r="859" spans="1:4">
      <c r="A859" s="54">
        <v>108042</v>
      </c>
      <c r="B859" s="28">
        <v>125</v>
      </c>
      <c r="C859" s="28">
        <v>9</v>
      </c>
      <c r="D859" s="57">
        <v>100</v>
      </c>
    </row>
    <row r="860" spans="1:4">
      <c r="A860" s="54">
        <v>108043</v>
      </c>
      <c r="B860" s="28">
        <v>128</v>
      </c>
      <c r="C860" s="28">
        <v>9</v>
      </c>
      <c r="D860" s="57">
        <v>100</v>
      </c>
    </row>
    <row r="861" spans="1:4">
      <c r="A861" s="54">
        <v>108044</v>
      </c>
      <c r="B861" s="28">
        <v>131</v>
      </c>
      <c r="C861" s="28">
        <v>9</v>
      </c>
      <c r="D861" s="57">
        <v>100</v>
      </c>
    </row>
    <row r="862" spans="1:4">
      <c r="A862" s="54">
        <v>108045</v>
      </c>
      <c r="B862" s="28">
        <v>134</v>
      </c>
      <c r="C862" s="28">
        <v>9</v>
      </c>
      <c r="D862" s="57">
        <v>100</v>
      </c>
    </row>
    <row r="863" spans="1:4">
      <c r="A863" s="54">
        <v>108046</v>
      </c>
      <c r="B863" s="28">
        <v>137</v>
      </c>
      <c r="C863" s="28">
        <v>9</v>
      </c>
      <c r="D863" s="57">
        <v>100</v>
      </c>
    </row>
    <row r="864" spans="1:4">
      <c r="A864" s="54">
        <v>108047</v>
      </c>
      <c r="B864" s="28">
        <v>139</v>
      </c>
      <c r="C864" s="28">
        <v>9</v>
      </c>
      <c r="D864" s="57">
        <v>100</v>
      </c>
    </row>
    <row r="865" spans="1:4">
      <c r="A865" s="54">
        <v>108048</v>
      </c>
      <c r="B865" s="28">
        <v>141</v>
      </c>
      <c r="C865" s="28">
        <v>9</v>
      </c>
      <c r="D865" s="57">
        <v>100</v>
      </c>
    </row>
    <row r="866" spans="1:4">
      <c r="A866" s="54">
        <v>108049</v>
      </c>
      <c r="B866" s="28">
        <v>143</v>
      </c>
      <c r="C866" s="28">
        <v>9</v>
      </c>
      <c r="D866" s="57">
        <v>100</v>
      </c>
    </row>
    <row r="867" spans="1:4">
      <c r="A867" s="54">
        <v>108050</v>
      </c>
      <c r="B867" s="28">
        <v>145</v>
      </c>
      <c r="C867" s="28">
        <v>9</v>
      </c>
      <c r="D867" s="57">
        <v>100</v>
      </c>
    </row>
    <row r="868" spans="1:4">
      <c r="A868" s="54">
        <v>108051</v>
      </c>
      <c r="B868" s="28">
        <v>147</v>
      </c>
      <c r="C868" s="28">
        <v>9</v>
      </c>
      <c r="D868" s="57">
        <v>100</v>
      </c>
    </row>
    <row r="869" spans="1:4">
      <c r="A869" s="54">
        <v>108052</v>
      </c>
      <c r="B869" s="28">
        <v>149</v>
      </c>
      <c r="C869" s="28">
        <v>9</v>
      </c>
      <c r="D869" s="57">
        <v>100</v>
      </c>
    </row>
    <row r="870" spans="1:4">
      <c r="A870" s="54">
        <v>108053</v>
      </c>
      <c r="B870" s="28">
        <v>151</v>
      </c>
      <c r="C870" s="28">
        <v>9</v>
      </c>
      <c r="D870" s="57">
        <v>100</v>
      </c>
    </row>
    <row r="871" spans="1:4">
      <c r="D871" s="57"/>
    </row>
  </sheetData>
  <autoFilter ref="A1:D87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workbookViewId="0">
      <pane xSplit="2" ySplit="1" topLeftCell="C2" activePane="bottomRight" state="frozen"/>
      <selection pane="topRight"/>
      <selection pane="bottomLeft"/>
      <selection pane="bottomRight" activeCell="B139" sqref="B139:B152"/>
    </sheetView>
  </sheetViews>
  <sheetFormatPr defaultColWidth="9" defaultRowHeight="15"/>
  <cols>
    <col min="1" max="1" width="9" style="43"/>
    <col min="2" max="2" width="22.85546875" style="44" bestFit="1" customWidth="1"/>
    <col min="3" max="3" width="12" style="43" customWidth="1"/>
    <col min="4" max="4" width="12.28515625" style="43" customWidth="1"/>
    <col min="5" max="5" width="9" style="43"/>
    <col min="6" max="6" width="15" style="44" customWidth="1"/>
    <col min="7" max="7" width="9.7109375" style="43" customWidth="1"/>
    <col min="8" max="8" width="8.42578125" style="43" customWidth="1"/>
    <col min="9" max="9" width="13.7109375" style="43" customWidth="1"/>
    <col min="10" max="10" width="9.7109375" style="43" customWidth="1"/>
    <col min="11" max="11" width="13" style="43" customWidth="1"/>
    <col min="12" max="12" width="20.42578125" customWidth="1"/>
  </cols>
  <sheetData>
    <row r="1" spans="1:12">
      <c r="A1" s="45" t="s">
        <v>44</v>
      </c>
      <c r="B1" s="46" t="s">
        <v>45</v>
      </c>
      <c r="C1" s="45" t="s">
        <v>46</v>
      </c>
      <c r="D1" s="45" t="s">
        <v>47</v>
      </c>
      <c r="E1" s="45" t="s">
        <v>48</v>
      </c>
      <c r="F1" s="45" t="s">
        <v>49</v>
      </c>
      <c r="G1" s="45" t="s">
        <v>50</v>
      </c>
      <c r="H1" s="45" t="s">
        <v>51</v>
      </c>
      <c r="I1" s="45" t="s">
        <v>52</v>
      </c>
      <c r="J1" s="45" t="s">
        <v>18</v>
      </c>
      <c r="K1" s="45" t="s">
        <v>53</v>
      </c>
      <c r="L1" s="45" t="s">
        <v>54</v>
      </c>
    </row>
    <row r="2" spans="1:12">
      <c r="A2" s="43">
        <v>1</v>
      </c>
      <c r="B2" s="44" t="s">
        <v>223</v>
      </c>
      <c r="C2" s="47">
        <v>3000101</v>
      </c>
      <c r="D2" s="48">
        <v>3000101</v>
      </c>
      <c r="E2" s="43">
        <v>1</v>
      </c>
      <c r="F2" s="44" t="s">
        <v>55</v>
      </c>
      <c r="K2" s="43" t="s">
        <v>56</v>
      </c>
    </row>
    <row r="3" spans="1:12">
      <c r="A3" s="43">
        <v>2</v>
      </c>
      <c r="B3" s="44" t="s">
        <v>223</v>
      </c>
      <c r="C3" s="47">
        <v>3000102</v>
      </c>
      <c r="D3" s="48">
        <v>3000102</v>
      </c>
      <c r="E3" s="43">
        <v>2</v>
      </c>
      <c r="F3" s="44" t="s">
        <v>55</v>
      </c>
      <c r="K3" s="43" t="s">
        <v>56</v>
      </c>
    </row>
    <row r="4" spans="1:12">
      <c r="A4" s="43">
        <v>3</v>
      </c>
      <c r="B4" s="44" t="s">
        <v>223</v>
      </c>
      <c r="C4" s="47">
        <v>3000103</v>
      </c>
      <c r="D4" s="48">
        <v>3000103</v>
      </c>
      <c r="E4" s="43">
        <v>3</v>
      </c>
      <c r="F4" s="44" t="s">
        <v>55</v>
      </c>
      <c r="K4" s="43" t="s">
        <v>56</v>
      </c>
    </row>
    <row r="5" spans="1:12">
      <c r="A5" s="43">
        <v>4</v>
      </c>
      <c r="B5" s="44" t="s">
        <v>224</v>
      </c>
      <c r="C5" s="47">
        <v>3000202</v>
      </c>
      <c r="D5" s="48">
        <v>3000202</v>
      </c>
      <c r="E5" s="43">
        <v>2</v>
      </c>
      <c r="F5" s="44" t="s">
        <v>57</v>
      </c>
      <c r="J5" s="43" t="s">
        <v>7</v>
      </c>
      <c r="K5" s="43" t="s">
        <v>56</v>
      </c>
    </row>
    <row r="6" spans="1:12">
      <c r="A6" s="43">
        <v>5</v>
      </c>
      <c r="B6" s="44" t="s">
        <v>224</v>
      </c>
      <c r="C6" s="47">
        <v>3000203</v>
      </c>
      <c r="D6" s="48">
        <v>3000203</v>
      </c>
      <c r="E6" s="43">
        <v>3</v>
      </c>
      <c r="F6" s="44" t="s">
        <v>57</v>
      </c>
      <c r="J6" s="43" t="s">
        <v>7</v>
      </c>
      <c r="K6" s="43" t="s">
        <v>56</v>
      </c>
    </row>
    <row r="7" spans="1:12">
      <c r="A7" s="43">
        <v>6</v>
      </c>
      <c r="B7" s="44" t="s">
        <v>225</v>
      </c>
      <c r="C7" s="47">
        <v>3000301</v>
      </c>
      <c r="D7" s="48">
        <v>3000301</v>
      </c>
      <c r="E7" s="43">
        <v>1</v>
      </c>
      <c r="F7" s="44" t="s">
        <v>58</v>
      </c>
      <c r="K7" s="43" t="s">
        <v>56</v>
      </c>
    </row>
    <row r="8" spans="1:12">
      <c r="A8" s="43">
        <v>7</v>
      </c>
      <c r="B8" s="44" t="s">
        <v>225</v>
      </c>
      <c r="C8" s="47">
        <v>3000302</v>
      </c>
      <c r="D8" s="48">
        <v>3000302</v>
      </c>
      <c r="E8" s="43">
        <v>2</v>
      </c>
      <c r="F8" s="44" t="s">
        <v>58</v>
      </c>
      <c r="K8" s="43" t="s">
        <v>56</v>
      </c>
    </row>
    <row r="9" spans="1:12">
      <c r="A9" s="43">
        <v>8</v>
      </c>
      <c r="B9" s="44" t="s">
        <v>225</v>
      </c>
      <c r="C9" s="47">
        <v>3000303</v>
      </c>
      <c r="D9" s="48">
        <v>3000303</v>
      </c>
      <c r="E9" s="43">
        <v>3</v>
      </c>
      <c r="F9" s="44" t="s">
        <v>58</v>
      </c>
      <c r="K9" s="43" t="s">
        <v>56</v>
      </c>
    </row>
    <row r="10" spans="1:12">
      <c r="A10" s="43">
        <v>9</v>
      </c>
      <c r="B10" s="44" t="s">
        <v>226</v>
      </c>
      <c r="C10" s="47">
        <v>3000401</v>
      </c>
      <c r="D10" s="48">
        <v>3000401</v>
      </c>
      <c r="E10" s="43">
        <v>1</v>
      </c>
      <c r="F10" s="44" t="s">
        <v>59</v>
      </c>
      <c r="K10" s="43" t="s">
        <v>56</v>
      </c>
    </row>
    <row r="11" spans="1:12">
      <c r="A11" s="43">
        <v>10</v>
      </c>
      <c r="B11" s="44" t="s">
        <v>226</v>
      </c>
      <c r="C11" s="47">
        <v>3000402</v>
      </c>
      <c r="D11" s="48">
        <v>3000402</v>
      </c>
      <c r="E11" s="43">
        <v>2</v>
      </c>
      <c r="F11" s="44" t="s">
        <v>59</v>
      </c>
      <c r="K11" s="43" t="s">
        <v>56</v>
      </c>
    </row>
    <row r="12" spans="1:12">
      <c r="A12" s="43">
        <v>11</v>
      </c>
      <c r="B12" s="44" t="s">
        <v>226</v>
      </c>
      <c r="C12" s="47">
        <v>3000403</v>
      </c>
      <c r="D12" s="48">
        <v>3000403</v>
      </c>
      <c r="E12" s="43">
        <v>3</v>
      </c>
      <c r="F12" s="44" t="s">
        <v>59</v>
      </c>
      <c r="K12" s="43" t="s">
        <v>56</v>
      </c>
    </row>
    <row r="13" spans="1:12">
      <c r="A13" s="43">
        <v>12</v>
      </c>
      <c r="B13" s="44" t="s">
        <v>227</v>
      </c>
      <c r="C13" s="47">
        <v>3000501</v>
      </c>
      <c r="D13" s="48">
        <v>3000501</v>
      </c>
      <c r="E13" s="43">
        <v>1</v>
      </c>
      <c r="F13" s="44" t="s">
        <v>60</v>
      </c>
      <c r="K13" s="43" t="s">
        <v>56</v>
      </c>
    </row>
    <row r="14" spans="1:12">
      <c r="A14" s="43">
        <v>13</v>
      </c>
      <c r="B14" s="44" t="s">
        <v>227</v>
      </c>
      <c r="C14" s="47">
        <v>3000502</v>
      </c>
      <c r="D14" s="48">
        <v>3000502</v>
      </c>
      <c r="E14" s="43">
        <v>2</v>
      </c>
      <c r="F14" s="44" t="s">
        <v>60</v>
      </c>
      <c r="K14" s="43" t="s">
        <v>56</v>
      </c>
    </row>
    <row r="15" spans="1:12">
      <c r="A15" s="43">
        <v>14</v>
      </c>
      <c r="B15" s="44" t="s">
        <v>227</v>
      </c>
      <c r="C15" s="47">
        <v>3000503</v>
      </c>
      <c r="D15" s="48">
        <v>3000503</v>
      </c>
      <c r="E15" s="43">
        <v>3</v>
      </c>
      <c r="F15" s="44" t="s">
        <v>60</v>
      </c>
      <c r="K15" s="43" t="s">
        <v>56</v>
      </c>
    </row>
    <row r="16" spans="1:12">
      <c r="A16" s="43">
        <v>15</v>
      </c>
      <c r="B16" s="44" t="s">
        <v>228</v>
      </c>
      <c r="C16" s="47">
        <v>3000601</v>
      </c>
      <c r="D16" s="48">
        <v>3000601</v>
      </c>
      <c r="E16" s="43">
        <v>1</v>
      </c>
      <c r="F16" s="44" t="s">
        <v>61</v>
      </c>
      <c r="H16" s="43">
        <v>4</v>
      </c>
      <c r="K16" s="43" t="s">
        <v>62</v>
      </c>
    </row>
    <row r="17" spans="1:11">
      <c r="A17" s="43">
        <v>16</v>
      </c>
      <c r="B17" s="44" t="s">
        <v>228</v>
      </c>
      <c r="C17" s="47">
        <v>3000602</v>
      </c>
      <c r="D17" s="48">
        <v>3000602</v>
      </c>
      <c r="E17" s="43">
        <v>2</v>
      </c>
      <c r="F17" s="44" t="s">
        <v>61</v>
      </c>
      <c r="H17" s="43">
        <v>4</v>
      </c>
      <c r="K17" s="43" t="s">
        <v>62</v>
      </c>
    </row>
    <row r="18" spans="1:11">
      <c r="A18" s="43">
        <v>17</v>
      </c>
      <c r="B18" s="44" t="s">
        <v>228</v>
      </c>
      <c r="C18" s="47">
        <v>3000603</v>
      </c>
      <c r="D18" s="48">
        <v>3000603</v>
      </c>
      <c r="E18" s="43">
        <v>3</v>
      </c>
      <c r="F18" s="44" t="s">
        <v>61</v>
      </c>
      <c r="H18" s="43">
        <v>4</v>
      </c>
      <c r="K18" s="43" t="s">
        <v>62</v>
      </c>
    </row>
    <row r="19" spans="1:11">
      <c r="A19" s="43">
        <v>18</v>
      </c>
      <c r="B19" s="44" t="s">
        <v>228</v>
      </c>
      <c r="C19" s="47">
        <v>3000701</v>
      </c>
      <c r="D19" s="48">
        <v>3000701</v>
      </c>
      <c r="E19" s="43">
        <v>1</v>
      </c>
      <c r="F19" s="44" t="s">
        <v>61</v>
      </c>
      <c r="H19" s="43">
        <v>3</v>
      </c>
      <c r="K19" s="43" t="s">
        <v>63</v>
      </c>
    </row>
    <row r="20" spans="1:11">
      <c r="A20" s="43">
        <v>19</v>
      </c>
      <c r="B20" s="44" t="s">
        <v>228</v>
      </c>
      <c r="C20" s="47">
        <v>3000702</v>
      </c>
      <c r="D20" s="48">
        <v>3000702</v>
      </c>
      <c r="E20" s="43">
        <v>2</v>
      </c>
      <c r="F20" s="44" t="s">
        <v>61</v>
      </c>
      <c r="H20" s="43">
        <v>3</v>
      </c>
      <c r="K20" s="43" t="s">
        <v>63</v>
      </c>
    </row>
    <row r="21" spans="1:11">
      <c r="A21" s="43">
        <v>20</v>
      </c>
      <c r="B21" s="44" t="s">
        <v>228</v>
      </c>
      <c r="C21" s="47">
        <v>3000703</v>
      </c>
      <c r="D21" s="48">
        <v>3000703</v>
      </c>
      <c r="E21" s="43">
        <v>3</v>
      </c>
      <c r="F21" s="44" t="s">
        <v>61</v>
      </c>
      <c r="H21" s="43">
        <v>3</v>
      </c>
      <c r="K21" s="43" t="s">
        <v>63</v>
      </c>
    </row>
    <row r="22" spans="1:11">
      <c r="A22" s="43">
        <v>21</v>
      </c>
      <c r="B22" s="44" t="s">
        <v>229</v>
      </c>
      <c r="C22" s="47">
        <v>3000801</v>
      </c>
      <c r="D22" s="48">
        <v>3000801</v>
      </c>
      <c r="E22" s="43">
        <v>1</v>
      </c>
      <c r="F22" s="44" t="s">
        <v>64</v>
      </c>
      <c r="H22" s="43">
        <v>4</v>
      </c>
      <c r="K22" s="43" t="s">
        <v>62</v>
      </c>
    </row>
    <row r="23" spans="1:11">
      <c r="A23" s="43">
        <v>22</v>
      </c>
      <c r="B23" s="44" t="s">
        <v>229</v>
      </c>
      <c r="C23" s="47">
        <v>3000802</v>
      </c>
      <c r="D23" s="48">
        <v>3000802</v>
      </c>
      <c r="E23" s="43">
        <v>2</v>
      </c>
      <c r="F23" s="44" t="s">
        <v>64</v>
      </c>
      <c r="H23" s="43">
        <v>4</v>
      </c>
      <c r="K23" s="43" t="s">
        <v>62</v>
      </c>
    </row>
    <row r="24" spans="1:11">
      <c r="A24" s="43">
        <v>23</v>
      </c>
      <c r="B24" s="44" t="s">
        <v>229</v>
      </c>
      <c r="C24" s="47">
        <v>3000803</v>
      </c>
      <c r="D24" s="48">
        <v>3000803</v>
      </c>
      <c r="E24" s="43">
        <v>3</v>
      </c>
      <c r="F24" s="44" t="s">
        <v>64</v>
      </c>
      <c r="H24" s="43">
        <v>4</v>
      </c>
      <c r="K24" s="43" t="s">
        <v>62</v>
      </c>
    </row>
    <row r="25" spans="1:11">
      <c r="A25" s="43">
        <v>24</v>
      </c>
      <c r="B25" s="44" t="s">
        <v>229</v>
      </c>
      <c r="C25" s="47">
        <v>3000901</v>
      </c>
      <c r="D25" s="48">
        <v>3000901</v>
      </c>
      <c r="E25" s="43">
        <v>1</v>
      </c>
      <c r="F25" s="44" t="s">
        <v>64</v>
      </c>
      <c r="H25" s="43">
        <v>3</v>
      </c>
      <c r="K25" s="43" t="s">
        <v>63</v>
      </c>
    </row>
    <row r="26" spans="1:11">
      <c r="A26" s="43">
        <v>25</v>
      </c>
      <c r="B26" s="44" t="s">
        <v>229</v>
      </c>
      <c r="C26" s="47">
        <v>3000902</v>
      </c>
      <c r="D26" s="48">
        <v>3000902</v>
      </c>
      <c r="E26" s="43">
        <v>2</v>
      </c>
      <c r="F26" s="44" t="s">
        <v>64</v>
      </c>
      <c r="H26" s="43">
        <v>3</v>
      </c>
      <c r="K26" s="43" t="s">
        <v>63</v>
      </c>
    </row>
    <row r="27" spans="1:11">
      <c r="A27" s="43">
        <v>26</v>
      </c>
      <c r="B27" s="44" t="s">
        <v>229</v>
      </c>
      <c r="C27" s="47">
        <v>3000903</v>
      </c>
      <c r="D27" s="48">
        <v>3000903</v>
      </c>
      <c r="E27" s="43">
        <v>3</v>
      </c>
      <c r="F27" s="44" t="s">
        <v>64</v>
      </c>
      <c r="H27" s="43">
        <v>3</v>
      </c>
      <c r="K27" s="43" t="s">
        <v>63</v>
      </c>
    </row>
    <row r="28" spans="1:11">
      <c r="A28" s="43">
        <v>27</v>
      </c>
      <c r="B28" s="44" t="s">
        <v>230</v>
      </c>
      <c r="C28" s="47">
        <v>3001001</v>
      </c>
      <c r="D28" s="48">
        <v>3001001</v>
      </c>
      <c r="E28" s="43">
        <v>1</v>
      </c>
      <c r="F28" s="44" t="s">
        <v>65</v>
      </c>
      <c r="H28" s="43">
        <v>4</v>
      </c>
      <c r="K28" s="43" t="s">
        <v>62</v>
      </c>
    </row>
    <row r="29" spans="1:11">
      <c r="A29" s="43">
        <v>28</v>
      </c>
      <c r="B29" s="44" t="s">
        <v>230</v>
      </c>
      <c r="C29" s="47">
        <v>3001002</v>
      </c>
      <c r="D29" s="48">
        <v>3001002</v>
      </c>
      <c r="E29" s="43">
        <v>2</v>
      </c>
      <c r="F29" s="44" t="s">
        <v>65</v>
      </c>
      <c r="H29" s="43">
        <v>4</v>
      </c>
      <c r="K29" s="43" t="s">
        <v>62</v>
      </c>
    </row>
    <row r="30" spans="1:11">
      <c r="A30" s="43">
        <v>29</v>
      </c>
      <c r="B30" s="44" t="s">
        <v>230</v>
      </c>
      <c r="C30" s="47">
        <v>3001003</v>
      </c>
      <c r="D30" s="48">
        <v>3001003</v>
      </c>
      <c r="E30" s="43">
        <v>3</v>
      </c>
      <c r="F30" s="44" t="s">
        <v>65</v>
      </c>
      <c r="H30" s="43">
        <v>4</v>
      </c>
      <c r="K30" s="43" t="s">
        <v>62</v>
      </c>
    </row>
    <row r="31" spans="1:11">
      <c r="A31" s="43">
        <v>30</v>
      </c>
      <c r="B31" s="44" t="s">
        <v>230</v>
      </c>
      <c r="C31" s="47">
        <v>3001101</v>
      </c>
      <c r="D31" s="48">
        <v>3001101</v>
      </c>
      <c r="E31" s="43">
        <v>1</v>
      </c>
      <c r="F31" s="44" t="s">
        <v>65</v>
      </c>
      <c r="H31" s="43">
        <v>3</v>
      </c>
      <c r="K31" s="43" t="s">
        <v>63</v>
      </c>
    </row>
    <row r="32" spans="1:11">
      <c r="A32" s="43">
        <v>31</v>
      </c>
      <c r="B32" s="44" t="s">
        <v>230</v>
      </c>
      <c r="C32" s="47">
        <v>3001102</v>
      </c>
      <c r="D32" s="48">
        <v>3001102</v>
      </c>
      <c r="E32" s="43">
        <v>2</v>
      </c>
      <c r="F32" s="44" t="s">
        <v>65</v>
      </c>
      <c r="H32" s="43">
        <v>3</v>
      </c>
      <c r="K32" s="43" t="s">
        <v>63</v>
      </c>
    </row>
    <row r="33" spans="1:11">
      <c r="A33" s="43">
        <v>32</v>
      </c>
      <c r="B33" s="44" t="s">
        <v>230</v>
      </c>
      <c r="C33" s="47">
        <v>3001103</v>
      </c>
      <c r="D33" s="48">
        <v>3001103</v>
      </c>
      <c r="E33" s="43">
        <v>3</v>
      </c>
      <c r="F33" s="44" t="s">
        <v>65</v>
      </c>
      <c r="H33" s="43">
        <v>3</v>
      </c>
      <c r="K33" s="43" t="s">
        <v>63</v>
      </c>
    </row>
    <row r="34" spans="1:11">
      <c r="A34" s="43">
        <v>33</v>
      </c>
      <c r="B34" s="44" t="s">
        <v>231</v>
      </c>
      <c r="C34" s="47">
        <v>3001201</v>
      </c>
      <c r="D34" s="48">
        <v>3001201</v>
      </c>
      <c r="E34" s="43">
        <v>1</v>
      </c>
      <c r="F34" s="44" t="s">
        <v>66</v>
      </c>
      <c r="H34" s="43">
        <v>4</v>
      </c>
      <c r="K34" s="43" t="s">
        <v>62</v>
      </c>
    </row>
    <row r="35" spans="1:11">
      <c r="A35" s="43">
        <v>34</v>
      </c>
      <c r="B35" s="44" t="s">
        <v>231</v>
      </c>
      <c r="C35" s="47">
        <v>3001202</v>
      </c>
      <c r="D35" s="48">
        <v>3001202</v>
      </c>
      <c r="E35" s="43">
        <v>2</v>
      </c>
      <c r="F35" s="44" t="s">
        <v>66</v>
      </c>
      <c r="H35" s="43">
        <v>4</v>
      </c>
      <c r="K35" s="43" t="s">
        <v>62</v>
      </c>
    </row>
    <row r="36" spans="1:11">
      <c r="A36" s="43">
        <v>35</v>
      </c>
      <c r="B36" s="44" t="s">
        <v>231</v>
      </c>
      <c r="C36" s="47">
        <v>3001203</v>
      </c>
      <c r="D36" s="48">
        <v>3001203</v>
      </c>
      <c r="E36" s="43">
        <v>3</v>
      </c>
      <c r="F36" s="44" t="s">
        <v>66</v>
      </c>
      <c r="H36" s="43">
        <v>4</v>
      </c>
      <c r="K36" s="43" t="s">
        <v>62</v>
      </c>
    </row>
    <row r="37" spans="1:11">
      <c r="A37" s="43">
        <v>36</v>
      </c>
      <c r="B37" s="44" t="s">
        <v>232</v>
      </c>
      <c r="C37" s="47">
        <v>3001301</v>
      </c>
      <c r="D37" s="48">
        <v>3001301</v>
      </c>
      <c r="E37" s="43">
        <v>1</v>
      </c>
      <c r="F37" s="44" t="s">
        <v>67</v>
      </c>
      <c r="H37" s="43">
        <v>3</v>
      </c>
      <c r="K37" s="43" t="s">
        <v>63</v>
      </c>
    </row>
    <row r="38" spans="1:11">
      <c r="A38" s="43">
        <v>37</v>
      </c>
      <c r="B38" s="44" t="s">
        <v>232</v>
      </c>
      <c r="C38" s="47">
        <v>3001302</v>
      </c>
      <c r="D38" s="48">
        <v>3001302</v>
      </c>
      <c r="E38" s="43">
        <v>2</v>
      </c>
      <c r="F38" s="44" t="s">
        <v>67</v>
      </c>
      <c r="H38" s="43">
        <v>3</v>
      </c>
      <c r="K38" s="43" t="s">
        <v>63</v>
      </c>
    </row>
    <row r="39" spans="1:11">
      <c r="A39" s="43">
        <v>38</v>
      </c>
      <c r="B39" s="44" t="s">
        <v>232</v>
      </c>
      <c r="C39" s="47">
        <v>3001303</v>
      </c>
      <c r="D39" s="48">
        <v>3001303</v>
      </c>
      <c r="E39" s="43">
        <v>3</v>
      </c>
      <c r="F39" s="44" t="s">
        <v>67</v>
      </c>
      <c r="H39" s="43">
        <v>3</v>
      </c>
      <c r="K39" s="43" t="s">
        <v>63</v>
      </c>
    </row>
    <row r="40" spans="1:11">
      <c r="A40" s="43">
        <v>39</v>
      </c>
      <c r="B40" s="44" t="s">
        <v>233</v>
      </c>
      <c r="C40" s="47">
        <v>3001401</v>
      </c>
      <c r="D40" s="48">
        <v>3001401</v>
      </c>
      <c r="E40" s="43">
        <v>1</v>
      </c>
      <c r="F40" s="44" t="s">
        <v>68</v>
      </c>
      <c r="H40" s="43">
        <v>2</v>
      </c>
      <c r="K40" s="43" t="s">
        <v>69</v>
      </c>
    </row>
    <row r="41" spans="1:11">
      <c r="A41" s="43">
        <v>40</v>
      </c>
      <c r="B41" s="44" t="s">
        <v>233</v>
      </c>
      <c r="C41" s="47">
        <v>3001402</v>
      </c>
      <c r="D41" s="48">
        <v>3001402</v>
      </c>
      <c r="E41" s="43">
        <v>2</v>
      </c>
      <c r="F41" s="44" t="s">
        <v>68</v>
      </c>
      <c r="H41" s="43">
        <v>2</v>
      </c>
      <c r="K41" s="43" t="s">
        <v>69</v>
      </c>
    </row>
    <row r="42" spans="1:11">
      <c r="A42" s="43">
        <v>41</v>
      </c>
      <c r="B42" s="44" t="s">
        <v>233</v>
      </c>
      <c r="C42" s="47">
        <v>3001403</v>
      </c>
      <c r="D42" s="48">
        <v>3001403</v>
      </c>
      <c r="E42" s="43">
        <v>3</v>
      </c>
      <c r="F42" s="44" t="s">
        <v>68</v>
      </c>
      <c r="H42" s="43">
        <v>2</v>
      </c>
      <c r="K42" s="43" t="s">
        <v>69</v>
      </c>
    </row>
    <row r="43" spans="1:11">
      <c r="A43" s="43">
        <v>42</v>
      </c>
      <c r="B43" s="44" t="s">
        <v>233</v>
      </c>
      <c r="C43" s="47">
        <v>3001501</v>
      </c>
      <c r="D43" s="48">
        <v>3001501</v>
      </c>
      <c r="E43" s="43">
        <v>1</v>
      </c>
      <c r="F43" s="44" t="s">
        <v>68</v>
      </c>
      <c r="H43" s="43">
        <v>1</v>
      </c>
      <c r="K43" s="43" t="s">
        <v>70</v>
      </c>
    </row>
    <row r="44" spans="1:11">
      <c r="A44" s="43">
        <v>43</v>
      </c>
      <c r="B44" s="44" t="s">
        <v>233</v>
      </c>
      <c r="C44" s="47">
        <v>3001502</v>
      </c>
      <c r="D44" s="48">
        <v>3001502</v>
      </c>
      <c r="E44" s="43">
        <v>2</v>
      </c>
      <c r="F44" s="44" t="s">
        <v>68</v>
      </c>
      <c r="H44" s="43">
        <v>1</v>
      </c>
      <c r="K44" s="43" t="s">
        <v>70</v>
      </c>
    </row>
    <row r="45" spans="1:11">
      <c r="A45" s="43">
        <v>44</v>
      </c>
      <c r="B45" s="44" t="s">
        <v>233</v>
      </c>
      <c r="C45" s="47">
        <v>3001503</v>
      </c>
      <c r="D45" s="48">
        <v>3001503</v>
      </c>
      <c r="E45" s="43">
        <v>3</v>
      </c>
      <c r="F45" s="44" t="s">
        <v>68</v>
      </c>
      <c r="H45" s="43">
        <v>1</v>
      </c>
      <c r="K45" s="43" t="s">
        <v>70</v>
      </c>
    </row>
    <row r="46" spans="1:11">
      <c r="A46" s="43">
        <v>45</v>
      </c>
      <c r="B46" s="44" t="s">
        <v>234</v>
      </c>
      <c r="C46" s="47">
        <v>3001601</v>
      </c>
      <c r="D46" s="48">
        <v>3001601</v>
      </c>
      <c r="E46" s="43">
        <v>1</v>
      </c>
      <c r="F46" s="44" t="s">
        <v>71</v>
      </c>
      <c r="H46" s="43">
        <v>2</v>
      </c>
      <c r="K46" s="43" t="s">
        <v>69</v>
      </c>
    </row>
    <row r="47" spans="1:11">
      <c r="A47" s="43">
        <v>46</v>
      </c>
      <c r="B47" s="44" t="s">
        <v>234</v>
      </c>
      <c r="C47" s="47">
        <v>3001602</v>
      </c>
      <c r="D47" s="48">
        <v>3001602</v>
      </c>
      <c r="E47" s="43">
        <v>2</v>
      </c>
      <c r="F47" s="44" t="s">
        <v>71</v>
      </c>
      <c r="H47" s="43">
        <v>2</v>
      </c>
      <c r="K47" s="43" t="s">
        <v>69</v>
      </c>
    </row>
    <row r="48" spans="1:11">
      <c r="A48" s="43">
        <v>47</v>
      </c>
      <c r="B48" s="44" t="s">
        <v>234</v>
      </c>
      <c r="C48" s="47">
        <v>3001603</v>
      </c>
      <c r="D48" s="48">
        <v>3001603</v>
      </c>
      <c r="E48" s="43">
        <v>3</v>
      </c>
      <c r="F48" s="44" t="s">
        <v>71</v>
      </c>
      <c r="H48" s="43">
        <v>2</v>
      </c>
      <c r="K48" s="43" t="s">
        <v>69</v>
      </c>
    </row>
    <row r="49" spans="1:11">
      <c r="A49" s="43">
        <v>48</v>
      </c>
      <c r="B49" s="44" t="s">
        <v>234</v>
      </c>
      <c r="C49" s="47">
        <v>3001701</v>
      </c>
      <c r="D49" s="48">
        <v>3001701</v>
      </c>
      <c r="E49" s="43">
        <v>1</v>
      </c>
      <c r="F49" s="44" t="s">
        <v>71</v>
      </c>
      <c r="H49" s="43">
        <v>1</v>
      </c>
      <c r="K49" s="43" t="s">
        <v>70</v>
      </c>
    </row>
    <row r="50" spans="1:11">
      <c r="A50" s="43">
        <v>49</v>
      </c>
      <c r="B50" s="44" t="s">
        <v>234</v>
      </c>
      <c r="C50" s="47">
        <v>3001702</v>
      </c>
      <c r="D50" s="48">
        <v>3001702</v>
      </c>
      <c r="E50" s="43">
        <v>2</v>
      </c>
      <c r="F50" s="44" t="s">
        <v>71</v>
      </c>
      <c r="H50" s="43">
        <v>1</v>
      </c>
      <c r="K50" s="43" t="s">
        <v>70</v>
      </c>
    </row>
    <row r="51" spans="1:11">
      <c r="A51" s="43">
        <v>50</v>
      </c>
      <c r="B51" s="44" t="s">
        <v>234</v>
      </c>
      <c r="C51" s="47">
        <v>3001703</v>
      </c>
      <c r="D51" s="48">
        <v>3001703</v>
      </c>
      <c r="E51" s="43">
        <v>3</v>
      </c>
      <c r="F51" s="44" t="s">
        <v>71</v>
      </c>
      <c r="H51" s="43">
        <v>1</v>
      </c>
      <c r="K51" s="43" t="s">
        <v>70</v>
      </c>
    </row>
    <row r="52" spans="1:11">
      <c r="A52" s="43">
        <v>51</v>
      </c>
      <c r="B52" s="44" t="s">
        <v>235</v>
      </c>
      <c r="C52" s="47">
        <v>3001801</v>
      </c>
      <c r="D52" s="48">
        <v>3001801</v>
      </c>
      <c r="E52" s="43">
        <v>1</v>
      </c>
      <c r="F52" s="44" t="s">
        <v>72</v>
      </c>
      <c r="H52" s="43">
        <v>2</v>
      </c>
      <c r="K52" s="43" t="s">
        <v>69</v>
      </c>
    </row>
    <row r="53" spans="1:11">
      <c r="A53" s="43">
        <v>52</v>
      </c>
      <c r="B53" s="44" t="s">
        <v>235</v>
      </c>
      <c r="C53" s="47">
        <v>3001802</v>
      </c>
      <c r="D53" s="48">
        <v>3001802</v>
      </c>
      <c r="E53" s="43">
        <v>2</v>
      </c>
      <c r="F53" s="44" t="s">
        <v>72</v>
      </c>
      <c r="H53" s="43">
        <v>2</v>
      </c>
      <c r="K53" s="43" t="s">
        <v>69</v>
      </c>
    </row>
    <row r="54" spans="1:11">
      <c r="A54" s="43">
        <v>53</v>
      </c>
      <c r="B54" s="44" t="s">
        <v>235</v>
      </c>
      <c r="C54" s="47">
        <v>3001803</v>
      </c>
      <c r="D54" s="48">
        <v>3001803</v>
      </c>
      <c r="E54" s="43">
        <v>3</v>
      </c>
      <c r="F54" s="44" t="s">
        <v>72</v>
      </c>
      <c r="H54" s="43">
        <v>2</v>
      </c>
      <c r="K54" s="43" t="s">
        <v>69</v>
      </c>
    </row>
    <row r="55" spans="1:11">
      <c r="A55" s="43">
        <v>54</v>
      </c>
      <c r="B55" s="44" t="s">
        <v>235</v>
      </c>
      <c r="C55" s="47">
        <v>3001901</v>
      </c>
      <c r="D55" s="48">
        <v>3001901</v>
      </c>
      <c r="E55" s="43">
        <v>1</v>
      </c>
      <c r="F55" s="44" t="s">
        <v>72</v>
      </c>
      <c r="H55" s="43">
        <v>1</v>
      </c>
      <c r="K55" s="43" t="s">
        <v>70</v>
      </c>
    </row>
    <row r="56" spans="1:11">
      <c r="A56" s="43">
        <v>55</v>
      </c>
      <c r="B56" s="44" t="s">
        <v>235</v>
      </c>
      <c r="C56" s="47">
        <v>3001902</v>
      </c>
      <c r="D56" s="48">
        <v>3001902</v>
      </c>
      <c r="E56" s="43">
        <v>2</v>
      </c>
      <c r="F56" s="44" t="s">
        <v>72</v>
      </c>
      <c r="H56" s="43">
        <v>1</v>
      </c>
      <c r="K56" s="43" t="s">
        <v>70</v>
      </c>
    </row>
    <row r="57" spans="1:11">
      <c r="A57" s="43">
        <v>56</v>
      </c>
      <c r="B57" s="44" t="s">
        <v>235</v>
      </c>
      <c r="C57" s="47">
        <v>3001903</v>
      </c>
      <c r="D57" s="48">
        <v>3001903</v>
      </c>
      <c r="E57" s="43">
        <v>3</v>
      </c>
      <c r="F57" s="44" t="s">
        <v>72</v>
      </c>
      <c r="H57" s="43">
        <v>1</v>
      </c>
      <c r="K57" s="43" t="s">
        <v>70</v>
      </c>
    </row>
    <row r="58" spans="1:11">
      <c r="A58" s="43">
        <v>57</v>
      </c>
      <c r="B58" s="44" t="s">
        <v>236</v>
      </c>
      <c r="C58" s="47">
        <v>3002001</v>
      </c>
      <c r="D58" s="48">
        <v>3002001</v>
      </c>
      <c r="E58" s="43">
        <v>1</v>
      </c>
      <c r="F58" s="44" t="s">
        <v>73</v>
      </c>
      <c r="H58" s="43">
        <v>2</v>
      </c>
      <c r="K58" s="43" t="s">
        <v>69</v>
      </c>
    </row>
    <row r="59" spans="1:11">
      <c r="A59" s="43">
        <v>58</v>
      </c>
      <c r="B59" s="44" t="s">
        <v>236</v>
      </c>
      <c r="C59" s="47">
        <v>3002002</v>
      </c>
      <c r="D59" s="48">
        <v>3002002</v>
      </c>
      <c r="E59" s="43">
        <v>2</v>
      </c>
      <c r="F59" s="44" t="s">
        <v>73</v>
      </c>
      <c r="H59" s="43">
        <v>2</v>
      </c>
      <c r="K59" s="43" t="s">
        <v>69</v>
      </c>
    </row>
    <row r="60" spans="1:11">
      <c r="A60" s="43">
        <v>59</v>
      </c>
      <c r="B60" s="44" t="s">
        <v>236</v>
      </c>
      <c r="C60" s="47">
        <v>3002003</v>
      </c>
      <c r="D60" s="48">
        <v>3002003</v>
      </c>
      <c r="E60" s="43">
        <v>3</v>
      </c>
      <c r="F60" s="44" t="s">
        <v>73</v>
      </c>
      <c r="H60" s="43">
        <v>2</v>
      </c>
      <c r="K60" s="43" t="s">
        <v>69</v>
      </c>
    </row>
    <row r="61" spans="1:11">
      <c r="A61" s="43">
        <v>60</v>
      </c>
      <c r="B61" s="44" t="s">
        <v>237</v>
      </c>
      <c r="C61" s="47">
        <v>3002101</v>
      </c>
      <c r="D61" s="48">
        <v>3002101</v>
      </c>
      <c r="E61" s="43">
        <v>1</v>
      </c>
      <c r="F61" s="44" t="s">
        <v>74</v>
      </c>
      <c r="H61" s="43">
        <v>1</v>
      </c>
      <c r="K61" s="43" t="s">
        <v>70</v>
      </c>
    </row>
    <row r="62" spans="1:11">
      <c r="A62" s="43">
        <v>61</v>
      </c>
      <c r="B62" s="44" t="s">
        <v>237</v>
      </c>
      <c r="C62" s="47">
        <v>3002102</v>
      </c>
      <c r="D62" s="48">
        <v>3002102</v>
      </c>
      <c r="E62" s="43">
        <v>2</v>
      </c>
      <c r="F62" s="44" t="s">
        <v>74</v>
      </c>
      <c r="H62" s="43">
        <v>1</v>
      </c>
      <c r="K62" s="43" t="s">
        <v>70</v>
      </c>
    </row>
    <row r="63" spans="1:11">
      <c r="A63" s="43">
        <v>62</v>
      </c>
      <c r="B63" s="44" t="s">
        <v>237</v>
      </c>
      <c r="C63" s="47">
        <v>3002103</v>
      </c>
      <c r="D63" s="48">
        <v>3002103</v>
      </c>
      <c r="E63" s="43">
        <v>3</v>
      </c>
      <c r="F63" s="44" t="s">
        <v>74</v>
      </c>
      <c r="H63" s="43">
        <v>1</v>
      </c>
      <c r="K63" s="43" t="s">
        <v>70</v>
      </c>
    </row>
    <row r="64" spans="1:11">
      <c r="A64" s="43">
        <v>63</v>
      </c>
      <c r="B64" s="44" t="s">
        <v>238</v>
      </c>
      <c r="C64" s="47">
        <v>3002201</v>
      </c>
      <c r="D64" s="48">
        <v>3002201</v>
      </c>
      <c r="E64" s="43">
        <v>1</v>
      </c>
      <c r="F64" s="44" t="s">
        <v>75</v>
      </c>
      <c r="H64" s="43">
        <v>2</v>
      </c>
      <c r="K64" s="43" t="s">
        <v>69</v>
      </c>
    </row>
    <row r="65" spans="1:11">
      <c r="A65" s="43">
        <v>64</v>
      </c>
      <c r="B65" s="44" t="s">
        <v>238</v>
      </c>
      <c r="C65" s="47">
        <v>3002202</v>
      </c>
      <c r="D65" s="48">
        <v>3002202</v>
      </c>
      <c r="E65" s="43">
        <v>2</v>
      </c>
      <c r="F65" s="44" t="s">
        <v>75</v>
      </c>
      <c r="H65" s="43">
        <v>2</v>
      </c>
      <c r="K65" s="43" t="s">
        <v>69</v>
      </c>
    </row>
    <row r="66" spans="1:11">
      <c r="A66" s="43">
        <v>65</v>
      </c>
      <c r="B66" s="44" t="s">
        <v>238</v>
      </c>
      <c r="C66" s="47">
        <v>3002203</v>
      </c>
      <c r="D66" s="48">
        <v>3002203</v>
      </c>
      <c r="E66" s="43">
        <v>3</v>
      </c>
      <c r="F66" s="44" t="s">
        <v>75</v>
      </c>
      <c r="H66" s="43">
        <v>2</v>
      </c>
      <c r="K66" s="43" t="s">
        <v>69</v>
      </c>
    </row>
    <row r="67" spans="1:11">
      <c r="A67" s="43">
        <v>66</v>
      </c>
      <c r="B67" s="44" t="s">
        <v>239</v>
      </c>
      <c r="C67" s="47">
        <v>3002301</v>
      </c>
      <c r="D67" s="48">
        <v>3002301</v>
      </c>
      <c r="E67" s="43">
        <v>1</v>
      </c>
      <c r="F67" s="44" t="s">
        <v>76</v>
      </c>
      <c r="H67" s="43">
        <v>1</v>
      </c>
      <c r="K67" s="43" t="s">
        <v>70</v>
      </c>
    </row>
    <row r="68" spans="1:11">
      <c r="A68" s="43">
        <v>67</v>
      </c>
      <c r="B68" s="44" t="s">
        <v>239</v>
      </c>
      <c r="C68" s="47">
        <v>3002302</v>
      </c>
      <c r="D68" s="48">
        <v>3002302</v>
      </c>
      <c r="E68" s="43">
        <v>2</v>
      </c>
      <c r="F68" s="44" t="s">
        <v>76</v>
      </c>
      <c r="H68" s="43">
        <v>1</v>
      </c>
      <c r="K68" s="43" t="s">
        <v>70</v>
      </c>
    </row>
    <row r="69" spans="1:11">
      <c r="A69" s="43">
        <v>68</v>
      </c>
      <c r="B69" s="44" t="s">
        <v>239</v>
      </c>
      <c r="C69" s="47">
        <v>3002303</v>
      </c>
      <c r="D69" s="48">
        <v>3002303</v>
      </c>
      <c r="E69" s="43">
        <v>3</v>
      </c>
      <c r="F69" s="44" t="s">
        <v>76</v>
      </c>
      <c r="H69" s="43">
        <v>1</v>
      </c>
      <c r="K69" s="43" t="s">
        <v>70</v>
      </c>
    </row>
    <row r="70" spans="1:11">
      <c r="A70" s="43">
        <v>69</v>
      </c>
      <c r="B70" s="44" t="s">
        <v>240</v>
      </c>
      <c r="C70" s="47">
        <v>3002401</v>
      </c>
      <c r="D70" s="48">
        <v>3002401</v>
      </c>
      <c r="E70" s="43">
        <v>1</v>
      </c>
      <c r="F70" s="44" t="s">
        <v>77</v>
      </c>
      <c r="K70" s="43" t="s">
        <v>56</v>
      </c>
    </row>
    <row r="71" spans="1:11">
      <c r="A71" s="43">
        <v>70</v>
      </c>
      <c r="B71" s="44" t="s">
        <v>240</v>
      </c>
      <c r="C71" s="47">
        <v>3002402</v>
      </c>
      <c r="D71" s="48">
        <v>3002402</v>
      </c>
      <c r="E71" s="43">
        <v>2</v>
      </c>
      <c r="F71" s="44" t="s">
        <v>77</v>
      </c>
      <c r="K71" s="43" t="s">
        <v>56</v>
      </c>
    </row>
    <row r="72" spans="1:11">
      <c r="A72" s="43">
        <v>71</v>
      </c>
      <c r="B72" s="44" t="s">
        <v>240</v>
      </c>
      <c r="C72" s="47">
        <v>3002403</v>
      </c>
      <c r="D72" s="48">
        <v>3002403</v>
      </c>
      <c r="E72" s="43">
        <v>3</v>
      </c>
      <c r="F72" s="44" t="s">
        <v>77</v>
      </c>
      <c r="K72" s="43" t="s">
        <v>56</v>
      </c>
    </row>
    <row r="73" spans="1:11">
      <c r="A73" s="43">
        <v>72</v>
      </c>
      <c r="B73" s="44" t="s">
        <v>241</v>
      </c>
      <c r="C73" s="47">
        <v>3002501</v>
      </c>
      <c r="D73" s="48">
        <v>3002501</v>
      </c>
      <c r="E73" s="43">
        <v>1</v>
      </c>
      <c r="F73" s="49" t="s">
        <v>78</v>
      </c>
      <c r="K73" s="43" t="s">
        <v>56</v>
      </c>
    </row>
    <row r="74" spans="1:11">
      <c r="A74" s="43">
        <v>73</v>
      </c>
      <c r="B74" s="44" t="s">
        <v>241</v>
      </c>
      <c r="C74" s="47">
        <v>3002502</v>
      </c>
      <c r="D74" s="48">
        <v>3002502</v>
      </c>
      <c r="E74" s="43">
        <v>2</v>
      </c>
      <c r="F74" s="49" t="s">
        <v>78</v>
      </c>
      <c r="K74" s="43" t="s">
        <v>56</v>
      </c>
    </row>
    <row r="75" spans="1:11">
      <c r="A75" s="43">
        <v>74</v>
      </c>
      <c r="B75" s="44" t="s">
        <v>241</v>
      </c>
      <c r="C75" s="47">
        <v>3002503</v>
      </c>
      <c r="D75" s="48">
        <v>3002503</v>
      </c>
      <c r="E75" s="43">
        <v>3</v>
      </c>
      <c r="F75" s="49" t="s">
        <v>78</v>
      </c>
      <c r="K75" s="43" t="s">
        <v>56</v>
      </c>
    </row>
    <row r="76" spans="1:11">
      <c r="A76" s="43">
        <v>75</v>
      </c>
      <c r="B76" s="44" t="s">
        <v>242</v>
      </c>
      <c r="C76" s="47">
        <v>3002601</v>
      </c>
      <c r="D76" s="48">
        <v>3002601</v>
      </c>
      <c r="E76" s="43">
        <v>1</v>
      </c>
      <c r="F76" s="44" t="s">
        <v>79</v>
      </c>
      <c r="K76" s="43" t="s">
        <v>56</v>
      </c>
    </row>
    <row r="77" spans="1:11">
      <c r="A77" s="43">
        <v>76</v>
      </c>
      <c r="B77" s="44" t="s">
        <v>242</v>
      </c>
      <c r="C77" s="47">
        <v>3002602</v>
      </c>
      <c r="D77" s="48">
        <v>3002602</v>
      </c>
      <c r="E77" s="43">
        <v>2</v>
      </c>
      <c r="F77" s="44" t="s">
        <v>79</v>
      </c>
      <c r="K77" s="43" t="s">
        <v>56</v>
      </c>
    </row>
    <row r="78" spans="1:11">
      <c r="A78" s="43">
        <v>77</v>
      </c>
      <c r="B78" s="44" t="s">
        <v>242</v>
      </c>
      <c r="C78" s="47">
        <v>3002603</v>
      </c>
      <c r="D78" s="48">
        <v>3002603</v>
      </c>
      <c r="E78" s="43">
        <v>3</v>
      </c>
      <c r="F78" s="44" t="s">
        <v>79</v>
      </c>
      <c r="K78" s="43" t="s">
        <v>56</v>
      </c>
    </row>
    <row r="79" spans="1:11">
      <c r="A79" s="43">
        <v>78</v>
      </c>
      <c r="B79" s="44" t="s">
        <v>243</v>
      </c>
      <c r="C79" s="50">
        <v>3002701</v>
      </c>
      <c r="D79" s="50">
        <v>3002700</v>
      </c>
      <c r="E79" s="43">
        <v>1</v>
      </c>
      <c r="F79" s="44" t="s">
        <v>80</v>
      </c>
      <c r="G79" s="43">
        <v>5</v>
      </c>
      <c r="K79" s="43" t="s">
        <v>81</v>
      </c>
    </row>
    <row r="80" spans="1:11">
      <c r="A80" s="43">
        <v>79</v>
      </c>
      <c r="B80" s="44" t="s">
        <v>243</v>
      </c>
      <c r="C80" s="50">
        <v>3002702</v>
      </c>
      <c r="D80" s="50">
        <v>3002700</v>
      </c>
      <c r="E80" s="43">
        <v>2</v>
      </c>
      <c r="F80" s="44" t="s">
        <v>80</v>
      </c>
      <c r="G80" s="43">
        <v>5</v>
      </c>
      <c r="K80" s="43" t="s">
        <v>81</v>
      </c>
    </row>
    <row r="81" spans="1:11">
      <c r="A81" s="43">
        <v>80</v>
      </c>
      <c r="B81" s="44" t="s">
        <v>243</v>
      </c>
      <c r="C81" s="50">
        <v>3002703</v>
      </c>
      <c r="D81" s="50">
        <v>3002700</v>
      </c>
      <c r="E81" s="43">
        <v>3</v>
      </c>
      <c r="F81" s="44" t="s">
        <v>80</v>
      </c>
      <c r="G81" s="43">
        <v>5</v>
      </c>
      <c r="K81" s="43" t="s">
        <v>81</v>
      </c>
    </row>
    <row r="82" spans="1:11">
      <c r="A82" s="43">
        <v>81</v>
      </c>
      <c r="B82" s="44" t="s">
        <v>244</v>
      </c>
      <c r="C82" s="50">
        <v>3002801</v>
      </c>
      <c r="D82" s="50">
        <v>3002800</v>
      </c>
      <c r="E82" s="43">
        <v>1</v>
      </c>
      <c r="F82" s="44" t="s">
        <v>82</v>
      </c>
      <c r="G82" s="43">
        <v>5</v>
      </c>
      <c r="K82" s="43" t="s">
        <v>81</v>
      </c>
    </row>
    <row r="83" spans="1:11">
      <c r="A83" s="43">
        <v>82</v>
      </c>
      <c r="B83" s="44" t="s">
        <v>244</v>
      </c>
      <c r="C83" s="50">
        <v>3002802</v>
      </c>
      <c r="D83" s="50">
        <v>3002800</v>
      </c>
      <c r="E83" s="43">
        <v>2</v>
      </c>
      <c r="F83" s="44" t="s">
        <v>82</v>
      </c>
      <c r="G83" s="43">
        <v>5</v>
      </c>
      <c r="K83" s="43" t="s">
        <v>81</v>
      </c>
    </row>
    <row r="84" spans="1:11">
      <c r="A84" s="43">
        <v>83</v>
      </c>
      <c r="B84" s="44" t="s">
        <v>244</v>
      </c>
      <c r="C84" s="50">
        <v>3002803</v>
      </c>
      <c r="D84" s="50">
        <v>3002800</v>
      </c>
      <c r="E84" s="43">
        <v>3</v>
      </c>
      <c r="F84" s="44" t="s">
        <v>82</v>
      </c>
      <c r="G84" s="43">
        <v>5</v>
      </c>
      <c r="K84" s="43" t="s">
        <v>81</v>
      </c>
    </row>
    <row r="85" spans="1:11">
      <c r="A85" s="43">
        <v>84</v>
      </c>
      <c r="B85" s="44" t="s">
        <v>245</v>
      </c>
      <c r="C85" s="50">
        <v>3002901</v>
      </c>
      <c r="D85" s="50">
        <v>3002900</v>
      </c>
      <c r="E85" s="43">
        <v>1</v>
      </c>
      <c r="F85" s="44" t="s">
        <v>83</v>
      </c>
      <c r="G85" s="43">
        <v>1</v>
      </c>
      <c r="K85" s="43" t="s">
        <v>84</v>
      </c>
    </row>
    <row r="86" spans="1:11">
      <c r="A86" s="43">
        <v>85</v>
      </c>
      <c r="B86" s="44" t="s">
        <v>245</v>
      </c>
      <c r="C86" s="50">
        <v>3002902</v>
      </c>
      <c r="D86" s="50">
        <v>3002900</v>
      </c>
      <c r="E86" s="43">
        <v>2</v>
      </c>
      <c r="F86" s="44" t="s">
        <v>83</v>
      </c>
      <c r="G86" s="43">
        <v>1</v>
      </c>
      <c r="K86" s="43" t="s">
        <v>84</v>
      </c>
    </row>
    <row r="87" spans="1:11">
      <c r="A87" s="43">
        <v>86</v>
      </c>
      <c r="B87" s="44" t="s">
        <v>245</v>
      </c>
      <c r="C87" s="50">
        <v>3002903</v>
      </c>
      <c r="D87" s="50">
        <v>3002900</v>
      </c>
      <c r="E87" s="43">
        <v>3</v>
      </c>
      <c r="F87" s="44" t="s">
        <v>83</v>
      </c>
      <c r="G87" s="43">
        <v>1</v>
      </c>
      <c r="K87" s="43" t="s">
        <v>84</v>
      </c>
    </row>
    <row r="88" spans="1:11">
      <c r="A88" s="43">
        <v>87</v>
      </c>
      <c r="B88" s="44" t="s">
        <v>246</v>
      </c>
      <c r="C88" s="50">
        <v>3003001</v>
      </c>
      <c r="D88" s="50">
        <v>3003000</v>
      </c>
      <c r="E88" s="43">
        <v>1</v>
      </c>
      <c r="F88" s="44" t="s">
        <v>85</v>
      </c>
      <c r="G88" s="43">
        <v>1</v>
      </c>
      <c r="K88" s="43" t="s">
        <v>84</v>
      </c>
    </row>
    <row r="89" spans="1:11">
      <c r="A89" s="43">
        <v>88</v>
      </c>
      <c r="B89" s="44" t="s">
        <v>246</v>
      </c>
      <c r="C89" s="50">
        <v>3003002</v>
      </c>
      <c r="D89" s="50">
        <v>3003000</v>
      </c>
      <c r="E89" s="43">
        <v>2</v>
      </c>
      <c r="F89" s="44" t="s">
        <v>85</v>
      </c>
      <c r="G89" s="43">
        <v>1</v>
      </c>
      <c r="K89" s="43" t="s">
        <v>84</v>
      </c>
    </row>
    <row r="90" spans="1:11">
      <c r="A90" s="43">
        <v>89</v>
      </c>
      <c r="B90" s="44" t="s">
        <v>246</v>
      </c>
      <c r="C90" s="50">
        <v>3003003</v>
      </c>
      <c r="D90" s="50">
        <v>3003000</v>
      </c>
      <c r="E90" s="43">
        <v>3</v>
      </c>
      <c r="F90" s="44" t="s">
        <v>85</v>
      </c>
      <c r="G90" s="43">
        <v>1</v>
      </c>
      <c r="K90" s="43" t="s">
        <v>84</v>
      </c>
    </row>
    <row r="91" spans="1:11">
      <c r="A91" s="43">
        <v>90</v>
      </c>
      <c r="B91" s="44" t="s">
        <v>247</v>
      </c>
      <c r="C91" s="50">
        <v>3003101</v>
      </c>
      <c r="D91" s="50">
        <v>3003100</v>
      </c>
      <c r="E91" s="43">
        <v>1</v>
      </c>
      <c r="F91" s="44" t="s">
        <v>86</v>
      </c>
      <c r="G91" s="43">
        <v>4</v>
      </c>
      <c r="K91" s="43" t="s">
        <v>87</v>
      </c>
    </row>
    <row r="92" spans="1:11">
      <c r="A92" s="43">
        <v>91</v>
      </c>
      <c r="B92" s="44" t="s">
        <v>247</v>
      </c>
      <c r="C92" s="50">
        <v>3003102</v>
      </c>
      <c r="D92" s="50">
        <v>3003100</v>
      </c>
      <c r="E92" s="43">
        <v>2</v>
      </c>
      <c r="F92" s="44" t="s">
        <v>86</v>
      </c>
      <c r="G92" s="43">
        <v>4</v>
      </c>
      <c r="K92" s="43" t="s">
        <v>87</v>
      </c>
    </row>
    <row r="93" spans="1:11">
      <c r="A93" s="43">
        <v>92</v>
      </c>
      <c r="B93" s="44" t="s">
        <v>247</v>
      </c>
      <c r="C93" s="50">
        <v>3003103</v>
      </c>
      <c r="D93" s="50">
        <v>3003100</v>
      </c>
      <c r="E93" s="43">
        <v>3</v>
      </c>
      <c r="F93" s="44" t="s">
        <v>86</v>
      </c>
      <c r="G93" s="43">
        <v>4</v>
      </c>
      <c r="K93" s="43" t="s">
        <v>87</v>
      </c>
    </row>
    <row r="94" spans="1:11">
      <c r="A94" s="43">
        <v>93</v>
      </c>
      <c r="B94" s="44" t="s">
        <v>248</v>
      </c>
      <c r="C94" s="50">
        <v>3003201</v>
      </c>
      <c r="D94" s="50">
        <v>3003200</v>
      </c>
      <c r="E94" s="43">
        <v>1</v>
      </c>
      <c r="F94" s="44" t="s">
        <v>88</v>
      </c>
      <c r="G94" s="43">
        <v>4</v>
      </c>
      <c r="K94" s="43" t="s">
        <v>87</v>
      </c>
    </row>
    <row r="95" spans="1:11">
      <c r="A95" s="43">
        <v>94</v>
      </c>
      <c r="B95" s="44" t="s">
        <v>248</v>
      </c>
      <c r="C95" s="50">
        <v>3003202</v>
      </c>
      <c r="D95" s="50">
        <v>3003200</v>
      </c>
      <c r="E95" s="43">
        <v>2</v>
      </c>
      <c r="F95" s="44" t="s">
        <v>88</v>
      </c>
      <c r="G95" s="43">
        <v>4</v>
      </c>
      <c r="K95" s="43" t="s">
        <v>87</v>
      </c>
    </row>
    <row r="96" spans="1:11">
      <c r="A96" s="43">
        <v>95</v>
      </c>
      <c r="B96" s="44" t="s">
        <v>248</v>
      </c>
      <c r="C96" s="50">
        <v>3003203</v>
      </c>
      <c r="D96" s="50">
        <v>3003200</v>
      </c>
      <c r="E96" s="43">
        <v>3</v>
      </c>
      <c r="F96" s="44" t="s">
        <v>88</v>
      </c>
      <c r="G96" s="43">
        <v>4</v>
      </c>
      <c r="K96" s="43" t="s">
        <v>87</v>
      </c>
    </row>
    <row r="97" spans="1:11">
      <c r="A97" s="43">
        <v>96</v>
      </c>
      <c r="B97" s="51" t="s">
        <v>249</v>
      </c>
      <c r="C97" s="50">
        <v>3003301</v>
      </c>
      <c r="D97" s="50">
        <v>3003300</v>
      </c>
      <c r="E97" s="43">
        <v>1</v>
      </c>
      <c r="F97" s="44" t="s">
        <v>89</v>
      </c>
      <c r="G97" s="43">
        <v>3</v>
      </c>
      <c r="K97" s="43" t="s">
        <v>90</v>
      </c>
    </row>
    <row r="98" spans="1:11">
      <c r="A98" s="43">
        <v>97</v>
      </c>
      <c r="B98" s="51" t="s">
        <v>249</v>
      </c>
      <c r="C98" s="50">
        <v>3003302</v>
      </c>
      <c r="D98" s="50">
        <v>3003300</v>
      </c>
      <c r="E98" s="43">
        <v>2</v>
      </c>
      <c r="F98" s="44" t="s">
        <v>89</v>
      </c>
      <c r="G98" s="43">
        <v>3</v>
      </c>
      <c r="K98" s="43" t="s">
        <v>90</v>
      </c>
    </row>
    <row r="99" spans="1:11">
      <c r="A99" s="43">
        <v>98</v>
      </c>
      <c r="B99" s="51" t="s">
        <v>249</v>
      </c>
      <c r="C99" s="50">
        <v>3003303</v>
      </c>
      <c r="D99" s="50">
        <v>3003300</v>
      </c>
      <c r="E99" s="43">
        <v>3</v>
      </c>
      <c r="F99" s="44" t="s">
        <v>89</v>
      </c>
      <c r="G99" s="43">
        <v>3</v>
      </c>
      <c r="K99" s="43" t="s">
        <v>90</v>
      </c>
    </row>
    <row r="100" spans="1:11">
      <c r="A100" s="43">
        <v>99</v>
      </c>
      <c r="B100" s="51" t="s">
        <v>250</v>
      </c>
      <c r="C100" s="50">
        <v>3003401</v>
      </c>
      <c r="D100" s="50">
        <v>3003400</v>
      </c>
      <c r="E100" s="43">
        <v>1</v>
      </c>
      <c r="F100" s="44" t="s">
        <v>91</v>
      </c>
      <c r="G100" s="43">
        <v>3</v>
      </c>
      <c r="K100" s="43" t="s">
        <v>90</v>
      </c>
    </row>
    <row r="101" spans="1:11">
      <c r="A101" s="43">
        <v>100</v>
      </c>
      <c r="B101" s="51" t="s">
        <v>250</v>
      </c>
      <c r="C101" s="50">
        <v>3003402</v>
      </c>
      <c r="D101" s="50">
        <v>3003400</v>
      </c>
      <c r="E101" s="43">
        <v>2</v>
      </c>
      <c r="F101" s="44" t="s">
        <v>91</v>
      </c>
      <c r="G101" s="43">
        <v>3</v>
      </c>
      <c r="K101" s="43" t="s">
        <v>90</v>
      </c>
    </row>
    <row r="102" spans="1:11">
      <c r="A102" s="43">
        <v>101</v>
      </c>
      <c r="B102" s="51" t="s">
        <v>250</v>
      </c>
      <c r="C102" s="50">
        <v>3003403</v>
      </c>
      <c r="D102" s="50">
        <v>3003400</v>
      </c>
      <c r="E102" s="43">
        <v>3</v>
      </c>
      <c r="F102" s="44" t="s">
        <v>91</v>
      </c>
      <c r="G102" s="43">
        <v>3</v>
      </c>
      <c r="K102" s="43" t="s">
        <v>90</v>
      </c>
    </row>
    <row r="103" spans="1:11">
      <c r="A103" s="43">
        <v>102</v>
      </c>
      <c r="B103" s="44" t="s">
        <v>251</v>
      </c>
      <c r="C103" s="52">
        <v>3003501</v>
      </c>
      <c r="D103" s="52">
        <v>3003500</v>
      </c>
      <c r="E103" s="43">
        <v>1</v>
      </c>
      <c r="F103" s="44" t="s">
        <v>92</v>
      </c>
      <c r="G103" s="43">
        <v>2</v>
      </c>
      <c r="K103" s="43" t="s">
        <v>93</v>
      </c>
    </row>
    <row r="104" spans="1:11">
      <c r="A104" s="43">
        <v>103</v>
      </c>
      <c r="B104" s="44" t="s">
        <v>251</v>
      </c>
      <c r="C104" s="50">
        <v>3003502</v>
      </c>
      <c r="D104" s="50">
        <v>3003500</v>
      </c>
      <c r="E104" s="43">
        <v>2</v>
      </c>
      <c r="F104" s="44" t="s">
        <v>92</v>
      </c>
      <c r="G104" s="43">
        <v>2</v>
      </c>
      <c r="K104" s="43" t="s">
        <v>93</v>
      </c>
    </row>
    <row r="105" spans="1:11">
      <c r="A105" s="43">
        <v>104</v>
      </c>
      <c r="B105" s="44" t="s">
        <v>251</v>
      </c>
      <c r="C105" s="50">
        <v>3003503</v>
      </c>
      <c r="D105" s="50">
        <v>3003500</v>
      </c>
      <c r="E105" s="43">
        <v>3</v>
      </c>
      <c r="F105" s="44" t="s">
        <v>92</v>
      </c>
      <c r="G105" s="43">
        <v>2</v>
      </c>
      <c r="K105" s="43" t="s">
        <v>93</v>
      </c>
    </row>
    <row r="106" spans="1:11">
      <c r="A106" s="43">
        <v>105</v>
      </c>
      <c r="B106" s="53" t="s">
        <v>252</v>
      </c>
      <c r="C106" s="50">
        <v>3003601</v>
      </c>
      <c r="D106" s="50">
        <v>3003600</v>
      </c>
      <c r="E106" s="43">
        <v>1</v>
      </c>
      <c r="F106" s="44" t="s">
        <v>94</v>
      </c>
      <c r="G106" s="43">
        <v>2</v>
      </c>
      <c r="K106" s="43" t="s">
        <v>93</v>
      </c>
    </row>
    <row r="107" spans="1:11">
      <c r="A107" s="43">
        <v>106</v>
      </c>
      <c r="B107" s="53" t="s">
        <v>252</v>
      </c>
      <c r="C107" s="50">
        <v>3003602</v>
      </c>
      <c r="D107" s="50">
        <v>3003600</v>
      </c>
      <c r="E107" s="43">
        <v>2</v>
      </c>
      <c r="F107" s="44" t="s">
        <v>94</v>
      </c>
      <c r="G107" s="43">
        <v>2</v>
      </c>
      <c r="K107" s="43" t="s">
        <v>93</v>
      </c>
    </row>
    <row r="108" spans="1:11">
      <c r="A108" s="43">
        <v>107</v>
      </c>
      <c r="B108" s="53" t="s">
        <v>252</v>
      </c>
      <c r="C108" s="50">
        <v>3003603</v>
      </c>
      <c r="D108" s="50">
        <v>3003600</v>
      </c>
      <c r="E108" s="43">
        <v>3</v>
      </c>
      <c r="F108" s="44" t="s">
        <v>94</v>
      </c>
      <c r="G108" s="43">
        <v>2</v>
      </c>
      <c r="K108" s="43" t="s">
        <v>93</v>
      </c>
    </row>
    <row r="109" spans="1:11">
      <c r="A109" s="43">
        <v>108</v>
      </c>
      <c r="B109" s="44" t="s">
        <v>253</v>
      </c>
      <c r="C109" s="50">
        <v>3003701</v>
      </c>
      <c r="D109" s="50">
        <v>3003700</v>
      </c>
      <c r="E109" s="43">
        <v>1</v>
      </c>
      <c r="F109" s="44" t="s">
        <v>95</v>
      </c>
      <c r="K109" s="43" t="s">
        <v>56</v>
      </c>
    </row>
    <row r="110" spans="1:11">
      <c r="A110" s="43">
        <v>109</v>
      </c>
      <c r="B110" s="44" t="s">
        <v>253</v>
      </c>
      <c r="C110" s="50">
        <v>3003702</v>
      </c>
      <c r="D110" s="50">
        <v>3003700</v>
      </c>
      <c r="E110" s="43">
        <v>2</v>
      </c>
      <c r="F110" s="44" t="s">
        <v>95</v>
      </c>
      <c r="K110" s="43" t="s">
        <v>56</v>
      </c>
    </row>
    <row r="111" spans="1:11">
      <c r="A111" s="43">
        <v>110</v>
      </c>
      <c r="B111" s="44" t="s">
        <v>253</v>
      </c>
      <c r="C111" s="50">
        <v>3003703</v>
      </c>
      <c r="D111" s="50">
        <v>3003700</v>
      </c>
      <c r="E111" s="43">
        <v>3</v>
      </c>
      <c r="F111" s="44" t="s">
        <v>95</v>
      </c>
      <c r="K111" s="43" t="s">
        <v>56</v>
      </c>
    </row>
    <row r="112" spans="1:11">
      <c r="A112" s="43">
        <v>111</v>
      </c>
      <c r="B112" s="44" t="s">
        <v>254</v>
      </c>
      <c r="C112" s="50">
        <v>3003801</v>
      </c>
      <c r="D112" s="50">
        <v>3003800</v>
      </c>
      <c r="E112" s="43">
        <v>1</v>
      </c>
      <c r="F112" s="44" t="s">
        <v>96</v>
      </c>
      <c r="K112" s="43" t="s">
        <v>56</v>
      </c>
    </row>
    <row r="113" spans="1:11">
      <c r="A113" s="43">
        <v>112</v>
      </c>
      <c r="B113" s="44" t="s">
        <v>254</v>
      </c>
      <c r="C113" s="50">
        <v>3003802</v>
      </c>
      <c r="D113" s="50">
        <v>3003800</v>
      </c>
      <c r="E113" s="43">
        <v>2</v>
      </c>
      <c r="F113" s="44" t="s">
        <v>96</v>
      </c>
      <c r="K113" s="43" t="s">
        <v>56</v>
      </c>
    </row>
    <row r="114" spans="1:11">
      <c r="A114" s="43">
        <v>113</v>
      </c>
      <c r="B114" s="44" t="s">
        <v>254</v>
      </c>
      <c r="C114" s="50">
        <v>3003803</v>
      </c>
      <c r="D114" s="50">
        <v>3003800</v>
      </c>
      <c r="E114" s="43">
        <v>3</v>
      </c>
      <c r="F114" s="44" t="s">
        <v>96</v>
      </c>
      <c r="K114" s="43" t="s">
        <v>56</v>
      </c>
    </row>
    <row r="115" spans="1:11">
      <c r="A115" s="43">
        <v>114</v>
      </c>
      <c r="B115" s="44" t="s">
        <v>255</v>
      </c>
      <c r="C115" s="50">
        <v>3003901</v>
      </c>
      <c r="D115" s="50">
        <v>3003900</v>
      </c>
      <c r="E115" s="43">
        <v>1</v>
      </c>
      <c r="F115" s="44" t="s">
        <v>97</v>
      </c>
      <c r="K115" s="43" t="s">
        <v>56</v>
      </c>
    </row>
    <row r="116" spans="1:11">
      <c r="A116" s="43">
        <v>115</v>
      </c>
      <c r="B116" s="44" t="s">
        <v>255</v>
      </c>
      <c r="C116" s="50">
        <v>3003902</v>
      </c>
      <c r="D116" s="50">
        <v>3003900</v>
      </c>
      <c r="E116" s="43">
        <v>2</v>
      </c>
      <c r="F116" s="44" t="s">
        <v>97</v>
      </c>
      <c r="K116" s="43" t="s">
        <v>56</v>
      </c>
    </row>
    <row r="117" spans="1:11">
      <c r="A117" s="43">
        <v>116</v>
      </c>
      <c r="B117" s="44" t="s">
        <v>255</v>
      </c>
      <c r="C117" s="50">
        <v>3003903</v>
      </c>
      <c r="D117" s="50">
        <v>3003900</v>
      </c>
      <c r="E117" s="43">
        <v>3</v>
      </c>
      <c r="F117" s="44" t="s">
        <v>97</v>
      </c>
      <c r="K117" s="43" t="s">
        <v>56</v>
      </c>
    </row>
    <row r="118" spans="1:11">
      <c r="A118" s="43">
        <v>117</v>
      </c>
      <c r="B118" s="44" t="s">
        <v>256</v>
      </c>
      <c r="C118" s="50">
        <v>3004001</v>
      </c>
      <c r="D118" s="50">
        <v>3004000</v>
      </c>
      <c r="E118" s="43">
        <v>1</v>
      </c>
      <c r="F118" s="44" t="s">
        <v>98</v>
      </c>
      <c r="K118" s="43" t="s">
        <v>56</v>
      </c>
    </row>
    <row r="119" spans="1:11">
      <c r="A119" s="43">
        <v>118</v>
      </c>
      <c r="B119" s="44" t="s">
        <v>256</v>
      </c>
      <c r="C119" s="50">
        <v>3004002</v>
      </c>
      <c r="D119" s="50">
        <v>3004000</v>
      </c>
      <c r="E119" s="43">
        <v>2</v>
      </c>
      <c r="F119" s="44" t="s">
        <v>98</v>
      </c>
      <c r="K119" s="43" t="s">
        <v>56</v>
      </c>
    </row>
    <row r="120" spans="1:11">
      <c r="A120" s="43">
        <v>119</v>
      </c>
      <c r="B120" s="44" t="s">
        <v>256</v>
      </c>
      <c r="C120" s="50">
        <v>3004003</v>
      </c>
      <c r="D120" s="50">
        <v>3004000</v>
      </c>
      <c r="E120" s="43">
        <v>3</v>
      </c>
      <c r="F120" s="44" t="s">
        <v>98</v>
      </c>
      <c r="K120" s="43" t="s">
        <v>56</v>
      </c>
    </row>
    <row r="121" spans="1:11">
      <c r="A121" s="43">
        <v>120</v>
      </c>
      <c r="B121" s="44" t="s">
        <v>257</v>
      </c>
      <c r="C121" s="50">
        <v>3004101</v>
      </c>
      <c r="D121" s="50">
        <v>3004100</v>
      </c>
      <c r="E121" s="43">
        <v>1</v>
      </c>
      <c r="F121" s="44" t="s">
        <v>99</v>
      </c>
      <c r="K121" s="43" t="s">
        <v>56</v>
      </c>
    </row>
    <row r="122" spans="1:11">
      <c r="A122" s="43">
        <v>121</v>
      </c>
      <c r="B122" s="44" t="s">
        <v>257</v>
      </c>
      <c r="C122" s="50">
        <v>3004102</v>
      </c>
      <c r="D122" s="50">
        <v>3004100</v>
      </c>
      <c r="E122" s="43">
        <v>2</v>
      </c>
      <c r="F122" s="44" t="s">
        <v>99</v>
      </c>
      <c r="K122" s="43" t="s">
        <v>56</v>
      </c>
    </row>
    <row r="123" spans="1:11">
      <c r="A123" s="43">
        <v>122</v>
      </c>
      <c r="B123" s="44" t="s">
        <v>257</v>
      </c>
      <c r="C123" s="50">
        <v>3004103</v>
      </c>
      <c r="D123" s="50">
        <v>3004100</v>
      </c>
      <c r="E123" s="43">
        <v>3</v>
      </c>
      <c r="F123" s="44" t="s">
        <v>99</v>
      </c>
      <c r="K123" s="43" t="s">
        <v>56</v>
      </c>
    </row>
    <row r="124" spans="1:11">
      <c r="A124" s="43">
        <v>123</v>
      </c>
      <c r="B124" s="44" t="s">
        <v>258</v>
      </c>
      <c r="C124" s="50">
        <v>3004201</v>
      </c>
      <c r="D124" s="50">
        <v>3004200</v>
      </c>
      <c r="E124" s="43">
        <v>1</v>
      </c>
      <c r="F124" s="44" t="s">
        <v>100</v>
      </c>
      <c r="K124" s="43" t="s">
        <v>56</v>
      </c>
    </row>
    <row r="125" spans="1:11">
      <c r="A125" s="43">
        <v>124</v>
      </c>
      <c r="B125" s="44" t="s">
        <v>258</v>
      </c>
      <c r="C125" s="50">
        <v>3004202</v>
      </c>
      <c r="D125" s="50">
        <v>3004200</v>
      </c>
      <c r="E125" s="43">
        <v>2</v>
      </c>
      <c r="F125" s="44" t="s">
        <v>100</v>
      </c>
      <c r="K125" s="43" t="s">
        <v>56</v>
      </c>
    </row>
    <row r="126" spans="1:11">
      <c r="A126" s="43">
        <v>125</v>
      </c>
      <c r="B126" s="44" t="s">
        <v>258</v>
      </c>
      <c r="C126" s="50">
        <v>3004203</v>
      </c>
      <c r="D126" s="50">
        <v>3004200</v>
      </c>
      <c r="E126" s="43">
        <v>3</v>
      </c>
      <c r="F126" s="44" t="s">
        <v>100</v>
      </c>
      <c r="K126" s="43" t="s">
        <v>56</v>
      </c>
    </row>
    <row r="127" spans="1:11">
      <c r="A127" s="43">
        <v>126</v>
      </c>
      <c r="B127" s="44" t="s">
        <v>259</v>
      </c>
      <c r="C127" s="50">
        <v>3004301</v>
      </c>
      <c r="D127" s="50">
        <v>3004300</v>
      </c>
      <c r="E127" s="43">
        <v>1</v>
      </c>
      <c r="F127" s="44" t="s">
        <v>101</v>
      </c>
      <c r="K127" s="43" t="s">
        <v>56</v>
      </c>
    </row>
    <row r="128" spans="1:11">
      <c r="A128" s="43">
        <v>127</v>
      </c>
      <c r="B128" s="44" t="s">
        <v>259</v>
      </c>
      <c r="C128" s="50">
        <v>3004302</v>
      </c>
      <c r="D128" s="50">
        <v>3004300</v>
      </c>
      <c r="E128" s="43">
        <v>2</v>
      </c>
      <c r="F128" s="44" t="s">
        <v>101</v>
      </c>
      <c r="K128" s="43" t="s">
        <v>56</v>
      </c>
    </row>
    <row r="129" spans="1:12">
      <c r="A129" s="43">
        <v>128</v>
      </c>
      <c r="B129" s="44" t="s">
        <v>259</v>
      </c>
      <c r="C129" s="50">
        <v>3004303</v>
      </c>
      <c r="D129" s="50">
        <v>3004300</v>
      </c>
      <c r="E129" s="43">
        <v>3</v>
      </c>
      <c r="F129" s="44" t="s">
        <v>101</v>
      </c>
      <c r="K129" s="43" t="s">
        <v>56</v>
      </c>
    </row>
    <row r="130" spans="1:12">
      <c r="A130" s="43">
        <v>129</v>
      </c>
      <c r="B130" s="44" t="s">
        <v>260</v>
      </c>
      <c r="C130" s="50">
        <v>3004401</v>
      </c>
      <c r="D130" s="50">
        <v>3004400</v>
      </c>
      <c r="E130" s="43">
        <v>1</v>
      </c>
      <c r="F130" s="44" t="s">
        <v>102</v>
      </c>
      <c r="K130" s="43" t="s">
        <v>56</v>
      </c>
    </row>
    <row r="131" spans="1:12">
      <c r="A131" s="43">
        <v>130</v>
      </c>
      <c r="B131" s="44" t="s">
        <v>260</v>
      </c>
      <c r="C131" s="50">
        <v>3004402</v>
      </c>
      <c r="D131" s="50">
        <v>3004400</v>
      </c>
      <c r="E131" s="43">
        <v>2</v>
      </c>
      <c r="F131" s="44" t="s">
        <v>102</v>
      </c>
      <c r="K131" s="43" t="s">
        <v>56</v>
      </c>
    </row>
    <row r="132" spans="1:12">
      <c r="A132" s="43">
        <v>131</v>
      </c>
      <c r="B132" s="44" t="s">
        <v>260</v>
      </c>
      <c r="C132" s="50">
        <v>3004403</v>
      </c>
      <c r="D132" s="50">
        <v>3004400</v>
      </c>
      <c r="E132" s="43">
        <v>3</v>
      </c>
      <c r="F132" s="44" t="s">
        <v>102</v>
      </c>
      <c r="K132" s="43" t="s">
        <v>56</v>
      </c>
    </row>
    <row r="133" spans="1:12">
      <c r="A133" s="43">
        <v>132</v>
      </c>
      <c r="B133" s="44" t="s">
        <v>261</v>
      </c>
      <c r="C133" s="50">
        <v>3004501</v>
      </c>
      <c r="D133" s="50">
        <v>3004500</v>
      </c>
      <c r="E133" s="43">
        <v>1</v>
      </c>
      <c r="F133" s="44" t="s">
        <v>103</v>
      </c>
      <c r="K133" s="43" t="s">
        <v>56</v>
      </c>
    </row>
    <row r="134" spans="1:12">
      <c r="A134" s="43">
        <v>133</v>
      </c>
      <c r="B134" s="44" t="s">
        <v>261</v>
      </c>
      <c r="C134" s="50">
        <v>3004502</v>
      </c>
      <c r="D134" s="50">
        <v>3004500</v>
      </c>
      <c r="E134" s="43">
        <v>2</v>
      </c>
      <c r="F134" s="44" t="s">
        <v>103</v>
      </c>
      <c r="K134" s="43" t="s">
        <v>56</v>
      </c>
    </row>
    <row r="135" spans="1:12">
      <c r="A135" s="43">
        <v>134</v>
      </c>
      <c r="B135" s="44" t="s">
        <v>261</v>
      </c>
      <c r="C135" s="50">
        <v>3004503</v>
      </c>
      <c r="D135" s="50">
        <v>3004500</v>
      </c>
      <c r="E135" s="43">
        <v>3</v>
      </c>
      <c r="F135" s="44" t="s">
        <v>103</v>
      </c>
      <c r="K135" s="43" t="s">
        <v>56</v>
      </c>
    </row>
    <row r="136" spans="1:12">
      <c r="A136" s="43">
        <v>135</v>
      </c>
      <c r="B136" s="44" t="s">
        <v>262</v>
      </c>
      <c r="C136" s="40">
        <v>3004601</v>
      </c>
      <c r="D136" s="40">
        <v>3004600</v>
      </c>
      <c r="E136" s="43">
        <v>1</v>
      </c>
      <c r="F136" s="44" t="s">
        <v>104</v>
      </c>
      <c r="K136" s="43" t="s">
        <v>56</v>
      </c>
      <c r="L136">
        <v>1</v>
      </c>
    </row>
    <row r="137" spans="1:12">
      <c r="A137" s="43">
        <v>136</v>
      </c>
      <c r="B137" s="44" t="s">
        <v>262</v>
      </c>
      <c r="C137" s="41">
        <v>3004605</v>
      </c>
      <c r="D137" s="40">
        <v>3004600</v>
      </c>
      <c r="E137" s="43">
        <v>2</v>
      </c>
      <c r="F137" s="44" t="s">
        <v>104</v>
      </c>
      <c r="K137" s="43" t="s">
        <v>56</v>
      </c>
      <c r="L137">
        <v>1</v>
      </c>
    </row>
    <row r="138" spans="1:12">
      <c r="A138" s="43">
        <v>137</v>
      </c>
      <c r="B138" s="44" t="s">
        <v>262</v>
      </c>
      <c r="C138" s="42">
        <v>3004610</v>
      </c>
      <c r="D138" s="40">
        <v>3004600</v>
      </c>
      <c r="E138" s="43">
        <v>3</v>
      </c>
      <c r="F138" s="44" t="s">
        <v>104</v>
      </c>
      <c r="K138" s="43" t="s">
        <v>56</v>
      </c>
      <c r="L138">
        <v>1</v>
      </c>
    </row>
    <row r="139" spans="1:12">
      <c r="A139" s="43">
        <v>138</v>
      </c>
      <c r="B139" s="53" t="s">
        <v>263</v>
      </c>
      <c r="C139" s="50">
        <v>3004702</v>
      </c>
      <c r="D139" s="50">
        <v>3004700</v>
      </c>
      <c r="E139" s="43">
        <v>2</v>
      </c>
      <c r="F139" s="44" t="s">
        <v>105</v>
      </c>
      <c r="K139" s="43" t="s">
        <v>56</v>
      </c>
    </row>
    <row r="140" spans="1:12">
      <c r="A140" s="43">
        <v>139</v>
      </c>
      <c r="B140" s="53" t="s">
        <v>263</v>
      </c>
      <c r="C140" s="50">
        <v>3004703</v>
      </c>
      <c r="D140" s="50">
        <v>3004700</v>
      </c>
      <c r="E140" s="43">
        <v>3</v>
      </c>
      <c r="F140" s="44" t="s">
        <v>105</v>
      </c>
      <c r="K140" s="43" t="s">
        <v>56</v>
      </c>
    </row>
    <row r="141" spans="1:12">
      <c r="A141" s="43">
        <v>140</v>
      </c>
      <c r="B141" s="53" t="s">
        <v>264</v>
      </c>
      <c r="C141" s="50">
        <v>3004802</v>
      </c>
      <c r="D141" s="50">
        <v>3004800</v>
      </c>
      <c r="E141" s="43">
        <v>2</v>
      </c>
      <c r="F141" s="44" t="s">
        <v>106</v>
      </c>
      <c r="K141" s="43" t="s">
        <v>56</v>
      </c>
    </row>
    <row r="142" spans="1:12">
      <c r="A142" s="43">
        <v>141</v>
      </c>
      <c r="B142" s="53" t="s">
        <v>264</v>
      </c>
      <c r="C142" s="50">
        <v>3004803</v>
      </c>
      <c r="D142" s="50">
        <v>3004800</v>
      </c>
      <c r="E142" s="43">
        <v>3</v>
      </c>
      <c r="F142" s="44" t="s">
        <v>106</v>
      </c>
      <c r="K142" s="43" t="s">
        <v>56</v>
      </c>
    </row>
    <row r="143" spans="1:12">
      <c r="A143" s="43">
        <v>142</v>
      </c>
      <c r="B143" s="53" t="s">
        <v>265</v>
      </c>
      <c r="C143" s="50">
        <v>3004902</v>
      </c>
      <c r="D143" s="50">
        <v>3004900</v>
      </c>
      <c r="E143" s="43">
        <v>2</v>
      </c>
      <c r="F143" s="44" t="s">
        <v>107</v>
      </c>
      <c r="K143" s="43" t="s">
        <v>56</v>
      </c>
    </row>
    <row r="144" spans="1:12">
      <c r="A144" s="43">
        <v>143</v>
      </c>
      <c r="B144" s="53" t="s">
        <v>265</v>
      </c>
      <c r="C144" s="50">
        <v>3004903</v>
      </c>
      <c r="D144" s="50">
        <v>3004900</v>
      </c>
      <c r="E144" s="43">
        <v>3</v>
      </c>
      <c r="F144" s="44" t="s">
        <v>107</v>
      </c>
      <c r="K144" s="43" t="s">
        <v>56</v>
      </c>
    </row>
    <row r="145" spans="1:11">
      <c r="A145" s="43">
        <v>144</v>
      </c>
      <c r="B145" s="53" t="s">
        <v>266</v>
      </c>
      <c r="C145" s="50">
        <v>3005002</v>
      </c>
      <c r="D145" s="50">
        <v>3005002</v>
      </c>
      <c r="E145" s="43">
        <v>2</v>
      </c>
      <c r="F145" s="44" t="s">
        <v>108</v>
      </c>
      <c r="K145" s="43" t="s">
        <v>56</v>
      </c>
    </row>
    <row r="146" spans="1:11">
      <c r="A146" s="43">
        <v>145</v>
      </c>
      <c r="B146" s="53" t="s">
        <v>266</v>
      </c>
      <c r="C146" s="50">
        <v>3005003</v>
      </c>
      <c r="D146" s="50">
        <v>3005003</v>
      </c>
      <c r="E146" s="43">
        <v>3</v>
      </c>
      <c r="F146" s="44" t="s">
        <v>108</v>
      </c>
      <c r="K146" s="43" t="s">
        <v>56</v>
      </c>
    </row>
    <row r="147" spans="1:11">
      <c r="A147" s="43">
        <v>146</v>
      </c>
      <c r="B147" s="53" t="s">
        <v>267</v>
      </c>
      <c r="C147" s="50">
        <v>3005102</v>
      </c>
      <c r="D147" s="50">
        <v>3005100</v>
      </c>
      <c r="E147" s="43">
        <v>2</v>
      </c>
      <c r="F147" s="44" t="s">
        <v>109</v>
      </c>
      <c r="K147" s="43" t="s">
        <v>56</v>
      </c>
    </row>
    <row r="148" spans="1:11">
      <c r="A148" s="43">
        <v>147</v>
      </c>
      <c r="B148" s="53" t="s">
        <v>267</v>
      </c>
      <c r="C148" s="50">
        <v>3005103</v>
      </c>
      <c r="D148" s="50">
        <v>3005100</v>
      </c>
      <c r="E148" s="43">
        <v>3</v>
      </c>
      <c r="F148" s="44" t="s">
        <v>109</v>
      </c>
      <c r="K148" s="43" t="s">
        <v>56</v>
      </c>
    </row>
    <row r="149" spans="1:11">
      <c r="A149" s="43">
        <v>148</v>
      </c>
      <c r="B149" s="53" t="s">
        <v>268</v>
      </c>
      <c r="C149" s="50">
        <v>3005202</v>
      </c>
      <c r="D149" s="50">
        <v>3005200</v>
      </c>
      <c r="E149" s="43">
        <v>2</v>
      </c>
      <c r="F149" s="44" t="s">
        <v>110</v>
      </c>
      <c r="K149" s="43" t="s">
        <v>56</v>
      </c>
    </row>
    <row r="150" spans="1:11">
      <c r="A150" s="43">
        <v>149</v>
      </c>
      <c r="B150" s="53" t="s">
        <v>268</v>
      </c>
      <c r="C150" s="50">
        <v>3005203</v>
      </c>
      <c r="D150" s="50">
        <v>3005200</v>
      </c>
      <c r="E150" s="43">
        <v>3</v>
      </c>
      <c r="F150" s="44" t="s">
        <v>110</v>
      </c>
      <c r="K150" s="43" t="s">
        <v>56</v>
      </c>
    </row>
    <row r="151" spans="1:11">
      <c r="A151" s="43">
        <v>150</v>
      </c>
      <c r="B151" s="53" t="s">
        <v>269</v>
      </c>
      <c r="C151" s="50">
        <v>3005302</v>
      </c>
      <c r="D151" s="50">
        <v>3005300</v>
      </c>
      <c r="E151" s="43">
        <v>2</v>
      </c>
      <c r="F151" s="44" t="s">
        <v>111</v>
      </c>
      <c r="K151" s="43" t="s">
        <v>56</v>
      </c>
    </row>
    <row r="152" spans="1:11">
      <c r="A152" s="43">
        <v>151</v>
      </c>
      <c r="B152" s="53" t="s">
        <v>269</v>
      </c>
      <c r="C152" s="50">
        <v>3005303</v>
      </c>
      <c r="D152" s="50">
        <v>3005300</v>
      </c>
      <c r="E152" s="43">
        <v>3</v>
      </c>
      <c r="F152" s="44" t="s">
        <v>111</v>
      </c>
      <c r="K152" s="43" t="s">
        <v>56</v>
      </c>
    </row>
  </sheetData>
  <autoFilter ref="A1:L152"/>
  <conditionalFormatting sqref="C136">
    <cfRule type="duplicateValues" dxfId="114" priority="4"/>
    <cfRule type="duplicateValues" dxfId="113" priority="3"/>
  </conditionalFormatting>
  <conditionalFormatting sqref="C137">
    <cfRule type="duplicateValues" dxfId="112" priority="1"/>
  </conditionalFormatting>
  <conditionalFormatting sqref="C2:C4">
    <cfRule type="duplicateValues" dxfId="111" priority="56"/>
    <cfRule type="duplicateValues" dxfId="110" priority="55"/>
  </conditionalFormatting>
  <conditionalFormatting sqref="C5:C6">
    <cfRule type="duplicateValues" dxfId="109" priority="54"/>
    <cfRule type="duplicateValues" dxfId="108" priority="53"/>
  </conditionalFormatting>
  <conditionalFormatting sqref="C7:C9">
    <cfRule type="duplicateValues" dxfId="107" priority="52"/>
    <cfRule type="duplicateValues" dxfId="106" priority="51"/>
  </conditionalFormatting>
  <conditionalFormatting sqref="C10:C12">
    <cfRule type="duplicateValues" dxfId="105" priority="50"/>
    <cfRule type="duplicateValues" dxfId="104" priority="49"/>
  </conditionalFormatting>
  <conditionalFormatting sqref="C13:C15">
    <cfRule type="duplicateValues" dxfId="103" priority="48"/>
    <cfRule type="duplicateValues" dxfId="102" priority="47"/>
  </conditionalFormatting>
  <conditionalFormatting sqref="C16:C18">
    <cfRule type="duplicateValues" dxfId="101" priority="46"/>
    <cfRule type="duplicateValues" dxfId="100" priority="45"/>
  </conditionalFormatting>
  <conditionalFormatting sqref="C19:C21">
    <cfRule type="duplicateValues" dxfId="99" priority="44"/>
    <cfRule type="duplicateValues" dxfId="98" priority="43"/>
  </conditionalFormatting>
  <conditionalFormatting sqref="C22:C24">
    <cfRule type="duplicateValues" dxfId="97" priority="42"/>
    <cfRule type="duplicateValues" dxfId="96" priority="41"/>
  </conditionalFormatting>
  <conditionalFormatting sqref="C25:C27">
    <cfRule type="duplicateValues" dxfId="95" priority="40"/>
    <cfRule type="duplicateValues" dxfId="94" priority="39"/>
  </conditionalFormatting>
  <conditionalFormatting sqref="C28:C30">
    <cfRule type="duplicateValues" dxfId="93" priority="38"/>
    <cfRule type="duplicateValues" dxfId="92" priority="37"/>
  </conditionalFormatting>
  <conditionalFormatting sqref="C31:C33">
    <cfRule type="duplicateValues" dxfId="91" priority="36"/>
    <cfRule type="duplicateValues" dxfId="90" priority="35"/>
  </conditionalFormatting>
  <conditionalFormatting sqref="C34:C36">
    <cfRule type="duplicateValues" dxfId="89" priority="34"/>
    <cfRule type="duplicateValues" dxfId="88" priority="33"/>
  </conditionalFormatting>
  <conditionalFormatting sqref="C37:C39">
    <cfRule type="duplicateValues" dxfId="87" priority="32"/>
    <cfRule type="duplicateValues" dxfId="86" priority="31"/>
  </conditionalFormatting>
  <conditionalFormatting sqref="C40:C42">
    <cfRule type="duplicateValues" dxfId="85" priority="30"/>
    <cfRule type="duplicateValues" dxfId="84" priority="29"/>
  </conditionalFormatting>
  <conditionalFormatting sqref="C43:C45">
    <cfRule type="duplicateValues" dxfId="83" priority="28"/>
    <cfRule type="duplicateValues" dxfId="82" priority="27"/>
  </conditionalFormatting>
  <conditionalFormatting sqref="C46:C48">
    <cfRule type="duplicateValues" dxfId="81" priority="26"/>
    <cfRule type="duplicateValues" dxfId="80" priority="25"/>
  </conditionalFormatting>
  <conditionalFormatting sqref="C49:C51">
    <cfRule type="duplicateValues" dxfId="79" priority="24"/>
    <cfRule type="duplicateValues" dxfId="78" priority="23"/>
  </conditionalFormatting>
  <conditionalFormatting sqref="C52:C54">
    <cfRule type="duplicateValues" dxfId="77" priority="22"/>
    <cfRule type="duplicateValues" dxfId="76" priority="21"/>
  </conditionalFormatting>
  <conditionalFormatting sqref="C55:C57">
    <cfRule type="duplicateValues" dxfId="75" priority="20"/>
    <cfRule type="duplicateValues" dxfId="74" priority="19"/>
  </conditionalFormatting>
  <conditionalFormatting sqref="C58:C60">
    <cfRule type="duplicateValues" dxfId="73" priority="18"/>
    <cfRule type="duplicateValues" dxfId="72" priority="17"/>
  </conditionalFormatting>
  <conditionalFormatting sqref="C61:C63">
    <cfRule type="duplicateValues" dxfId="71" priority="16"/>
    <cfRule type="duplicateValues" dxfId="70" priority="15"/>
  </conditionalFormatting>
  <conditionalFormatting sqref="C64:C66">
    <cfRule type="duplicateValues" dxfId="69" priority="14"/>
    <cfRule type="duplicateValues" dxfId="68" priority="13"/>
  </conditionalFormatting>
  <conditionalFormatting sqref="C67:C69">
    <cfRule type="duplicateValues" dxfId="67" priority="12"/>
    <cfRule type="duplicateValues" dxfId="66" priority="11"/>
  </conditionalFormatting>
  <conditionalFormatting sqref="C70:C72">
    <cfRule type="duplicateValues" dxfId="65" priority="10"/>
    <cfRule type="duplicateValues" dxfId="64" priority="9"/>
  </conditionalFormatting>
  <conditionalFormatting sqref="C73:C75">
    <cfRule type="duplicateValues" dxfId="63" priority="8"/>
    <cfRule type="duplicateValues" dxfId="62" priority="7"/>
  </conditionalFormatting>
  <conditionalFormatting sqref="C76:C78">
    <cfRule type="duplicateValues" dxfId="61" priority="6"/>
    <cfRule type="duplicateValues" dxfId="60" priority="5"/>
  </conditionalFormatting>
  <conditionalFormatting sqref="C79:C81">
    <cfRule type="duplicateValues" dxfId="59" priority="102"/>
    <cfRule type="duplicateValues" dxfId="58" priority="101"/>
  </conditionalFormatting>
  <conditionalFormatting sqref="C82:C84">
    <cfRule type="duplicateValues" dxfId="57" priority="100"/>
    <cfRule type="duplicateValues" dxfId="56" priority="99"/>
  </conditionalFormatting>
  <conditionalFormatting sqref="C85:C87">
    <cfRule type="duplicateValues" dxfId="55" priority="98"/>
    <cfRule type="duplicateValues" dxfId="54" priority="97"/>
  </conditionalFormatting>
  <conditionalFormatting sqref="C88:C90">
    <cfRule type="duplicateValues" dxfId="53" priority="96"/>
    <cfRule type="duplicateValues" dxfId="52" priority="95"/>
  </conditionalFormatting>
  <conditionalFormatting sqref="C91:C93">
    <cfRule type="duplicateValues" dxfId="51" priority="94"/>
    <cfRule type="duplicateValues" dxfId="50" priority="93"/>
  </conditionalFormatting>
  <conditionalFormatting sqref="C94:C96">
    <cfRule type="duplicateValues" dxfId="49" priority="92"/>
    <cfRule type="duplicateValues" dxfId="48" priority="91"/>
  </conditionalFormatting>
  <conditionalFormatting sqref="C97:C99">
    <cfRule type="duplicateValues" dxfId="47" priority="90"/>
    <cfRule type="duplicateValues" dxfId="46" priority="89"/>
  </conditionalFormatting>
  <conditionalFormatting sqref="C100:C102">
    <cfRule type="duplicateValues" dxfId="45" priority="88"/>
    <cfRule type="duplicateValues" dxfId="44" priority="87"/>
  </conditionalFormatting>
  <conditionalFormatting sqref="C103:C105">
    <cfRule type="duplicateValues" dxfId="43" priority="86"/>
    <cfRule type="duplicateValues" dxfId="42" priority="85"/>
  </conditionalFormatting>
  <conditionalFormatting sqref="C106:C108">
    <cfRule type="duplicateValues" dxfId="41" priority="84"/>
    <cfRule type="duplicateValues" dxfId="40" priority="83"/>
  </conditionalFormatting>
  <conditionalFormatting sqref="C109:C111">
    <cfRule type="duplicateValues" dxfId="39" priority="82"/>
    <cfRule type="duplicateValues" dxfId="38" priority="81"/>
  </conditionalFormatting>
  <conditionalFormatting sqref="C112:C114">
    <cfRule type="duplicateValues" dxfId="37" priority="80"/>
    <cfRule type="duplicateValues" dxfId="36" priority="79"/>
  </conditionalFormatting>
  <conditionalFormatting sqref="C115:C117">
    <cfRule type="duplicateValues" dxfId="35" priority="78"/>
    <cfRule type="duplicateValues" dxfId="34" priority="77"/>
  </conditionalFormatting>
  <conditionalFormatting sqref="C118:C120">
    <cfRule type="duplicateValues" dxfId="33" priority="76"/>
    <cfRule type="duplicateValues" dxfId="32" priority="75"/>
  </conditionalFormatting>
  <conditionalFormatting sqref="C121:C123">
    <cfRule type="duplicateValues" dxfId="31" priority="74"/>
    <cfRule type="duplicateValues" dxfId="30" priority="73"/>
  </conditionalFormatting>
  <conditionalFormatting sqref="C124:C126">
    <cfRule type="duplicateValues" dxfId="29" priority="72"/>
    <cfRule type="duplicateValues" dxfId="28" priority="71"/>
  </conditionalFormatting>
  <conditionalFormatting sqref="C127:C129">
    <cfRule type="duplicateValues" dxfId="27" priority="70"/>
    <cfRule type="duplicateValues" dxfId="26" priority="69"/>
  </conditionalFormatting>
  <conditionalFormatting sqref="C130:C132">
    <cfRule type="duplicateValues" dxfId="25" priority="68"/>
    <cfRule type="duplicateValues" dxfId="24" priority="67"/>
  </conditionalFormatting>
  <conditionalFormatting sqref="C133:C135">
    <cfRule type="duplicateValues" dxfId="23" priority="66"/>
    <cfRule type="duplicateValues" dxfId="22" priority="65"/>
  </conditionalFormatting>
  <conditionalFormatting sqref="C137:C138">
    <cfRule type="duplicateValues" dxfId="21" priority="2"/>
  </conditionalFormatting>
  <conditionalFormatting sqref="C139:C144">
    <cfRule type="duplicateValues" dxfId="20" priority="64"/>
    <cfRule type="duplicateValues" dxfId="19" priority="63"/>
  </conditionalFormatting>
  <conditionalFormatting sqref="C145:C146">
    <cfRule type="duplicateValues" dxfId="18" priority="62"/>
    <cfRule type="duplicateValues" dxfId="17" priority="61"/>
  </conditionalFormatting>
  <conditionalFormatting sqref="C147:C148">
    <cfRule type="duplicateValues" dxfId="16" priority="60"/>
    <cfRule type="duplicateValues" dxfId="15" priority="59"/>
  </conditionalFormatting>
  <conditionalFormatting sqref="C149:C152">
    <cfRule type="duplicateValues" dxfId="14" priority="58"/>
    <cfRule type="duplicateValues" dxfId="13" priority="57"/>
  </conditionalFormatting>
  <conditionalFormatting sqref="E1:E1048576">
    <cfRule type="containsText" dxfId="12" priority="123" operator="containsText" text="3">
      <formula>NOT(ISERROR(SEARCH("3",E1)))</formula>
    </cfRule>
    <cfRule type="containsText" dxfId="11" priority="124" operator="containsText" text="2">
      <formula>NOT(ISERROR(SEARCH("2",E1)))</formula>
    </cfRule>
    <cfRule type="containsText" dxfId="10" priority="125" operator="containsText" text="1">
      <formula>NOT(ISERROR(SEARCH("1",E1)))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xSplit="1" ySplit="1" topLeftCell="B2" activePane="bottomRight" state="frozen"/>
      <selection pane="topRight"/>
      <selection pane="bottomLeft"/>
      <selection pane="bottomRight" activeCell="D2" sqref="D2"/>
    </sheetView>
  </sheetViews>
  <sheetFormatPr defaultColWidth="9" defaultRowHeight="15"/>
  <cols>
    <col min="4" max="4" width="11.140625" customWidth="1"/>
  </cols>
  <sheetData>
    <row r="1" spans="1:4">
      <c r="A1" s="39" t="s">
        <v>0</v>
      </c>
      <c r="B1" s="39" t="s">
        <v>44</v>
      </c>
      <c r="C1" s="39" t="s">
        <v>112</v>
      </c>
      <c r="D1" s="39" t="s">
        <v>113</v>
      </c>
    </row>
    <row r="2" spans="1:4">
      <c r="A2" s="28">
        <v>1</v>
      </c>
      <c r="B2">
        <v>135</v>
      </c>
      <c r="C2">
        <v>0</v>
      </c>
      <c r="D2" s="40">
        <v>3004601</v>
      </c>
    </row>
    <row r="3" spans="1:4">
      <c r="A3" s="28">
        <v>2</v>
      </c>
      <c r="B3">
        <v>135</v>
      </c>
      <c r="C3">
        <v>1</v>
      </c>
      <c r="D3" s="40">
        <v>3004602</v>
      </c>
    </row>
    <row r="4" spans="1:4">
      <c r="A4" s="28">
        <v>3</v>
      </c>
      <c r="B4">
        <v>135</v>
      </c>
      <c r="C4">
        <v>2</v>
      </c>
      <c r="D4" s="40">
        <v>3004603</v>
      </c>
    </row>
    <row r="5" spans="1:4">
      <c r="A5" s="28">
        <v>4</v>
      </c>
      <c r="B5">
        <v>135</v>
      </c>
      <c r="C5">
        <v>3</v>
      </c>
      <c r="D5" s="40">
        <v>3004604</v>
      </c>
    </row>
    <row r="6" spans="1:4">
      <c r="A6" s="28">
        <v>5</v>
      </c>
      <c r="B6">
        <v>136</v>
      </c>
      <c r="C6">
        <v>0</v>
      </c>
      <c r="D6" s="41">
        <v>3004605</v>
      </c>
    </row>
    <row r="7" spans="1:4">
      <c r="A7" s="28">
        <v>6</v>
      </c>
      <c r="B7">
        <v>136</v>
      </c>
      <c r="C7">
        <v>1</v>
      </c>
      <c r="D7" s="41">
        <v>3004606</v>
      </c>
    </row>
    <row r="8" spans="1:4">
      <c r="A8" s="28">
        <v>7</v>
      </c>
      <c r="B8">
        <v>136</v>
      </c>
      <c r="C8">
        <v>2</v>
      </c>
      <c r="D8" s="41">
        <v>3004607</v>
      </c>
    </row>
    <row r="9" spans="1:4">
      <c r="A9" s="28">
        <v>8</v>
      </c>
      <c r="B9">
        <v>136</v>
      </c>
      <c r="C9">
        <v>3</v>
      </c>
      <c r="D9" s="41">
        <v>3004608</v>
      </c>
    </row>
    <row r="10" spans="1:4">
      <c r="A10" s="28">
        <v>9</v>
      </c>
      <c r="B10">
        <v>136</v>
      </c>
      <c r="C10">
        <v>4</v>
      </c>
      <c r="D10" s="41">
        <v>3004609</v>
      </c>
    </row>
    <row r="11" spans="1:4">
      <c r="A11" s="28">
        <v>10</v>
      </c>
      <c r="B11">
        <v>137</v>
      </c>
      <c r="C11">
        <v>0</v>
      </c>
      <c r="D11" s="42">
        <v>3004610</v>
      </c>
    </row>
    <row r="12" spans="1:4">
      <c r="A12" s="28">
        <v>11</v>
      </c>
      <c r="B12">
        <v>137</v>
      </c>
      <c r="C12">
        <v>1</v>
      </c>
      <c r="D12" s="42">
        <v>3004611</v>
      </c>
    </row>
    <row r="13" spans="1:4">
      <c r="A13" s="28">
        <v>12</v>
      </c>
      <c r="B13">
        <v>137</v>
      </c>
      <c r="C13">
        <v>2</v>
      </c>
      <c r="D13" s="42">
        <v>3004612</v>
      </c>
    </row>
    <row r="14" spans="1:4">
      <c r="A14" s="28">
        <v>13</v>
      </c>
      <c r="B14">
        <v>137</v>
      </c>
      <c r="C14">
        <v>3</v>
      </c>
      <c r="D14" s="42">
        <v>3004613</v>
      </c>
    </row>
    <row r="15" spans="1:4">
      <c r="A15" s="28">
        <v>14</v>
      </c>
      <c r="B15">
        <v>137</v>
      </c>
      <c r="C15">
        <v>4</v>
      </c>
      <c r="D15" s="42">
        <v>3004614</v>
      </c>
    </row>
    <row r="16" spans="1:4">
      <c r="A16" s="28">
        <v>15</v>
      </c>
      <c r="B16">
        <v>137</v>
      </c>
      <c r="C16">
        <v>5</v>
      </c>
      <c r="D16" s="42">
        <v>3004615</v>
      </c>
    </row>
  </sheetData>
  <conditionalFormatting sqref="D5">
    <cfRule type="duplicateValues" dxfId="9" priority="8"/>
    <cfRule type="duplicateValues" dxfId="8" priority="7"/>
  </conditionalFormatting>
  <conditionalFormatting sqref="D9">
    <cfRule type="duplicateValues" dxfId="7" priority="3"/>
  </conditionalFormatting>
  <conditionalFormatting sqref="D10">
    <cfRule type="duplicateValues" dxfId="6" priority="1"/>
  </conditionalFormatting>
  <conditionalFormatting sqref="D2:D4">
    <cfRule type="duplicateValues" dxfId="5" priority="10"/>
    <cfRule type="duplicateValues" dxfId="4" priority="9"/>
  </conditionalFormatting>
  <conditionalFormatting sqref="D6:D8">
    <cfRule type="duplicateValues" dxfId="3" priority="5"/>
  </conditionalFormatting>
  <conditionalFormatting sqref="D6:D8 D11 D14">
    <cfRule type="duplicateValues" dxfId="2" priority="6"/>
  </conditionalFormatting>
  <conditionalFormatting sqref="D9 D12 D15">
    <cfRule type="duplicateValues" dxfId="1" priority="4"/>
  </conditionalFormatting>
  <conditionalFormatting sqref="D10 D13 D16">
    <cfRule type="duplicateValues" dxfId="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I36" sqref="I36"/>
    </sheetView>
  </sheetViews>
  <sheetFormatPr defaultColWidth="9" defaultRowHeight="15"/>
  <cols>
    <col min="1" max="1" width="9" style="28"/>
    <col min="2" max="2" width="13.85546875" customWidth="1"/>
    <col min="3" max="3" width="11.42578125" style="30" customWidth="1"/>
    <col min="6" max="6" width="11.42578125" style="31" customWidth="1"/>
  </cols>
  <sheetData>
    <row r="1" spans="1:6">
      <c r="A1" s="32" t="s">
        <v>0</v>
      </c>
      <c r="B1" s="32" t="s">
        <v>114</v>
      </c>
      <c r="C1" s="33" t="s">
        <v>115</v>
      </c>
      <c r="D1" s="32" t="s">
        <v>116</v>
      </c>
      <c r="E1" s="32" t="s">
        <v>12</v>
      </c>
      <c r="F1" s="32" t="s">
        <v>117</v>
      </c>
    </row>
    <row r="2" spans="1:6" ht="16.5">
      <c r="A2" s="10">
        <v>1</v>
      </c>
      <c r="B2" s="34" t="s">
        <v>118</v>
      </c>
      <c r="C2" s="34" t="s">
        <v>119</v>
      </c>
      <c r="D2" s="35">
        <v>7</v>
      </c>
      <c r="E2" s="35">
        <v>100</v>
      </c>
      <c r="F2" s="36" t="s">
        <v>120</v>
      </c>
    </row>
    <row r="3" spans="1:6" ht="16.5">
      <c r="A3" s="10">
        <v>2</v>
      </c>
      <c r="B3" s="34" t="s">
        <v>121</v>
      </c>
      <c r="C3" s="34" t="s">
        <v>122</v>
      </c>
      <c r="D3" s="35">
        <v>7</v>
      </c>
      <c r="E3" s="35">
        <v>100</v>
      </c>
      <c r="F3" s="36" t="s">
        <v>123</v>
      </c>
    </row>
    <row r="4" spans="1:6" ht="16.5">
      <c r="A4" s="10">
        <v>3</v>
      </c>
      <c r="B4" s="34" t="s">
        <v>124</v>
      </c>
      <c r="C4" s="34" t="s">
        <v>125</v>
      </c>
      <c r="D4" s="35">
        <v>6</v>
      </c>
      <c r="E4" s="35">
        <v>20</v>
      </c>
      <c r="F4" s="36" t="s">
        <v>126</v>
      </c>
    </row>
    <row r="5" spans="1:6" ht="16.5">
      <c r="A5" s="10">
        <v>4</v>
      </c>
      <c r="B5" s="34" t="s">
        <v>127</v>
      </c>
      <c r="C5" s="34" t="s">
        <v>125</v>
      </c>
      <c r="D5" s="35">
        <v>6</v>
      </c>
      <c r="E5" s="35">
        <v>20</v>
      </c>
      <c r="F5" s="36" t="s">
        <v>128</v>
      </c>
    </row>
    <row r="6" spans="1:6" ht="16.5">
      <c r="A6" s="10">
        <v>5</v>
      </c>
      <c r="B6" s="34" t="s">
        <v>129</v>
      </c>
      <c r="C6" s="34" t="s">
        <v>125</v>
      </c>
      <c r="D6" s="35">
        <v>6</v>
      </c>
      <c r="E6" s="35">
        <v>20</v>
      </c>
      <c r="F6" s="36" t="s">
        <v>130</v>
      </c>
    </row>
    <row r="7" spans="1:6" ht="16.5">
      <c r="A7" s="10">
        <v>6</v>
      </c>
      <c r="B7" s="34" t="s">
        <v>131</v>
      </c>
      <c r="C7" s="34" t="s">
        <v>125</v>
      </c>
      <c r="D7" s="35">
        <v>6</v>
      </c>
      <c r="E7" s="35">
        <v>100</v>
      </c>
      <c r="F7" s="36" t="s">
        <v>132</v>
      </c>
    </row>
    <row r="8" spans="1:6" ht="16.5">
      <c r="A8" s="10">
        <v>7</v>
      </c>
      <c r="B8" s="34" t="s">
        <v>133</v>
      </c>
      <c r="C8" s="34" t="s">
        <v>134</v>
      </c>
      <c r="D8" s="35">
        <v>5</v>
      </c>
      <c r="E8" s="35">
        <v>100</v>
      </c>
      <c r="F8" s="36" t="s">
        <v>135</v>
      </c>
    </row>
    <row r="9" spans="1:6" ht="16.5">
      <c r="A9" s="10">
        <v>8</v>
      </c>
      <c r="B9" s="34" t="s">
        <v>136</v>
      </c>
      <c r="C9" s="34" t="s">
        <v>137</v>
      </c>
      <c r="D9" s="35">
        <v>6</v>
      </c>
      <c r="E9" s="35">
        <v>100</v>
      </c>
      <c r="F9" s="36" t="s">
        <v>138</v>
      </c>
    </row>
    <row r="10" spans="1:6" ht="16.5">
      <c r="A10" s="10">
        <v>9</v>
      </c>
      <c r="B10" s="34" t="s">
        <v>139</v>
      </c>
      <c r="C10" s="34" t="s">
        <v>140</v>
      </c>
      <c r="D10" s="35">
        <v>5</v>
      </c>
      <c r="E10" s="35">
        <v>100</v>
      </c>
      <c r="F10" s="36" t="s">
        <v>141</v>
      </c>
    </row>
    <row r="11" spans="1:6" ht="16.5">
      <c r="A11" s="10">
        <v>10</v>
      </c>
      <c r="B11" s="34" t="s">
        <v>142</v>
      </c>
      <c r="C11" s="34" t="s">
        <v>143</v>
      </c>
      <c r="D11" s="35">
        <v>6</v>
      </c>
      <c r="E11" s="35">
        <v>100</v>
      </c>
      <c r="F11" s="36" t="s">
        <v>144</v>
      </c>
    </row>
    <row r="12" spans="1:6" ht="16.5">
      <c r="A12" s="10">
        <v>11</v>
      </c>
      <c r="B12" s="34" t="s">
        <v>145</v>
      </c>
      <c r="C12" s="34" t="s">
        <v>146</v>
      </c>
      <c r="D12" s="35">
        <v>5</v>
      </c>
      <c r="E12" s="35">
        <v>100</v>
      </c>
      <c r="F12" s="36" t="s">
        <v>147</v>
      </c>
    </row>
    <row r="13" spans="1:6" ht="16.5">
      <c r="A13" s="10">
        <v>12</v>
      </c>
      <c r="B13" s="34" t="s">
        <v>148</v>
      </c>
      <c r="C13" s="34" t="s">
        <v>146</v>
      </c>
      <c r="D13" s="37">
        <v>5</v>
      </c>
      <c r="E13" s="35">
        <v>100</v>
      </c>
      <c r="F13" s="36" t="s">
        <v>149</v>
      </c>
    </row>
    <row r="14" spans="1:6" ht="16.5">
      <c r="A14" s="10">
        <v>13</v>
      </c>
      <c r="B14" s="34" t="s">
        <v>150</v>
      </c>
      <c r="C14" s="34" t="s">
        <v>151</v>
      </c>
      <c r="D14" s="35"/>
      <c r="E14" s="35">
        <v>20</v>
      </c>
      <c r="F14" s="36" t="s">
        <v>126</v>
      </c>
    </row>
    <row r="15" spans="1:6" ht="16.5">
      <c r="A15" s="10">
        <v>14</v>
      </c>
      <c r="B15" s="34" t="s">
        <v>152</v>
      </c>
      <c r="C15" s="34" t="s">
        <v>151</v>
      </c>
      <c r="D15" s="35"/>
      <c r="E15" s="35">
        <v>20</v>
      </c>
      <c r="F15" s="36" t="s">
        <v>128</v>
      </c>
    </row>
    <row r="16" spans="1:6" ht="16.5">
      <c r="A16" s="10">
        <v>15</v>
      </c>
      <c r="B16" s="34" t="s">
        <v>153</v>
      </c>
      <c r="C16" s="34" t="s">
        <v>151</v>
      </c>
      <c r="D16" s="35"/>
      <c r="E16" s="35">
        <v>20</v>
      </c>
      <c r="F16" s="36" t="s">
        <v>130</v>
      </c>
    </row>
    <row r="17" spans="1:6" ht="16.5">
      <c r="A17" s="10">
        <v>16</v>
      </c>
      <c r="B17" s="34" t="s">
        <v>154</v>
      </c>
      <c r="C17" s="34" t="s">
        <v>151</v>
      </c>
      <c r="D17" s="35"/>
      <c r="E17" s="35">
        <v>20</v>
      </c>
      <c r="F17" s="36" t="s">
        <v>132</v>
      </c>
    </row>
    <row r="18" spans="1:6" ht="16.5">
      <c r="A18" s="10">
        <v>17</v>
      </c>
      <c r="B18" s="34" t="s">
        <v>155</v>
      </c>
      <c r="C18" s="34" t="s">
        <v>134</v>
      </c>
      <c r="D18" s="35">
        <v>4</v>
      </c>
      <c r="E18" s="35">
        <v>10</v>
      </c>
      <c r="F18" s="36" t="s">
        <v>156</v>
      </c>
    </row>
    <row r="19" spans="1:6" ht="16.5">
      <c r="A19" s="10">
        <v>18</v>
      </c>
      <c r="B19" s="34" t="s">
        <v>157</v>
      </c>
      <c r="C19" s="34" t="s">
        <v>158</v>
      </c>
      <c r="D19" s="35"/>
      <c r="E19" s="35">
        <v>100</v>
      </c>
      <c r="F19" s="36" t="s">
        <v>159</v>
      </c>
    </row>
    <row r="20" spans="1:6" ht="16.5">
      <c r="A20" s="10">
        <v>19</v>
      </c>
      <c r="B20" s="34" t="s">
        <v>160</v>
      </c>
      <c r="C20" s="34" t="s">
        <v>158</v>
      </c>
      <c r="D20" s="35"/>
      <c r="E20" s="35">
        <v>100</v>
      </c>
      <c r="F20" s="36" t="s">
        <v>161</v>
      </c>
    </row>
    <row r="21" spans="1:6" ht="16.5">
      <c r="A21" s="10">
        <v>20</v>
      </c>
      <c r="B21" s="34" t="s">
        <v>162</v>
      </c>
      <c r="C21" s="34" t="s">
        <v>158</v>
      </c>
      <c r="D21" s="35"/>
      <c r="E21" s="35">
        <v>100</v>
      </c>
      <c r="F21" s="36" t="s">
        <v>163</v>
      </c>
    </row>
    <row r="22" spans="1:6" ht="16.5">
      <c r="A22" s="10">
        <v>21</v>
      </c>
      <c r="B22" s="34" t="s">
        <v>164</v>
      </c>
      <c r="C22" s="34" t="s">
        <v>158</v>
      </c>
      <c r="D22" s="35"/>
      <c r="E22" s="35">
        <v>100</v>
      </c>
      <c r="F22" s="36" t="s">
        <v>165</v>
      </c>
    </row>
    <row r="23" spans="1:6" ht="16.5">
      <c r="A23" s="10">
        <v>22</v>
      </c>
      <c r="B23" s="34" t="s">
        <v>157</v>
      </c>
      <c r="C23" s="34" t="s">
        <v>137</v>
      </c>
      <c r="D23" s="35"/>
      <c r="E23" s="35">
        <v>100</v>
      </c>
      <c r="F23" s="36" t="s">
        <v>159</v>
      </c>
    </row>
    <row r="24" spans="1:6" ht="16.5">
      <c r="A24" s="10">
        <v>23</v>
      </c>
      <c r="B24" s="34" t="s">
        <v>160</v>
      </c>
      <c r="C24" s="34" t="s">
        <v>137</v>
      </c>
      <c r="D24" s="35"/>
      <c r="E24" s="35">
        <v>100</v>
      </c>
      <c r="F24" s="36" t="s">
        <v>161</v>
      </c>
    </row>
    <row r="25" spans="1:6" ht="16.5">
      <c r="A25" s="10">
        <v>24</v>
      </c>
      <c r="B25" s="34" t="s">
        <v>162</v>
      </c>
      <c r="C25" s="34" t="s">
        <v>137</v>
      </c>
      <c r="D25" s="35"/>
      <c r="E25" s="35">
        <v>100</v>
      </c>
      <c r="F25" s="36" t="s">
        <v>163</v>
      </c>
    </row>
    <row r="26" spans="1:6" ht="16.5">
      <c r="A26" s="10">
        <v>25</v>
      </c>
      <c r="B26" s="34" t="s">
        <v>164</v>
      </c>
      <c r="C26" s="34" t="s">
        <v>137</v>
      </c>
      <c r="D26" s="35"/>
      <c r="E26" s="35">
        <v>100</v>
      </c>
      <c r="F26" s="36" t="s">
        <v>165</v>
      </c>
    </row>
    <row r="27" spans="1:6" ht="16.5">
      <c r="A27" s="10">
        <v>26</v>
      </c>
      <c r="B27" s="34" t="s">
        <v>166</v>
      </c>
      <c r="C27" s="34" t="s">
        <v>167</v>
      </c>
      <c r="D27" s="35"/>
      <c r="E27" s="35">
        <v>100</v>
      </c>
      <c r="F27" s="36" t="s">
        <v>168</v>
      </c>
    </row>
    <row r="28" spans="1:6" ht="16.5">
      <c r="A28" s="10">
        <v>27</v>
      </c>
      <c r="B28" s="34" t="s">
        <v>169</v>
      </c>
      <c r="C28" s="34" t="s">
        <v>137</v>
      </c>
      <c r="D28" s="35">
        <v>6</v>
      </c>
      <c r="E28" s="35">
        <v>30</v>
      </c>
      <c r="F28" s="36" t="s">
        <v>170</v>
      </c>
    </row>
    <row r="29" spans="1:6" ht="16.5">
      <c r="A29" s="10">
        <v>28</v>
      </c>
      <c r="B29" s="34" t="s">
        <v>171</v>
      </c>
      <c r="C29" s="34" t="s">
        <v>172</v>
      </c>
      <c r="D29" s="35">
        <v>6</v>
      </c>
      <c r="E29" s="35">
        <v>5</v>
      </c>
      <c r="F29" s="36" t="s">
        <v>173</v>
      </c>
    </row>
    <row r="30" spans="1:6" ht="16.5">
      <c r="A30" s="10">
        <v>29</v>
      </c>
      <c r="B30" s="34" t="s">
        <v>174</v>
      </c>
      <c r="C30" s="34" t="s">
        <v>175</v>
      </c>
      <c r="D30" s="38"/>
      <c r="E30" s="35">
        <v>100</v>
      </c>
      <c r="F30" s="36" t="s">
        <v>176</v>
      </c>
    </row>
    <row r="31" spans="1:6" ht="16.5">
      <c r="A31" s="10">
        <v>30</v>
      </c>
      <c r="B31" s="34" t="s">
        <v>177</v>
      </c>
      <c r="C31" s="34" t="s">
        <v>175</v>
      </c>
      <c r="D31" s="38"/>
      <c r="E31" s="35">
        <v>100</v>
      </c>
      <c r="F31" s="36" t="s">
        <v>178</v>
      </c>
    </row>
    <row r="32" spans="1:6" ht="16.5">
      <c r="A32" s="10">
        <v>31</v>
      </c>
      <c r="B32" s="34" t="s">
        <v>179</v>
      </c>
      <c r="C32" s="34" t="s">
        <v>175</v>
      </c>
      <c r="D32" s="38"/>
      <c r="E32" s="35">
        <v>100</v>
      </c>
      <c r="F32" s="36" t="s">
        <v>180</v>
      </c>
    </row>
    <row r="33" spans="1:6" ht="16.5">
      <c r="A33" s="10">
        <v>32</v>
      </c>
      <c r="B33" s="34" t="s">
        <v>181</v>
      </c>
      <c r="C33" s="34" t="s">
        <v>175</v>
      </c>
      <c r="D33" s="38"/>
      <c r="E33" s="35">
        <v>100</v>
      </c>
      <c r="F33" s="36" t="s">
        <v>182</v>
      </c>
    </row>
    <row r="34" spans="1:6" ht="16.5">
      <c r="A34" s="10">
        <v>33</v>
      </c>
      <c r="B34" s="34" t="s">
        <v>183</v>
      </c>
      <c r="C34" s="34" t="s">
        <v>184</v>
      </c>
      <c r="D34" s="38"/>
      <c r="E34" s="35">
        <v>100</v>
      </c>
      <c r="F34" s="36" t="s">
        <v>185</v>
      </c>
    </row>
    <row r="35" spans="1:6" ht="16.5">
      <c r="A35" s="10">
        <v>34</v>
      </c>
      <c r="B35" s="34" t="s">
        <v>186</v>
      </c>
      <c r="C35" s="34" t="s">
        <v>184</v>
      </c>
      <c r="D35" s="38"/>
      <c r="E35" s="35">
        <v>100</v>
      </c>
      <c r="F35" s="36" t="s">
        <v>187</v>
      </c>
    </row>
    <row r="36" spans="1:6" ht="16.5">
      <c r="A36" s="10">
        <v>35</v>
      </c>
      <c r="B36" s="34" t="s">
        <v>188</v>
      </c>
      <c r="C36" s="34" t="s">
        <v>184</v>
      </c>
      <c r="D36" s="38"/>
      <c r="E36" s="35">
        <v>100</v>
      </c>
      <c r="F36" s="36" t="s">
        <v>189</v>
      </c>
    </row>
    <row r="37" spans="1:6" ht="16.5">
      <c r="A37" s="10">
        <v>36</v>
      </c>
      <c r="B37" s="34" t="s">
        <v>190</v>
      </c>
      <c r="C37" s="34" t="s">
        <v>184</v>
      </c>
      <c r="D37" s="38"/>
      <c r="E37" s="35">
        <v>100</v>
      </c>
      <c r="F37" s="36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"/>
  <sheetViews>
    <sheetView workbookViewId="0">
      <selection activeCell="F5" sqref="F5"/>
    </sheetView>
  </sheetViews>
  <sheetFormatPr defaultColWidth="9" defaultRowHeight="15"/>
  <cols>
    <col min="1" max="1" width="9" style="28"/>
    <col min="2" max="2" width="20.5703125" style="28" bestFit="1" customWidth="1"/>
    <col min="3" max="3" width="15" style="28" customWidth="1"/>
    <col min="4" max="4" width="9" style="28" customWidth="1"/>
    <col min="5" max="5" width="9.7109375" style="28" customWidth="1"/>
  </cols>
  <sheetData>
    <row r="1" spans="1:5">
      <c r="A1" s="29" t="s">
        <v>0</v>
      </c>
      <c r="B1" s="29" t="s">
        <v>45</v>
      </c>
      <c r="C1" s="29" t="s">
        <v>192</v>
      </c>
      <c r="D1" s="29" t="s">
        <v>117</v>
      </c>
      <c r="E1" s="29" t="s">
        <v>193</v>
      </c>
    </row>
    <row r="2" spans="1:5">
      <c r="A2" s="10">
        <v>0</v>
      </c>
      <c r="B2" s="10"/>
      <c r="C2" s="10"/>
      <c r="D2" s="10" t="s">
        <v>194</v>
      </c>
      <c r="E2" s="10">
        <v>1</v>
      </c>
    </row>
    <row r="3" spans="1:5">
      <c r="A3" s="10">
        <v>1</v>
      </c>
      <c r="B3" s="10" t="s">
        <v>270</v>
      </c>
      <c r="C3" s="10" t="s">
        <v>196</v>
      </c>
      <c r="D3" s="10" t="s">
        <v>197</v>
      </c>
      <c r="E3" s="10">
        <v>9</v>
      </c>
    </row>
    <row r="4" spans="1:5">
      <c r="A4" s="10">
        <v>2</v>
      </c>
      <c r="B4" s="10" t="s">
        <v>271</v>
      </c>
      <c r="C4" s="10" t="s">
        <v>199</v>
      </c>
      <c r="D4" s="10" t="s">
        <v>200</v>
      </c>
      <c r="E4" s="10">
        <v>5</v>
      </c>
    </row>
    <row r="5" spans="1:5">
      <c r="A5" s="10">
        <v>3</v>
      </c>
      <c r="B5" s="10" t="s">
        <v>272</v>
      </c>
      <c r="C5" s="10" t="s">
        <v>202</v>
      </c>
      <c r="D5" s="10" t="s">
        <v>203</v>
      </c>
      <c r="E5" s="10">
        <v>1</v>
      </c>
    </row>
    <row r="6" spans="1:5">
      <c r="A6" s="10">
        <v>4</v>
      </c>
      <c r="B6" s="10" t="s">
        <v>273</v>
      </c>
      <c r="C6" s="10" t="s">
        <v>204</v>
      </c>
      <c r="D6" s="10" t="s">
        <v>205</v>
      </c>
      <c r="E6" s="10"/>
    </row>
    <row r="7" spans="1:5">
      <c r="A7" s="10">
        <v>5</v>
      </c>
      <c r="B7" s="10" t="s">
        <v>274</v>
      </c>
      <c r="C7" s="10" t="s">
        <v>207</v>
      </c>
      <c r="D7" s="10" t="s">
        <v>208</v>
      </c>
      <c r="E7" s="10">
        <v>3</v>
      </c>
    </row>
    <row r="8" spans="1:5">
      <c r="A8" s="10">
        <v>6</v>
      </c>
      <c r="B8" s="10" t="s">
        <v>275</v>
      </c>
      <c r="C8" s="10" t="s">
        <v>210</v>
      </c>
      <c r="D8" s="10" t="s">
        <v>211</v>
      </c>
      <c r="E8" s="10">
        <v>2</v>
      </c>
    </row>
    <row r="9" spans="1:5">
      <c r="A9" s="10">
        <v>7</v>
      </c>
      <c r="B9" s="10" t="s">
        <v>276</v>
      </c>
      <c r="C9" s="10" t="s">
        <v>213</v>
      </c>
      <c r="D9" s="10" t="s">
        <v>214</v>
      </c>
      <c r="E9" s="10">
        <v>2</v>
      </c>
    </row>
    <row r="10" spans="1:5">
      <c r="A10" s="10">
        <v>8</v>
      </c>
      <c r="B10" s="10" t="s">
        <v>277</v>
      </c>
      <c r="C10" s="10" t="s">
        <v>216</v>
      </c>
      <c r="D10" s="10" t="s">
        <v>217</v>
      </c>
      <c r="E10" s="1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workbookViewId="0">
      <selection activeCell="Q5" sqref="Q5:R11"/>
    </sheetView>
  </sheetViews>
  <sheetFormatPr defaultColWidth="9" defaultRowHeight="15"/>
  <sheetData>
    <row r="1" spans="1:19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 t="s">
        <v>0</v>
      </c>
      <c r="B3" s="3" t="s">
        <v>45</v>
      </c>
      <c r="C3" s="3" t="s">
        <v>218</v>
      </c>
      <c r="D3" s="2"/>
      <c r="E3" s="4" t="s">
        <v>15</v>
      </c>
      <c r="F3" s="4" t="s">
        <v>16</v>
      </c>
      <c r="G3" s="4" t="s">
        <v>17</v>
      </c>
      <c r="H3" s="2"/>
      <c r="I3" s="4" t="s">
        <v>15</v>
      </c>
      <c r="J3" s="4" t="s">
        <v>16</v>
      </c>
      <c r="K3" s="4" t="s">
        <v>17</v>
      </c>
      <c r="L3" s="2"/>
      <c r="M3" s="4" t="s">
        <v>15</v>
      </c>
      <c r="N3" s="4" t="s">
        <v>16</v>
      </c>
      <c r="O3" s="4" t="s">
        <v>17</v>
      </c>
      <c r="P3" s="2"/>
      <c r="Q3" s="3" t="s">
        <v>0</v>
      </c>
      <c r="R3" s="3" t="s">
        <v>45</v>
      </c>
      <c r="S3" s="3" t="s">
        <v>218</v>
      </c>
    </row>
    <row r="4" spans="1:19">
      <c r="A4" s="5">
        <v>0</v>
      </c>
      <c r="B4" s="5"/>
      <c r="C4" s="6">
        <v>1</v>
      </c>
      <c r="D4" s="2"/>
      <c r="E4" s="7"/>
      <c r="F4" s="8">
        <v>0</v>
      </c>
      <c r="G4" s="7"/>
      <c r="H4" s="2"/>
      <c r="I4" s="20"/>
      <c r="J4" s="8">
        <v>0</v>
      </c>
      <c r="K4" s="20"/>
      <c r="L4" s="2"/>
      <c r="M4" s="20"/>
      <c r="N4" s="8">
        <v>0</v>
      </c>
      <c r="O4" s="20"/>
      <c r="P4" s="2"/>
      <c r="Q4" s="9">
        <v>0</v>
      </c>
      <c r="R4" s="9"/>
      <c r="S4" s="25">
        <f t="shared" ref="S4:S11" si="0">C4+C36+C69</f>
        <v>3</v>
      </c>
    </row>
    <row r="5" spans="1:19">
      <c r="A5" s="9">
        <v>1</v>
      </c>
      <c r="B5" s="9" t="s">
        <v>195</v>
      </c>
      <c r="C5" s="10">
        <v>7</v>
      </c>
      <c r="D5" s="2"/>
      <c r="E5" s="11">
        <v>1</v>
      </c>
      <c r="F5" s="12">
        <v>5</v>
      </c>
      <c r="G5" s="7"/>
      <c r="H5" s="2"/>
      <c r="I5" s="11">
        <v>1</v>
      </c>
      <c r="J5" s="12">
        <v>5</v>
      </c>
      <c r="K5" s="20"/>
      <c r="L5" s="2"/>
      <c r="M5" s="12">
        <v>5</v>
      </c>
      <c r="N5" s="11">
        <v>1</v>
      </c>
      <c r="O5" s="20"/>
      <c r="P5" s="2"/>
      <c r="Q5" s="9">
        <v>1</v>
      </c>
      <c r="R5" s="9" t="s">
        <v>195</v>
      </c>
      <c r="S5" s="25">
        <f t="shared" si="0"/>
        <v>19</v>
      </c>
    </row>
    <row r="6" spans="1:19">
      <c r="A6" s="9">
        <v>2</v>
      </c>
      <c r="B6" s="9" t="s">
        <v>198</v>
      </c>
      <c r="C6" s="10">
        <v>7</v>
      </c>
      <c r="D6" s="2"/>
      <c r="E6" s="13">
        <v>2</v>
      </c>
      <c r="F6" s="12">
        <v>5</v>
      </c>
      <c r="G6" s="11">
        <v>1</v>
      </c>
      <c r="H6" s="2"/>
      <c r="I6" s="12">
        <v>5</v>
      </c>
      <c r="J6" s="13">
        <v>2</v>
      </c>
      <c r="K6" s="11">
        <v>1</v>
      </c>
      <c r="L6" s="2"/>
      <c r="M6" s="11">
        <v>1</v>
      </c>
      <c r="N6" s="13">
        <v>2</v>
      </c>
      <c r="O6" s="13">
        <v>2</v>
      </c>
      <c r="P6" s="2"/>
      <c r="Q6" s="9">
        <v>2</v>
      </c>
      <c r="R6" s="9" t="s">
        <v>198</v>
      </c>
      <c r="S6" s="25">
        <f t="shared" si="0"/>
        <v>22</v>
      </c>
    </row>
    <row r="7" spans="1:19">
      <c r="A7" s="14">
        <v>3</v>
      </c>
      <c r="B7" s="14" t="s">
        <v>201</v>
      </c>
      <c r="C7" s="15">
        <v>1</v>
      </c>
      <c r="D7" s="2"/>
      <c r="E7" s="12">
        <v>5</v>
      </c>
      <c r="F7" s="13">
        <v>2</v>
      </c>
      <c r="G7" s="7"/>
      <c r="H7" s="2"/>
      <c r="I7" s="11">
        <v>1</v>
      </c>
      <c r="J7" s="13">
        <v>2</v>
      </c>
      <c r="K7" s="20"/>
      <c r="L7" s="2"/>
      <c r="M7" s="13">
        <v>2</v>
      </c>
      <c r="N7" s="12">
        <v>5</v>
      </c>
      <c r="O7" s="20"/>
      <c r="P7" s="2"/>
      <c r="Q7" s="23">
        <v>3</v>
      </c>
      <c r="R7" s="23" t="s">
        <v>201</v>
      </c>
      <c r="S7" s="25">
        <f t="shared" si="0"/>
        <v>3</v>
      </c>
    </row>
    <row r="8" spans="1:19">
      <c r="A8" s="14">
        <v>5</v>
      </c>
      <c r="B8" s="14" t="s">
        <v>206</v>
      </c>
      <c r="C8" s="15">
        <v>4</v>
      </c>
      <c r="D8" s="2"/>
      <c r="E8" s="11">
        <v>1</v>
      </c>
      <c r="F8" s="11">
        <v>1</v>
      </c>
      <c r="G8" s="13">
        <v>2</v>
      </c>
      <c r="H8" s="2"/>
      <c r="I8" s="13">
        <v>2</v>
      </c>
      <c r="J8" s="12">
        <v>5</v>
      </c>
      <c r="K8" s="13">
        <v>2</v>
      </c>
      <c r="L8" s="2"/>
      <c r="M8" s="11">
        <v>1</v>
      </c>
      <c r="N8" s="13">
        <v>2</v>
      </c>
      <c r="O8" s="11">
        <v>1</v>
      </c>
      <c r="P8" s="2"/>
      <c r="Q8" s="23">
        <v>5</v>
      </c>
      <c r="R8" s="23" t="s">
        <v>206</v>
      </c>
      <c r="S8" s="26">
        <f t="shared" si="0"/>
        <v>9</v>
      </c>
    </row>
    <row r="9" spans="1:19">
      <c r="A9" s="14">
        <v>6</v>
      </c>
      <c r="B9" s="14" t="s">
        <v>209</v>
      </c>
      <c r="C9" s="15">
        <v>3</v>
      </c>
      <c r="D9" s="2"/>
      <c r="E9" s="16">
        <v>6</v>
      </c>
      <c r="F9" s="13">
        <v>2</v>
      </c>
      <c r="G9" s="7"/>
      <c r="H9" s="2"/>
      <c r="I9" s="11">
        <v>1</v>
      </c>
      <c r="J9" s="13">
        <v>2</v>
      </c>
      <c r="K9" s="20"/>
      <c r="L9" s="2"/>
      <c r="M9" s="13">
        <v>2</v>
      </c>
      <c r="N9" s="12">
        <v>5</v>
      </c>
      <c r="O9" s="20"/>
      <c r="P9" s="2"/>
      <c r="Q9" s="23">
        <v>6</v>
      </c>
      <c r="R9" s="23" t="s">
        <v>209</v>
      </c>
      <c r="S9" s="26">
        <f t="shared" si="0"/>
        <v>9</v>
      </c>
    </row>
    <row r="10" spans="1:19">
      <c r="A10" s="14">
        <v>7</v>
      </c>
      <c r="B10" s="14" t="s">
        <v>212</v>
      </c>
      <c r="C10" s="15">
        <v>1</v>
      </c>
      <c r="D10" s="2"/>
      <c r="E10" s="11">
        <v>1</v>
      </c>
      <c r="F10" s="13">
        <v>2</v>
      </c>
      <c r="G10" s="11">
        <v>1</v>
      </c>
      <c r="H10" s="2"/>
      <c r="I10" s="12">
        <v>5</v>
      </c>
      <c r="J10" s="13">
        <v>2</v>
      </c>
      <c r="K10" s="11">
        <v>1</v>
      </c>
      <c r="L10" s="2"/>
      <c r="M10" s="16">
        <v>6</v>
      </c>
      <c r="N10" s="13">
        <v>2</v>
      </c>
      <c r="O10" s="11">
        <v>1</v>
      </c>
      <c r="P10" s="2"/>
      <c r="Q10" s="23">
        <v>7</v>
      </c>
      <c r="R10" s="23" t="s">
        <v>212</v>
      </c>
      <c r="S10" s="26">
        <f t="shared" si="0"/>
        <v>5</v>
      </c>
    </row>
    <row r="11" spans="1:19">
      <c r="A11" s="14">
        <v>8</v>
      </c>
      <c r="B11" s="14" t="s">
        <v>215</v>
      </c>
      <c r="C11" s="15">
        <v>0</v>
      </c>
      <c r="D11" s="2"/>
      <c r="E11" s="13">
        <v>2</v>
      </c>
      <c r="F11" s="16">
        <v>6</v>
      </c>
      <c r="G11" s="7"/>
      <c r="H11" s="2"/>
      <c r="I11" s="16">
        <v>6</v>
      </c>
      <c r="J11" s="11">
        <v>1</v>
      </c>
      <c r="K11" s="20"/>
      <c r="L11" s="2"/>
      <c r="M11" s="11">
        <v>1</v>
      </c>
      <c r="N11" s="12">
        <v>5</v>
      </c>
      <c r="O11" s="20"/>
      <c r="P11" s="2"/>
      <c r="Q11" s="23">
        <v>8</v>
      </c>
      <c r="R11" s="23" t="s">
        <v>215</v>
      </c>
      <c r="S11" s="26">
        <f t="shared" si="0"/>
        <v>2</v>
      </c>
    </row>
    <row r="12" spans="1:19">
      <c r="A12" s="1"/>
      <c r="B12" s="1"/>
      <c r="C12" s="2"/>
      <c r="D12" s="2"/>
      <c r="E12" s="11">
        <v>1</v>
      </c>
      <c r="F12" s="13">
        <v>2</v>
      </c>
      <c r="G12" s="12">
        <v>5</v>
      </c>
      <c r="H12" s="2"/>
      <c r="I12" s="13">
        <v>2</v>
      </c>
      <c r="J12" s="11">
        <v>1</v>
      </c>
      <c r="K12" s="16">
        <v>6</v>
      </c>
      <c r="L12" s="2"/>
      <c r="M12" s="16">
        <v>6</v>
      </c>
      <c r="N12" s="13">
        <v>2</v>
      </c>
      <c r="O12" s="11">
        <v>1</v>
      </c>
      <c r="P12" s="2"/>
      <c r="Q12" s="2"/>
      <c r="R12" s="2"/>
      <c r="S12" s="2"/>
    </row>
    <row r="13" spans="1:19">
      <c r="A13" s="1"/>
      <c r="B13" s="1"/>
      <c r="C13" s="2"/>
      <c r="D13" s="2"/>
      <c r="E13" s="16">
        <v>6</v>
      </c>
      <c r="F13" s="17">
        <v>7</v>
      </c>
      <c r="G13" s="7"/>
      <c r="H13" s="2"/>
      <c r="I13" s="8">
        <v>6</v>
      </c>
      <c r="J13" s="17">
        <v>7</v>
      </c>
      <c r="K13" s="20"/>
      <c r="L13" s="2"/>
      <c r="M13" s="8">
        <v>6</v>
      </c>
      <c r="N13" s="17">
        <v>7</v>
      </c>
      <c r="O13" s="20"/>
      <c r="P13" s="2"/>
      <c r="Q13" s="2"/>
      <c r="R13" s="2"/>
      <c r="S13" s="27">
        <f>SUM(S4:S11)</f>
        <v>72</v>
      </c>
    </row>
    <row r="14" spans="1:19">
      <c r="A14" s="1"/>
      <c r="B14" s="1"/>
      <c r="C14" s="2"/>
      <c r="D14" s="2"/>
      <c r="E14" s="7"/>
      <c r="F14" s="8">
        <v>3</v>
      </c>
      <c r="G14" s="7"/>
      <c r="H14" s="2"/>
      <c r="I14" s="20"/>
      <c r="J14" s="8">
        <v>3</v>
      </c>
      <c r="K14" s="20"/>
      <c r="L14" s="2"/>
      <c r="M14" s="20"/>
      <c r="N14" s="8">
        <v>3</v>
      </c>
      <c r="O14" s="20"/>
      <c r="P14" s="2"/>
      <c r="Q14" s="2"/>
      <c r="R14" s="2"/>
      <c r="S14" s="2"/>
    </row>
    <row r="15" spans="1:19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1"/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"/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"/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1"/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1"/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3" t="s">
        <v>0</v>
      </c>
      <c r="B35" s="3" t="s">
        <v>45</v>
      </c>
      <c r="C35" s="3" t="s">
        <v>218</v>
      </c>
      <c r="D35" s="2"/>
      <c r="E35" s="4" t="s">
        <v>15</v>
      </c>
      <c r="F35" s="4" t="s">
        <v>16</v>
      </c>
      <c r="G35" s="4" t="s">
        <v>17</v>
      </c>
      <c r="H35" s="2"/>
      <c r="I35" s="4" t="s">
        <v>15</v>
      </c>
      <c r="J35" s="4" t="s">
        <v>16</v>
      </c>
      <c r="K35" s="4" t="s">
        <v>17</v>
      </c>
      <c r="L35" s="2"/>
      <c r="M35" s="4" t="s">
        <v>15</v>
      </c>
      <c r="N35" s="4" t="s">
        <v>16</v>
      </c>
      <c r="O35" s="4" t="s">
        <v>17</v>
      </c>
      <c r="P35" s="2"/>
      <c r="Q35" s="2"/>
      <c r="R35" s="2"/>
      <c r="S35" s="2"/>
    </row>
    <row r="36" spans="1:19">
      <c r="A36" s="18">
        <v>0</v>
      </c>
      <c r="B36" s="18"/>
      <c r="C36" s="19">
        <v>1</v>
      </c>
      <c r="D36" s="2"/>
      <c r="E36" s="20"/>
      <c r="F36" s="21">
        <v>0</v>
      </c>
      <c r="G36" s="20"/>
      <c r="H36" s="2"/>
      <c r="I36" s="20"/>
      <c r="J36" s="21">
        <v>0</v>
      </c>
      <c r="K36" s="20"/>
      <c r="L36" s="2"/>
      <c r="M36" s="20"/>
      <c r="N36" s="21">
        <v>0</v>
      </c>
      <c r="O36" s="20"/>
      <c r="P36" s="2"/>
      <c r="Q36" s="2"/>
      <c r="R36" s="2"/>
      <c r="S36" s="2"/>
    </row>
    <row r="37" spans="1:19">
      <c r="A37" s="9">
        <v>1</v>
      </c>
      <c r="B37" s="9" t="s">
        <v>195</v>
      </c>
      <c r="C37" s="10">
        <v>7</v>
      </c>
      <c r="D37" s="2"/>
      <c r="E37" s="13">
        <v>2</v>
      </c>
      <c r="F37" s="16">
        <v>6</v>
      </c>
      <c r="G37" s="20"/>
      <c r="H37" s="2"/>
      <c r="I37" s="16">
        <v>6</v>
      </c>
      <c r="J37" s="13">
        <v>2</v>
      </c>
      <c r="K37" s="20"/>
      <c r="L37" s="2"/>
      <c r="M37" s="12">
        <v>5</v>
      </c>
      <c r="N37" s="13">
        <v>2</v>
      </c>
      <c r="O37" s="20"/>
      <c r="P37" s="2"/>
      <c r="Q37" s="2"/>
      <c r="R37" s="2"/>
      <c r="S37" s="2"/>
    </row>
    <row r="38" spans="1:19">
      <c r="A38" s="9">
        <v>2</v>
      </c>
      <c r="B38" s="9" t="s">
        <v>198</v>
      </c>
      <c r="C38" s="10">
        <v>7</v>
      </c>
      <c r="D38" s="2"/>
      <c r="E38" s="11">
        <v>1</v>
      </c>
      <c r="F38" s="12">
        <v>5</v>
      </c>
      <c r="G38" s="13">
        <v>2</v>
      </c>
      <c r="H38" s="2"/>
      <c r="I38" s="13">
        <v>2</v>
      </c>
      <c r="J38" s="12">
        <v>5</v>
      </c>
      <c r="K38" s="11">
        <v>1</v>
      </c>
      <c r="L38" s="2"/>
      <c r="M38" s="16">
        <v>6</v>
      </c>
      <c r="N38" s="11">
        <v>1</v>
      </c>
      <c r="O38" s="11">
        <v>1</v>
      </c>
      <c r="P38" s="2"/>
      <c r="Q38" s="2"/>
      <c r="R38" s="2"/>
      <c r="S38" s="2"/>
    </row>
    <row r="39" spans="1:19">
      <c r="A39" s="18">
        <v>3</v>
      </c>
      <c r="B39" s="18" t="s">
        <v>201</v>
      </c>
      <c r="C39" s="19">
        <v>1</v>
      </c>
      <c r="D39" s="2"/>
      <c r="E39" s="13">
        <v>2</v>
      </c>
      <c r="F39" s="11">
        <v>1</v>
      </c>
      <c r="G39" s="20"/>
      <c r="H39" s="2"/>
      <c r="I39" s="13">
        <v>2</v>
      </c>
      <c r="J39" s="11">
        <v>1</v>
      </c>
      <c r="K39" s="20"/>
      <c r="L39" s="2"/>
      <c r="M39" s="13">
        <v>2</v>
      </c>
      <c r="N39" s="12">
        <v>5</v>
      </c>
      <c r="O39" s="20"/>
      <c r="P39" s="2"/>
      <c r="Q39" s="2"/>
      <c r="R39" s="2"/>
      <c r="S39" s="2"/>
    </row>
    <row r="40" spans="1:19">
      <c r="A40" s="9">
        <v>5</v>
      </c>
      <c r="B40" s="9" t="s">
        <v>206</v>
      </c>
      <c r="C40" s="10">
        <v>3</v>
      </c>
      <c r="D40" s="2"/>
      <c r="E40" s="11">
        <v>1</v>
      </c>
      <c r="F40" s="22">
        <v>8</v>
      </c>
      <c r="G40" s="11">
        <v>1</v>
      </c>
      <c r="H40" s="2"/>
      <c r="I40" s="11">
        <v>1</v>
      </c>
      <c r="J40" s="22">
        <v>8</v>
      </c>
      <c r="K40" s="13">
        <v>2</v>
      </c>
      <c r="L40" s="2"/>
      <c r="M40" s="11">
        <v>1</v>
      </c>
      <c r="N40" s="13">
        <v>2</v>
      </c>
      <c r="O40" s="13">
        <v>2</v>
      </c>
      <c r="P40" s="2"/>
      <c r="Q40" s="2"/>
      <c r="R40" s="2"/>
      <c r="S40" s="2"/>
    </row>
    <row r="41" spans="1:19">
      <c r="A41" s="18">
        <v>6</v>
      </c>
      <c r="B41" s="18" t="s">
        <v>209</v>
      </c>
      <c r="C41" s="19">
        <v>3</v>
      </c>
      <c r="D41" s="2"/>
      <c r="E41" s="12">
        <v>5</v>
      </c>
      <c r="F41" s="13">
        <v>2</v>
      </c>
      <c r="G41" s="20"/>
      <c r="H41" s="2"/>
      <c r="I41" s="11">
        <v>1</v>
      </c>
      <c r="J41" s="12">
        <v>5</v>
      </c>
      <c r="K41" s="20"/>
      <c r="L41" s="2"/>
      <c r="M41" s="13">
        <v>2</v>
      </c>
      <c r="N41" s="16">
        <v>6</v>
      </c>
      <c r="O41" s="20"/>
      <c r="P41" s="2"/>
      <c r="Q41" s="2"/>
      <c r="R41" s="2"/>
      <c r="S41" s="2"/>
    </row>
    <row r="42" spans="1:19">
      <c r="A42" s="23">
        <v>7</v>
      </c>
      <c r="B42" s="23" t="s">
        <v>212</v>
      </c>
      <c r="C42" s="24">
        <v>1</v>
      </c>
      <c r="D42" s="2"/>
      <c r="E42" s="11">
        <v>1</v>
      </c>
      <c r="F42" s="16">
        <v>6</v>
      </c>
      <c r="G42" s="13">
        <v>2</v>
      </c>
      <c r="H42" s="2"/>
      <c r="I42" s="13">
        <v>2</v>
      </c>
      <c r="J42" s="11">
        <v>1</v>
      </c>
      <c r="K42" s="11">
        <v>1</v>
      </c>
      <c r="L42" s="2"/>
      <c r="M42" s="11">
        <v>1</v>
      </c>
      <c r="N42" s="13">
        <v>2</v>
      </c>
      <c r="O42" s="11">
        <v>1</v>
      </c>
      <c r="P42" s="2"/>
      <c r="Q42" s="2"/>
      <c r="R42" s="2"/>
      <c r="S42" s="2"/>
    </row>
    <row r="43" spans="1:19">
      <c r="A43" s="9">
        <v>8</v>
      </c>
      <c r="B43" s="9" t="s">
        <v>215</v>
      </c>
      <c r="C43" s="10">
        <v>1</v>
      </c>
      <c r="D43" s="2"/>
      <c r="E43" s="11">
        <v>1</v>
      </c>
      <c r="F43" s="13">
        <v>2</v>
      </c>
      <c r="G43" s="20"/>
      <c r="H43" s="2"/>
      <c r="I43" s="16">
        <v>6</v>
      </c>
      <c r="J43" s="13">
        <v>2</v>
      </c>
      <c r="K43" s="20"/>
      <c r="L43" s="2"/>
      <c r="M43" s="11">
        <v>1</v>
      </c>
      <c r="N43" s="22">
        <v>8</v>
      </c>
      <c r="O43" s="20"/>
      <c r="P43" s="2"/>
      <c r="Q43" s="2"/>
      <c r="R43" s="2"/>
      <c r="S43" s="2"/>
    </row>
    <row r="44" spans="1:19">
      <c r="A44" s="1"/>
      <c r="B44" s="1"/>
      <c r="C44" s="2"/>
      <c r="D44" s="2"/>
      <c r="E44" s="12">
        <v>5</v>
      </c>
      <c r="F44" s="11">
        <v>1</v>
      </c>
      <c r="G44" s="13">
        <v>2</v>
      </c>
      <c r="H44" s="2"/>
      <c r="I44" s="11">
        <v>1</v>
      </c>
      <c r="J44" s="13">
        <v>2</v>
      </c>
      <c r="K44" s="12">
        <v>5</v>
      </c>
      <c r="L44" s="2"/>
      <c r="M44" s="13">
        <v>2</v>
      </c>
      <c r="N44" s="12">
        <v>5</v>
      </c>
      <c r="O44" s="11">
        <v>1</v>
      </c>
      <c r="P44" s="2"/>
      <c r="Q44" s="2"/>
      <c r="R44" s="2"/>
      <c r="S44" s="2"/>
    </row>
    <row r="45" spans="1:19">
      <c r="A45" s="1"/>
      <c r="B45" s="1"/>
      <c r="C45" s="2"/>
      <c r="D45" s="2"/>
      <c r="E45" s="16">
        <v>6</v>
      </c>
      <c r="F45" s="17">
        <v>7</v>
      </c>
      <c r="G45" s="20"/>
      <c r="H45" s="2"/>
      <c r="I45" s="16">
        <v>6</v>
      </c>
      <c r="J45" s="17">
        <v>7</v>
      </c>
      <c r="K45" s="20"/>
      <c r="L45" s="2"/>
      <c r="M45" s="16">
        <v>6</v>
      </c>
      <c r="N45" s="17">
        <v>7</v>
      </c>
      <c r="O45" s="20"/>
      <c r="P45" s="2"/>
      <c r="Q45" s="2"/>
      <c r="R45" s="2"/>
      <c r="S45" s="2"/>
    </row>
    <row r="46" spans="1:19">
      <c r="A46" s="1"/>
      <c r="B46" s="1"/>
      <c r="C46" s="2"/>
      <c r="D46" s="2"/>
      <c r="E46" s="20"/>
      <c r="F46" s="21">
        <v>3</v>
      </c>
      <c r="G46" s="20"/>
      <c r="H46" s="2"/>
      <c r="I46" s="20"/>
      <c r="J46" s="21">
        <v>3</v>
      </c>
      <c r="K46" s="20"/>
      <c r="L46" s="2"/>
      <c r="M46" s="20"/>
      <c r="N46" s="21">
        <v>3</v>
      </c>
      <c r="O46" s="20"/>
      <c r="P46" s="2"/>
      <c r="Q46" s="2"/>
      <c r="R46" s="2"/>
      <c r="S46" s="2"/>
    </row>
    <row r="47" spans="1:19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3" t="s">
        <v>0</v>
      </c>
      <c r="B68" s="3" t="s">
        <v>45</v>
      </c>
      <c r="C68" s="3" t="s">
        <v>218</v>
      </c>
      <c r="D68" s="2"/>
      <c r="E68" s="4" t="s">
        <v>15</v>
      </c>
      <c r="F68" s="4" t="s">
        <v>16</v>
      </c>
      <c r="G68" s="4" t="s">
        <v>17</v>
      </c>
      <c r="H68" s="2"/>
      <c r="I68" s="4" t="s">
        <v>15</v>
      </c>
      <c r="J68" s="4" t="s">
        <v>16</v>
      </c>
      <c r="K68" s="4" t="s">
        <v>17</v>
      </c>
      <c r="L68" s="2"/>
      <c r="M68" s="4" t="s">
        <v>15</v>
      </c>
      <c r="N68" s="4" t="s">
        <v>16</v>
      </c>
      <c r="O68" s="4" t="s">
        <v>17</v>
      </c>
      <c r="P68" s="2"/>
      <c r="Q68" s="2"/>
      <c r="R68" s="2"/>
      <c r="S68" s="2"/>
    </row>
    <row r="69" spans="1:19">
      <c r="A69" s="18">
        <v>0</v>
      </c>
      <c r="B69" s="18"/>
      <c r="C69" s="19">
        <v>1</v>
      </c>
      <c r="D69" s="2"/>
      <c r="E69" s="25"/>
      <c r="F69" s="8">
        <v>0</v>
      </c>
      <c r="G69" s="25"/>
      <c r="H69" s="2"/>
      <c r="I69" s="25"/>
      <c r="J69" s="8">
        <v>0</v>
      </c>
      <c r="K69" s="25"/>
      <c r="L69" s="2"/>
      <c r="M69" s="25"/>
      <c r="N69" s="8">
        <v>0</v>
      </c>
      <c r="O69" s="25"/>
      <c r="P69" s="2"/>
      <c r="Q69" s="2"/>
      <c r="R69" s="2"/>
      <c r="S69" s="2"/>
    </row>
    <row r="70" spans="1:19">
      <c r="A70" s="9">
        <v>1</v>
      </c>
      <c r="B70" s="9" t="s">
        <v>195</v>
      </c>
      <c r="C70" s="10">
        <v>5</v>
      </c>
      <c r="D70" s="2"/>
      <c r="E70" s="16">
        <v>6</v>
      </c>
      <c r="F70" s="17">
        <v>7</v>
      </c>
      <c r="G70" s="25"/>
      <c r="H70" s="2"/>
      <c r="I70" s="16">
        <v>6</v>
      </c>
      <c r="J70" s="17">
        <v>7</v>
      </c>
      <c r="K70" s="25"/>
      <c r="L70" s="2"/>
      <c r="M70" s="16">
        <v>6</v>
      </c>
      <c r="N70" s="17">
        <v>7</v>
      </c>
      <c r="O70" s="25"/>
      <c r="P70" s="2"/>
      <c r="Q70" s="2"/>
      <c r="R70" s="2"/>
      <c r="S70" s="2"/>
    </row>
    <row r="71" spans="1:19">
      <c r="A71" s="9">
        <v>2</v>
      </c>
      <c r="B71" s="9" t="s">
        <v>198</v>
      </c>
      <c r="C71" s="10">
        <v>8</v>
      </c>
      <c r="D71" s="2"/>
      <c r="E71" s="11">
        <v>1</v>
      </c>
      <c r="F71" s="11">
        <v>1</v>
      </c>
      <c r="G71" s="13">
        <v>2</v>
      </c>
      <c r="H71" s="2"/>
      <c r="I71" s="11">
        <v>1</v>
      </c>
      <c r="J71" s="13">
        <v>2</v>
      </c>
      <c r="K71" s="11">
        <v>1</v>
      </c>
      <c r="L71" s="2"/>
      <c r="M71" s="11">
        <v>1</v>
      </c>
      <c r="N71" s="13">
        <v>2</v>
      </c>
      <c r="O71" s="11">
        <v>1</v>
      </c>
      <c r="P71" s="2"/>
      <c r="Q71" s="2"/>
      <c r="R71" s="2"/>
      <c r="S71" s="2"/>
    </row>
    <row r="72" spans="1:19">
      <c r="A72" s="18">
        <v>3</v>
      </c>
      <c r="B72" s="18" t="s">
        <v>201</v>
      </c>
      <c r="C72" s="19">
        <v>1</v>
      </c>
      <c r="D72" s="2"/>
      <c r="E72" s="11">
        <v>1</v>
      </c>
      <c r="F72" s="22">
        <v>8</v>
      </c>
      <c r="G72" s="25"/>
      <c r="H72" s="2"/>
      <c r="I72" s="12">
        <v>5</v>
      </c>
      <c r="J72" s="11">
        <v>1</v>
      </c>
      <c r="K72" s="25"/>
      <c r="L72" s="2"/>
      <c r="M72" s="13">
        <v>2</v>
      </c>
      <c r="N72" s="12">
        <v>5</v>
      </c>
      <c r="O72" s="25"/>
      <c r="P72" s="2"/>
      <c r="Q72" s="2"/>
      <c r="R72" s="2"/>
      <c r="S72" s="2"/>
    </row>
    <row r="73" spans="1:19">
      <c r="A73" s="9">
        <v>5</v>
      </c>
      <c r="B73" s="9" t="s">
        <v>206</v>
      </c>
      <c r="C73" s="10">
        <v>2</v>
      </c>
      <c r="D73" s="2"/>
      <c r="E73" s="11">
        <v>1</v>
      </c>
      <c r="F73" s="13">
        <v>2</v>
      </c>
      <c r="G73" s="12">
        <v>5</v>
      </c>
      <c r="H73" s="2"/>
      <c r="I73" s="13">
        <v>2</v>
      </c>
      <c r="J73" s="13">
        <v>2</v>
      </c>
      <c r="K73" s="16">
        <v>6</v>
      </c>
      <c r="L73" s="2"/>
      <c r="M73" s="11">
        <v>1</v>
      </c>
      <c r="N73" s="17">
        <v>7</v>
      </c>
      <c r="O73" s="13">
        <v>2</v>
      </c>
      <c r="P73" s="2"/>
      <c r="Q73" s="2"/>
      <c r="R73" s="2"/>
      <c r="S73" s="2"/>
    </row>
    <row r="74" spans="1:19">
      <c r="A74" s="18">
        <v>6</v>
      </c>
      <c r="B74" s="18" t="s">
        <v>209</v>
      </c>
      <c r="C74" s="19">
        <v>3</v>
      </c>
      <c r="D74" s="2"/>
      <c r="E74" s="16">
        <v>6</v>
      </c>
      <c r="F74" s="13">
        <v>2</v>
      </c>
      <c r="G74" s="25"/>
      <c r="H74" s="2"/>
      <c r="I74" s="17">
        <v>7</v>
      </c>
      <c r="J74" s="11">
        <v>1</v>
      </c>
      <c r="K74" s="25"/>
      <c r="L74" s="2"/>
      <c r="M74" s="13">
        <v>2</v>
      </c>
      <c r="N74" s="11">
        <v>1</v>
      </c>
      <c r="O74" s="25"/>
      <c r="P74" s="2"/>
      <c r="Q74" s="2"/>
      <c r="R74" s="2"/>
      <c r="S74" s="2"/>
    </row>
    <row r="75" spans="1:19">
      <c r="A75" s="23">
        <v>7</v>
      </c>
      <c r="B75" s="23" t="s">
        <v>212</v>
      </c>
      <c r="C75" s="24">
        <v>3</v>
      </c>
      <c r="D75" s="2"/>
      <c r="E75" s="13">
        <v>2</v>
      </c>
      <c r="F75" s="17">
        <v>7</v>
      </c>
      <c r="G75" s="13">
        <v>2</v>
      </c>
      <c r="H75" s="2"/>
      <c r="I75" s="13">
        <v>2</v>
      </c>
      <c r="J75" s="13">
        <v>2</v>
      </c>
      <c r="K75" s="22">
        <v>8</v>
      </c>
      <c r="L75" s="2"/>
      <c r="M75" s="22">
        <v>8</v>
      </c>
      <c r="N75" s="13">
        <v>2</v>
      </c>
      <c r="O75" s="12">
        <v>5</v>
      </c>
      <c r="P75" s="2"/>
      <c r="Q75" s="2"/>
      <c r="R75" s="2"/>
      <c r="S75" s="2"/>
    </row>
    <row r="76" spans="1:19">
      <c r="A76" s="9">
        <v>8</v>
      </c>
      <c r="B76" s="9" t="s">
        <v>215</v>
      </c>
      <c r="C76" s="10">
        <v>1</v>
      </c>
      <c r="D76" s="2"/>
      <c r="E76" s="13">
        <v>2</v>
      </c>
      <c r="F76" s="12">
        <v>5</v>
      </c>
      <c r="G76" s="25"/>
      <c r="H76" s="2"/>
      <c r="I76" s="12">
        <v>5</v>
      </c>
      <c r="J76" s="13">
        <v>2</v>
      </c>
      <c r="K76" s="25"/>
      <c r="L76" s="2"/>
      <c r="M76" s="13">
        <v>2</v>
      </c>
      <c r="N76" s="16">
        <v>6</v>
      </c>
      <c r="O76" s="25"/>
      <c r="P76" s="2"/>
      <c r="Q76" s="2"/>
      <c r="R76" s="2"/>
      <c r="S76" s="2"/>
    </row>
    <row r="77" spans="1:19">
      <c r="A77" s="1"/>
      <c r="B77" s="1"/>
      <c r="C77" s="2"/>
      <c r="D77" s="2"/>
      <c r="E77" s="11">
        <v>1</v>
      </c>
      <c r="F77" s="13">
        <v>2</v>
      </c>
      <c r="G77" s="13">
        <v>2</v>
      </c>
      <c r="H77" s="2"/>
      <c r="I77" s="13">
        <v>2</v>
      </c>
      <c r="J77" s="13">
        <v>2</v>
      </c>
      <c r="K77" s="11">
        <v>1</v>
      </c>
      <c r="L77" s="2"/>
      <c r="M77" s="13">
        <v>2</v>
      </c>
      <c r="N77" s="11">
        <v>1</v>
      </c>
      <c r="O77" s="13">
        <v>2</v>
      </c>
      <c r="P77" s="2"/>
      <c r="Q77" s="2"/>
      <c r="R77" s="2"/>
      <c r="S77" s="2"/>
    </row>
    <row r="78" spans="1:19">
      <c r="A78" s="1"/>
      <c r="B78" s="1"/>
      <c r="C78" s="2"/>
      <c r="D78" s="2"/>
      <c r="E78" s="16">
        <v>6</v>
      </c>
      <c r="F78" s="17">
        <v>7</v>
      </c>
      <c r="G78" s="25"/>
      <c r="H78" s="2"/>
      <c r="I78" s="16">
        <v>6</v>
      </c>
      <c r="J78" s="17">
        <v>7</v>
      </c>
      <c r="K78" s="25"/>
      <c r="L78" s="2"/>
      <c r="M78" s="16">
        <v>6</v>
      </c>
      <c r="N78" s="17">
        <v>7</v>
      </c>
      <c r="O78" s="25"/>
      <c r="P78" s="2"/>
      <c r="Q78" s="2"/>
      <c r="R78" s="2"/>
      <c r="S78" s="2"/>
    </row>
    <row r="79" spans="1:19">
      <c r="A79" s="1"/>
      <c r="B79" s="1"/>
      <c r="C79" s="2"/>
      <c r="D79" s="2"/>
      <c r="E79" s="25"/>
      <c r="F79" s="8">
        <v>3</v>
      </c>
      <c r="G79" s="25"/>
      <c r="H79" s="2"/>
      <c r="I79" s="25"/>
      <c r="J79" s="8">
        <v>3</v>
      </c>
      <c r="K79" s="25"/>
      <c r="L79" s="2"/>
      <c r="M79" s="25"/>
      <c r="N79" s="8">
        <v>3</v>
      </c>
      <c r="O79" s="25"/>
      <c r="P79" s="2"/>
      <c r="Q79" s="2"/>
      <c r="R79" s="2"/>
      <c r="S79" s="2"/>
    </row>
    <row r="80" spans="1:19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天界迷宫层级</vt:lpstr>
      <vt:lpstr>天界迷宫地图分组</vt:lpstr>
      <vt:lpstr>天界迷宫地图</vt:lpstr>
      <vt:lpstr>天界迷宫守卫</vt:lpstr>
      <vt:lpstr>天界迷宫符诏组包</vt:lpstr>
      <vt:lpstr>天界迷宫符诏</vt:lpstr>
      <vt:lpstr>天界迷宫场景技能</vt:lpstr>
      <vt:lpstr>天界迷宫商品</vt:lpstr>
      <vt:lpstr>天界迷宫格子类型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2023-04-24T04:56:44Z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