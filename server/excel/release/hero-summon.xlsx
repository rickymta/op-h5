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28800" windowHeight="12540"/>
  </bookViews>
  <sheets>
    <sheet name="英雄召唤" sheetId="1" r:id="rId1"/>
    <sheet name="英雄召唤星组" sheetId="2" r:id="rId2"/>
    <sheet name="英雄召唤作弊" sheetId="8" r:id="rId3"/>
    <sheet name="Sheet(基础召唤概率)" sheetId="3" r:id="rId4"/>
    <sheet name="Sheet(友情召唤概率)" sheetId="4" r:id="rId5"/>
    <sheet name="Sheet(高级召唤概率)" sheetId="5" r:id="rId6"/>
    <sheet name="Sheet(积分召唤概率)" sheetId="7" r:id="rId7"/>
  </sheets>
  <externalReferences>
    <externalReference r:id="rId8"/>
  </externalReferences>
  <definedNames>
    <definedName name="_xlnm._FilterDatabase" localSheetId="4" hidden="1">'Sheet(友情召唤概率)'!$A$1:$D$90</definedName>
    <definedName name="_xlnm._FilterDatabase" localSheetId="3" hidden="1">'Sheet(基础召唤概率)'!$A$1:$D$93</definedName>
    <definedName name="_xlnm._FilterDatabase" localSheetId="6" hidden="1">'Sheet(积分召唤概率)'!$A$1:$D$44</definedName>
    <definedName name="_xlnm._FilterDatabase" localSheetId="5" hidden="1">'Sheet(高级召唤概率)'!$A$1:$D$84</definedName>
    <definedName name="_xlnm._FilterDatabase" localSheetId="1" hidden="1">英雄召唤星组!#REF!</definedName>
  </definedNames>
  <calcPr calcId="144525"/>
</workbook>
</file>

<file path=xl/calcChain.xml><?xml version="1.0" encoding="utf-8"?>
<calcChain xmlns="http://schemas.openxmlformats.org/spreadsheetml/2006/main">
  <c r="C3" i="7" l="1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2" i="7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2" i="5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2" i="3"/>
  <c r="I46" i="7" l="1"/>
  <c r="E46" i="7"/>
  <c r="H44" i="7"/>
  <c r="G44" i="7"/>
  <c r="F44" i="7"/>
  <c r="H43" i="7"/>
  <c r="G43" i="7"/>
  <c r="F43" i="7"/>
  <c r="H42" i="7"/>
  <c r="G42" i="7"/>
  <c r="F42" i="7"/>
  <c r="H41" i="7"/>
  <c r="G41" i="7"/>
  <c r="F41" i="7"/>
  <c r="H40" i="7"/>
  <c r="G40" i="7"/>
  <c r="F40" i="7"/>
  <c r="H39" i="7"/>
  <c r="G39" i="7"/>
  <c r="F39" i="7"/>
  <c r="H38" i="7"/>
  <c r="G38" i="7"/>
  <c r="F38" i="7"/>
  <c r="H37" i="7"/>
  <c r="G37" i="7"/>
  <c r="F37" i="7"/>
  <c r="H36" i="7"/>
  <c r="G36" i="7"/>
  <c r="F36" i="7"/>
  <c r="H35" i="7"/>
  <c r="G35" i="7"/>
  <c r="F35" i="7"/>
  <c r="H34" i="7"/>
  <c r="G34" i="7"/>
  <c r="F34" i="7"/>
  <c r="H33" i="7"/>
  <c r="G33" i="7"/>
  <c r="F33" i="7"/>
  <c r="H32" i="7"/>
  <c r="G32" i="7"/>
  <c r="F32" i="7"/>
  <c r="H31" i="7"/>
  <c r="G31" i="7"/>
  <c r="F31" i="7"/>
  <c r="H30" i="7"/>
  <c r="G30" i="7"/>
  <c r="F30" i="7"/>
  <c r="H29" i="7"/>
  <c r="G29" i="7"/>
  <c r="F29" i="7"/>
  <c r="H28" i="7"/>
  <c r="G28" i="7"/>
  <c r="F28" i="7"/>
  <c r="H27" i="7"/>
  <c r="G27" i="7"/>
  <c r="F27" i="7"/>
  <c r="H26" i="7"/>
  <c r="G26" i="7"/>
  <c r="F26" i="7"/>
  <c r="H25" i="7"/>
  <c r="G25" i="7"/>
  <c r="F25" i="7"/>
  <c r="H24" i="7"/>
  <c r="G24" i="7"/>
  <c r="F24" i="7"/>
  <c r="H23" i="7"/>
  <c r="G23" i="7"/>
  <c r="F23" i="7"/>
  <c r="H22" i="7"/>
  <c r="G22" i="7"/>
  <c r="F22" i="7"/>
  <c r="H21" i="7"/>
  <c r="G21" i="7"/>
  <c r="F21" i="7"/>
  <c r="H20" i="7"/>
  <c r="G20" i="7"/>
  <c r="F20" i="7"/>
  <c r="H19" i="7"/>
  <c r="G19" i="7"/>
  <c r="F19" i="7"/>
  <c r="H18" i="7"/>
  <c r="G18" i="7"/>
  <c r="F18" i="7"/>
  <c r="H17" i="7"/>
  <c r="G17" i="7"/>
  <c r="F17" i="7"/>
  <c r="H16" i="7"/>
  <c r="G16" i="7"/>
  <c r="F16" i="7"/>
  <c r="H15" i="7"/>
  <c r="G15" i="7"/>
  <c r="F15" i="7"/>
  <c r="H14" i="7"/>
  <c r="G14" i="7"/>
  <c r="F14" i="7"/>
  <c r="H13" i="7"/>
  <c r="G13" i="7"/>
  <c r="F13" i="7"/>
  <c r="H12" i="7"/>
  <c r="G12" i="7"/>
  <c r="F12" i="7"/>
  <c r="H11" i="7"/>
  <c r="G11" i="7"/>
  <c r="F11" i="7"/>
  <c r="H10" i="7"/>
  <c r="G10" i="7"/>
  <c r="F10" i="7"/>
  <c r="H9" i="7"/>
  <c r="G9" i="7"/>
  <c r="F9" i="7"/>
  <c r="H8" i="7"/>
  <c r="G8" i="7"/>
  <c r="F8" i="7"/>
  <c r="H7" i="7"/>
  <c r="G7" i="7"/>
  <c r="F7" i="7"/>
  <c r="H6" i="7"/>
  <c r="G6" i="7"/>
  <c r="F6" i="7"/>
  <c r="H5" i="7"/>
  <c r="G5" i="7"/>
  <c r="F5" i="7"/>
  <c r="H4" i="7"/>
  <c r="G4" i="7"/>
  <c r="F4" i="7"/>
  <c r="H3" i="7"/>
  <c r="G3" i="7"/>
  <c r="F3" i="7"/>
  <c r="H2" i="7"/>
  <c r="G2" i="7"/>
  <c r="F2" i="7"/>
  <c r="I86" i="5"/>
  <c r="E86" i="5"/>
  <c r="H84" i="5"/>
  <c r="G84" i="5"/>
  <c r="F84" i="5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R26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R11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H2" i="5"/>
  <c r="G2" i="5"/>
  <c r="F2" i="5"/>
  <c r="I92" i="4"/>
  <c r="E92" i="4"/>
  <c r="I90" i="4"/>
  <c r="H90" i="4"/>
  <c r="G90" i="4"/>
  <c r="F90" i="4"/>
  <c r="I89" i="4"/>
  <c r="H89" i="4"/>
  <c r="G89" i="4"/>
  <c r="F89" i="4"/>
  <c r="I88" i="4"/>
  <c r="H88" i="4"/>
  <c r="G88" i="4"/>
  <c r="F88" i="4"/>
  <c r="I87" i="4"/>
  <c r="H87" i="4"/>
  <c r="G87" i="4"/>
  <c r="F87" i="4"/>
  <c r="I86" i="4"/>
  <c r="H86" i="4"/>
  <c r="G86" i="4"/>
  <c r="F86" i="4"/>
  <c r="I85" i="4"/>
  <c r="H85" i="4"/>
  <c r="G85" i="4"/>
  <c r="F85" i="4"/>
  <c r="I84" i="4"/>
  <c r="H84" i="4"/>
  <c r="G84" i="4"/>
  <c r="F84" i="4"/>
  <c r="H83" i="4"/>
  <c r="G83" i="4"/>
  <c r="F83" i="4"/>
  <c r="H82" i="4"/>
  <c r="G82" i="4"/>
  <c r="F82" i="4"/>
  <c r="H81" i="4"/>
  <c r="G81" i="4"/>
  <c r="F81" i="4"/>
  <c r="H80" i="4"/>
  <c r="G80" i="4"/>
  <c r="F80" i="4"/>
  <c r="H79" i="4"/>
  <c r="G79" i="4"/>
  <c r="F79" i="4"/>
  <c r="I78" i="4"/>
  <c r="H78" i="4"/>
  <c r="G78" i="4"/>
  <c r="F78" i="4"/>
  <c r="I77" i="4"/>
  <c r="H77" i="4"/>
  <c r="G77" i="4"/>
  <c r="F77" i="4"/>
  <c r="I76" i="4"/>
  <c r="H76" i="4"/>
  <c r="G76" i="4"/>
  <c r="F76" i="4"/>
  <c r="I75" i="4"/>
  <c r="H75" i="4"/>
  <c r="G75" i="4"/>
  <c r="F75" i="4"/>
  <c r="I74" i="4"/>
  <c r="H74" i="4"/>
  <c r="G74" i="4"/>
  <c r="F74" i="4"/>
  <c r="I73" i="4"/>
  <c r="H73" i="4"/>
  <c r="G73" i="4"/>
  <c r="F73" i="4"/>
  <c r="I72" i="4"/>
  <c r="H72" i="4"/>
  <c r="G72" i="4"/>
  <c r="F72" i="4"/>
  <c r="I71" i="4"/>
  <c r="H71" i="4"/>
  <c r="G71" i="4"/>
  <c r="F71" i="4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I65" i="4"/>
  <c r="H65" i="4"/>
  <c r="G65" i="4"/>
  <c r="F65" i="4"/>
  <c r="I64" i="4"/>
  <c r="H64" i="4"/>
  <c r="G64" i="4"/>
  <c r="F64" i="4"/>
  <c r="I63" i="4"/>
  <c r="H63" i="4"/>
  <c r="G63" i="4"/>
  <c r="F63" i="4"/>
  <c r="I62" i="4"/>
  <c r="H62" i="4"/>
  <c r="G62" i="4"/>
  <c r="F62" i="4"/>
  <c r="I61" i="4"/>
  <c r="H61" i="4"/>
  <c r="G61" i="4"/>
  <c r="F61" i="4"/>
  <c r="I60" i="4"/>
  <c r="H60" i="4"/>
  <c r="G60" i="4"/>
  <c r="F60" i="4"/>
  <c r="I59" i="4"/>
  <c r="H59" i="4"/>
  <c r="G59" i="4"/>
  <c r="F59" i="4"/>
  <c r="I58" i="4"/>
  <c r="H58" i="4"/>
  <c r="G58" i="4"/>
  <c r="F58" i="4"/>
  <c r="I57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I44" i="4"/>
  <c r="H44" i="4"/>
  <c r="G44" i="4"/>
  <c r="F44" i="4"/>
  <c r="I43" i="4"/>
  <c r="H43" i="4"/>
  <c r="G43" i="4"/>
  <c r="F43" i="4"/>
  <c r="I42" i="4"/>
  <c r="H42" i="4"/>
  <c r="G42" i="4"/>
  <c r="F42" i="4"/>
  <c r="I41" i="4"/>
  <c r="H41" i="4"/>
  <c r="G41" i="4"/>
  <c r="F41" i="4"/>
  <c r="I40" i="4"/>
  <c r="H40" i="4"/>
  <c r="G40" i="4"/>
  <c r="F40" i="4"/>
  <c r="I39" i="4"/>
  <c r="H39" i="4"/>
  <c r="G39" i="4"/>
  <c r="F39" i="4"/>
  <c r="I38" i="4"/>
  <c r="H38" i="4"/>
  <c r="G38" i="4"/>
  <c r="F38" i="4"/>
  <c r="I37" i="4"/>
  <c r="H37" i="4"/>
  <c r="G37" i="4"/>
  <c r="F37" i="4"/>
  <c r="I36" i="4"/>
  <c r="H36" i="4"/>
  <c r="G36" i="4"/>
  <c r="F36" i="4"/>
  <c r="I35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G24" i="4"/>
  <c r="F24" i="4"/>
  <c r="G23" i="4"/>
  <c r="F23" i="4"/>
  <c r="I22" i="4"/>
  <c r="H22" i="4"/>
  <c r="G22" i="4"/>
  <c r="F22" i="4"/>
  <c r="I21" i="4"/>
  <c r="H21" i="4"/>
  <c r="G21" i="4"/>
  <c r="F21" i="4"/>
  <c r="I20" i="4"/>
  <c r="H20" i="4"/>
  <c r="G20" i="4"/>
  <c r="F20" i="4"/>
  <c r="I19" i="4"/>
  <c r="H19" i="4"/>
  <c r="G19" i="4"/>
  <c r="F19" i="4"/>
  <c r="I18" i="4"/>
  <c r="H18" i="4"/>
  <c r="G18" i="4"/>
  <c r="F18" i="4"/>
  <c r="I17" i="4"/>
  <c r="H17" i="4"/>
  <c r="G17" i="4"/>
  <c r="F17" i="4"/>
  <c r="I16" i="4"/>
  <c r="H16" i="4"/>
  <c r="G16" i="4"/>
  <c r="F16" i="4"/>
  <c r="I15" i="4"/>
  <c r="H15" i="4"/>
  <c r="G15" i="4"/>
  <c r="F15" i="4"/>
  <c r="I14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H2" i="4"/>
  <c r="G2" i="4"/>
  <c r="F2" i="4"/>
  <c r="I95" i="3"/>
  <c r="E95" i="3"/>
  <c r="I93" i="3"/>
  <c r="H93" i="3"/>
  <c r="G93" i="3"/>
  <c r="F93" i="3"/>
  <c r="H92" i="3"/>
  <c r="G92" i="3"/>
  <c r="F92" i="3"/>
  <c r="H91" i="3"/>
  <c r="G91" i="3"/>
  <c r="F91" i="3"/>
  <c r="I90" i="3"/>
  <c r="H90" i="3"/>
  <c r="G90" i="3"/>
  <c r="F90" i="3"/>
  <c r="I89" i="3"/>
  <c r="H89" i="3"/>
  <c r="G89" i="3"/>
  <c r="F89" i="3"/>
  <c r="I88" i="3"/>
  <c r="H88" i="3"/>
  <c r="G88" i="3"/>
  <c r="F88" i="3"/>
  <c r="I87" i="3"/>
  <c r="H87" i="3"/>
  <c r="G87" i="3"/>
  <c r="F87" i="3"/>
  <c r="H86" i="3"/>
  <c r="G86" i="3"/>
  <c r="F86" i="3"/>
  <c r="H85" i="3"/>
  <c r="G85" i="3"/>
  <c r="F85" i="3"/>
  <c r="H84" i="3"/>
  <c r="G84" i="3"/>
  <c r="F84" i="3"/>
  <c r="H83" i="3"/>
  <c r="G83" i="3"/>
  <c r="F83" i="3"/>
  <c r="H82" i="3"/>
  <c r="G82" i="3"/>
  <c r="F82" i="3"/>
  <c r="I81" i="3"/>
  <c r="H81" i="3"/>
  <c r="G81" i="3"/>
  <c r="F81" i="3"/>
  <c r="I80" i="3"/>
  <c r="H80" i="3"/>
  <c r="G80" i="3"/>
  <c r="F80" i="3"/>
  <c r="I79" i="3"/>
  <c r="H79" i="3"/>
  <c r="G79" i="3"/>
  <c r="F79" i="3"/>
  <c r="I78" i="3"/>
  <c r="H78" i="3"/>
  <c r="G78" i="3"/>
  <c r="F78" i="3"/>
  <c r="I77" i="3"/>
  <c r="H77" i="3"/>
  <c r="G77" i="3"/>
  <c r="F77" i="3"/>
  <c r="I76" i="3"/>
  <c r="H76" i="3"/>
  <c r="G76" i="3"/>
  <c r="F76" i="3"/>
  <c r="I75" i="3"/>
  <c r="H75" i="3"/>
  <c r="G75" i="3"/>
  <c r="F75" i="3"/>
  <c r="I74" i="3"/>
  <c r="H74" i="3"/>
  <c r="G74" i="3"/>
  <c r="F74" i="3"/>
  <c r="H73" i="3"/>
  <c r="G73" i="3"/>
  <c r="F73" i="3"/>
  <c r="H72" i="3"/>
  <c r="G72" i="3"/>
  <c r="F72" i="3"/>
  <c r="H71" i="3"/>
  <c r="G71" i="3"/>
  <c r="F71" i="3"/>
  <c r="H70" i="3"/>
  <c r="G70" i="3"/>
  <c r="F70" i="3"/>
  <c r="H69" i="3"/>
  <c r="G69" i="3"/>
  <c r="F69" i="3"/>
  <c r="I68" i="3"/>
  <c r="H68" i="3"/>
  <c r="G68" i="3"/>
  <c r="F68" i="3"/>
  <c r="I67" i="3"/>
  <c r="H67" i="3"/>
  <c r="G67" i="3"/>
  <c r="F67" i="3"/>
  <c r="I66" i="3"/>
  <c r="H66" i="3"/>
  <c r="G66" i="3"/>
  <c r="F66" i="3"/>
  <c r="I65" i="3"/>
  <c r="H65" i="3"/>
  <c r="G65" i="3"/>
  <c r="F65" i="3"/>
  <c r="I64" i="3"/>
  <c r="H64" i="3"/>
  <c r="G64" i="3"/>
  <c r="F64" i="3"/>
  <c r="I63" i="3"/>
  <c r="H63" i="3"/>
  <c r="G63" i="3"/>
  <c r="F63" i="3"/>
  <c r="I62" i="3"/>
  <c r="H62" i="3"/>
  <c r="G62" i="3"/>
  <c r="F62" i="3"/>
  <c r="I61" i="3"/>
  <c r="H61" i="3"/>
  <c r="G61" i="3"/>
  <c r="F61" i="3"/>
  <c r="I60" i="3"/>
  <c r="H60" i="3"/>
  <c r="G60" i="3"/>
  <c r="F60" i="3"/>
  <c r="H59" i="3"/>
  <c r="G59" i="3"/>
  <c r="F59" i="3"/>
  <c r="H58" i="3"/>
  <c r="G58" i="3"/>
  <c r="F58" i="3"/>
  <c r="H57" i="3"/>
  <c r="G57" i="3"/>
  <c r="F57" i="3"/>
  <c r="H56" i="3"/>
  <c r="G56" i="3"/>
  <c r="F56" i="3"/>
  <c r="H55" i="3"/>
  <c r="G55" i="3"/>
  <c r="F55" i="3"/>
  <c r="H54" i="3"/>
  <c r="G54" i="3"/>
  <c r="F54" i="3"/>
  <c r="H53" i="3"/>
  <c r="G53" i="3"/>
  <c r="F53" i="3"/>
  <c r="H52" i="3"/>
  <c r="G52" i="3"/>
  <c r="F52" i="3"/>
  <c r="H51" i="3"/>
  <c r="G51" i="3"/>
  <c r="F51" i="3"/>
  <c r="H50" i="3"/>
  <c r="G50" i="3"/>
  <c r="F50" i="3"/>
  <c r="H49" i="3"/>
  <c r="G49" i="3"/>
  <c r="F49" i="3"/>
  <c r="H48" i="3"/>
  <c r="G48" i="3"/>
  <c r="F48" i="3"/>
  <c r="H47" i="3"/>
  <c r="G47" i="3"/>
  <c r="F47" i="3"/>
  <c r="I46" i="3"/>
  <c r="H46" i="3"/>
  <c r="G46" i="3"/>
  <c r="F46" i="3"/>
  <c r="I45" i="3"/>
  <c r="H45" i="3"/>
  <c r="G45" i="3"/>
  <c r="F45" i="3"/>
  <c r="I44" i="3"/>
  <c r="H44" i="3"/>
  <c r="G44" i="3"/>
  <c r="F44" i="3"/>
  <c r="I43" i="3"/>
  <c r="H43" i="3"/>
  <c r="G43" i="3"/>
  <c r="F43" i="3"/>
  <c r="I42" i="3"/>
  <c r="H42" i="3"/>
  <c r="G42" i="3"/>
  <c r="F42" i="3"/>
  <c r="I41" i="3"/>
  <c r="H41" i="3"/>
  <c r="G41" i="3"/>
  <c r="F41" i="3"/>
  <c r="I40" i="3"/>
  <c r="H40" i="3"/>
  <c r="G40" i="3"/>
  <c r="F40" i="3"/>
  <c r="I39" i="3"/>
  <c r="H39" i="3"/>
  <c r="G39" i="3"/>
  <c r="F39" i="3"/>
  <c r="I38" i="3"/>
  <c r="H38" i="3"/>
  <c r="G38" i="3"/>
  <c r="F38" i="3"/>
  <c r="I37" i="3"/>
  <c r="H37" i="3"/>
  <c r="G37" i="3"/>
  <c r="F37" i="3"/>
  <c r="H36" i="3"/>
  <c r="G36" i="3"/>
  <c r="F36" i="3"/>
  <c r="H35" i="3"/>
  <c r="G35" i="3"/>
  <c r="F35" i="3"/>
  <c r="H34" i="3"/>
  <c r="G34" i="3"/>
  <c r="F34" i="3"/>
  <c r="H33" i="3"/>
  <c r="G33" i="3"/>
  <c r="F33" i="3"/>
  <c r="H32" i="3"/>
  <c r="G32" i="3"/>
  <c r="F32" i="3"/>
  <c r="H31" i="3"/>
  <c r="G31" i="3"/>
  <c r="F31" i="3"/>
  <c r="H30" i="3"/>
  <c r="G30" i="3"/>
  <c r="F30" i="3"/>
  <c r="H29" i="3"/>
  <c r="G29" i="3"/>
  <c r="F29" i="3"/>
  <c r="H28" i="3"/>
  <c r="G28" i="3"/>
  <c r="F28" i="3"/>
  <c r="H27" i="3"/>
  <c r="G27" i="3"/>
  <c r="F27" i="3"/>
  <c r="H26" i="3"/>
  <c r="G26" i="3"/>
  <c r="F26" i="3"/>
  <c r="H25" i="3"/>
  <c r="G25" i="3"/>
  <c r="F25" i="3"/>
  <c r="H24" i="3"/>
  <c r="G24" i="3"/>
  <c r="F24" i="3"/>
  <c r="I23" i="3"/>
  <c r="H23" i="3"/>
  <c r="G23" i="3"/>
  <c r="F23" i="3"/>
  <c r="I22" i="3"/>
  <c r="H22" i="3"/>
  <c r="G22" i="3"/>
  <c r="F22" i="3"/>
  <c r="I21" i="3"/>
  <c r="H21" i="3"/>
  <c r="G21" i="3"/>
  <c r="F21" i="3"/>
  <c r="I20" i="3"/>
  <c r="H20" i="3"/>
  <c r="G20" i="3"/>
  <c r="F20" i="3"/>
  <c r="I19" i="3"/>
  <c r="H19" i="3"/>
  <c r="G19" i="3"/>
  <c r="F19" i="3"/>
  <c r="I18" i="3"/>
  <c r="H18" i="3"/>
  <c r="G18" i="3"/>
  <c r="F18" i="3"/>
  <c r="I17" i="3"/>
  <c r="H17" i="3"/>
  <c r="G17" i="3"/>
  <c r="F17" i="3"/>
  <c r="I16" i="3"/>
  <c r="H16" i="3"/>
  <c r="G16" i="3"/>
  <c r="F16" i="3"/>
  <c r="I15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9" i="3"/>
  <c r="G9" i="3"/>
  <c r="F9" i="3"/>
  <c r="H8" i="3"/>
  <c r="G8" i="3"/>
  <c r="F8" i="3"/>
  <c r="H7" i="3"/>
  <c r="G7" i="3"/>
  <c r="F7" i="3"/>
  <c r="H6" i="3"/>
  <c r="G6" i="3"/>
  <c r="F6" i="3"/>
  <c r="H5" i="3"/>
  <c r="G5" i="3"/>
  <c r="F5" i="3"/>
  <c r="H4" i="3"/>
  <c r="G4" i="3"/>
  <c r="F4" i="3"/>
  <c r="H3" i="3"/>
  <c r="G3" i="3"/>
  <c r="F3" i="3"/>
  <c r="H2" i="3"/>
  <c r="G2" i="3"/>
  <c r="F2" i="3"/>
  <c r="L6" i="1"/>
  <c r="L2" i="1"/>
</calcChain>
</file>

<file path=xl/comments1.xml><?xml version="1.0" encoding="utf-8"?>
<comments xmlns="http://schemas.openxmlformats.org/spreadsheetml/2006/main">
  <authors>
    <author>Windows User</author>
    <author>user</author>
  </authors>
  <commentList>
    <comment ref="L1" authorId="0">
      <text>
        <r>
          <rPr>
            <b/>
            <sz val="9"/>
            <rFont val="宋体"/>
            <charset val="134"/>
          </rPr>
          <t>Windows User:</t>
        </r>
        <r>
          <rPr>
            <sz val="9"/>
            <rFont val="宋体"/>
            <charset val="134"/>
          </rPr>
          <t xml:space="preserve">
单位：秒</t>
        </r>
      </text>
    </comment>
    <comment ref="X1" authorId="1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连续9次没有抽到4星卡触发此分组</t>
        </r>
      </text>
    </comment>
  </commentList>
</comments>
</file>

<file path=xl/sharedStrings.xml><?xml version="1.0" encoding="utf-8"?>
<sst xmlns="http://schemas.openxmlformats.org/spreadsheetml/2006/main" count="1847" uniqueCount="253">
  <si>
    <t>召唤类型</t>
  </si>
  <si>
    <t>*备注</t>
  </si>
  <si>
    <t>召唤次数</t>
  </si>
  <si>
    <t>VIP要求</t>
  </si>
  <si>
    <t>消耗道具ID</t>
  </si>
  <si>
    <t>消耗道具数量</t>
  </si>
  <si>
    <t>消耗友情点</t>
  </si>
  <si>
    <t>消耗召唤积分</t>
  </si>
  <si>
    <t>消耗元宝</t>
  </si>
  <si>
    <t>允许混合抽</t>
  </si>
  <si>
    <t>混合抽单次元宝价格</t>
  </si>
  <si>
    <t>免费刷新间隔</t>
  </si>
  <si>
    <t>免费次数上限</t>
  </si>
  <si>
    <t>奖励召唤积分</t>
  </si>
  <si>
    <t>元宝送经验</t>
  </si>
  <si>
    <t>星组配置</t>
  </si>
  <si>
    <t>星组配置说明（策划自己看看）</t>
  </si>
  <si>
    <t>启用脸黑</t>
  </si>
  <si>
    <t>理想星级</t>
  </si>
  <si>
    <t>不幸召唤次数上限</t>
  </si>
  <si>
    <t>幸运星组</t>
  </si>
  <si>
    <t>启用保底</t>
  </si>
  <si>
    <t>保底星级</t>
  </si>
  <si>
    <t>保底星组</t>
  </si>
  <si>
    <t>启用脸白</t>
  </si>
  <si>
    <t>幸运召唤次数上限</t>
  </si>
  <si>
    <t>不幸星组</t>
  </si>
  <si>
    <t>基础召唤1次</t>
  </si>
  <si>
    <t>1:10000</t>
  </si>
  <si>
    <t>50%概率进入1星组，30%进入2星组，20%进入3星组</t>
  </si>
  <si>
    <t>基础召唤10次</t>
  </si>
  <si>
    <t>友情召唤1次</t>
  </si>
  <si>
    <t>2:10000</t>
  </si>
  <si>
    <t>友情召唤10次</t>
  </si>
  <si>
    <t>高级召唤1次</t>
  </si>
  <si>
    <t>3:10000</t>
  </si>
  <si>
    <t>高级召唤10次</t>
  </si>
  <si>
    <t>积分召唤</t>
  </si>
  <si>
    <t>35:10000</t>
  </si>
  <si>
    <t>会武券召唤1次</t>
  </si>
  <si>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03</t>
    </r>
    <r>
      <rPr>
        <sz val="11"/>
        <color theme="1"/>
        <rFont val="Calibri"/>
        <family val="2"/>
        <scheme val="minor"/>
      </rPr>
      <t>:10000</t>
    </r>
  </si>
  <si>
    <t>会武召唤10次</t>
  </si>
  <si>
    <t>ID</t>
  </si>
  <si>
    <t>英雄ID</t>
  </si>
  <si>
    <t>*权重</t>
  </si>
  <si>
    <t>所属星组</t>
  </si>
  <si>
    <t>突出显示</t>
  </si>
  <si>
    <t>*名字</t>
  </si>
  <si>
    <t>*闪烁之光角色</t>
  </si>
  <si>
    <t>展示权重</t>
  </si>
  <si>
    <t>召唤模式</t>
  </si>
  <si>
    <t>星组</t>
  </si>
  <si>
    <t>名字</t>
  </si>
  <si>
    <t>闪烁之光角色</t>
  </si>
  <si>
    <t>星级</t>
  </si>
  <si>
    <t>概率</t>
  </si>
  <si>
    <t>子包概率</t>
  </si>
  <si>
    <t>取后四位</t>
  </si>
  <si>
    <t>万分比计算</t>
  </si>
  <si>
    <t>修正</t>
  </si>
  <si>
    <t>Vũ Sư</t>
  </si>
  <si>
    <t>Tiên Đồng</t>
  </si>
  <si>
    <t>Phương Thuật Sĩ</t>
  </si>
  <si>
    <t>Tương Thần</t>
  </si>
  <si>
    <t>Nhật Du Thần</t>
  </si>
  <si>
    <t>Hoa Yêu</t>
  </si>
  <si>
    <t>Trường Cung Thủ</t>
  </si>
  <si>
    <t>Ngọc Thỏ</t>
  </si>
  <si>
    <t>Địch Tiên</t>
  </si>
  <si>
    <t>Điện Tiền Cấm Vệ</t>
  </si>
  <si>
    <t>Hắc Phong</t>
  </si>
  <si>
    <t>Mộc Trá</t>
  </si>
  <si>
    <t>Giao Cơ</t>
  </si>
  <si>
    <t>Tinh Vệ</t>
  </si>
  <si>
    <t>Ngọc Nữ</t>
  </si>
  <si>
    <t>Hoàng Phi Hổ</t>
  </si>
  <si>
    <t>Thân Công Báo</t>
  </si>
  <si>
    <t>Hắc Vô Thường</t>
  </si>
  <si>
    <t>Bạch Vô Thường</t>
  </si>
  <si>
    <t>Chức Nữ</t>
  </si>
  <si>
    <t>Quỷ Tương</t>
  </si>
  <si>
    <t>Lạc Thần</t>
  </si>
  <si>
    <t>Thái Bạch Kim Tinh</t>
  </si>
  <si>
    <t>Phá Quân</t>
  </si>
  <si>
    <t>Nữ Bạt</t>
  </si>
  <si>
    <t>Bàn Ti</t>
  </si>
  <si>
    <t>Giam Binh</t>
  </si>
  <si>
    <t>Thải Thần</t>
  </si>
  <si>
    <t>Trụ Vương</t>
  </si>
  <si>
    <t>Kim Giác Đại Vương</t>
  </si>
  <si>
    <t>Lôi Chấn Tử</t>
  </si>
  <si>
    <t>Lý Tĩnh</t>
  </si>
  <si>
    <t>Cơ Phát</t>
  </si>
  <si>
    <t>Na Trá</t>
  </si>
  <si>
    <t>Khương Tử Nha</t>
  </si>
  <si>
    <t>Thường Nga</t>
  </si>
  <si>
    <t>Đặng Thiền Ngọc</t>
  </si>
  <si>
    <t>Hậu Nghệ</t>
  </si>
  <si>
    <t>Hoa Mộc Lan</t>
  </si>
  <si>
    <t>Hồng Hài Nhi</t>
  </si>
  <si>
    <t>Ngưu Ma Vương</t>
  </si>
  <si>
    <t>Hỗn Thiên Đại Thánh</t>
  </si>
  <si>
    <t>Kình Thương</t>
  </si>
  <si>
    <t>Ngao Bính</t>
  </si>
  <si>
    <t>Bạch Cốt Phu Nhân</t>
  </si>
  <si>
    <t>Kim Ô</t>
  </si>
  <si>
    <t>Đát Kỷ</t>
  </si>
  <si>
    <t>Thạch Ki</t>
  </si>
  <si>
    <t>Thiên Bồng Nguyên Soái</t>
  </si>
  <si>
    <t>Thông Thiên Giáo Chủ</t>
  </si>
  <si>
    <t>Nam Cực Tiên Tử</t>
  </si>
  <si>
    <t>Nguyên Thủy Thiên Tôn</t>
  </si>
  <si>
    <t>Vân Trung Tử</t>
  </si>
  <si>
    <t>Đấu Chiến Thắng Phật</t>
  </si>
  <si>
    <t>Lộc Duyên Thượng Tiên</t>
  </si>
  <si>
    <t>Quyển Liêm Đại Tương</t>
  </si>
  <si>
    <t>Huyền Trang</t>
  </si>
  <si>
    <t>Bạch Long</t>
  </si>
  <si>
    <t>Đông Hoàng Thái Nhất</t>
  </si>
  <si>
    <t>Mạnh Bà</t>
  </si>
  <si>
    <t>Thần Nông</t>
  </si>
  <si>
    <t>Cộng Công</t>
  </si>
  <si>
    <t>Chúc Dung</t>
  </si>
  <si>
    <t>Bàn Cổ</t>
  </si>
  <si>
    <t>Xi Vưu</t>
  </si>
  <si>
    <t>Côn</t>
  </si>
  <si>
    <t>Diêm Quân</t>
  </si>
  <si>
    <t>Nữ Oa</t>
  </si>
  <si>
    <t>Hoàng Tuyền</t>
  </si>
  <si>
    <t>Ma · Ngộ Không</t>
  </si>
  <si>
    <t>Cửu Thiên Huyền Nữ</t>
  </si>
  <si>
    <t>Hình Thiên</t>
  </si>
  <si>
    <t>Ngọc Đế</t>
  </si>
  <si>
    <t>Chúc Long</t>
  </si>
  <si>
    <t>Dạ Mị</t>
  </si>
  <si>
    <t>Khổng Tuyên</t>
  </si>
  <si>
    <t>Ô Liệt</t>
  </si>
  <si>
    <t>Minh Hà</t>
  </si>
  <si>
    <t>Dương Tiển</t>
  </si>
  <si>
    <t>Mụ Tổ</t>
  </si>
  <si>
    <t>Tam Thánh Mẫu</t>
  </si>
  <si>
    <t>Vô Thiên</t>
  </si>
  <si>
    <t>Tây Vương Mẫu</t>
  </si>
  <si>
    <t>Mạn Châu</t>
  </si>
  <si>
    <t>Phách Long</t>
  </si>
  <si>
    <t>Tu La</t>
  </si>
  <si>
    <t>Linh Môi Ma Nữ</t>
  </si>
  <si>
    <t>Ảnh</t>
  </si>
  <si>
    <t>Viêm</t>
  </si>
  <si>
    <t>Thổ Địa</t>
  </si>
  <si>
    <t>Thủy Nguyên Tố</t>
  </si>
  <si>
    <t>Lỵ Lỵ Ti</t>
  </si>
  <si>
    <t>Thụ Tinh Linh</t>
  </si>
  <si>
    <t>Địa Ngục Khuyển</t>
  </si>
  <si>
    <t>Thú Tộc Bộ Binh</t>
  </si>
  <si>
    <t>Tử Linh Vu Sư</t>
  </si>
  <si>
    <t>Tinh Linh Xạ Thủ</t>
  </si>
  <si>
    <t>Địa Ngục Hỏa</t>
  </si>
  <si>
    <t>Mỹ Địch Á</t>
  </si>
  <si>
    <t>Thụ Giới Thủ Vệ</t>
  </si>
  <si>
    <t>Mạt Nhật Thủ Vệ</t>
  </si>
  <si>
    <t>Phong Bạo Liệp Thủ</t>
  </si>
  <si>
    <t>Cự Ma Vu Y</t>
  </si>
  <si>
    <t>Quang Chi Tô Nhĩ</t>
  </si>
  <si>
    <t>Nguyệt Chi Kỵ Sĩ</t>
  </si>
  <si>
    <t>Thánh Chùy Đề Nhĩ</t>
  </si>
  <si>
    <t>Cam Đạo Phu</t>
  </si>
  <si>
    <t>Độc Chú Nữ Vu</t>
  </si>
  <si>
    <t>Hắc Tinh Linh Bí Ngôn</t>
  </si>
  <si>
    <t>Na Già Thị Nữ</t>
  </si>
  <si>
    <t>A Già Môn Nông</t>
  </si>
  <si>
    <t>Khâu Bỉ Đặc</t>
  </si>
  <si>
    <t>Á Sắt</t>
  </si>
  <si>
    <t>A Khắc Lưu Tư</t>
  </si>
  <si>
    <t>Nguyệt Chi Tế Tự</t>
  </si>
  <si>
    <t>Khải Sắt Lâm</t>
  </si>
  <si>
    <t>Tinh Linh Vương Tử</t>
  </si>
  <si>
    <t>Ngâm Du Thi Nhân</t>
  </si>
  <si>
    <t>Vong Linh Thu Cát Giả</t>
  </si>
  <si>
    <t>Hỏa Thương Ngải Khắc</t>
  </si>
  <si>
    <t>Mỹ Đỗ Toa</t>
  </si>
  <si>
    <t>Áo Đinh</t>
  </si>
  <si>
    <t>Mị Ma Nữ Vương</t>
  </si>
  <si>
    <t>Tư Phân Khắc Tư</t>
  </si>
  <si>
    <t>Nhã Điển Na</t>
  </si>
  <si>
    <t>Phan</t>
  </si>
  <si>
    <t>Khải Lan Thôi Nhĩ</t>
  </si>
  <si>
    <t>Phân Ni Nhĩ</t>
  </si>
  <si>
    <t>Nguyên Sang Anh Hùng</t>
  </si>
  <si>
    <t>Phi Ni Khắc Tư</t>
  </si>
  <si>
    <t>Sí Thiên Sử</t>
  </si>
  <si>
    <t>Lạc Cơ</t>
  </si>
  <si>
    <t>Kiếm Hào Tạp Tán</t>
  </si>
  <si>
    <t>Ngõa Nhĩ Cơ Lý</t>
  </si>
  <si>
    <t>Viêm Ma Chi Vương</t>
  </si>
  <si>
    <t>Hấp Huyết Bá Tước</t>
  </si>
  <si>
    <t>A Ba La</t>
  </si>
  <si>
    <t>Phổ La Mễ Tu Tư</t>
  </si>
  <si>
    <t>A Thụy Tư</t>
  </si>
  <si>
    <t>Băng Sương Cự Long</t>
  </si>
  <si>
    <t>Phái Tây Tư</t>
  </si>
  <si>
    <t>Thiếu Niên Mai Lâm</t>
  </si>
  <si>
    <t>Hải Ninh Phù</t>
  </si>
  <si>
    <t>Ba Tắc Đông</t>
  </si>
  <si>
    <t>Na Già Công Chủ</t>
  </si>
  <si>
    <t>Thái Thản</t>
  </si>
  <si>
    <t>Lợi Duy Thản</t>
  </si>
  <si>
    <t>A Nỗ Bỉ Tư</t>
  </si>
  <si>
    <t>Phan Đa Lạp</t>
  </si>
  <si>
    <t>Lạp Phỉ Nhĩ</t>
  </si>
  <si>
    <t>Hách Lạp</t>
  </si>
  <si>
    <t>Trụ Tư</t>
  </si>
  <si>
    <t>Cái Á</t>
  </si>
  <si>
    <t>Á Ba Đốn</t>
  </si>
  <si>
    <t>Thần Linh Đại Tế Ti</t>
  </si>
  <si>
    <t>Xà Nữ Mặc Toa</t>
  </si>
  <si>
    <t>Ngải Lôi Lỵ Á</t>
  </si>
  <si>
    <t>Hải Lạp</t>
  </si>
  <si>
    <t>Cáp Địch Tư</t>
  </si>
  <si>
    <t>Duy Nạp Tư</t>
  </si>
  <si>
    <t>Hắc Ám Chi Chủ</t>
  </si>
  <si>
    <t>Y Tây Tư</t>
  </si>
  <si>
    <t>Hắc Long</t>
  </si>
  <si>
    <t>A Mông</t>
  </si>
  <si>
    <t>0</t>
  </si>
  <si>
    <t>Y Sư</t>
  </si>
  <si>
    <t>Kim Ngô Vệ</t>
  </si>
  <si>
    <t>Hổ Báo Kỵ</t>
  </si>
  <si>
    <t>Yến Xích Hiệp</t>
  </si>
  <si>
    <t>Kim Trá</t>
  </si>
  <si>
    <t>Văn Trọng</t>
  </si>
  <si>
    <t>Thân Không Báo</t>
  </si>
  <si>
    <t>Dạ Du Thần</t>
  </si>
  <si>
    <t>Kim Đồng</t>
  </si>
  <si>
    <t>Thanh Tiêu</t>
  </si>
  <si>
    <t>Long Cát Công Chủ</t>
  </si>
  <si>
    <t>Nguyệt Lão</t>
  </si>
  <si>
    <t>Hà Bá</t>
  </si>
  <si>
    <t>Nam Cực Tiên Ông</t>
  </si>
  <si>
    <t>Tài Thần</t>
  </si>
  <si>
    <t>Thái Ất Chân Nhân</t>
  </si>
  <si>
    <t>Thái Thượng Lão Quân</t>
  </si>
  <si>
    <t>U Linh</t>
  </si>
  <si>
    <t>Sơn Quỷ</t>
  </si>
  <si>
    <t>Bá Ba Nhĩ Bôn</t>
  </si>
  <si>
    <t>Bôn Ba Nhi Bá</t>
  </si>
  <si>
    <t>Ngân Giác Đại Vương</t>
  </si>
  <si>
    <t>Dạ Xoa</t>
  </si>
  <si>
    <t>Lục Nhĩ</t>
  </si>
  <si>
    <t>Dao Cơ</t>
  </si>
  <si>
    <t>Nữ 妭</t>
  </si>
  <si>
    <t>Lôi Trạch</t>
  </si>
  <si>
    <t>Tham Lang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</si>
</sst>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宋体"/>
      <charset val="134"/>
    </font>
    <font>
      <sz val="9"/>
      <name val="宋体"/>
      <charset val="134"/>
    </font>
  </fonts>
  <fills count="25">
    <fill>
      <patternFill patternType="none"/>
    </fill>
    <fill>
      <patternFill patternType="gray125"/>
    </fill>
    <fill>
      <patternFill patternType="solid">
        <fgColor theme="9" tint="0.79967650379955446"/>
        <bgColor indexed="64"/>
      </patternFill>
    </fill>
    <fill>
      <patternFill patternType="solid">
        <fgColor theme="4" tint="0.7996765037995544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73143711661124"/>
        <bgColor indexed="64"/>
      </patternFill>
    </fill>
    <fill>
      <patternFill patternType="solid">
        <fgColor theme="8" tint="0.3996704000976592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7375408185064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3997314371166112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8" fillId="22" borderId="1" applyNumberFormat="0" applyAlignment="0" applyProtection="0">
      <alignment vertical="center"/>
    </xf>
  </cellStyleXfs>
  <cellXfs count="10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49" fontId="0" fillId="0" borderId="0" xfId="0" applyNumberFormat="1"/>
    <xf numFmtId="49" fontId="0" fillId="0" borderId="0" xfId="0" applyNumberFormat="1" applyFont="1"/>
    <xf numFmtId="0" fontId="3" fillId="0" borderId="0" xfId="0" applyFont="1" applyFill="1"/>
    <xf numFmtId="0" fontId="3" fillId="7" borderId="0" xfId="0" applyFont="1" applyFill="1"/>
    <xf numFmtId="0" fontId="3" fillId="8" borderId="0" xfId="0" applyFont="1" applyFill="1"/>
    <xf numFmtId="0" fontId="0" fillId="8" borderId="0" xfId="0" applyFill="1"/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4" fillId="0" borderId="0" xfId="0" applyNumberFormat="1" applyFon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5" fillId="0" borderId="0" xfId="0" applyFont="1" applyFill="1"/>
    <xf numFmtId="0" fontId="0" fillId="0" borderId="0" xfId="0" applyFill="1" applyAlignment="1">
      <alignment horizontal="left" vertical="center"/>
    </xf>
    <xf numFmtId="0" fontId="0" fillId="9" borderId="0" xfId="0" applyFill="1" applyAlignment="1">
      <alignment horizontal="center" vertical="center"/>
    </xf>
    <xf numFmtId="0" fontId="0" fillId="9" borderId="0" xfId="0" applyFont="1" applyFill="1" applyAlignment="1"/>
    <xf numFmtId="0" fontId="3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0" borderId="0" xfId="0" applyFont="1" applyFill="1" applyAlignment="1"/>
    <xf numFmtId="0" fontId="3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3" fillId="11" borderId="0" xfId="0" applyNumberFormat="1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4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2" borderId="0" xfId="0" applyNumberFormat="1" applyFont="1" applyFill="1" applyAlignment="1">
      <alignment horizontal="center" vertical="center"/>
    </xf>
    <xf numFmtId="0" fontId="0" fillId="13" borderId="0" xfId="0" applyNumberFormat="1" applyFill="1" applyAlignment="1">
      <alignment horizontal="center" vertical="center"/>
    </xf>
    <xf numFmtId="0" fontId="7" fillId="0" borderId="0" xfId="0" applyFont="1" applyFill="1"/>
    <xf numFmtId="0" fontId="3" fillId="7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11" borderId="0" xfId="0" applyFill="1"/>
    <xf numFmtId="49" fontId="7" fillId="13" borderId="0" xfId="0" applyNumberFormat="1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9" borderId="0" xfId="0" applyFill="1" applyAlignment="1"/>
    <xf numFmtId="0" fontId="0" fillId="15" borderId="0" xfId="0" applyFill="1" applyAlignment="1">
      <alignment horizontal="center" vertical="center"/>
    </xf>
    <xf numFmtId="0" fontId="0" fillId="4" borderId="0" xfId="0" applyFill="1" applyAlignment="1"/>
    <xf numFmtId="0" fontId="0" fillId="16" borderId="0" xfId="0" applyFill="1" applyAlignment="1">
      <alignment horizontal="center" vertical="center"/>
    </xf>
    <xf numFmtId="0" fontId="0" fillId="16" borderId="0" xfId="0" applyFill="1" applyAlignment="1"/>
    <xf numFmtId="0" fontId="0" fillId="0" borderId="0" xfId="0" applyFill="1" applyAlignment="1"/>
    <xf numFmtId="0" fontId="3" fillId="7" borderId="0" xfId="0" applyNumberFormat="1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/>
    <xf numFmtId="0" fontId="0" fillId="11" borderId="0" xfId="0" applyFill="1" applyAlignment="1"/>
    <xf numFmtId="0" fontId="0" fillId="17" borderId="0" xfId="0" applyFill="1" applyAlignment="1">
      <alignment horizontal="center" vertical="center"/>
    </xf>
    <xf numFmtId="0" fontId="0" fillId="17" borderId="0" xfId="0" applyFill="1" applyAlignment="1"/>
    <xf numFmtId="0" fontId="4" fillId="17" borderId="0" xfId="0" applyNumberFormat="1" applyFont="1" applyFill="1" applyAlignment="1">
      <alignment horizontal="center" vertical="center"/>
    </xf>
    <xf numFmtId="0" fontId="0" fillId="17" borderId="0" xfId="0" applyNumberForma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17" borderId="0" xfId="0" applyFont="1" applyFill="1" applyAlignment="1"/>
    <xf numFmtId="0" fontId="0" fillId="17" borderId="0" xfId="0" applyFill="1"/>
    <xf numFmtId="0" fontId="0" fillId="14" borderId="0" xfId="0" applyFill="1"/>
    <xf numFmtId="0" fontId="4" fillId="14" borderId="0" xfId="0" applyNumberFormat="1" applyFont="1" applyFill="1" applyAlignment="1">
      <alignment horizontal="center" vertical="center"/>
    </xf>
    <xf numFmtId="0" fontId="0" fillId="14" borderId="0" xfId="0" applyNumberFormat="1" applyFill="1" applyAlignment="1">
      <alignment horizontal="center" vertical="center"/>
    </xf>
    <xf numFmtId="0" fontId="0" fillId="14" borderId="0" xfId="0" applyFill="1" applyAlignment="1">
      <alignment horizontal="center"/>
    </xf>
    <xf numFmtId="0" fontId="0" fillId="14" borderId="0" xfId="0" applyFont="1" applyFill="1"/>
    <xf numFmtId="0" fontId="7" fillId="14" borderId="0" xfId="0" applyFont="1" applyFill="1"/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4" fillId="18" borderId="0" xfId="0" applyNumberFormat="1" applyFont="1" applyFill="1" applyAlignment="1">
      <alignment horizontal="center" vertical="center"/>
    </xf>
    <xf numFmtId="0" fontId="0" fillId="18" borderId="0" xfId="0" applyNumberFormat="1" applyFill="1" applyAlignment="1">
      <alignment horizontal="center" vertical="center"/>
    </xf>
    <xf numFmtId="0" fontId="0" fillId="18" borderId="0" xfId="0" applyFill="1" applyAlignment="1">
      <alignment horizontal="center"/>
    </xf>
    <xf numFmtId="0" fontId="0" fillId="18" borderId="0" xfId="0" applyFont="1" applyFill="1"/>
    <xf numFmtId="0" fontId="0" fillId="18" borderId="0" xfId="0" applyFont="1" applyFill="1" applyAlignment="1">
      <alignment horizontal="center" vertical="center"/>
    </xf>
    <xf numFmtId="0" fontId="7" fillId="18" borderId="0" xfId="0" applyFont="1" applyFill="1"/>
    <xf numFmtId="0" fontId="0" fillId="8" borderId="0" xfId="0" applyFill="1" applyAlignment="1">
      <alignment horizontal="center" vertical="center"/>
    </xf>
    <xf numFmtId="0" fontId="7" fillId="8" borderId="0" xfId="0" applyFont="1" applyFill="1"/>
    <xf numFmtId="0" fontId="0" fillId="19" borderId="0" xfId="0" applyFill="1" applyAlignment="1">
      <alignment horizontal="center" vertical="center"/>
    </xf>
    <xf numFmtId="0" fontId="0" fillId="19" borderId="0" xfId="0" applyFill="1"/>
    <xf numFmtId="0" fontId="4" fillId="19" borderId="0" xfId="0" applyNumberFormat="1" applyFont="1" applyFill="1" applyAlignment="1">
      <alignment horizontal="center" vertical="center"/>
    </xf>
    <xf numFmtId="0" fontId="0" fillId="19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/>
    </xf>
    <xf numFmtId="0" fontId="0" fillId="19" borderId="0" xfId="0" applyFont="1" applyFill="1"/>
    <xf numFmtId="0" fontId="0" fillId="19" borderId="0" xfId="0" applyFont="1" applyFill="1" applyAlignment="1">
      <alignment horizontal="center" vertical="center"/>
    </xf>
    <xf numFmtId="0" fontId="7" fillId="19" borderId="0" xfId="0" applyFont="1" applyFill="1"/>
    <xf numFmtId="0" fontId="7" fillId="19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0" fillId="20" borderId="0" xfId="0" applyFill="1" applyBorder="1" applyAlignment="1">
      <alignment horizontal="center" vertical="center"/>
    </xf>
    <xf numFmtId="0" fontId="0" fillId="20" borderId="0" xfId="0" applyFill="1" applyBorder="1" applyAlignment="1">
      <alignment horizontal="left" vertical="center"/>
    </xf>
    <xf numFmtId="0" fontId="0" fillId="20" borderId="0" xfId="0" applyFont="1" applyFill="1" applyBorder="1" applyAlignment="1">
      <alignment horizontal="left" vertical="center"/>
    </xf>
    <xf numFmtId="0" fontId="0" fillId="20" borderId="0" xfId="0" applyNumberFormat="1" applyFill="1" applyBorder="1" applyAlignment="1">
      <alignment horizontal="left" vertical="center"/>
    </xf>
    <xf numFmtId="0" fontId="0" fillId="21" borderId="0" xfId="0" applyFill="1" applyAlignment="1">
      <alignment horizontal="center" vertical="center"/>
    </xf>
    <xf numFmtId="0" fontId="0" fillId="21" borderId="0" xfId="0" applyFill="1" applyBorder="1" applyAlignment="1">
      <alignment horizontal="center" vertical="center"/>
    </xf>
    <xf numFmtId="0" fontId="0" fillId="21" borderId="0" xfId="0" applyNumberFormat="1" applyFill="1" applyBorder="1" applyAlignment="1">
      <alignment horizontal="left" vertical="center"/>
    </xf>
    <xf numFmtId="0" fontId="0" fillId="21" borderId="0" xfId="0" applyFill="1"/>
    <xf numFmtId="0" fontId="0" fillId="21" borderId="0" xfId="0" applyNumberFormat="1" applyFont="1" applyFill="1" applyBorder="1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8" fillId="22" borderId="1" xfId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49" fontId="8" fillId="22" borderId="1" xfId="1" applyNumberForma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2">
    <cellStyle name="Calculation" xfId="1" builtinId="22"/>
    <cellStyle name="Normal" xfId="0" builtinId="0"/>
  </cellStyles>
  <dxfs count="2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CC99FF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161925</xdr:colOff>
      <xdr:row>171</xdr:row>
      <xdr:rowOff>57150</xdr:rowOff>
    </xdr:from>
    <xdr:to>
      <xdr:col>15</xdr:col>
      <xdr:colOff>238125</xdr:colOff>
      <xdr:row>204</xdr:row>
      <xdr:rowOff>104775</xdr:rowOff>
    </xdr:to>
    <xdr:pic>
      <xdr:nvPicPr>
        <xdr:cNvPr id="2" name="图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76925" y="32632650"/>
          <a:ext cx="3676650" cy="63341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476250</xdr:colOff>
      <xdr:row>0</xdr:row>
      <xdr:rowOff>19050</xdr:rowOff>
    </xdr:from>
    <xdr:to>
      <xdr:col>16</xdr:col>
      <xdr:colOff>342317</xdr:colOff>
      <xdr:row>9</xdr:row>
      <xdr:rowOff>152180</xdr:rowOff>
    </xdr:to>
    <xdr:pic>
      <xdr:nvPicPr>
        <xdr:cNvPr id="3" name="图片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9050"/>
          <a:ext cx="4666615" cy="17614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114300</xdr:colOff>
      <xdr:row>13</xdr:row>
      <xdr:rowOff>47625</xdr:rowOff>
    </xdr:from>
    <xdr:to>
      <xdr:col>17</xdr:col>
      <xdr:colOff>27986</xdr:colOff>
      <xdr:row>21</xdr:row>
      <xdr:rowOff>104587</xdr:rowOff>
    </xdr:to>
    <xdr:pic>
      <xdr:nvPicPr>
        <xdr:cNvPr id="4" name="图片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77425" y="2400300"/>
          <a:ext cx="4714240" cy="150431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581025</xdr:colOff>
      <xdr:row>1</xdr:row>
      <xdr:rowOff>123825</xdr:rowOff>
    </xdr:from>
    <xdr:to>
      <xdr:col>16</xdr:col>
      <xdr:colOff>504234</xdr:colOff>
      <xdr:row>9</xdr:row>
      <xdr:rowOff>28575</xdr:rowOff>
    </xdr:to>
    <xdr:pic>
      <xdr:nvPicPr>
        <xdr:cNvPr id="4" name="图片 3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58350" y="304800"/>
          <a:ext cx="4723765" cy="13525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447675</xdr:colOff>
      <xdr:row>1</xdr:row>
      <xdr:rowOff>0</xdr:rowOff>
    </xdr:from>
    <xdr:to>
      <xdr:col>16</xdr:col>
      <xdr:colOff>399456</xdr:colOff>
      <xdr:row>6</xdr:row>
      <xdr:rowOff>18935</xdr:rowOff>
    </xdr:to>
    <xdr:pic>
      <xdr:nvPicPr>
        <xdr:cNvPr id="5" name="图片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00" y="180975"/>
          <a:ext cx="4752340" cy="9232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3521;&#3859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英雄基础"/>
      <sheetName val="英雄升级"/>
      <sheetName val="英雄进阶"/>
      <sheetName val="英雄高阶升星"/>
      <sheetName val="英雄技能"/>
      <sheetName val="英雄模型参数"/>
      <sheetName val="英雄天赋"/>
      <sheetName val="Sheet1符文"/>
      <sheetName val="Sheet1"/>
      <sheetName val="Sheet英雄天赋"/>
      <sheetName val="Sheet特殊目标选择方式"/>
      <sheetName val="Sheet英雄基础"/>
      <sheetName val="Sheet英雄技能"/>
      <sheetName val="Sheet等级上限计算"/>
      <sheetName val="Sheet初始属性"/>
      <sheetName val="Sheet属性等级成长"/>
      <sheetName val="Sheet上阵位置优先级"/>
      <sheetName val="Sheet位移结算"/>
    </sheetNames>
    <sheetDataSet>
      <sheetData sheetId="0"/>
      <sheetData sheetId="1" refreshError="1"/>
      <sheetData sheetId="2" refreshError="1"/>
      <sheetData sheetId="3" refreshError="1"/>
      <sheetData sheetId="4">
        <row r="1">
          <cell r="P1" t="str">
            <v>*归属角色</v>
          </cell>
          <cell r="Q1" t="str">
            <v>*技能名称</v>
          </cell>
        </row>
        <row r="2">
          <cell r="P2">
            <v>0</v>
          </cell>
          <cell r="Q2" t="str">
            <v>TM</v>
          </cell>
        </row>
        <row r="3">
          <cell r="P3">
            <v>0</v>
          </cell>
          <cell r="Q3" t="str">
            <v>TM</v>
          </cell>
        </row>
        <row r="4">
          <cell r="P4">
            <v>0</v>
          </cell>
          <cell r="Q4" t="str">
            <v>Toàn Thể Bạo Kích tăng 10%</v>
          </cell>
        </row>
        <row r="5">
          <cell r="P5">
            <v>0</v>
          </cell>
          <cell r="Q5" t="str">
            <v>Toàn Thể Phòng Ngự tăng 10%</v>
          </cell>
        </row>
        <row r="6">
          <cell r="P6">
            <v>0</v>
          </cell>
          <cell r="Q6" t="str">
            <v>Toàn Thể Trị Liệu  tăng 10%</v>
          </cell>
        </row>
        <row r="7">
          <cell r="P7">
            <v>0</v>
          </cell>
          <cell r="Q7" t="str">
            <v>Toàn Thể Sát Thương Bạo tăng 10%</v>
          </cell>
        </row>
        <row r="8">
          <cell r="P8">
            <v>0</v>
          </cell>
          <cell r="Q8" t="str">
            <v>Toàn Thể Tốc Độ tăng 10%</v>
          </cell>
        </row>
        <row r="9">
          <cell r="P9">
            <v>0</v>
          </cell>
          <cell r="Q9" t="str">
            <v>Toàn Thể Công Kích tăng 10%</v>
          </cell>
        </row>
        <row r="10">
          <cell r="P10">
            <v>0</v>
          </cell>
          <cell r="Q10" t="str">
            <v>Toàn Thể Kháng tăng 10%</v>
          </cell>
        </row>
        <row r="11">
          <cell r="P11">
            <v>0</v>
          </cell>
          <cell r="Q11" t="str">
            <v>Hồi Phục Sinh Mệnh 10%</v>
          </cell>
        </row>
        <row r="12">
          <cell r="P12">
            <v>0</v>
          </cell>
          <cell r="Q12" t="str">
            <v>Toàn Thể Công Kích tăng 30%</v>
          </cell>
        </row>
        <row r="13">
          <cell r="P13" t="str">
            <v>Phương Thuật Sĩ</v>
          </cell>
          <cell r="Q13" t="str">
            <v>Phổ Công</v>
          </cell>
        </row>
        <row r="14">
          <cell r="P14" t="str">
            <v>Phương Thuật Sĩ</v>
          </cell>
          <cell r="Q14" t="str">
            <v>Tiên Nhân Phủ Đỉnh</v>
          </cell>
        </row>
        <row r="15">
          <cell r="P15" t="str">
            <v>Y Sư</v>
          </cell>
          <cell r="Q15" t="str">
            <v>Y Sư</v>
          </cell>
        </row>
        <row r="16">
          <cell r="P16" t="str">
            <v>Y Sư</v>
          </cell>
          <cell r="Q16" t="str">
            <v>Y Sư</v>
          </cell>
        </row>
        <row r="17">
          <cell r="P17" t="str">
            <v>Y Sư</v>
          </cell>
          <cell r="Q17" t="str">
            <v>Y Sư</v>
          </cell>
        </row>
        <row r="18">
          <cell r="P18" t="str">
            <v>Trường Cung Thủ</v>
          </cell>
          <cell r="Q18" t="str">
            <v>Phổ Công</v>
          </cell>
        </row>
        <row r="19">
          <cell r="P19" t="str">
            <v>Trường Cung Thủ</v>
          </cell>
          <cell r="Q19" t="str">
            <v>Băng Sương Tiễn</v>
          </cell>
        </row>
        <row r="20">
          <cell r="P20" t="str">
            <v>Trường Cung Thủ</v>
          </cell>
          <cell r="Q20" t="str">
            <v>Tinh Trạm Xạ Thuật</v>
          </cell>
        </row>
        <row r="21">
          <cell r="P21" t="str">
            <v>Kim Ngô Vệ</v>
          </cell>
          <cell r="Q21" t="str">
            <v>Kim Ngô Vệ</v>
          </cell>
        </row>
        <row r="22">
          <cell r="P22" t="str">
            <v>Kim Ngô Vệ</v>
          </cell>
          <cell r="Q22" t="str">
            <v>Kim Ngô Vệ</v>
          </cell>
        </row>
        <row r="23">
          <cell r="P23" t="str">
            <v>Kim Ngô Vệ</v>
          </cell>
          <cell r="Q23" t="str">
            <v>Kim Ngô Vệ</v>
          </cell>
        </row>
        <row r="24">
          <cell r="P24" t="str">
            <v>Hổ Báo Kỵ</v>
          </cell>
          <cell r="Q24" t="str">
            <v>Điện Tiền Cấm Vệ</v>
          </cell>
        </row>
        <row r="25">
          <cell r="P25" t="str">
            <v>Hổ Báo Kỵ</v>
          </cell>
          <cell r="Q25" t="str">
            <v>Điện Tiền Cấm Vệ</v>
          </cell>
        </row>
        <row r="26">
          <cell r="P26" t="str">
            <v>Hổ Báo Kỵ</v>
          </cell>
          <cell r="Q26" t="str">
            <v>Điện Tiền Cấm Vệ</v>
          </cell>
        </row>
        <row r="27">
          <cell r="P27" t="str">
            <v>Hổ Báo Kỵ</v>
          </cell>
          <cell r="Q27" t="str">
            <v>Điện Tiền Cấm Vệ</v>
          </cell>
        </row>
        <row r="28">
          <cell r="P28" t="str">
            <v>Điện Tiền Cấm Vệ</v>
          </cell>
          <cell r="Q28" t="str">
            <v>Phổ Công</v>
          </cell>
        </row>
        <row r="29">
          <cell r="P29" t="str">
            <v>Điện Tiền Cấm Vệ</v>
          </cell>
          <cell r="Q29" t="str">
            <v>Phách Kiếm Thức</v>
          </cell>
        </row>
        <row r="30">
          <cell r="P30" t="str">
            <v>Điện Tiền Cấm Vệ</v>
          </cell>
          <cell r="Q30" t="str">
            <v>Thiết Bố Sam</v>
          </cell>
        </row>
        <row r="31">
          <cell r="P31" t="str">
            <v>Yến Xích Hiệp</v>
          </cell>
          <cell r="Q31" t="str">
            <v>Yến Xích Hà</v>
          </cell>
        </row>
        <row r="32">
          <cell r="P32" t="str">
            <v>Yến Xích Hiệp</v>
          </cell>
          <cell r="Q32" t="str">
            <v>Yến Xích Hà</v>
          </cell>
        </row>
        <row r="33">
          <cell r="P33" t="str">
            <v>Yến Xích Hiệp</v>
          </cell>
          <cell r="Q33" t="str">
            <v>Yến Xích Hà</v>
          </cell>
        </row>
        <row r="34">
          <cell r="P34" t="str">
            <v>Mộc Trá</v>
          </cell>
          <cell r="Q34" t="str">
            <v>Phổ Công</v>
          </cell>
        </row>
        <row r="35">
          <cell r="P35" t="str">
            <v>Mộc Trá</v>
          </cell>
          <cell r="Q35" t="str">
            <v>Lê Hoa Thứ</v>
          </cell>
        </row>
        <row r="36">
          <cell r="P36" t="str">
            <v>Mộc Trá</v>
          </cell>
          <cell r="Q36" t="str">
            <v>Phấn Chiến</v>
          </cell>
        </row>
        <row r="37">
          <cell r="P37" t="str">
            <v>Hoàng Phi Hổ</v>
          </cell>
          <cell r="Q37" t="str">
            <v>Phổ Công</v>
          </cell>
        </row>
        <row r="38">
          <cell r="P38" t="str">
            <v>Hoàng Phi Hổ</v>
          </cell>
          <cell r="Q38" t="str">
            <v>Huyễn Ảnh Trảo</v>
          </cell>
        </row>
        <row r="39">
          <cell r="P39" t="str">
            <v>Hoàng Phi Hổ</v>
          </cell>
          <cell r="Q39" t="str">
            <v>Huyễn Ảnh Trảo</v>
          </cell>
        </row>
        <row r="40">
          <cell r="P40" t="str">
            <v>Hoàng Phi Hổ</v>
          </cell>
          <cell r="Q40" t="str">
            <v>Huyễn Ảnh Trảo</v>
          </cell>
        </row>
        <row r="41">
          <cell r="P41" t="str">
            <v>Hoàng Phi Hổ</v>
          </cell>
          <cell r="Q41" t="str">
            <v>Huyễn Ảnh Trảo</v>
          </cell>
        </row>
        <row r="42">
          <cell r="P42" t="str">
            <v>Hoàng Phi Hổ</v>
          </cell>
          <cell r="Q42" t="str">
            <v>Trọng Nghĩa</v>
          </cell>
        </row>
        <row r="43">
          <cell r="P43" t="str">
            <v>Hoàng Phi Hổ</v>
          </cell>
          <cell r="Q43" t="str">
            <v>Viên Hộ</v>
          </cell>
        </row>
        <row r="44">
          <cell r="P44" t="str">
            <v>Hoàng Phi Hổ</v>
          </cell>
          <cell r="Q44" t="str">
            <v>Viên Hộ</v>
          </cell>
        </row>
        <row r="45">
          <cell r="P45" t="str">
            <v>Hoàng Phi Hổ</v>
          </cell>
          <cell r="Q45" t="str">
            <v>Viên Hộ</v>
          </cell>
        </row>
        <row r="46">
          <cell r="P46" t="str">
            <v>Kim Trá</v>
          </cell>
          <cell r="Q46" t="str">
            <v>Kim Trá</v>
          </cell>
        </row>
        <row r="47">
          <cell r="P47" t="str">
            <v>Kim Trá</v>
          </cell>
          <cell r="Q47" t="str">
            <v>Kim Trá</v>
          </cell>
        </row>
        <row r="48">
          <cell r="P48" t="str">
            <v>Kim Trá</v>
          </cell>
          <cell r="Q48" t="str">
            <v>Kim Trá</v>
          </cell>
        </row>
        <row r="49">
          <cell r="P49" t="str">
            <v>Kim Trá</v>
          </cell>
          <cell r="Q49" t="str">
            <v>Kim Trá</v>
          </cell>
        </row>
        <row r="50">
          <cell r="P50" t="str">
            <v>Thải Thần</v>
          </cell>
          <cell r="Q50" t="str">
            <v>Phổ Công</v>
          </cell>
        </row>
        <row r="51">
          <cell r="P51" t="str">
            <v>Thải Thần</v>
          </cell>
          <cell r="Q51" t="str">
            <v>Tương Trợ</v>
          </cell>
        </row>
        <row r="52">
          <cell r="P52" t="str">
            <v>Thải Thần</v>
          </cell>
          <cell r="Q52" t="str">
            <v>Khảng Nghĩa</v>
          </cell>
        </row>
        <row r="53">
          <cell r="P53" t="str">
            <v>Thải Thần</v>
          </cell>
          <cell r="Q53" t="str">
            <v>Sấm Vĩ Thiên Địa</v>
          </cell>
        </row>
        <row r="54">
          <cell r="P54" t="str">
            <v>Trụ Vương</v>
          </cell>
          <cell r="Q54" t="str">
            <v>Phổ Công</v>
          </cell>
        </row>
        <row r="55">
          <cell r="P55" t="str">
            <v>Trụ Vương</v>
          </cell>
          <cell r="Q55" t="str">
            <v>Bạo Ngược</v>
          </cell>
        </row>
        <row r="56">
          <cell r="P56" t="str">
            <v>Trụ Vương</v>
          </cell>
          <cell r="Q56" t="str">
            <v>Tửu Trì Nhục Lâm</v>
          </cell>
        </row>
        <row r="57">
          <cell r="P57" t="str">
            <v>Trụ Vương</v>
          </cell>
          <cell r="Q57" t="str">
            <v>Oan Hình</v>
          </cell>
        </row>
        <row r="58">
          <cell r="P58" t="str">
            <v>Trụ Vương</v>
          </cell>
          <cell r="Q58" t="str">
            <v>Oan Hình</v>
          </cell>
        </row>
        <row r="59">
          <cell r="P59" t="str">
            <v>Trụ Vương</v>
          </cell>
          <cell r="Q59" t="str">
            <v>Oan Hình</v>
          </cell>
        </row>
        <row r="60">
          <cell r="P60" t="str">
            <v>Thân Công Báo</v>
          </cell>
          <cell r="Q60" t="str">
            <v>Phổ Công</v>
          </cell>
        </row>
        <row r="61">
          <cell r="P61" t="str">
            <v>Thân Công Báo</v>
          </cell>
          <cell r="Q61" t="str">
            <v>Băng Tinh Toàn Phong</v>
          </cell>
        </row>
        <row r="62">
          <cell r="P62" t="str">
            <v>Thân Công Báo</v>
          </cell>
          <cell r="Q62" t="str">
            <v>Quán Đạo</v>
          </cell>
        </row>
        <row r="63">
          <cell r="P63" t="str">
            <v>Thân Công Báo</v>
          </cell>
          <cell r="Q63" t="str">
            <v>Băng Báo Đột Tập</v>
          </cell>
        </row>
        <row r="64">
          <cell r="P64" t="str">
            <v>Lý Tĩnh</v>
          </cell>
          <cell r="Q64" t="str">
            <v>Phổ Công</v>
          </cell>
        </row>
        <row r="65">
          <cell r="P65" t="str">
            <v>Lý Tĩnh</v>
          </cell>
          <cell r="Q65" t="str">
            <v>Trấn Yêu Tháp</v>
          </cell>
        </row>
        <row r="66">
          <cell r="P66" t="str">
            <v>Lý Tĩnh</v>
          </cell>
          <cell r="Q66" t="str">
            <v>Trấn Yêu Tháp</v>
          </cell>
        </row>
        <row r="67">
          <cell r="P67" t="str">
            <v>Lý Tĩnh</v>
          </cell>
          <cell r="Q67" t="str">
            <v>Trấn Yêu Tháp</v>
          </cell>
        </row>
        <row r="68">
          <cell r="P68" t="str">
            <v>Lý Tĩnh</v>
          </cell>
          <cell r="Q68" t="str">
            <v>Uy Hách</v>
          </cell>
        </row>
        <row r="69">
          <cell r="P69" t="str">
            <v>Lý Tĩnh</v>
          </cell>
          <cell r="Q69" t="str">
            <v>Uy Hách</v>
          </cell>
        </row>
        <row r="70">
          <cell r="P70" t="str">
            <v>Lý Tĩnh</v>
          </cell>
          <cell r="Q70" t="str">
            <v>Uy Hách</v>
          </cell>
        </row>
        <row r="71">
          <cell r="P71" t="str">
            <v>Lý Tĩnh</v>
          </cell>
          <cell r="Q71" t="str">
            <v>Cực · Uy Hách</v>
          </cell>
        </row>
        <row r="72">
          <cell r="P72" t="str">
            <v>Lý Tĩnh</v>
          </cell>
          <cell r="Q72" t="str">
            <v>Cực · Uy Hách</v>
          </cell>
        </row>
        <row r="73">
          <cell r="P73" t="str">
            <v>Lý Tĩnh</v>
          </cell>
          <cell r="Q73" t="str">
            <v>Cực · Uy Hách</v>
          </cell>
        </row>
        <row r="74">
          <cell r="P74" t="str">
            <v>Lý Tĩnh</v>
          </cell>
          <cell r="Q74" t="str">
            <v>Chấn Địa Quyết</v>
          </cell>
        </row>
        <row r="75">
          <cell r="P75" t="str">
            <v>Lý Tĩnh</v>
          </cell>
          <cell r="Q75" t="str">
            <v>Chấn Địa Quyết</v>
          </cell>
        </row>
        <row r="76">
          <cell r="P76" t="str">
            <v>Lý Tĩnh</v>
          </cell>
          <cell r="Q76" t="str">
            <v>Chấn Địa Quyết</v>
          </cell>
        </row>
        <row r="77">
          <cell r="P77" t="str">
            <v>Lý Tĩnh</v>
          </cell>
          <cell r="Q77" t="str">
            <v>Chấn Địa Quyết</v>
          </cell>
        </row>
        <row r="78">
          <cell r="P78" t="str">
            <v>Lý Tĩnh</v>
          </cell>
          <cell r="Q78" t="str">
            <v>Chấn Địa Quyết</v>
          </cell>
        </row>
        <row r="79">
          <cell r="P79" t="str">
            <v>Lý Tĩnh</v>
          </cell>
          <cell r="Q79" t="str">
            <v>Chấn Địa Quyết</v>
          </cell>
        </row>
        <row r="80">
          <cell r="P80" t="str">
            <v>Lý Tĩnh</v>
          </cell>
          <cell r="Q80" t="str">
            <v>Chấn Địa Quyết</v>
          </cell>
        </row>
        <row r="81">
          <cell r="P81" t="str">
            <v>Lý Tĩnh</v>
          </cell>
          <cell r="Q81" t="str">
            <v>Chấn Địa Quyết</v>
          </cell>
        </row>
        <row r="82">
          <cell r="P82" t="str">
            <v>Lý Tĩnh</v>
          </cell>
          <cell r="Q82" t="str">
            <v>Chấn Địa Quyết</v>
          </cell>
        </row>
        <row r="83">
          <cell r="P83" t="str">
            <v>Lý Tĩnh</v>
          </cell>
          <cell r="Q83" t="str">
            <v>Độn Thủ</v>
          </cell>
        </row>
        <row r="84">
          <cell r="P84" t="str">
            <v>Lý Tĩnh</v>
          </cell>
          <cell r="Q84" t="str">
            <v>Độn Thủ</v>
          </cell>
        </row>
        <row r="85">
          <cell r="P85" t="str">
            <v>Lý Tĩnh</v>
          </cell>
          <cell r="Q85" t="str">
            <v>Độn Thủ</v>
          </cell>
        </row>
        <row r="86">
          <cell r="P86" t="str">
            <v>Lý Tĩnh</v>
          </cell>
          <cell r="Q86" t="str">
            <v>Phù Đồ Sắc Lệnh</v>
          </cell>
        </row>
        <row r="87">
          <cell r="P87" t="str">
            <v>Lý Tĩnh</v>
          </cell>
          <cell r="Q87" t="str">
            <v>Phù Đồ Sắc Lệnh</v>
          </cell>
        </row>
        <row r="88">
          <cell r="P88" t="str">
            <v>Lý Tĩnh</v>
          </cell>
          <cell r="Q88" t="str">
            <v>Phù Đồ Sắc Lệnh</v>
          </cell>
        </row>
        <row r="89">
          <cell r="P89" t="str">
            <v>Lý Tĩnh</v>
          </cell>
          <cell r="Q89" t="str">
            <v>Phù Đồ Sắc Lệnh</v>
          </cell>
        </row>
        <row r="90">
          <cell r="P90" t="str">
            <v>Lý Tĩnh</v>
          </cell>
          <cell r="Q90" t="str">
            <v>Phù Đồ Sắc Lệnh</v>
          </cell>
        </row>
        <row r="91">
          <cell r="P91" t="str">
            <v>Lý Tĩnh</v>
          </cell>
          <cell r="Q91" t="str">
            <v>Phù Đồ Sắc Lệnh</v>
          </cell>
        </row>
        <row r="92">
          <cell r="P92" t="str">
            <v>Lý Tĩnh</v>
          </cell>
          <cell r="Q92" t="str">
            <v>Chấn Địa Quyết</v>
          </cell>
        </row>
        <row r="93">
          <cell r="P93" t="str">
            <v>Lý Tĩnh</v>
          </cell>
          <cell r="Q93" t="str">
            <v>Chấn Địa Quyết</v>
          </cell>
        </row>
        <row r="94">
          <cell r="P94" t="str">
            <v>Lý Tĩnh</v>
          </cell>
          <cell r="Q94" t="str">
            <v>Chấn Địa Quyết</v>
          </cell>
        </row>
        <row r="95">
          <cell r="P95" t="str">
            <v>Lý Tĩnh</v>
          </cell>
          <cell r="Q95" t="str">
            <v>Chấn Địa Quyết</v>
          </cell>
        </row>
        <row r="96">
          <cell r="P96" t="str">
            <v>Lý Tĩnh</v>
          </cell>
          <cell r="Q96" t="str">
            <v>Chấn Địa Quyết</v>
          </cell>
        </row>
        <row r="97">
          <cell r="P97" t="str">
            <v>Lý Tĩnh</v>
          </cell>
          <cell r="Q97" t="str">
            <v>Chấn Địa Quyết</v>
          </cell>
        </row>
        <row r="98">
          <cell r="P98" t="str">
            <v>Lý Tĩnh</v>
          </cell>
          <cell r="Q98" t="str">
            <v>Chấn Địa Quyết</v>
          </cell>
        </row>
        <row r="99">
          <cell r="P99" t="str">
            <v>Lý Tĩnh</v>
          </cell>
          <cell r="Q99" t="str">
            <v>Chấn Địa Quyết</v>
          </cell>
        </row>
        <row r="100">
          <cell r="P100" t="str">
            <v>Lý Tĩnh</v>
          </cell>
          <cell r="Q100" t="str">
            <v>Chấn Địa Quyết</v>
          </cell>
        </row>
        <row r="101">
          <cell r="P101" t="str">
            <v>Lý Tĩnh</v>
          </cell>
          <cell r="Q101" t="str">
            <v>Cấp Cấp Như Luật Lệnh</v>
          </cell>
        </row>
        <row r="102">
          <cell r="P102" t="str">
            <v>Lý Tĩnh</v>
          </cell>
          <cell r="Q102" t="str">
            <v>Cấp Cấp Như Luật Lệnh</v>
          </cell>
        </row>
        <row r="103">
          <cell r="P103" t="str">
            <v>Lý Tĩnh</v>
          </cell>
          <cell r="Q103" t="str">
            <v>Cấp Cấp Như Luật Lệnh</v>
          </cell>
        </row>
        <row r="104">
          <cell r="P104" t="str">
            <v>Lý Tĩnh</v>
          </cell>
          <cell r="Q104" t="str">
            <v>Cấp Cấp Như Luật Lệnh</v>
          </cell>
        </row>
        <row r="105">
          <cell r="P105" t="str">
            <v>Lý Tĩnh</v>
          </cell>
          <cell r="Q105" t="str">
            <v>Cấp Cấp Như Luật Lệnh</v>
          </cell>
        </row>
        <row r="106">
          <cell r="P106" t="str">
            <v>Đặng Thiền Ngọc</v>
          </cell>
          <cell r="Q106" t="str">
            <v>Phổ Công</v>
          </cell>
        </row>
        <row r="107">
          <cell r="P107" t="str">
            <v>Đặng Thiền Ngọc</v>
          </cell>
          <cell r="Q107" t="str">
            <v>Nhu Nhuận Thanh Vũ</v>
          </cell>
        </row>
        <row r="108">
          <cell r="P108" t="str">
            <v>Đặng Thiền Ngọc</v>
          </cell>
          <cell r="Q108" t="str">
            <v>Nhu Nhuận Thanh Vũ</v>
          </cell>
        </row>
        <row r="109">
          <cell r="P109" t="str">
            <v>Đặng Thiền Ngọc</v>
          </cell>
          <cell r="Q109" t="str">
            <v>Nhu Nhuận Thanh Vũ</v>
          </cell>
        </row>
        <row r="110">
          <cell r="P110" t="str">
            <v>Đặng Thiền Ngọc</v>
          </cell>
          <cell r="Q110" t="str">
            <v>Trường Tình</v>
          </cell>
        </row>
        <row r="111">
          <cell r="P111" t="str">
            <v>Đặng Thiền Ngọc</v>
          </cell>
          <cell r="Q111" t="str">
            <v>Trường Tình</v>
          </cell>
        </row>
        <row r="112">
          <cell r="P112" t="str">
            <v>Đặng Thiền Ngọc</v>
          </cell>
          <cell r="Q112" t="str">
            <v>Trường Tình</v>
          </cell>
        </row>
        <row r="113">
          <cell r="P113" t="str">
            <v>Đặng Thiền Ngọc</v>
          </cell>
          <cell r="Q113" t="str">
            <v>Cực · Trường Tình</v>
          </cell>
        </row>
        <row r="114">
          <cell r="P114" t="str">
            <v>Đặng Thiền Ngọc</v>
          </cell>
          <cell r="Q114" t="str">
            <v>Cực · Trường Tình</v>
          </cell>
        </row>
        <row r="115">
          <cell r="P115" t="str">
            <v>Đặng Thiền Ngọc</v>
          </cell>
          <cell r="Q115" t="str">
            <v>Cực · Trường Tình</v>
          </cell>
        </row>
        <row r="116">
          <cell r="P116" t="str">
            <v>Đặng Thiền Ngọc</v>
          </cell>
          <cell r="Q116" t="str">
            <v>Dẫn Hồn Thuật</v>
          </cell>
        </row>
        <row r="117">
          <cell r="P117" t="str">
            <v>Đặng Thiền Ngọc</v>
          </cell>
          <cell r="Q117" t="str">
            <v>Dẫn Hồn Thuật</v>
          </cell>
        </row>
        <row r="118">
          <cell r="P118" t="str">
            <v>Đặng Thiền Ngọc</v>
          </cell>
          <cell r="Q118" t="str">
            <v>Dẫn Hồn Thuật</v>
          </cell>
        </row>
        <row r="119">
          <cell r="P119" t="str">
            <v>Đặng Thiền Ngọc</v>
          </cell>
          <cell r="Q119" t="str">
            <v>Dẫn Hồn Thuật</v>
          </cell>
        </row>
        <row r="120">
          <cell r="P120" t="str">
            <v>Đặng Thiền Ngọc</v>
          </cell>
          <cell r="Q120" t="str">
            <v>Dẫn Hồn Thuật</v>
          </cell>
        </row>
        <row r="121">
          <cell r="P121" t="str">
            <v>Đặng Thiền Ngọc</v>
          </cell>
          <cell r="Q121" t="str">
            <v>Dẫn Hồn Thuật</v>
          </cell>
        </row>
        <row r="122">
          <cell r="P122" t="str">
            <v>Thường Nga</v>
          </cell>
          <cell r="Q122" t="str">
            <v>Phổ Công</v>
          </cell>
        </row>
        <row r="123">
          <cell r="P123" t="str">
            <v>Thường Nga</v>
          </cell>
          <cell r="Q123" t="str">
            <v>Nguyệt Luân Trảm</v>
          </cell>
        </row>
        <row r="124">
          <cell r="P124" t="str">
            <v>Thường Nga</v>
          </cell>
          <cell r="Q124" t="str">
            <v>Nguyệt Luân Trảm</v>
          </cell>
        </row>
        <row r="125">
          <cell r="P125" t="str">
            <v>Thường Nga</v>
          </cell>
          <cell r="Q125" t="str">
            <v>Nguyệt Luân Trảm</v>
          </cell>
        </row>
        <row r="126">
          <cell r="P126" t="str">
            <v>Thường Nga</v>
          </cell>
          <cell r="Q126" t="str">
            <v>Nguyệt Luân Trảm</v>
          </cell>
        </row>
        <row r="127">
          <cell r="P127" t="str">
            <v>Thường Nga</v>
          </cell>
          <cell r="Q127" t="str">
            <v>Nguyệt Luân Trảm</v>
          </cell>
        </row>
        <row r="128">
          <cell r="P128" t="str">
            <v>Thường Nga</v>
          </cell>
          <cell r="Q128" t="str">
            <v>Nguyệt Luân Trảm</v>
          </cell>
        </row>
        <row r="129">
          <cell r="P129" t="str">
            <v>Thường Nga</v>
          </cell>
          <cell r="Q129" t="str">
            <v>Nguyệt Luân Trảm</v>
          </cell>
        </row>
        <row r="130">
          <cell r="P130" t="str">
            <v>Thường Nga</v>
          </cell>
          <cell r="Q130" t="str">
            <v>Nguyệt Luân Trảm</v>
          </cell>
        </row>
        <row r="131">
          <cell r="P131" t="str">
            <v>Thường Nga</v>
          </cell>
          <cell r="Q131" t="str">
            <v>Nguyệt Luân Trảm</v>
          </cell>
        </row>
        <row r="132">
          <cell r="P132" t="str">
            <v>Thường Nga</v>
          </cell>
          <cell r="Q132" t="str">
            <v>Nguyệt Luân Trảm</v>
          </cell>
        </row>
        <row r="133">
          <cell r="P133" t="str">
            <v>Thường Nga</v>
          </cell>
          <cell r="Q133" t="str">
            <v>Nguyệt Luân Trảm</v>
          </cell>
        </row>
        <row r="134">
          <cell r="P134" t="str">
            <v>Thường Nga</v>
          </cell>
          <cell r="Q134" t="str">
            <v>Nguyệt Luân Trảm</v>
          </cell>
        </row>
        <row r="135">
          <cell r="P135" t="str">
            <v>Thường Nga</v>
          </cell>
          <cell r="Q135" t="str">
            <v>Trường Sinh</v>
          </cell>
        </row>
        <row r="136">
          <cell r="P136" t="str">
            <v>Thường Nga</v>
          </cell>
          <cell r="Q136" t="str">
            <v>Trường Sinh</v>
          </cell>
        </row>
        <row r="137">
          <cell r="P137" t="str">
            <v>Thường Nga</v>
          </cell>
          <cell r="Q137" t="str">
            <v>Trường Sinh</v>
          </cell>
        </row>
        <row r="138">
          <cell r="P138" t="str">
            <v>Thường Nga</v>
          </cell>
          <cell r="Q138" t="str">
            <v>Cực · Trường Sinh</v>
          </cell>
        </row>
        <row r="139">
          <cell r="P139" t="str">
            <v>Thường Nga</v>
          </cell>
          <cell r="Q139" t="str">
            <v>Cực · Trường Sinh</v>
          </cell>
        </row>
        <row r="140">
          <cell r="P140" t="str">
            <v>Thường Nga</v>
          </cell>
          <cell r="Q140" t="str">
            <v>Cực · Trường Sinh</v>
          </cell>
        </row>
        <row r="141">
          <cell r="P141" t="str">
            <v>Thường Nga</v>
          </cell>
          <cell r="Q141" t="str">
            <v>Kỳ Nguyện</v>
          </cell>
        </row>
        <row r="142">
          <cell r="P142" t="str">
            <v>Thường Nga</v>
          </cell>
          <cell r="Q142" t="str">
            <v>Kỳ Nguyện</v>
          </cell>
        </row>
        <row r="143">
          <cell r="P143" t="str">
            <v>Thường Nga</v>
          </cell>
          <cell r="Q143" t="str">
            <v>Kỳ Nguyện</v>
          </cell>
        </row>
        <row r="144">
          <cell r="P144" t="str">
            <v>Thường Nga</v>
          </cell>
          <cell r="Q144" t="str">
            <v>Kỳ Nguyện</v>
          </cell>
        </row>
        <row r="145">
          <cell r="P145" t="str">
            <v>Thường Nga</v>
          </cell>
          <cell r="Q145" t="str">
            <v>Kỳ Nguyện</v>
          </cell>
        </row>
        <row r="146">
          <cell r="P146" t="str">
            <v>Thường Nga</v>
          </cell>
          <cell r="Q146" t="str">
            <v>Kỳ Nguyện</v>
          </cell>
        </row>
        <row r="147">
          <cell r="P147" t="str">
            <v>Thường Nga</v>
          </cell>
          <cell r="Q147" t="str">
            <v>Kỳ Nguyện</v>
          </cell>
        </row>
        <row r="148">
          <cell r="P148" t="str">
            <v>Thường Nga</v>
          </cell>
          <cell r="Q148" t="str">
            <v>Kỳ Nguyện</v>
          </cell>
        </row>
        <row r="149">
          <cell r="P149" t="str">
            <v>Thường Nga</v>
          </cell>
          <cell r="Q149" t="str">
            <v>Kỳ Nguyện</v>
          </cell>
        </row>
        <row r="150">
          <cell r="P150" t="str">
            <v>Thường Nga</v>
          </cell>
          <cell r="Q150" t="str">
            <v>Thiên Tâm</v>
          </cell>
        </row>
        <row r="151">
          <cell r="P151" t="str">
            <v>Thường Nga</v>
          </cell>
          <cell r="Q151" t="str">
            <v>Thiên Tâm</v>
          </cell>
        </row>
        <row r="152">
          <cell r="P152" t="str">
            <v>Thường Nga</v>
          </cell>
          <cell r="Q152" t="str">
            <v>Thiên Tâm</v>
          </cell>
        </row>
        <row r="153">
          <cell r="P153" t="str">
            <v>Thường Nga</v>
          </cell>
          <cell r="Q153" t="str">
            <v>Vụ Ẩn Nguyệt Căng</v>
          </cell>
        </row>
        <row r="154">
          <cell r="P154" t="str">
            <v>Thường Nga</v>
          </cell>
          <cell r="Q154" t="str">
            <v>Vụ Ẩn Nguyệt Căng</v>
          </cell>
        </row>
        <row r="155">
          <cell r="P155" t="str">
            <v>Thường Nga</v>
          </cell>
          <cell r="Q155" t="str">
            <v>Vụ Ẩn Nguyệt Căng</v>
          </cell>
        </row>
        <row r="156">
          <cell r="P156" t="str">
            <v>Thường Nga</v>
          </cell>
          <cell r="Q156" t="str">
            <v>Kỳ Nguyện</v>
          </cell>
        </row>
        <row r="157">
          <cell r="P157" t="str">
            <v>Thường Nga</v>
          </cell>
          <cell r="Q157" t="str">
            <v>Kỳ Nguyện</v>
          </cell>
        </row>
        <row r="158">
          <cell r="P158" t="str">
            <v>Thường Nga</v>
          </cell>
          <cell r="Q158" t="str">
            <v>Kỳ Nguyện</v>
          </cell>
        </row>
        <row r="159">
          <cell r="P159" t="str">
            <v>Thường Nga</v>
          </cell>
          <cell r="Q159" t="str">
            <v>Kỳ Nguyện</v>
          </cell>
        </row>
        <row r="160">
          <cell r="P160" t="str">
            <v>Thường Nga</v>
          </cell>
          <cell r="Q160" t="str">
            <v>Kỳ Nguyện</v>
          </cell>
        </row>
        <row r="161">
          <cell r="P161" t="str">
            <v>Thường Nga</v>
          </cell>
          <cell r="Q161" t="str">
            <v>Kỳ Nguyện</v>
          </cell>
        </row>
        <row r="162">
          <cell r="P162" t="str">
            <v>Thường Nga</v>
          </cell>
          <cell r="Q162" t="str">
            <v>Kỳ Nguyện</v>
          </cell>
        </row>
        <row r="163">
          <cell r="P163" t="str">
            <v>Thường Nga</v>
          </cell>
          <cell r="Q163" t="str">
            <v>Kỳ Nguyện</v>
          </cell>
        </row>
        <row r="164">
          <cell r="P164" t="str">
            <v>Thường Nga</v>
          </cell>
          <cell r="Q164" t="str">
            <v>Kỳ Nguyện</v>
          </cell>
        </row>
        <row r="165">
          <cell r="P165" t="str">
            <v>Thường Nga</v>
          </cell>
          <cell r="Q165" t="str">
            <v>Nguyệt Hoa Tiên Tử</v>
          </cell>
        </row>
        <row r="166">
          <cell r="P166" t="str">
            <v>Thường Nga</v>
          </cell>
          <cell r="Q166" t="str">
            <v>Nguyệt Hoa Tiên Tử</v>
          </cell>
        </row>
        <row r="167">
          <cell r="P167" t="str">
            <v>Thường Nga</v>
          </cell>
          <cell r="Q167" t="str">
            <v>Nguyệt Hoa Tiên Tử</v>
          </cell>
        </row>
        <row r="168">
          <cell r="P168" t="str">
            <v>Thường Nga</v>
          </cell>
          <cell r="Q168" t="str">
            <v>Nguyệt Hoa Tiên Tử</v>
          </cell>
        </row>
        <row r="169">
          <cell r="P169" t="str">
            <v>Thường Nga</v>
          </cell>
          <cell r="Q169" t="str">
            <v>Nguyệt Hoa Tiên Tử</v>
          </cell>
        </row>
        <row r="170">
          <cell r="P170" t="str">
            <v>Thường Nga</v>
          </cell>
          <cell r="Q170" t="str">
            <v>Nguyệt Hoa Tiên Tử</v>
          </cell>
        </row>
        <row r="171">
          <cell r="P171" t="str">
            <v>Thường Nga</v>
          </cell>
          <cell r="Q171" t="str">
            <v>Nguyệt Hoa Tiên Tử</v>
          </cell>
        </row>
        <row r="172">
          <cell r="P172" t="str">
            <v>Thường Nga</v>
          </cell>
          <cell r="Q172" t="str">
            <v>Thiên Tâm</v>
          </cell>
        </row>
        <row r="173">
          <cell r="P173" t="str">
            <v>Thường Nga</v>
          </cell>
          <cell r="Q173" t="str">
            <v>Thiên Tâm</v>
          </cell>
        </row>
        <row r="174">
          <cell r="P174" t="str">
            <v>Thường Nga</v>
          </cell>
          <cell r="Q174" t="str">
            <v>Thiên Tâm</v>
          </cell>
        </row>
        <row r="175">
          <cell r="P175" t="str">
            <v>Hậu Nghệ</v>
          </cell>
          <cell r="Q175" t="str">
            <v>Phổ Công</v>
          </cell>
        </row>
        <row r="176">
          <cell r="P176" t="str">
            <v>Hậu Nghệ</v>
          </cell>
          <cell r="Q176" t="str">
            <v>Nội Kình Bính Phát</v>
          </cell>
        </row>
        <row r="177">
          <cell r="P177" t="str">
            <v>Hậu Nghệ</v>
          </cell>
          <cell r="Q177" t="str">
            <v>Nội Kình Bính Phát</v>
          </cell>
        </row>
        <row r="178">
          <cell r="P178" t="str">
            <v>Hậu Nghệ</v>
          </cell>
          <cell r="Q178" t="str">
            <v>Nội Kình Bính Phát</v>
          </cell>
        </row>
        <row r="179">
          <cell r="P179" t="str">
            <v>Hậu Nghệ</v>
          </cell>
          <cell r="Q179" t="str">
            <v>Ưng Nhãn</v>
          </cell>
        </row>
        <row r="180">
          <cell r="P180" t="str">
            <v>Hậu Nghệ</v>
          </cell>
          <cell r="Q180" t="str">
            <v>Ưng Nhãn</v>
          </cell>
        </row>
        <row r="181">
          <cell r="P181" t="str">
            <v>Hậu Nghệ</v>
          </cell>
          <cell r="Q181" t="str">
            <v>Ưng Nhãn</v>
          </cell>
        </row>
        <row r="182">
          <cell r="P182" t="str">
            <v>Hậu Nghệ</v>
          </cell>
          <cell r="Q182" t="str">
            <v>Cực · Ưng Nhãn</v>
          </cell>
        </row>
        <row r="183">
          <cell r="P183" t="str">
            <v>Hậu Nghệ</v>
          </cell>
          <cell r="Q183" t="str">
            <v>Cực · Ưng Nhãn</v>
          </cell>
        </row>
        <row r="184">
          <cell r="P184" t="str">
            <v>Hậu Nghệ</v>
          </cell>
          <cell r="Q184" t="str">
            <v>Cực · Ưng Nhãn</v>
          </cell>
        </row>
        <row r="185">
          <cell r="P185" t="str">
            <v>Hậu Nghệ</v>
          </cell>
          <cell r="Q185" t="str">
            <v>Đạp Không Tật Xạ</v>
          </cell>
        </row>
        <row r="186">
          <cell r="P186" t="str">
            <v>Hậu Nghệ</v>
          </cell>
          <cell r="Q186" t="str">
            <v>Đạp Không Tật Xạ</v>
          </cell>
        </row>
        <row r="187">
          <cell r="P187" t="str">
            <v>Hậu Nghệ</v>
          </cell>
          <cell r="Q187" t="str">
            <v>Đạp Không Tật Xạ</v>
          </cell>
        </row>
        <row r="188">
          <cell r="P188" t="str">
            <v>Hậu Nghệ</v>
          </cell>
          <cell r="Q188" t="str">
            <v>Đạp Không Tật Xạ</v>
          </cell>
        </row>
        <row r="189">
          <cell r="P189" t="str">
            <v>Hậu Nghệ</v>
          </cell>
          <cell r="Q189" t="str">
            <v>Đạp Không Tật Xạ</v>
          </cell>
        </row>
        <row r="190">
          <cell r="P190" t="str">
            <v>Hậu Nghệ</v>
          </cell>
          <cell r="Q190" t="str">
            <v>Đạp Không Tật Xạ</v>
          </cell>
        </row>
        <row r="191">
          <cell r="P191" t="str">
            <v>Hậu Nghệ</v>
          </cell>
          <cell r="Q191" t="str">
            <v>Đạp Không Tật Xạ</v>
          </cell>
        </row>
        <row r="192">
          <cell r="P192" t="str">
            <v>Hậu Nghệ</v>
          </cell>
          <cell r="Q192" t="str">
            <v>Đạp Không Tật Xạ</v>
          </cell>
        </row>
        <row r="193">
          <cell r="P193" t="str">
            <v>Hậu Nghệ</v>
          </cell>
          <cell r="Q193" t="str">
            <v>Đạp Không Tật Xạ</v>
          </cell>
        </row>
        <row r="194">
          <cell r="P194" t="str">
            <v>Hậu Nghệ</v>
          </cell>
          <cell r="Q194" t="str">
            <v>Đạp Không Tật Xạ</v>
          </cell>
        </row>
        <row r="195">
          <cell r="P195" t="str">
            <v>Hậu Nghệ</v>
          </cell>
          <cell r="Q195" t="str">
            <v>Đạp Không Tật Xạ</v>
          </cell>
        </row>
        <row r="196">
          <cell r="P196" t="str">
            <v>Hậu Nghệ</v>
          </cell>
          <cell r="Q196" t="str">
            <v>Đạp Không Tật Xạ</v>
          </cell>
        </row>
        <row r="197">
          <cell r="P197" t="str">
            <v>Hậu Nghệ</v>
          </cell>
          <cell r="Q197" t="str">
            <v>Chỉ Lệ Chi Tâm</v>
          </cell>
        </row>
        <row r="198">
          <cell r="P198" t="str">
            <v>Hậu Nghệ</v>
          </cell>
          <cell r="Q198" t="str">
            <v>Chỉ Lệ Chi Tâm</v>
          </cell>
        </row>
        <row r="199">
          <cell r="P199" t="str">
            <v>Hậu Nghệ</v>
          </cell>
          <cell r="Q199" t="str">
            <v>Chỉ Lệ Chi Tâm</v>
          </cell>
        </row>
        <row r="200">
          <cell r="P200" t="str">
            <v>Hậu Nghệ</v>
          </cell>
          <cell r="Q200" t="str">
            <v>Súc Thế</v>
          </cell>
        </row>
        <row r="201">
          <cell r="P201" t="str">
            <v>Hậu Nghệ</v>
          </cell>
          <cell r="Q201" t="str">
            <v>Súc Thế</v>
          </cell>
        </row>
        <row r="202">
          <cell r="P202" t="str">
            <v>Hậu Nghệ</v>
          </cell>
          <cell r="Q202" t="str">
            <v>Súc Thế</v>
          </cell>
        </row>
        <row r="203">
          <cell r="P203" t="str">
            <v>Hậu Nghệ</v>
          </cell>
          <cell r="Q203" t="str">
            <v>Tiễn Tâm</v>
          </cell>
        </row>
        <row r="204">
          <cell r="P204" t="str">
            <v>Hậu Nghệ</v>
          </cell>
          <cell r="Q204" t="str">
            <v>Tiễn Tâm</v>
          </cell>
        </row>
        <row r="205">
          <cell r="P205" t="str">
            <v>Hậu Nghệ</v>
          </cell>
          <cell r="Q205" t="str">
            <v>Tiễn Tâm</v>
          </cell>
        </row>
        <row r="206">
          <cell r="P206" t="str">
            <v>Cơ Phát</v>
          </cell>
          <cell r="Q206" t="str">
            <v>Chính Nghĩa Thẩm Phán</v>
          </cell>
        </row>
        <row r="207">
          <cell r="P207" t="str">
            <v>Cơ Phát</v>
          </cell>
          <cell r="Q207" t="str">
            <v>Chính Nghĩa Thẩm Phán</v>
          </cell>
        </row>
        <row r="208">
          <cell r="P208" t="str">
            <v>Cơ Phát</v>
          </cell>
          <cell r="Q208" t="str">
            <v>Chính Nghĩa Thẩm Phán</v>
          </cell>
        </row>
        <row r="209">
          <cell r="P209" t="str">
            <v>Cơ Phát</v>
          </cell>
          <cell r="Q209" t="str">
            <v>Chính Nghĩa Thẩm Phán</v>
          </cell>
        </row>
        <row r="210">
          <cell r="P210" t="str">
            <v>Cơ Phát</v>
          </cell>
          <cell r="Q210" t="str">
            <v>Chính Nghĩa Thẩm Phán</v>
          </cell>
        </row>
        <row r="211">
          <cell r="P211" t="str">
            <v>Cơ Phát</v>
          </cell>
          <cell r="Q211" t="str">
            <v>Chính Nghĩa Thẩm Phán</v>
          </cell>
        </row>
        <row r="212">
          <cell r="P212" t="str">
            <v>Cơ Phát</v>
          </cell>
          <cell r="Q212" t="str">
            <v>Chính Nghĩa Thẩm Phán</v>
          </cell>
        </row>
        <row r="213">
          <cell r="P213" t="str">
            <v>Cơ Phát</v>
          </cell>
          <cell r="Q213" t="str">
            <v>Chính Nghĩa Thẩm Phán</v>
          </cell>
        </row>
        <row r="214">
          <cell r="P214" t="str">
            <v>Cơ Phát</v>
          </cell>
          <cell r="Q214" t="str">
            <v>Chính Nghĩa Thẩm Phán</v>
          </cell>
        </row>
        <row r="215">
          <cell r="P215" t="str">
            <v>Cơ Phát</v>
          </cell>
          <cell r="Q215" t="str">
            <v>Chính Nghĩa Thẩm Phán</v>
          </cell>
        </row>
        <row r="216">
          <cell r="P216" t="str">
            <v>Cơ Phát</v>
          </cell>
          <cell r="Q216" t="str">
            <v>Chân Mệnh Thiên Tử</v>
          </cell>
        </row>
        <row r="217">
          <cell r="P217" t="str">
            <v>Cơ Phát</v>
          </cell>
          <cell r="Q217" t="str">
            <v>Chân Mệnh Thiên Tử</v>
          </cell>
        </row>
        <row r="218">
          <cell r="P218" t="str">
            <v>Cơ Phát</v>
          </cell>
          <cell r="Q218" t="str">
            <v>Chân Mệnh Thiên Tử</v>
          </cell>
        </row>
        <row r="219">
          <cell r="P219" t="str">
            <v>Cơ Phát</v>
          </cell>
          <cell r="Q219" t="str">
            <v>Cực · Chân Mệnh Thiên Tử</v>
          </cell>
        </row>
        <row r="220">
          <cell r="P220" t="str">
            <v>Cơ Phát</v>
          </cell>
          <cell r="Q220" t="str">
            <v>Cực · Chân Mệnh Thiên Tử</v>
          </cell>
        </row>
        <row r="221">
          <cell r="P221" t="str">
            <v>Cơ Phát</v>
          </cell>
          <cell r="Q221" t="str">
            <v>Cực · Chân Mệnh Thiên Tử</v>
          </cell>
        </row>
        <row r="222">
          <cell r="P222" t="str">
            <v>Cơ Phát</v>
          </cell>
          <cell r="Q222" t="str">
            <v>Kinh Hồng Nhất Kích</v>
          </cell>
        </row>
        <row r="223">
          <cell r="P223" t="str">
            <v>Cơ Phát</v>
          </cell>
          <cell r="Q223" t="str">
            <v>Kinh Hồng Nhất Kích</v>
          </cell>
        </row>
        <row r="224">
          <cell r="P224" t="str">
            <v>Cơ Phát</v>
          </cell>
          <cell r="Q224" t="str">
            <v>Kinh Hồng Nhất Kích</v>
          </cell>
        </row>
        <row r="225">
          <cell r="P225" t="str">
            <v>Cơ Phát</v>
          </cell>
          <cell r="Q225" t="str">
            <v>Thệ Uy</v>
          </cell>
        </row>
        <row r="226">
          <cell r="P226" t="str">
            <v>Cơ Phát</v>
          </cell>
          <cell r="Q226" t="str">
            <v>Thệ Uy</v>
          </cell>
        </row>
        <row r="227">
          <cell r="P227" t="str">
            <v>Cơ Phát</v>
          </cell>
          <cell r="Q227" t="str">
            <v>Thệ Uy</v>
          </cell>
        </row>
        <row r="228">
          <cell r="P228" t="str">
            <v>Cơ Phát</v>
          </cell>
          <cell r="Q228" t="str">
            <v>Chinh Phạt</v>
          </cell>
        </row>
        <row r="229">
          <cell r="P229" t="str">
            <v>Cơ Phát</v>
          </cell>
          <cell r="Q229" t="str">
            <v>Chinh Phạt</v>
          </cell>
        </row>
        <row r="230">
          <cell r="P230" t="str">
            <v>Cơ Phát</v>
          </cell>
          <cell r="Q230" t="str">
            <v>Chinh Phạt</v>
          </cell>
        </row>
        <row r="231">
          <cell r="P231" t="str">
            <v>Dương Tiển</v>
          </cell>
          <cell r="Q231" t="str">
            <v>Đấu Đế</v>
          </cell>
        </row>
        <row r="232">
          <cell r="P232" t="str">
            <v>Dương Tiển</v>
          </cell>
          <cell r="Q232" t="str">
            <v>Đấu Đế</v>
          </cell>
        </row>
        <row r="233">
          <cell r="P233" t="str">
            <v>Dương Tiển</v>
          </cell>
          <cell r="Q233" t="str">
            <v>Đấu Đế</v>
          </cell>
        </row>
        <row r="234">
          <cell r="P234" t="str">
            <v>Dương Tiển</v>
          </cell>
          <cell r="Q234" t="str">
            <v>Đấu Đế</v>
          </cell>
        </row>
        <row r="235">
          <cell r="P235" t="str">
            <v>Dương Tiển</v>
          </cell>
          <cell r="Q235" t="str">
            <v>Đấu Đế</v>
          </cell>
        </row>
        <row r="236">
          <cell r="P236" t="str">
            <v>Dương Tiển</v>
          </cell>
          <cell r="Q236" t="str">
            <v>Đấu Đế</v>
          </cell>
        </row>
        <row r="237">
          <cell r="P237" t="str">
            <v>Dương Tiển</v>
          </cell>
          <cell r="Q237" t="str">
            <v>Đấu Đế</v>
          </cell>
        </row>
        <row r="238">
          <cell r="P238" t="str">
            <v>Dương Tiển</v>
          </cell>
          <cell r="Q238" t="str">
            <v>Đấu Đế</v>
          </cell>
        </row>
        <row r="239">
          <cell r="P239" t="str">
            <v>Dương Tiển</v>
          </cell>
          <cell r="Q239" t="str">
            <v>Đấu Đế</v>
          </cell>
        </row>
        <row r="240">
          <cell r="P240" t="str">
            <v>Dương Tiển</v>
          </cell>
          <cell r="Q240" t="str">
            <v>Đấu Đế</v>
          </cell>
        </row>
        <row r="241">
          <cell r="P241" t="str">
            <v>Dương Tiển</v>
          </cell>
          <cell r="Q241" t="str">
            <v>Đấu Đế</v>
          </cell>
        </row>
        <row r="242">
          <cell r="P242" t="str">
            <v>Dương Tiển</v>
          </cell>
          <cell r="Q242" t="str">
            <v>Đấu Đế</v>
          </cell>
        </row>
        <row r="243">
          <cell r="P243" t="str">
            <v>Dương Tiển</v>
          </cell>
          <cell r="Q243" t="str">
            <v>Đấu Đế</v>
          </cell>
        </row>
        <row r="244">
          <cell r="P244" t="str">
            <v>Dương Tiển</v>
          </cell>
          <cell r="Q244" t="str">
            <v>Đấu Đế</v>
          </cell>
        </row>
        <row r="245">
          <cell r="P245" t="str">
            <v>Dương Tiển</v>
          </cell>
          <cell r="Q245" t="str">
            <v>Đấu Đế</v>
          </cell>
        </row>
        <row r="246">
          <cell r="P246" t="str">
            <v>Dương Tiển</v>
          </cell>
          <cell r="Q246" t="str">
            <v>Đấu Đế</v>
          </cell>
        </row>
        <row r="247">
          <cell r="P247" t="str">
            <v>Dương Tiển</v>
          </cell>
          <cell r="Q247" t="str">
            <v>Đấu Đế</v>
          </cell>
        </row>
        <row r="248">
          <cell r="P248" t="str">
            <v>Dương Tiển</v>
          </cell>
          <cell r="Q248" t="str">
            <v>Đấu Đế</v>
          </cell>
        </row>
        <row r="249">
          <cell r="P249" t="str">
            <v>Dương Tiển</v>
          </cell>
          <cell r="Q249" t="str">
            <v>Đấu Đế</v>
          </cell>
        </row>
        <row r="250">
          <cell r="P250" t="str">
            <v>Dương Tiển</v>
          </cell>
          <cell r="Q250" t="str">
            <v>Đấu Đế</v>
          </cell>
        </row>
        <row r="251">
          <cell r="P251" t="str">
            <v>Dương Tiển</v>
          </cell>
          <cell r="Q251" t="str">
            <v>Đấu Đế</v>
          </cell>
        </row>
        <row r="252">
          <cell r="P252" t="str">
            <v>Dương Tiển</v>
          </cell>
          <cell r="Q252" t="str">
            <v>Đấu Đế</v>
          </cell>
        </row>
        <row r="253">
          <cell r="P253" t="str">
            <v>Na Trá</v>
          </cell>
          <cell r="Q253" t="str">
            <v>Phổ Công</v>
          </cell>
        </row>
        <row r="254">
          <cell r="P254" t="str">
            <v>Na Trá</v>
          </cell>
          <cell r="Q254" t="str">
            <v>Chước Nhiệt Chi Mâu</v>
          </cell>
        </row>
        <row r="255">
          <cell r="P255" t="str">
            <v>Na Trá</v>
          </cell>
          <cell r="Q255" t="str">
            <v>Chước Nhiệt Chi Mâu</v>
          </cell>
        </row>
        <row r="256">
          <cell r="P256" t="str">
            <v>Na Trá</v>
          </cell>
          <cell r="Q256" t="str">
            <v>Chước Nhiệt Chi Mâu</v>
          </cell>
        </row>
        <row r="257">
          <cell r="P257" t="str">
            <v>Na Trá</v>
          </cell>
          <cell r="Q257" t="str">
            <v>Liệt Diễm Hoàn Nhiễu</v>
          </cell>
        </row>
        <row r="258">
          <cell r="P258" t="str">
            <v>Na Trá</v>
          </cell>
          <cell r="Q258" t="str">
            <v>Liệt Diễm Hoàn Nhiễu</v>
          </cell>
        </row>
        <row r="259">
          <cell r="P259" t="str">
            <v>Na Trá</v>
          </cell>
          <cell r="Q259" t="str">
            <v>Liệt Diễm Hoàn Nhiễu</v>
          </cell>
        </row>
        <row r="260">
          <cell r="P260" t="str">
            <v>Na Trá</v>
          </cell>
          <cell r="Q260" t="str">
            <v>Cực · Liệt Diễm Hoàn Nhiễu</v>
          </cell>
        </row>
        <row r="261">
          <cell r="P261" t="str">
            <v>Na Trá</v>
          </cell>
          <cell r="Q261" t="str">
            <v>Cực · Liệt Diễm Hoàn Nhiễu</v>
          </cell>
        </row>
        <row r="262">
          <cell r="P262" t="str">
            <v>Na Trá</v>
          </cell>
          <cell r="Q262" t="str">
            <v>Cực · Liệt Diễm Hoàn Nhiễu</v>
          </cell>
        </row>
        <row r="263">
          <cell r="P263" t="str">
            <v>Na Trá</v>
          </cell>
          <cell r="Q263" t="str">
            <v>Hỏa Diễm Tam Tiêm Thương</v>
          </cell>
        </row>
        <row r="264">
          <cell r="P264" t="str">
            <v>Na Trá</v>
          </cell>
          <cell r="Q264" t="str">
            <v>Hỏa Diễm Tam Tiêm Thương</v>
          </cell>
        </row>
        <row r="265">
          <cell r="P265" t="str">
            <v>Na Trá</v>
          </cell>
          <cell r="Q265" t="str">
            <v>Hỏa Diễm Tam Tiêm Thương</v>
          </cell>
        </row>
        <row r="266">
          <cell r="P266" t="str">
            <v>Na Trá</v>
          </cell>
          <cell r="Q266" t="str">
            <v>Hỏa Diễm Tam Tiêm Thương</v>
          </cell>
        </row>
        <row r="267">
          <cell r="P267" t="str">
            <v>Na Trá</v>
          </cell>
          <cell r="Q267" t="str">
            <v>Hỏa Diễm Tam Tiêm Thương</v>
          </cell>
        </row>
        <row r="268">
          <cell r="P268" t="str">
            <v>Na Trá</v>
          </cell>
          <cell r="Q268" t="str">
            <v>Hỏa Diễm Tam Tiêm Thương</v>
          </cell>
        </row>
        <row r="269">
          <cell r="P269" t="str">
            <v>Na Trá</v>
          </cell>
          <cell r="Q269" t="str">
            <v>Hỏa Diễm Tam Tiêm Thương</v>
          </cell>
        </row>
        <row r="270">
          <cell r="P270" t="str">
            <v>Na Trá</v>
          </cell>
          <cell r="Q270" t="str">
            <v>Hỏa Diễm Tam Tiêm Thương</v>
          </cell>
        </row>
        <row r="271">
          <cell r="P271" t="str">
            <v>Na Trá</v>
          </cell>
          <cell r="Q271" t="str">
            <v>Hỏa Diễm Tam Tiêm Thương</v>
          </cell>
        </row>
        <row r="272">
          <cell r="P272" t="str">
            <v>Na Trá</v>
          </cell>
          <cell r="Q272" t="str">
            <v>Tam Đầu Lục Tí</v>
          </cell>
        </row>
        <row r="273">
          <cell r="P273" t="str">
            <v>Na Trá</v>
          </cell>
          <cell r="Q273" t="str">
            <v>Tam Đầu Lục Tí</v>
          </cell>
        </row>
        <row r="274">
          <cell r="P274" t="str">
            <v>Na Trá</v>
          </cell>
          <cell r="Q274" t="str">
            <v>Tam Đầu Lục Tí</v>
          </cell>
        </row>
        <row r="275">
          <cell r="P275" t="str">
            <v>Na Trá</v>
          </cell>
          <cell r="Q275" t="str">
            <v>Thúc Phược</v>
          </cell>
        </row>
        <row r="276">
          <cell r="P276" t="str">
            <v>Na Trá</v>
          </cell>
          <cell r="Q276" t="str">
            <v>Thúc Phược</v>
          </cell>
        </row>
        <row r="277">
          <cell r="P277" t="str">
            <v>Na Trá</v>
          </cell>
          <cell r="Q277" t="str">
            <v>Thúc Phược</v>
          </cell>
        </row>
        <row r="278">
          <cell r="P278" t="str">
            <v>Na Trá</v>
          </cell>
          <cell r="Q278" t="str">
            <v>Chước Nhiệt Chi Mâu</v>
          </cell>
        </row>
        <row r="279">
          <cell r="P279" t="str">
            <v>Na Trá</v>
          </cell>
          <cell r="Q279" t="str">
            <v>Chước Nhiệt Chi Mâu</v>
          </cell>
        </row>
        <row r="280">
          <cell r="P280" t="str">
            <v>Na Trá</v>
          </cell>
          <cell r="Q280" t="str">
            <v>Chước Nhiệt Chi Mâu</v>
          </cell>
        </row>
        <row r="281">
          <cell r="P281" t="str">
            <v>Na Trá</v>
          </cell>
          <cell r="Q281" t="str">
            <v>Chước Nhiệt Chi Mâu</v>
          </cell>
        </row>
        <row r="282">
          <cell r="P282" t="str">
            <v>Na Trá</v>
          </cell>
          <cell r="Q282" t="str">
            <v>Chước Nhiệt Chi Mâu</v>
          </cell>
        </row>
        <row r="283">
          <cell r="P283" t="str">
            <v>Na Trá</v>
          </cell>
          <cell r="Q283" t="str">
            <v>Chước Nhiệt Chi Mâu</v>
          </cell>
        </row>
        <row r="284">
          <cell r="P284" t="str">
            <v>Na Trá</v>
          </cell>
          <cell r="Q284" t="str">
            <v>Chước Nhiệt Chi Mâu</v>
          </cell>
        </row>
        <row r="285">
          <cell r="P285" t="str">
            <v>Na Trá</v>
          </cell>
          <cell r="Q285" t="str">
            <v>Chước Nhiệt Chi Mâu</v>
          </cell>
        </row>
        <row r="286">
          <cell r="P286" t="str">
            <v>Na Trá</v>
          </cell>
          <cell r="Q286" t="str">
            <v>Chước Nhiệt Chi Mâu</v>
          </cell>
        </row>
        <row r="287">
          <cell r="P287" t="str">
            <v>Na Trá</v>
          </cell>
          <cell r="Q287" t="str">
            <v>Linh Châu Tử</v>
          </cell>
        </row>
        <row r="288">
          <cell r="P288" t="str">
            <v>Na Trá</v>
          </cell>
          <cell r="Q288" t="str">
            <v>Linh Châu Tử</v>
          </cell>
        </row>
        <row r="289">
          <cell r="P289" t="str">
            <v>Na Trá</v>
          </cell>
          <cell r="Q289" t="str">
            <v>Linh Châu Tử</v>
          </cell>
        </row>
        <row r="290">
          <cell r="P290" t="str">
            <v>Na Trá</v>
          </cell>
          <cell r="Q290" t="str">
            <v>Hỏa Diễm Tam Tiêm Thương</v>
          </cell>
        </row>
        <row r="291">
          <cell r="P291" t="str">
            <v>Na Trá</v>
          </cell>
          <cell r="Q291" t="str">
            <v>Hỏa Diễm Tam Tiêm Thương</v>
          </cell>
        </row>
        <row r="292">
          <cell r="P292" t="str">
            <v>Na Trá</v>
          </cell>
          <cell r="Q292" t="str">
            <v>Hỏa Diễm Tam Tiêm Thương</v>
          </cell>
        </row>
        <row r="293">
          <cell r="P293" t="str">
            <v>Na Trá</v>
          </cell>
          <cell r="Q293" t="str">
            <v>Liên Ngẫu Chân Thân</v>
          </cell>
        </row>
        <row r="294">
          <cell r="P294" t="str">
            <v>Na Trá</v>
          </cell>
          <cell r="Q294" t="str">
            <v>Liên Ngẫu Chân Thân</v>
          </cell>
        </row>
        <row r="295">
          <cell r="P295" t="str">
            <v>Na Trá</v>
          </cell>
          <cell r="Q295" t="str">
            <v>Liên Ngẫu Chân Thân</v>
          </cell>
        </row>
        <row r="296">
          <cell r="P296" t="str">
            <v>Na Trá</v>
          </cell>
          <cell r="Q296" t="str">
            <v>Liên Ngẫu Chân Thân</v>
          </cell>
        </row>
        <row r="297">
          <cell r="P297" t="str">
            <v>Na Trá</v>
          </cell>
          <cell r="Q297" t="str">
            <v>Liên Ngẫu Chân Thân</v>
          </cell>
        </row>
        <row r="298">
          <cell r="P298" t="str">
            <v>Na Trá</v>
          </cell>
          <cell r="Q298" t="str">
            <v>Liên Ngẫu Chân Thân</v>
          </cell>
        </row>
        <row r="299">
          <cell r="P299" t="str">
            <v>Na Trá</v>
          </cell>
          <cell r="Q299" t="str">
            <v>Liên Ngẫu Chân Thân</v>
          </cell>
        </row>
        <row r="300">
          <cell r="P300" t="str">
            <v>Na Trá</v>
          </cell>
          <cell r="Q300" t="str">
            <v>Liên Ngẫu Chân Thân</v>
          </cell>
        </row>
        <row r="301">
          <cell r="P301" t="str">
            <v>Na Trá</v>
          </cell>
          <cell r="Q301" t="str">
            <v>Liên Ngẫu Chân Thân</v>
          </cell>
        </row>
        <row r="302">
          <cell r="P302" t="str">
            <v>Na Trá</v>
          </cell>
          <cell r="Q302" t="str">
            <v>Liên Ngẫu Chân Thân</v>
          </cell>
        </row>
        <row r="303">
          <cell r="P303" t="str">
            <v>Na Trá</v>
          </cell>
          <cell r="Q303" t="str">
            <v>Tam Đầu Lục Tí</v>
          </cell>
        </row>
        <row r="304">
          <cell r="P304" t="str">
            <v>Na Trá</v>
          </cell>
          <cell r="Q304" t="str">
            <v>Tam Đầu Lục Tí</v>
          </cell>
        </row>
        <row r="305">
          <cell r="P305" t="str">
            <v>Na Trá</v>
          </cell>
          <cell r="Q305" t="str">
            <v>Tam Đầu Lục Tí</v>
          </cell>
        </row>
        <row r="306">
          <cell r="P306" t="str">
            <v>Na Trá</v>
          </cell>
          <cell r="Q306" t="str">
            <v>Tam Đầu Lục Tí</v>
          </cell>
        </row>
        <row r="307">
          <cell r="P307" t="str">
            <v>Na Trá</v>
          </cell>
          <cell r="Q307" t="str">
            <v>Tam Đầu Lục Tí</v>
          </cell>
        </row>
        <row r="308">
          <cell r="P308" t="str">
            <v>Na Trá</v>
          </cell>
          <cell r="Q308" t="str">
            <v>Tam Đầu Lục Tí</v>
          </cell>
        </row>
        <row r="309">
          <cell r="P309" t="str">
            <v>Na Trá</v>
          </cell>
          <cell r="Q309" t="str">
            <v>Tam Đầu Lục Tí</v>
          </cell>
        </row>
        <row r="310">
          <cell r="P310" t="str">
            <v>Na Trá</v>
          </cell>
          <cell r="Q310" t="str">
            <v>Tam Đầu Lục Tí</v>
          </cell>
        </row>
        <row r="311">
          <cell r="P311" t="str">
            <v>Na Trá</v>
          </cell>
          <cell r="Q311" t="str">
            <v>Tam Đầu Lục Tí</v>
          </cell>
        </row>
        <row r="312">
          <cell r="P312" t="str">
            <v>Na Trá</v>
          </cell>
          <cell r="Q312" t="str">
            <v>Tam Đầu Lục Tí</v>
          </cell>
        </row>
        <row r="313">
          <cell r="P313" t="str">
            <v>Khương Tử Nha</v>
          </cell>
          <cell r="Q313" t="str">
            <v>Phổ Công</v>
          </cell>
        </row>
        <row r="314">
          <cell r="P314" t="str">
            <v>Khương Tử Nha</v>
          </cell>
          <cell r="Q314" t="str">
            <v>Phúc Thủy</v>
          </cell>
        </row>
        <row r="315">
          <cell r="P315" t="str">
            <v>Khương Tử Nha</v>
          </cell>
          <cell r="Q315" t="str">
            <v>Phúc Thủy</v>
          </cell>
        </row>
        <row r="316">
          <cell r="P316" t="str">
            <v>Khương Tử Nha</v>
          </cell>
          <cell r="Q316" t="str">
            <v>Phúc Thủy</v>
          </cell>
        </row>
        <row r="317">
          <cell r="P317" t="str">
            <v>Khương Tử Nha</v>
          </cell>
          <cell r="Q317" t="str">
            <v>Thao Lược</v>
          </cell>
        </row>
        <row r="318">
          <cell r="P318" t="str">
            <v>Khương Tử Nha</v>
          </cell>
          <cell r="Q318" t="str">
            <v>Thao Lược</v>
          </cell>
        </row>
        <row r="319">
          <cell r="P319" t="str">
            <v>Khương Tử Nha</v>
          </cell>
          <cell r="Q319" t="str">
            <v>Thao Lược</v>
          </cell>
        </row>
        <row r="320">
          <cell r="P320" t="str">
            <v>Khương Tử Nha</v>
          </cell>
          <cell r="Q320" t="str">
            <v>Cực · Thao Lược</v>
          </cell>
        </row>
        <row r="321">
          <cell r="P321" t="str">
            <v>Khương Tử Nha</v>
          </cell>
          <cell r="Q321" t="str">
            <v>Cực · Thao Lược</v>
          </cell>
        </row>
        <row r="322">
          <cell r="P322" t="str">
            <v>Khương Tử Nha</v>
          </cell>
          <cell r="Q322" t="str">
            <v>Cực · Thao Lược</v>
          </cell>
        </row>
        <row r="323">
          <cell r="P323" t="str">
            <v>Khương Tử Nha</v>
          </cell>
          <cell r="Q323" t="str">
            <v>Ngư Dược Long Môn</v>
          </cell>
        </row>
        <row r="324">
          <cell r="P324" t="str">
            <v>Khương Tử Nha</v>
          </cell>
          <cell r="Q324" t="str">
            <v>Ngư Dược Long Môn</v>
          </cell>
        </row>
        <row r="325">
          <cell r="P325" t="str">
            <v>Khương Tử Nha</v>
          </cell>
          <cell r="Q325" t="str">
            <v>Ngư Dược Long Môn</v>
          </cell>
        </row>
        <row r="326">
          <cell r="P326" t="str">
            <v>Khương Tử Nha</v>
          </cell>
          <cell r="Q326" t="str">
            <v>Động Tất</v>
          </cell>
        </row>
        <row r="327">
          <cell r="P327" t="str">
            <v>Khương Tử Nha</v>
          </cell>
          <cell r="Q327" t="str">
            <v>Động Tất</v>
          </cell>
        </row>
        <row r="328">
          <cell r="P328" t="str">
            <v>Khương Tử Nha</v>
          </cell>
          <cell r="Q328" t="str">
            <v>Động Tất</v>
          </cell>
        </row>
        <row r="329">
          <cell r="P329" t="str">
            <v>Khương Tử Nha</v>
          </cell>
          <cell r="Q329" t="str">
            <v>Pháp Lực Tư Dưỡng</v>
          </cell>
        </row>
        <row r="330">
          <cell r="P330" t="str">
            <v>Khương Tử Nha</v>
          </cell>
          <cell r="Q330" t="str">
            <v>Pháp Lực Tư Dưỡng</v>
          </cell>
        </row>
        <row r="331">
          <cell r="P331" t="str">
            <v>Khương Tử Nha</v>
          </cell>
          <cell r="Q331" t="str">
            <v>Pháp Lực Tư Dưỡng</v>
          </cell>
        </row>
        <row r="332">
          <cell r="P332" t="str">
            <v>Khương Tử Nha</v>
          </cell>
          <cell r="Q332" t="str">
            <v>Kinh Đào Hãi Lãng</v>
          </cell>
        </row>
        <row r="333">
          <cell r="P333" t="str">
            <v>Khương Tử Nha</v>
          </cell>
          <cell r="Q333" t="str">
            <v>Kinh Đào Hãi Lãng</v>
          </cell>
        </row>
        <row r="334">
          <cell r="P334" t="str">
            <v>Khương Tử Nha</v>
          </cell>
          <cell r="Q334" t="str">
            <v>Kinh Đào Hãi Lãng</v>
          </cell>
        </row>
        <row r="335">
          <cell r="P335" t="str">
            <v>Khương Tử Nha</v>
          </cell>
          <cell r="Q335" t="str">
            <v>Phúc Thủy</v>
          </cell>
        </row>
        <row r="336">
          <cell r="P336" t="str">
            <v>Khương Tử Nha</v>
          </cell>
          <cell r="Q336" t="str">
            <v>Phúc Thủy</v>
          </cell>
        </row>
        <row r="337">
          <cell r="P337" t="str">
            <v>Khương Tử Nha</v>
          </cell>
          <cell r="Q337" t="str">
            <v>Phúc Thủy</v>
          </cell>
        </row>
        <row r="338">
          <cell r="P338" t="str">
            <v>Lôi Chấn Tử</v>
          </cell>
          <cell r="Q338" t="str">
            <v>Phổ Công</v>
          </cell>
        </row>
        <row r="339">
          <cell r="P339" t="str">
            <v>Lôi Chấn Tử</v>
          </cell>
          <cell r="Q339" t="str">
            <v>Điện Xế</v>
          </cell>
        </row>
        <row r="340">
          <cell r="P340" t="str">
            <v>Lôi Chấn Tử</v>
          </cell>
          <cell r="Q340" t="str">
            <v>Điện Xế</v>
          </cell>
        </row>
        <row r="341">
          <cell r="P341" t="str">
            <v>Lôi Chấn Tử</v>
          </cell>
          <cell r="Q341" t="str">
            <v>Điện Xế</v>
          </cell>
        </row>
        <row r="342">
          <cell r="P342" t="str">
            <v>Lôi Chấn Tử</v>
          </cell>
          <cell r="Q342" t="str">
            <v>Tương Tinh</v>
          </cell>
        </row>
        <row r="343">
          <cell r="P343" t="str">
            <v>Lôi Chấn Tử</v>
          </cell>
          <cell r="Q343" t="str">
            <v>Tương Tinh</v>
          </cell>
        </row>
        <row r="344">
          <cell r="P344" t="str">
            <v>Lôi Chấn Tử</v>
          </cell>
          <cell r="Q344" t="str">
            <v>Tương Tinh</v>
          </cell>
        </row>
        <row r="345">
          <cell r="P345" t="str">
            <v>Lôi Chấn Tử</v>
          </cell>
          <cell r="Q345" t="str">
            <v>Cực · Tương Tinh</v>
          </cell>
        </row>
        <row r="346">
          <cell r="P346" t="str">
            <v>Lôi Chấn Tử</v>
          </cell>
          <cell r="Q346" t="str">
            <v>Cực · Tương Tinh</v>
          </cell>
        </row>
        <row r="347">
          <cell r="P347" t="str">
            <v>Lôi Chấn Tử</v>
          </cell>
          <cell r="Q347" t="str">
            <v>Cực · Tương Tinh</v>
          </cell>
        </row>
        <row r="348">
          <cell r="P348" t="str">
            <v>Lôi Chấn Tử</v>
          </cell>
          <cell r="Q348" t="str">
            <v>Lôi Đình Vạn Quân</v>
          </cell>
        </row>
        <row r="349">
          <cell r="P349" t="str">
            <v>Lôi Chấn Tử</v>
          </cell>
          <cell r="Q349" t="str">
            <v>Lôi Đình Vạn Quân</v>
          </cell>
        </row>
        <row r="350">
          <cell r="P350" t="str">
            <v>Lôi Chấn Tử</v>
          </cell>
          <cell r="Q350" t="str">
            <v>Lôi Đình Vạn Quân</v>
          </cell>
        </row>
        <row r="351">
          <cell r="P351" t="str">
            <v>Hoa Mộc Lan</v>
          </cell>
          <cell r="Q351" t="str">
            <v>Phổ Công</v>
          </cell>
        </row>
        <row r="352">
          <cell r="P352" t="str">
            <v>Hoa Mộc Lan</v>
          </cell>
          <cell r="Q352" t="str">
            <v>Ảnh Tập</v>
          </cell>
        </row>
        <row r="353">
          <cell r="P353" t="str">
            <v>Hoa Mộc Lan</v>
          </cell>
          <cell r="Q353" t="str">
            <v>Ảnh Tập</v>
          </cell>
        </row>
        <row r="354">
          <cell r="P354" t="str">
            <v>Hoa Mộc Lan</v>
          </cell>
          <cell r="Q354" t="str">
            <v>Ảnh Tập</v>
          </cell>
        </row>
        <row r="355">
          <cell r="P355" t="str">
            <v>Hoa Mộc Lan</v>
          </cell>
          <cell r="Q355" t="str">
            <v>Ảnh Tập</v>
          </cell>
        </row>
        <row r="356">
          <cell r="P356" t="str">
            <v>Hoa Mộc Lan</v>
          </cell>
          <cell r="Q356" t="str">
            <v>Ảnh Tập</v>
          </cell>
        </row>
        <row r="357">
          <cell r="P357" t="str">
            <v>Hoa Mộc Lan</v>
          </cell>
          <cell r="Q357" t="str">
            <v>Ảnh Tập</v>
          </cell>
        </row>
        <row r="358">
          <cell r="P358" t="str">
            <v>Hoa Mộc Lan</v>
          </cell>
          <cell r="Q358" t="str">
            <v>Ảnh Tập</v>
          </cell>
        </row>
        <row r="359">
          <cell r="P359" t="str">
            <v>Hoa Mộc Lan</v>
          </cell>
          <cell r="Q359" t="str">
            <v>Ảnh Tập</v>
          </cell>
        </row>
        <row r="360">
          <cell r="P360" t="str">
            <v>Hoa Mộc Lan</v>
          </cell>
          <cell r="Q360" t="str">
            <v>Ảnh Tập</v>
          </cell>
        </row>
        <row r="361">
          <cell r="P361" t="str">
            <v>Hoa Mộc Lan</v>
          </cell>
          <cell r="Q361" t="str">
            <v>Kiếm Ý</v>
          </cell>
        </row>
        <row r="362">
          <cell r="P362" t="str">
            <v>Hoa Mộc Lan</v>
          </cell>
          <cell r="Q362" t="str">
            <v>Kiếm Ý</v>
          </cell>
        </row>
        <row r="363">
          <cell r="P363" t="str">
            <v>Hoa Mộc Lan</v>
          </cell>
          <cell r="Q363" t="str">
            <v>Kiếm Ý</v>
          </cell>
        </row>
        <row r="364">
          <cell r="P364" t="str">
            <v>Hoa Mộc Lan</v>
          </cell>
          <cell r="Q364" t="str">
            <v>Cực · Kiếm Ý</v>
          </cell>
        </row>
        <row r="365">
          <cell r="P365" t="str">
            <v>Hoa Mộc Lan</v>
          </cell>
          <cell r="Q365" t="str">
            <v>Cực · Kiếm Ý</v>
          </cell>
        </row>
        <row r="366">
          <cell r="P366" t="str">
            <v>Hoa Mộc Lan</v>
          </cell>
          <cell r="Q366" t="str">
            <v>Cực · Kiếm Ý</v>
          </cell>
        </row>
        <row r="367">
          <cell r="P367" t="str">
            <v>Hoa Mộc Lan</v>
          </cell>
          <cell r="Q367" t="str">
            <v>Kiếm Vũ</v>
          </cell>
        </row>
        <row r="368">
          <cell r="P368" t="str">
            <v>Hoa Mộc Lan</v>
          </cell>
          <cell r="Q368" t="str">
            <v>Kiếm Vũ</v>
          </cell>
        </row>
        <row r="369">
          <cell r="P369" t="str">
            <v>Hoa Mộc Lan</v>
          </cell>
          <cell r="Q369" t="str">
            <v>Kiếm Vũ</v>
          </cell>
        </row>
        <row r="370">
          <cell r="P370" t="str">
            <v>Hoa Mộc Lan</v>
          </cell>
          <cell r="Q370" t="str">
            <v>Kiếm Vũ</v>
          </cell>
        </row>
        <row r="371">
          <cell r="P371" t="str">
            <v>Hoa Mộc Lan</v>
          </cell>
          <cell r="Q371" t="str">
            <v>Kiếm Vũ</v>
          </cell>
        </row>
        <row r="372">
          <cell r="P372" t="str">
            <v>Hoa Mộc Lan</v>
          </cell>
          <cell r="Q372" t="str">
            <v>Kiếm Vũ</v>
          </cell>
        </row>
        <row r="373">
          <cell r="P373" t="str">
            <v>Hoa Mộc Lan</v>
          </cell>
          <cell r="Q373" t="str">
            <v>Kiếm Vũ</v>
          </cell>
        </row>
        <row r="374">
          <cell r="P374" t="str">
            <v>Hoa Mộc Lan</v>
          </cell>
          <cell r="Q374" t="str">
            <v>Kiếm Vũ</v>
          </cell>
        </row>
        <row r="375">
          <cell r="P375" t="str">
            <v>Hoa Mộc Lan</v>
          </cell>
          <cell r="Q375" t="str">
            <v>Kiếm Vũ</v>
          </cell>
        </row>
        <row r="376">
          <cell r="P376" t="str">
            <v>Hoa Mộc Lan</v>
          </cell>
          <cell r="Q376" t="str">
            <v>Kiếm Vũ</v>
          </cell>
        </row>
        <row r="377">
          <cell r="P377" t="str">
            <v>Hoa Mộc Lan</v>
          </cell>
          <cell r="Q377" t="str">
            <v>Kiếm Vũ</v>
          </cell>
        </row>
        <row r="378">
          <cell r="P378" t="str">
            <v>Hoa Mộc Lan</v>
          </cell>
          <cell r="Q378" t="str">
            <v>Kiếm Vũ</v>
          </cell>
        </row>
        <row r="379">
          <cell r="P379" t="str">
            <v>Hoa Mộc Lan</v>
          </cell>
          <cell r="Q379" t="str">
            <v>Kiếm Vũ</v>
          </cell>
        </row>
        <row r="380">
          <cell r="P380" t="str">
            <v>Hoa Mộc Lan</v>
          </cell>
          <cell r="Q380" t="str">
            <v>Kiếm Vũ</v>
          </cell>
        </row>
        <row r="381">
          <cell r="P381" t="str">
            <v>Hoa Mộc Lan</v>
          </cell>
          <cell r="Q381" t="str">
            <v>Kiếm Vũ</v>
          </cell>
        </row>
        <row r="382">
          <cell r="P382" t="str">
            <v>Hoa Mộc Lan</v>
          </cell>
          <cell r="Q382" t="str">
            <v>Kiếm Vũ</v>
          </cell>
        </row>
        <row r="383">
          <cell r="P383" t="str">
            <v>Hoa Mộc Lan</v>
          </cell>
          <cell r="Q383" t="str">
            <v>Kiếm Vũ</v>
          </cell>
        </row>
        <row r="384">
          <cell r="P384" t="str">
            <v>Hoa Mộc Lan</v>
          </cell>
          <cell r="Q384" t="str">
            <v>Kiếm Vũ</v>
          </cell>
        </row>
        <row r="385">
          <cell r="P385" t="str">
            <v>Hoa Mộc Lan</v>
          </cell>
          <cell r="Q385" t="str">
            <v>Kiếm Vũ</v>
          </cell>
        </row>
        <row r="386">
          <cell r="P386" t="str">
            <v>Hoa Mộc Lan</v>
          </cell>
          <cell r="Q386" t="str">
            <v>Kiếm Vũ</v>
          </cell>
        </row>
        <row r="387">
          <cell r="P387" t="str">
            <v>Hoa Mộc Lan</v>
          </cell>
          <cell r="Q387" t="str">
            <v>Kiếm Vũ</v>
          </cell>
        </row>
        <row r="388">
          <cell r="P388" t="str">
            <v>Hoa Mộc Lan</v>
          </cell>
          <cell r="Q388" t="str">
            <v>Thiết Cát</v>
          </cell>
        </row>
        <row r="389">
          <cell r="P389" t="str">
            <v>Hoa Mộc Lan</v>
          </cell>
          <cell r="Q389" t="str">
            <v>Thiết Cát</v>
          </cell>
        </row>
        <row r="390">
          <cell r="P390" t="str">
            <v>Hoa Mộc Lan</v>
          </cell>
          <cell r="Q390" t="str">
            <v>Thiết Cát</v>
          </cell>
        </row>
        <row r="391">
          <cell r="P391" t="str">
            <v>Hoa Mộc Lan</v>
          </cell>
          <cell r="Q391" t="str">
            <v>Thiết Cát</v>
          </cell>
        </row>
        <row r="392">
          <cell r="P392" t="str">
            <v>Hoa Mộc Lan</v>
          </cell>
          <cell r="Q392" t="str">
            <v>Thiết Cát</v>
          </cell>
        </row>
        <row r="393">
          <cell r="P393" t="str">
            <v>Hoa Mộc Lan</v>
          </cell>
          <cell r="Q393" t="str">
            <v>Thiết Cát</v>
          </cell>
        </row>
        <row r="394">
          <cell r="P394" t="str">
            <v>Hoa Mộc Lan</v>
          </cell>
          <cell r="Q394" t="str">
            <v>Thiết Cát</v>
          </cell>
        </row>
        <row r="395">
          <cell r="P395" t="str">
            <v>Hoa Mộc Lan</v>
          </cell>
          <cell r="Q395" t="str">
            <v>Thiết Cát</v>
          </cell>
        </row>
        <row r="396">
          <cell r="P396" t="str">
            <v>Hoa Mộc Lan</v>
          </cell>
          <cell r="Q396" t="str">
            <v>Thiết Cát</v>
          </cell>
        </row>
        <row r="397">
          <cell r="P397" t="str">
            <v>Hoa Mộc Lan</v>
          </cell>
          <cell r="Q397" t="str">
            <v>Kiếm Ngân</v>
          </cell>
        </row>
        <row r="398">
          <cell r="P398" t="str">
            <v>Hoa Mộc Lan</v>
          </cell>
          <cell r="Q398" t="str">
            <v>Kiếm Ngân</v>
          </cell>
        </row>
        <row r="399">
          <cell r="P399" t="str">
            <v>Hoa Mộc Lan</v>
          </cell>
          <cell r="Q399" t="str">
            <v>Kiếm Ngân</v>
          </cell>
        </row>
        <row r="400">
          <cell r="P400" t="str">
            <v>Hoa Mộc Lan</v>
          </cell>
          <cell r="Q400" t="str">
            <v>Cơ Mẫn</v>
          </cell>
        </row>
        <row r="401">
          <cell r="P401" t="str">
            <v>Hoa Mộc Lan</v>
          </cell>
          <cell r="Q401" t="str">
            <v>Cơ Mẫn</v>
          </cell>
        </row>
        <row r="402">
          <cell r="P402" t="str">
            <v>Hoa Mộc Lan</v>
          </cell>
          <cell r="Q402" t="str">
            <v>Cơ Mẫn</v>
          </cell>
        </row>
        <row r="403">
          <cell r="P403" t="str">
            <v>Hoa Mộc Lan</v>
          </cell>
          <cell r="Q403" t="str">
            <v>Cân Quắc Anh Hùng</v>
          </cell>
        </row>
        <row r="404">
          <cell r="P404" t="str">
            <v>Hoa Mộc Lan</v>
          </cell>
          <cell r="Q404" t="str">
            <v>Cân Quắc Anh Hùng</v>
          </cell>
        </row>
        <row r="405">
          <cell r="P405" t="str">
            <v>Hoa Mộc Lan</v>
          </cell>
          <cell r="Q405" t="str">
            <v>Cân Quắc Anh Hùng</v>
          </cell>
        </row>
        <row r="406">
          <cell r="P406" t="str">
            <v>Hoa Mộc Lan</v>
          </cell>
          <cell r="Q406" t="str">
            <v>Kiếm Vũ</v>
          </cell>
        </row>
        <row r="407">
          <cell r="P407" t="str">
            <v>Hoa Mộc Lan</v>
          </cell>
          <cell r="Q407" t="str">
            <v>Kiếm Vũ</v>
          </cell>
        </row>
        <row r="408">
          <cell r="P408" t="str">
            <v>Hoa Mộc Lan</v>
          </cell>
          <cell r="Q408" t="str">
            <v>Kiếm Vũ</v>
          </cell>
        </row>
        <row r="409">
          <cell r="P409" t="str">
            <v>Hoa Mộc Lan</v>
          </cell>
          <cell r="Q409" t="str">
            <v>Kiếm Vũ</v>
          </cell>
        </row>
        <row r="410">
          <cell r="P410" t="str">
            <v>Hoa Mộc Lan</v>
          </cell>
          <cell r="Q410" t="str">
            <v>Kiếm Vũ</v>
          </cell>
        </row>
        <row r="411">
          <cell r="P411" t="str">
            <v>Hoa Mộc Lan</v>
          </cell>
          <cell r="Q411" t="str">
            <v>Kiếm Vũ</v>
          </cell>
        </row>
        <row r="412">
          <cell r="P412" t="str">
            <v>Hoa Mộc Lan</v>
          </cell>
          <cell r="Q412" t="str">
            <v>Kiếm Vũ</v>
          </cell>
        </row>
        <row r="413">
          <cell r="P413" t="str">
            <v>Hoa Mộc Lan</v>
          </cell>
          <cell r="Q413" t="str">
            <v>Kiếm Vũ</v>
          </cell>
        </row>
        <row r="414">
          <cell r="P414" t="str">
            <v>Hoa Mộc Lan</v>
          </cell>
          <cell r="Q414" t="str">
            <v>Kiếm Vũ</v>
          </cell>
        </row>
        <row r="415">
          <cell r="P415" t="str">
            <v>Hoa Mộc Lan</v>
          </cell>
          <cell r="Q415" t="str">
            <v>Kiếm Vũ</v>
          </cell>
        </row>
        <row r="416">
          <cell r="P416" t="str">
            <v>Hoa Mộc Lan</v>
          </cell>
          <cell r="Q416" t="str">
            <v>Kiếm Vũ</v>
          </cell>
        </row>
        <row r="417">
          <cell r="P417" t="str">
            <v>Hoa Mộc Lan</v>
          </cell>
          <cell r="Q417" t="str">
            <v>Kiếm Vũ</v>
          </cell>
        </row>
        <row r="418">
          <cell r="P418" t="str">
            <v>Hoa Mộc Lan</v>
          </cell>
          <cell r="Q418" t="str">
            <v>Kiếm Vũ</v>
          </cell>
        </row>
        <row r="419">
          <cell r="P419" t="str">
            <v>Hoa Mộc Lan</v>
          </cell>
          <cell r="Q419" t="str">
            <v>Kiếm Vũ</v>
          </cell>
        </row>
        <row r="420">
          <cell r="P420" t="str">
            <v>Hoa Mộc Lan</v>
          </cell>
          <cell r="Q420" t="str">
            <v>Kiếm Vũ</v>
          </cell>
        </row>
        <row r="421">
          <cell r="P421" t="str">
            <v>Hoa Mộc Lan</v>
          </cell>
          <cell r="Q421" t="str">
            <v>Kiếm Vũ</v>
          </cell>
        </row>
        <row r="422">
          <cell r="P422" t="str">
            <v>Hoa Mộc Lan</v>
          </cell>
          <cell r="Q422" t="str">
            <v>Kiếm Vũ</v>
          </cell>
        </row>
        <row r="423">
          <cell r="P423" t="str">
            <v>Hoa Mộc Lan</v>
          </cell>
          <cell r="Q423" t="str">
            <v>Kiếm Vũ</v>
          </cell>
        </row>
        <row r="424">
          <cell r="P424" t="str">
            <v>Hoa Mộc Lan</v>
          </cell>
          <cell r="Q424" t="str">
            <v>Kiếm Vũ</v>
          </cell>
        </row>
        <row r="425">
          <cell r="P425" t="str">
            <v>Hoa Mộc Lan</v>
          </cell>
          <cell r="Q425" t="str">
            <v>Kiếm Vũ</v>
          </cell>
        </row>
        <row r="426">
          <cell r="P426" t="str">
            <v>Hoa Mộc Lan</v>
          </cell>
          <cell r="Q426" t="str">
            <v>Kiếm Vũ</v>
          </cell>
        </row>
        <row r="427">
          <cell r="P427" t="str">
            <v>Hoa Mộc Lan</v>
          </cell>
          <cell r="Q427" t="str">
            <v>Thiết Cát</v>
          </cell>
        </row>
        <row r="428">
          <cell r="P428" t="str">
            <v>Hoa Mộc Lan</v>
          </cell>
          <cell r="Q428" t="str">
            <v>Thiết Cát</v>
          </cell>
        </row>
        <row r="429">
          <cell r="P429" t="str">
            <v>Hoa Mộc Lan</v>
          </cell>
          <cell r="Q429" t="str">
            <v>Thiết Cát</v>
          </cell>
        </row>
        <row r="430">
          <cell r="P430" t="str">
            <v>Hoa Mộc Lan</v>
          </cell>
          <cell r="Q430" t="str">
            <v>Thiết Cát</v>
          </cell>
        </row>
        <row r="431">
          <cell r="P431" t="str">
            <v>Hoa Mộc Lan</v>
          </cell>
          <cell r="Q431" t="str">
            <v>Thiết Cát</v>
          </cell>
        </row>
        <row r="432">
          <cell r="P432" t="str">
            <v>Hoa Mộc Lan</v>
          </cell>
          <cell r="Q432" t="str">
            <v>Thiết Cát</v>
          </cell>
        </row>
        <row r="433">
          <cell r="P433" t="str">
            <v>Hoa Mộc Lan</v>
          </cell>
          <cell r="Q433" t="str">
            <v>Thiết Cát</v>
          </cell>
        </row>
        <row r="434">
          <cell r="P434" t="str">
            <v>Hoa Mộc Lan</v>
          </cell>
          <cell r="Q434" t="str">
            <v>Thiết Cát</v>
          </cell>
        </row>
        <row r="435">
          <cell r="P435" t="str">
            <v>Hoa Mộc Lan</v>
          </cell>
          <cell r="Q435" t="str">
            <v>Thiết Cát</v>
          </cell>
        </row>
        <row r="436">
          <cell r="P436" t="str">
            <v>Hoa Mộc Lan</v>
          </cell>
          <cell r="Q436" t="str">
            <v>Cơ Mẫn</v>
          </cell>
        </row>
        <row r="437">
          <cell r="P437" t="str">
            <v>Hoa Mộc Lan</v>
          </cell>
          <cell r="Q437" t="str">
            <v>Cơ Mẫn</v>
          </cell>
        </row>
        <row r="438">
          <cell r="P438" t="str">
            <v>Hoa Mộc Lan</v>
          </cell>
          <cell r="Q438" t="str">
            <v>Tý Cơ Nhi Động</v>
          </cell>
        </row>
        <row r="439">
          <cell r="P439" t="str">
            <v>Hoa Mộc Lan</v>
          </cell>
          <cell r="Q439" t="str">
            <v>Tý Cơ Nhi Động</v>
          </cell>
        </row>
        <row r="440">
          <cell r="P440" t="str">
            <v>Hoa Mộc Lan</v>
          </cell>
          <cell r="Q440" t="str">
            <v>Tý Cơ Nhi Động</v>
          </cell>
        </row>
        <row r="441">
          <cell r="P441" t="str">
            <v>Hoa Mộc Lan</v>
          </cell>
          <cell r="Q441" t="str">
            <v>Tý Cơ Nhi Động</v>
          </cell>
        </row>
        <row r="442">
          <cell r="P442" t="str">
            <v>Hoa Mộc Lan</v>
          </cell>
          <cell r="Q442" t="str">
            <v>Tý Cơ Nhi Động</v>
          </cell>
        </row>
        <row r="443">
          <cell r="P443" t="str">
            <v>Hoa Mộc Lan</v>
          </cell>
          <cell r="Q443" t="str">
            <v>Tý Cơ Nhi Động</v>
          </cell>
        </row>
        <row r="444">
          <cell r="P444" t="str">
            <v>Hoa Mộc Lan</v>
          </cell>
          <cell r="Q444" t="str">
            <v>Tý Cơ Nhi Động</v>
          </cell>
        </row>
        <row r="445">
          <cell r="P445" t="str">
            <v>Hoa Mộc Lan</v>
          </cell>
          <cell r="Q445" t="str">
            <v>Tý Cơ Nhi Động</v>
          </cell>
        </row>
        <row r="446">
          <cell r="P446" t="str">
            <v>Hoa Mộc Lan</v>
          </cell>
          <cell r="Q446" t="str">
            <v>Tý Cơ Nhi Động</v>
          </cell>
        </row>
        <row r="447">
          <cell r="P447" t="str">
            <v>Hoa Mộc Lan</v>
          </cell>
          <cell r="Q447" t="str">
            <v>Tý Cơ Nhi Động</v>
          </cell>
        </row>
        <row r="448">
          <cell r="P448" t="str">
            <v>Trầm Hương</v>
          </cell>
          <cell r="Q448" t="str">
            <v>Phổ Công</v>
          </cell>
        </row>
        <row r="449">
          <cell r="P449" t="str">
            <v>Trầm Hương</v>
          </cell>
          <cell r="Q449" t="str">
            <v>Liên Đăng Hoa Biện</v>
          </cell>
        </row>
        <row r="450">
          <cell r="P450" t="str">
            <v>Trầm Hương</v>
          </cell>
          <cell r="Q450" t="str">
            <v>Liên Đăng Hoa Biện</v>
          </cell>
        </row>
        <row r="451">
          <cell r="P451" t="str">
            <v>Trầm Hương</v>
          </cell>
          <cell r="Q451" t="str">
            <v>Liên Đăng Hoa Biện</v>
          </cell>
        </row>
        <row r="452">
          <cell r="P452" t="str">
            <v>Trầm Hương</v>
          </cell>
          <cell r="Q452" t="str">
            <v>Liên Đăng Hoa Biện</v>
          </cell>
        </row>
        <row r="453">
          <cell r="P453" t="str">
            <v>Trầm Hương</v>
          </cell>
          <cell r="Q453" t="str">
            <v>Liên Đăng Hoa Biện</v>
          </cell>
        </row>
        <row r="454">
          <cell r="P454" t="str">
            <v>Trầm Hương</v>
          </cell>
          <cell r="Q454" t="str">
            <v>Liên Đăng Hoa Biện</v>
          </cell>
        </row>
        <row r="455">
          <cell r="P455" t="str">
            <v>Trầm Hương</v>
          </cell>
          <cell r="Q455" t="str">
            <v>Liên Đăng Hoa Biện</v>
          </cell>
        </row>
        <row r="456">
          <cell r="P456" t="str">
            <v>Trầm Hương</v>
          </cell>
          <cell r="Q456" t="str">
            <v>Liên Đăng Hoa Biện</v>
          </cell>
        </row>
        <row r="457">
          <cell r="P457" t="str">
            <v>Trầm Hương</v>
          </cell>
          <cell r="Q457" t="str">
            <v>Liên Đăng Hoa Biện</v>
          </cell>
        </row>
        <row r="458">
          <cell r="P458" t="str">
            <v>Trầm Hương</v>
          </cell>
          <cell r="Q458" t="str">
            <v>Bán Thần Chi Thể</v>
          </cell>
        </row>
        <row r="459">
          <cell r="P459" t="str">
            <v>Trầm Hương</v>
          </cell>
          <cell r="Q459" t="str">
            <v>Bán Thần Chi Thể</v>
          </cell>
        </row>
        <row r="460">
          <cell r="P460" t="str">
            <v>Trầm Hương</v>
          </cell>
          <cell r="Q460" t="str">
            <v>Bán Thần Chi Thể</v>
          </cell>
        </row>
        <row r="461">
          <cell r="P461" t="str">
            <v>Trầm Hương</v>
          </cell>
          <cell r="Q461" t="str">
            <v>Cực · Bán Thần Chi Thể</v>
          </cell>
        </row>
        <row r="462">
          <cell r="P462" t="str">
            <v>Trầm Hương</v>
          </cell>
          <cell r="Q462" t="str">
            <v>Cực · Bán Thần Chi Thể</v>
          </cell>
        </row>
        <row r="463">
          <cell r="P463" t="str">
            <v>Trầm Hương</v>
          </cell>
          <cell r="Q463" t="str">
            <v>Cực · Bán Thần Chi Thể</v>
          </cell>
        </row>
        <row r="464">
          <cell r="P464" t="str">
            <v>Trầm Hương</v>
          </cell>
          <cell r="Q464" t="str">
            <v>Sơn Tuyền Tư Dưỡng</v>
          </cell>
        </row>
        <row r="465">
          <cell r="P465" t="str">
            <v>Trầm Hương</v>
          </cell>
          <cell r="Q465" t="str">
            <v>Sơn Tuyền Tư Dưỡng</v>
          </cell>
        </row>
        <row r="466">
          <cell r="P466" t="str">
            <v>Trầm Hương</v>
          </cell>
          <cell r="Q466" t="str">
            <v>Sơn Tuyền Tư Dưỡng</v>
          </cell>
        </row>
        <row r="467">
          <cell r="P467" t="str">
            <v>Trầm Hương</v>
          </cell>
          <cell r="Q467" t="str">
            <v>Lương Tính Tuần Hoàn</v>
          </cell>
        </row>
        <row r="468">
          <cell r="P468" t="str">
            <v>Trầm Hương</v>
          </cell>
          <cell r="Q468" t="str">
            <v>Lương Tính Tuần Hoàn</v>
          </cell>
        </row>
        <row r="469">
          <cell r="P469" t="str">
            <v>Trầm Hương</v>
          </cell>
          <cell r="Q469" t="str">
            <v>Lương Tính Tuần Hoàn</v>
          </cell>
        </row>
        <row r="470">
          <cell r="P470" t="str">
            <v>Trầm Hương</v>
          </cell>
          <cell r="Q470" t="str">
            <v>Lực Phách Hoa Sơn</v>
          </cell>
        </row>
        <row r="471">
          <cell r="P471" t="str">
            <v>Trầm Hương</v>
          </cell>
          <cell r="Q471" t="str">
            <v>Lực Phách Hoa Sơn</v>
          </cell>
        </row>
        <row r="472">
          <cell r="P472" t="str">
            <v>Trầm Hương</v>
          </cell>
          <cell r="Q472" t="str">
            <v>Lực Phách Hoa Sơn</v>
          </cell>
        </row>
        <row r="473">
          <cell r="P473" t="str">
            <v>Trầm Hương</v>
          </cell>
          <cell r="Q473" t="str">
            <v>Phách Sơn</v>
          </cell>
        </row>
        <row r="474">
          <cell r="P474" t="str">
            <v>Trầm Hương</v>
          </cell>
          <cell r="Q474" t="str">
            <v>Phách Sơn</v>
          </cell>
        </row>
        <row r="475">
          <cell r="P475" t="str">
            <v>Trầm Hương</v>
          </cell>
          <cell r="Q475" t="str">
            <v>Liên Đăng Hoa Biện</v>
          </cell>
        </row>
        <row r="476">
          <cell r="P476" t="str">
            <v>Trầm Hương</v>
          </cell>
          <cell r="Q476" t="str">
            <v>Liên Đăng Hoa Biện</v>
          </cell>
        </row>
        <row r="477">
          <cell r="P477" t="str">
            <v>Trầm Hương</v>
          </cell>
          <cell r="Q477" t="str">
            <v>Liên Đăng Hoa Biện</v>
          </cell>
        </row>
        <row r="478">
          <cell r="P478" t="str">
            <v>Trầm Hương</v>
          </cell>
          <cell r="Q478" t="str">
            <v>Liên Đăng Hoa Biện</v>
          </cell>
        </row>
        <row r="479">
          <cell r="P479" t="str">
            <v>Trầm Hương</v>
          </cell>
          <cell r="Q479" t="str">
            <v>Linh Đan Diệu Dược</v>
          </cell>
        </row>
        <row r="480">
          <cell r="P480" t="str">
            <v>Trầm Hương</v>
          </cell>
          <cell r="Q480" t="str">
            <v>Linh Đan Diệu Dược</v>
          </cell>
        </row>
        <row r="481">
          <cell r="P481" t="str">
            <v>Trầm Hương</v>
          </cell>
          <cell r="Q481" t="str">
            <v>Linh Đan Diệu Dược</v>
          </cell>
        </row>
        <row r="482">
          <cell r="P482" t="str">
            <v>Trầm Hương</v>
          </cell>
          <cell r="Q482" t="str">
            <v>Lương Tính Tuần Hoàn</v>
          </cell>
        </row>
        <row r="483">
          <cell r="P483" t="str">
            <v>Trầm Hương</v>
          </cell>
          <cell r="Q483" t="str">
            <v>Lương Tính Tuần Hoàn</v>
          </cell>
        </row>
        <row r="484">
          <cell r="P484" t="str">
            <v>Trầm Hương</v>
          </cell>
          <cell r="Q484" t="str">
            <v>Lương Tính Tuần Hoàn</v>
          </cell>
        </row>
        <row r="485">
          <cell r="P485" t="str">
            <v>Trầm Hương</v>
          </cell>
          <cell r="Q485" t="str">
            <v>Sơn Tuyền Tư Dưỡng</v>
          </cell>
        </row>
        <row r="486">
          <cell r="P486" t="str">
            <v>Trầm Hương</v>
          </cell>
          <cell r="Q486" t="str">
            <v>Sơn Tuyền Tư Dưỡng</v>
          </cell>
        </row>
        <row r="487">
          <cell r="P487" t="str">
            <v>Tiên Đồng</v>
          </cell>
          <cell r="Q487" t="str">
            <v>Phổ Công</v>
          </cell>
        </row>
        <row r="488">
          <cell r="P488" t="str">
            <v>Tiên Đồng</v>
          </cell>
          <cell r="Q488" t="str">
            <v>Khải Tuệ</v>
          </cell>
        </row>
        <row r="489">
          <cell r="P489" t="str">
            <v>Nhật Du Thần</v>
          </cell>
          <cell r="Q489" t="str">
            <v>Phổ Công</v>
          </cell>
        </row>
        <row r="490">
          <cell r="P490" t="str">
            <v>Nhật Du Thần</v>
          </cell>
          <cell r="Q490" t="str">
            <v>Bổng Hát</v>
          </cell>
        </row>
        <row r="491">
          <cell r="P491" t="str">
            <v>Nhật Du Thần</v>
          </cell>
          <cell r="Q491" t="str">
            <v>Hung Tương</v>
          </cell>
        </row>
        <row r="492">
          <cell r="P492" t="str">
            <v>Dạ Du Thần</v>
          </cell>
          <cell r="Q492" t="str">
            <v>Phù Dung Tiên Tử</v>
          </cell>
        </row>
        <row r="493">
          <cell r="P493" t="str">
            <v>Dạ Du Thần</v>
          </cell>
          <cell r="Q493" t="str">
            <v>Phù Dung Tiên Tử</v>
          </cell>
        </row>
        <row r="494">
          <cell r="P494" t="str">
            <v>Dạ Du Thần</v>
          </cell>
          <cell r="Q494" t="str">
            <v>Phù Dung Tiên Tử</v>
          </cell>
        </row>
        <row r="495">
          <cell r="P495" t="str">
            <v>Kim Đồng</v>
          </cell>
          <cell r="Q495" t="str">
            <v>Thiên Tương</v>
          </cell>
        </row>
        <row r="496">
          <cell r="P496" t="str">
            <v>Kim Đồng</v>
          </cell>
          <cell r="Q496" t="str">
            <v>Thiên Tương</v>
          </cell>
        </row>
        <row r="497">
          <cell r="P497" t="str">
            <v>Kim Đồng</v>
          </cell>
          <cell r="Q497" t="str">
            <v>Thiên Tương</v>
          </cell>
        </row>
        <row r="498">
          <cell r="P498" t="str">
            <v>Ngọc Nữ</v>
          </cell>
          <cell r="Q498" t="str">
            <v>Phổ Công</v>
          </cell>
        </row>
        <row r="499">
          <cell r="P499" t="str">
            <v>Ngọc Nữ</v>
          </cell>
          <cell r="Q499" t="str">
            <v>Cầm Âm</v>
          </cell>
        </row>
        <row r="500">
          <cell r="P500" t="str">
            <v>Ngọc Nữ</v>
          </cell>
          <cell r="Q500" t="str">
            <v>Sơ Tâm</v>
          </cell>
        </row>
        <row r="501">
          <cell r="P501" t="str">
            <v>Ngọc Nữ</v>
          </cell>
          <cell r="Q501" t="str">
            <v>Cầm Thương</v>
          </cell>
        </row>
        <row r="502">
          <cell r="P502" t="str">
            <v>Thanh Tiêu</v>
          </cell>
          <cell r="Q502" t="str">
            <v>Vụ Trung Tiên</v>
          </cell>
        </row>
        <row r="503">
          <cell r="P503" t="str">
            <v>Thanh Tiêu</v>
          </cell>
          <cell r="Q503" t="str">
            <v>Vụ Trung Tiên</v>
          </cell>
        </row>
        <row r="504">
          <cell r="P504" t="str">
            <v>Thanh Tiêu</v>
          </cell>
          <cell r="Q504" t="str">
            <v>Vụ Trung Tiên</v>
          </cell>
        </row>
        <row r="505">
          <cell r="P505" t="str">
            <v>Long Cát Công Chủ</v>
          </cell>
          <cell r="Q505" t="str">
            <v>Tiểu Long Nữ</v>
          </cell>
        </row>
        <row r="506">
          <cell r="P506" t="str">
            <v>Long Cát Công Chủ</v>
          </cell>
          <cell r="Q506" t="str">
            <v>Tiểu Long Nữ</v>
          </cell>
        </row>
        <row r="507">
          <cell r="P507" t="str">
            <v>Long Cát Công Chủ</v>
          </cell>
          <cell r="Q507" t="str">
            <v>Tiểu Long Nữ</v>
          </cell>
        </row>
        <row r="508">
          <cell r="P508" t="str">
            <v>Địch Tiên</v>
          </cell>
          <cell r="Q508" t="str">
            <v>Phổ Công</v>
          </cell>
        </row>
        <row r="509">
          <cell r="P509" t="str">
            <v>Địch Tiên</v>
          </cell>
          <cell r="Q509" t="str">
            <v>Huyễn Âm</v>
          </cell>
        </row>
        <row r="510">
          <cell r="P510" t="str">
            <v>Địch Tiên</v>
          </cell>
          <cell r="Q510" t="str">
            <v>Ma Địch</v>
          </cell>
        </row>
        <row r="511">
          <cell r="P511" t="str">
            <v>Địch Tiên</v>
          </cell>
          <cell r="Q511" t="str">
            <v>Mê Hồn Khúc</v>
          </cell>
        </row>
        <row r="512">
          <cell r="P512" t="str">
            <v>Thái Bạch Kim Tinh</v>
          </cell>
          <cell r="Q512" t="str">
            <v>Phổ Công</v>
          </cell>
        </row>
        <row r="513">
          <cell r="P513" t="str">
            <v>Thái Bạch Kim Tinh</v>
          </cell>
          <cell r="Q513" t="str">
            <v>Tán Hồn Quyết</v>
          </cell>
        </row>
        <row r="514">
          <cell r="P514" t="str">
            <v>Thái Bạch Kim Tinh</v>
          </cell>
          <cell r="Q514" t="str">
            <v>Chỉ Niệm</v>
          </cell>
        </row>
        <row r="515">
          <cell r="P515" t="str">
            <v>Thái Bạch Kim Tinh</v>
          </cell>
          <cell r="Q515" t="str">
            <v>Luyện Thể Thuật</v>
          </cell>
        </row>
        <row r="516">
          <cell r="P516" t="str">
            <v>Thái Bạch Kim Tinh</v>
          </cell>
          <cell r="Q516" t="str">
            <v>Luyện Thể Thuật</v>
          </cell>
        </row>
        <row r="517">
          <cell r="P517" t="str">
            <v>Thái Bạch Kim Tinh</v>
          </cell>
          <cell r="Q517" t="str">
            <v>Luyện Thể Thuật</v>
          </cell>
        </row>
        <row r="518">
          <cell r="P518" t="str">
            <v>Nguyệt Lão</v>
          </cell>
          <cell r="Q518" t="str">
            <v>Lữ Động Tân</v>
          </cell>
        </row>
        <row r="519">
          <cell r="P519" t="str">
            <v>Nguyệt Lão</v>
          </cell>
          <cell r="Q519" t="str">
            <v>Lữ Động Tân</v>
          </cell>
        </row>
        <row r="520">
          <cell r="P520" t="str">
            <v>Nguyệt Lão</v>
          </cell>
          <cell r="Q520" t="str">
            <v>Lữ Động Tân</v>
          </cell>
        </row>
        <row r="521">
          <cell r="P521" t="str">
            <v>Nguyệt Lão</v>
          </cell>
          <cell r="Q521" t="str">
            <v>Lữ Động Tân</v>
          </cell>
        </row>
        <row r="522">
          <cell r="P522" t="str">
            <v>Chức Nữ</v>
          </cell>
          <cell r="Q522" t="str">
            <v>Phổ Công</v>
          </cell>
        </row>
        <row r="523">
          <cell r="P523" t="str">
            <v>Chức Nữ</v>
          </cell>
          <cell r="Q523" t="str">
            <v>Toa Ảnh Xuyên Hoa</v>
          </cell>
        </row>
        <row r="524">
          <cell r="P524" t="str">
            <v>Chức Nữ</v>
          </cell>
          <cell r="Q524" t="str">
            <v>Toa Ảnh Xuyên Hoa</v>
          </cell>
        </row>
        <row r="525">
          <cell r="P525" t="str">
            <v>Chức Nữ</v>
          </cell>
          <cell r="Q525" t="str">
            <v>Toa Ảnh Xuyên Hoa</v>
          </cell>
        </row>
        <row r="526">
          <cell r="P526" t="str">
            <v>Chức Nữ</v>
          </cell>
          <cell r="Q526" t="str">
            <v>Huệ Chất</v>
          </cell>
        </row>
        <row r="527">
          <cell r="P527" t="str">
            <v>Chức Nữ</v>
          </cell>
          <cell r="Q527" t="str">
            <v>Chức Vụ</v>
          </cell>
        </row>
        <row r="528">
          <cell r="P528" t="str">
            <v>Hà Bá</v>
          </cell>
          <cell r="Q528" t="str">
            <v>Phong Bá</v>
          </cell>
        </row>
        <row r="529">
          <cell r="P529" t="str">
            <v>Hà Bá</v>
          </cell>
          <cell r="Q529" t="str">
            <v>Phong Bá</v>
          </cell>
        </row>
        <row r="530">
          <cell r="P530" t="str">
            <v>Hà Bá</v>
          </cell>
          <cell r="Q530" t="str">
            <v>Phong Bá</v>
          </cell>
        </row>
        <row r="531">
          <cell r="P531" t="str">
            <v>Hà Bá</v>
          </cell>
          <cell r="Q531" t="str">
            <v>Phong Bá</v>
          </cell>
        </row>
        <row r="532">
          <cell r="P532" t="str">
            <v>Vũ Sư</v>
          </cell>
          <cell r="Q532" t="str">
            <v>Phổ Công</v>
          </cell>
        </row>
        <row r="533">
          <cell r="P533" t="str">
            <v>Vũ Sư</v>
          </cell>
          <cell r="Q533" t="str">
            <v>Quỷ Ba Mạn Quyển</v>
          </cell>
        </row>
        <row r="534">
          <cell r="P534" t="str">
            <v>Vũ Sư</v>
          </cell>
          <cell r="Q534" t="str">
            <v>Thủy Chi Thân Hòa</v>
          </cell>
        </row>
        <row r="535">
          <cell r="P535" t="str">
            <v>Vũ Sư</v>
          </cell>
          <cell r="Q535" t="str">
            <v>Hành Vân Bố Vũ</v>
          </cell>
        </row>
        <row r="536">
          <cell r="P536" t="str">
            <v>Thiên Bồng Nguyên Soái</v>
          </cell>
          <cell r="Q536" t="str">
            <v>Phổ Công</v>
          </cell>
        </row>
        <row r="537">
          <cell r="P537" t="str">
            <v>Thiên Bồng Nguyên Soái</v>
          </cell>
          <cell r="Q537" t="str">
            <v>Đinh Bá Trùng Kích</v>
          </cell>
        </row>
        <row r="538">
          <cell r="P538" t="str">
            <v>Thiên Bồng Nguyên Soái</v>
          </cell>
          <cell r="Q538" t="str">
            <v>Đinh Bá Trùng Kích</v>
          </cell>
        </row>
        <row r="539">
          <cell r="P539" t="str">
            <v>Thiên Bồng Nguyên Soái</v>
          </cell>
          <cell r="Q539" t="str">
            <v>Đinh Bá Trùng Kích</v>
          </cell>
        </row>
        <row r="540">
          <cell r="P540" t="str">
            <v>Thiên Bồng Nguyên Soái</v>
          </cell>
          <cell r="Q540" t="str">
            <v>Tông Mao Hộ Thể</v>
          </cell>
        </row>
        <row r="541">
          <cell r="P541" t="str">
            <v>Thiên Bồng Nguyên Soái</v>
          </cell>
          <cell r="Q541" t="str">
            <v>Tông Mao Hộ Thể</v>
          </cell>
        </row>
        <row r="542">
          <cell r="P542" t="str">
            <v>Thiên Bồng Nguyên Soái</v>
          </cell>
          <cell r="Q542" t="str">
            <v>Tông Mao Hộ Thể</v>
          </cell>
        </row>
        <row r="543">
          <cell r="P543" t="str">
            <v>Thiên Bồng Nguyên Soái</v>
          </cell>
          <cell r="Q543" t="str">
            <v>Cực · Tông Mao Hộ Thể</v>
          </cell>
        </row>
        <row r="544">
          <cell r="P544" t="str">
            <v>Thiên Bồng Nguyên Soái</v>
          </cell>
          <cell r="Q544" t="str">
            <v>Cực · Tông Mao Hộ Thể</v>
          </cell>
        </row>
        <row r="545">
          <cell r="P545" t="str">
            <v>Thiên Bồng Nguyên Soái</v>
          </cell>
          <cell r="Q545" t="str">
            <v>Cực · Tông Mao Hộ Thể</v>
          </cell>
        </row>
        <row r="546">
          <cell r="P546" t="str">
            <v>Thiên Bồng Nguyên Soái</v>
          </cell>
          <cell r="Q546" t="str">
            <v>Ngộ Năng</v>
          </cell>
        </row>
        <row r="547">
          <cell r="P547" t="str">
            <v>Thiên Bồng Nguyên Soái</v>
          </cell>
          <cell r="Q547" t="str">
            <v>Ngộ Năng</v>
          </cell>
        </row>
        <row r="548">
          <cell r="P548" t="str">
            <v>Thiên Bồng Nguyên Soái</v>
          </cell>
          <cell r="Q548" t="str">
            <v>Ngộ Năng</v>
          </cell>
        </row>
        <row r="549">
          <cell r="P549" t="str">
            <v>Thiên Bồng Nguyên Soái</v>
          </cell>
          <cell r="Q549" t="str">
            <v>Ngão Xỉ</v>
          </cell>
        </row>
        <row r="550">
          <cell r="P550" t="str">
            <v>Thiên Bồng Nguyên Soái</v>
          </cell>
          <cell r="Q550" t="str">
            <v>Ngão Xỉ</v>
          </cell>
        </row>
        <row r="551">
          <cell r="P551" t="str">
            <v>Thiên Bồng Nguyên Soái</v>
          </cell>
          <cell r="Q551" t="str">
            <v>Ngão Xỉ</v>
          </cell>
        </row>
        <row r="552">
          <cell r="P552" t="str">
            <v>Thiên Bồng Nguyên Soái</v>
          </cell>
          <cell r="Q552" t="str">
            <v>Đinh Bá Trùng Kích</v>
          </cell>
        </row>
        <row r="553">
          <cell r="P553" t="str">
            <v>Thiên Bồng Nguyên Soái</v>
          </cell>
          <cell r="Q553" t="str">
            <v>Đinh Bá Trùng Kích</v>
          </cell>
        </row>
        <row r="554">
          <cell r="P554" t="str">
            <v>Thiên Bồng Nguyên Soái</v>
          </cell>
          <cell r="Q554" t="str">
            <v>Đinh Bá Trùng Kích</v>
          </cell>
        </row>
        <row r="555">
          <cell r="P555" t="str">
            <v>Thiên Bồng Nguyên Soái</v>
          </cell>
          <cell r="Q555" t="str">
            <v>Đinh Bá Trùng Kích</v>
          </cell>
        </row>
        <row r="556">
          <cell r="P556" t="str">
            <v>Thiên Bồng Nguyên Soái</v>
          </cell>
          <cell r="Q556" t="str">
            <v>Đinh Bá Trùng Kích</v>
          </cell>
        </row>
        <row r="557">
          <cell r="P557" t="str">
            <v>Thiên Bồng Nguyên Soái</v>
          </cell>
          <cell r="Q557" t="str">
            <v>Đinh Bá Trùng Kích</v>
          </cell>
        </row>
        <row r="558">
          <cell r="P558" t="str">
            <v>Thiên Bồng Nguyên Soái</v>
          </cell>
          <cell r="Q558" t="str">
            <v>Đinh Bá Trùng Kích</v>
          </cell>
        </row>
        <row r="559">
          <cell r="P559" t="str">
            <v>Thiên Bồng Nguyên Soái</v>
          </cell>
          <cell r="Q559" t="str">
            <v>Đinh Bá Trùng Kích</v>
          </cell>
        </row>
        <row r="560">
          <cell r="P560" t="str">
            <v>Thiên Bồng Nguyên Soái</v>
          </cell>
          <cell r="Q560" t="str">
            <v>Đinh Bá Trùng Kích</v>
          </cell>
        </row>
        <row r="561">
          <cell r="P561" t="str">
            <v>Quyển Liêm Đại Tương</v>
          </cell>
          <cell r="Q561" t="str">
            <v>Phổ Công</v>
          </cell>
        </row>
        <row r="562">
          <cell r="P562" t="str">
            <v>Quyển Liêm Đại Tương</v>
          </cell>
          <cell r="Q562" t="str">
            <v>Thiên Hàng Nhất Kích</v>
          </cell>
        </row>
        <row r="563">
          <cell r="P563" t="str">
            <v>Quyển Liêm Đại Tương</v>
          </cell>
          <cell r="Q563" t="str">
            <v>Thiên Hàng Nhất Kích</v>
          </cell>
        </row>
        <row r="564">
          <cell r="P564" t="str">
            <v>Quyển Liêm Đại Tương</v>
          </cell>
          <cell r="Q564" t="str">
            <v>Thiên Hàng Nhất Kích</v>
          </cell>
        </row>
        <row r="565">
          <cell r="P565" t="str">
            <v>Quyển Liêm Đại Tương</v>
          </cell>
          <cell r="Q565" t="str">
            <v>Nguyên Tố Chi Khu</v>
          </cell>
        </row>
        <row r="566">
          <cell r="P566" t="str">
            <v>Quyển Liêm Đại Tương</v>
          </cell>
          <cell r="Q566" t="str">
            <v>Nguyên Tố Chi Khu</v>
          </cell>
        </row>
        <row r="567">
          <cell r="P567" t="str">
            <v>Quyển Liêm Đại Tương</v>
          </cell>
          <cell r="Q567" t="str">
            <v>Nguyên Tố Chi Khu</v>
          </cell>
        </row>
        <row r="568">
          <cell r="P568" t="str">
            <v>Quyển Liêm Đại Tương</v>
          </cell>
          <cell r="Q568" t="str">
            <v>Cực · Nguyên Tố Chi Khu</v>
          </cell>
        </row>
        <row r="569">
          <cell r="P569" t="str">
            <v>Quyển Liêm Đại Tương</v>
          </cell>
          <cell r="Q569" t="str">
            <v>Cực · Nguyên Tố Chi Khu</v>
          </cell>
        </row>
        <row r="570">
          <cell r="P570" t="str">
            <v>Quyển Liêm Đại Tương</v>
          </cell>
          <cell r="Q570" t="str">
            <v>Cực · Nguyên Tố Chi Khu</v>
          </cell>
        </row>
        <row r="571">
          <cell r="P571" t="str">
            <v>Quyển Liêm Đại Tương</v>
          </cell>
          <cell r="Q571" t="str">
            <v>Thủy Chi Thủ Hộ</v>
          </cell>
        </row>
        <row r="572">
          <cell r="P572" t="str">
            <v>Quyển Liêm Đại Tương</v>
          </cell>
          <cell r="Q572" t="str">
            <v>Thủy Chi Thủ Hộ</v>
          </cell>
        </row>
        <row r="573">
          <cell r="P573" t="str">
            <v>Quyển Liêm Đại Tương</v>
          </cell>
          <cell r="Q573" t="str">
            <v>Thủy Chi Thủ Hộ</v>
          </cell>
        </row>
        <row r="574">
          <cell r="P574" t="str">
            <v>Quyển Liêm Đại Tương</v>
          </cell>
          <cell r="Q574" t="str">
            <v>Thủy Chi Thủ Hộ</v>
          </cell>
        </row>
        <row r="575">
          <cell r="P575" t="str">
            <v>Quyển Liêm Đại Tương</v>
          </cell>
          <cell r="Q575" t="str">
            <v>Thủy Chi Thủ Hộ</v>
          </cell>
        </row>
        <row r="576">
          <cell r="P576" t="str">
            <v>Quyển Liêm Đại Tương</v>
          </cell>
          <cell r="Q576" t="str">
            <v>Thủy Chi Thủ Hộ</v>
          </cell>
        </row>
        <row r="577">
          <cell r="P577" t="str">
            <v>Quyển Liêm Đại Tương</v>
          </cell>
          <cell r="Q577" t="str">
            <v>Thủy Chi Thủ Hộ</v>
          </cell>
        </row>
        <row r="578">
          <cell r="P578" t="str">
            <v>Quyển Liêm Đại Tương</v>
          </cell>
          <cell r="Q578" t="str">
            <v>Thủy Chi Thủ Hộ</v>
          </cell>
        </row>
        <row r="579">
          <cell r="P579" t="str">
            <v>Quyển Liêm Đại Tương</v>
          </cell>
          <cell r="Q579" t="str">
            <v>Thủy Chi Thủ Hộ</v>
          </cell>
        </row>
        <row r="580">
          <cell r="P580" t="str">
            <v>Quyển Liêm Đại Tương</v>
          </cell>
          <cell r="Q580" t="str">
            <v>Hưng Phong Tác Lãng</v>
          </cell>
        </row>
        <row r="581">
          <cell r="P581" t="str">
            <v>Quyển Liêm Đại Tương</v>
          </cell>
          <cell r="Q581" t="str">
            <v>Hưng Phong Tác Lãng</v>
          </cell>
        </row>
        <row r="582">
          <cell r="P582" t="str">
            <v>Quyển Liêm Đại Tương</v>
          </cell>
          <cell r="Q582" t="str">
            <v>Hưng Phong Tác Lãng</v>
          </cell>
        </row>
        <row r="583">
          <cell r="P583" t="str">
            <v>Quyển Liêm Đại Tương</v>
          </cell>
          <cell r="Q583" t="str">
            <v>Thủ Hộ Diên Thân</v>
          </cell>
        </row>
        <row r="584">
          <cell r="P584" t="str">
            <v>Quyển Liêm Đại Tương</v>
          </cell>
          <cell r="Q584" t="str">
            <v>Thủ Hộ Diên Thân</v>
          </cell>
        </row>
        <row r="585">
          <cell r="P585" t="str">
            <v>Quyển Liêm Đại Tương</v>
          </cell>
          <cell r="Q585" t="str">
            <v>Thủ Hộ Diên Thân</v>
          </cell>
        </row>
        <row r="586">
          <cell r="P586" t="str">
            <v>Quyển Liêm Đại Tương</v>
          </cell>
          <cell r="Q586" t="str">
            <v>Thủy Chi Thủ Hộ</v>
          </cell>
        </row>
        <row r="587">
          <cell r="P587" t="str">
            <v>Quyển Liêm Đại Tương</v>
          </cell>
          <cell r="Q587" t="str">
            <v>Thủy Chi Thủ Hộ</v>
          </cell>
        </row>
        <row r="588">
          <cell r="P588" t="str">
            <v>Quyển Liêm Đại Tương</v>
          </cell>
          <cell r="Q588" t="str">
            <v>Thủy Chi Thủ Hộ</v>
          </cell>
        </row>
        <row r="589">
          <cell r="P589" t="str">
            <v>Quyển Liêm Đại Tương</v>
          </cell>
          <cell r="Q589" t="str">
            <v>Thủy Chi Thủ Hộ</v>
          </cell>
        </row>
        <row r="590">
          <cell r="P590" t="str">
            <v>Quyển Liêm Đại Tương</v>
          </cell>
          <cell r="Q590" t="str">
            <v>Thủy Chi Thủ Hộ</v>
          </cell>
        </row>
        <row r="591">
          <cell r="P591" t="str">
            <v>Quyển Liêm Đại Tương</v>
          </cell>
          <cell r="Q591" t="str">
            <v>Thủy Chi Thủ Hộ</v>
          </cell>
        </row>
        <row r="592">
          <cell r="P592" t="str">
            <v>Quyển Liêm Đại Tương</v>
          </cell>
          <cell r="Q592" t="str">
            <v>Thủy Chi Thủ Hộ</v>
          </cell>
        </row>
        <row r="593">
          <cell r="P593" t="str">
            <v>Quyển Liêm Đại Tương</v>
          </cell>
          <cell r="Q593" t="str">
            <v>Thủy Chi Thủ Hộ</v>
          </cell>
        </row>
        <row r="594">
          <cell r="P594" t="str">
            <v>Quyển Liêm Đại Tương</v>
          </cell>
          <cell r="Q594" t="str">
            <v>Thủy Chi Thủ Hộ</v>
          </cell>
        </row>
        <row r="595">
          <cell r="P595" t="str">
            <v>Quyển Liêm Đại Tương</v>
          </cell>
          <cell r="Q595" t="str">
            <v>Lưu Ly Đăng Trản</v>
          </cell>
        </row>
        <row r="596">
          <cell r="P596" t="str">
            <v>Quyển Liêm Đại Tương</v>
          </cell>
          <cell r="Q596" t="str">
            <v>Lưu Ly Đăng Trản</v>
          </cell>
        </row>
        <row r="597">
          <cell r="P597" t="str">
            <v>Quyển Liêm Đại Tương</v>
          </cell>
          <cell r="Q597" t="str">
            <v>Lưu Ly Đăng Trản</v>
          </cell>
        </row>
        <row r="598">
          <cell r="P598" t="str">
            <v>Nam Cực Tiên Tử</v>
          </cell>
          <cell r="Q598" t="str">
            <v>Phổ Công</v>
          </cell>
        </row>
        <row r="599">
          <cell r="P599" t="str">
            <v>Nam Cực Tiên Tử</v>
          </cell>
          <cell r="Q599" t="str">
            <v>Tiên Linh Chúc Phúc</v>
          </cell>
        </row>
        <row r="600">
          <cell r="P600" t="str">
            <v>Nam Cực Tiên Tử</v>
          </cell>
          <cell r="Q600" t="str">
            <v>Tiên Linh Chúc Phúc</v>
          </cell>
        </row>
        <row r="601">
          <cell r="P601" t="str">
            <v>Nam Cực Tiên Tử</v>
          </cell>
          <cell r="Q601" t="str">
            <v>Tiên Linh Chúc Phúc</v>
          </cell>
        </row>
        <row r="602">
          <cell r="P602" t="str">
            <v>Nam Cực Tiên Tử</v>
          </cell>
          <cell r="Q602" t="str">
            <v>Hậu Duyên</v>
          </cell>
        </row>
        <row r="603">
          <cell r="P603" t="str">
            <v>Nam Cực Tiên Tử</v>
          </cell>
          <cell r="Q603" t="str">
            <v>Hậu Duyên</v>
          </cell>
        </row>
        <row r="604">
          <cell r="P604" t="str">
            <v>Nam Cực Tiên Tử</v>
          </cell>
          <cell r="Q604" t="str">
            <v>Hậu Duyên</v>
          </cell>
        </row>
        <row r="605">
          <cell r="P605" t="str">
            <v>Nam Cực Tiên Tử</v>
          </cell>
          <cell r="Q605" t="str">
            <v>Cực · Hậu Duyên</v>
          </cell>
        </row>
        <row r="606">
          <cell r="P606" t="str">
            <v>Nam Cực Tiên Tử</v>
          </cell>
          <cell r="Q606" t="str">
            <v>Cực · Hậu Duyên</v>
          </cell>
        </row>
        <row r="607">
          <cell r="P607" t="str">
            <v>Nam Cực Tiên Tử</v>
          </cell>
          <cell r="Q607" t="str">
            <v>Cực · Hậu Duyên</v>
          </cell>
        </row>
        <row r="608">
          <cell r="P608" t="str">
            <v>Nam Cực Tiên Tử</v>
          </cell>
          <cell r="Q608" t="str">
            <v>Sinh Mệnh Nguyên Tuyền</v>
          </cell>
        </row>
        <row r="609">
          <cell r="P609" t="str">
            <v>Nam Cực Tiên Tử</v>
          </cell>
          <cell r="Q609" t="str">
            <v>Sinh Mệnh Nguyên Tuyền</v>
          </cell>
        </row>
        <row r="610">
          <cell r="P610" t="str">
            <v>Nam Cực Tiên Tử</v>
          </cell>
          <cell r="Q610" t="str">
            <v>Sinh Mệnh Nguyên Tuyền</v>
          </cell>
        </row>
        <row r="611">
          <cell r="P611" t="str">
            <v>Nam Cực Tiên Tử</v>
          </cell>
          <cell r="Q611" t="str">
            <v>Sinh Mệnh Nguyên Tuyền</v>
          </cell>
        </row>
        <row r="612">
          <cell r="P612" t="str">
            <v>Nam Cực Tiên Tử</v>
          </cell>
          <cell r="Q612" t="str">
            <v>Sinh Mệnh Nguyên Tuyền</v>
          </cell>
        </row>
        <row r="613">
          <cell r="P613" t="str">
            <v>Nam Cực Tiên Tử</v>
          </cell>
          <cell r="Q613" t="str">
            <v>Sinh Mệnh Nguyên Tuyền</v>
          </cell>
        </row>
        <row r="614">
          <cell r="P614" t="str">
            <v>Nam Cực Tiên Tử</v>
          </cell>
          <cell r="Q614" t="str">
            <v>Sinh Mệnh Nguyên Tuyền</v>
          </cell>
        </row>
        <row r="615">
          <cell r="P615" t="str">
            <v>Nam Cực Tiên Tử</v>
          </cell>
          <cell r="Q615" t="str">
            <v>Sinh Mệnh Nguyên Tuyền</v>
          </cell>
        </row>
        <row r="616">
          <cell r="P616" t="str">
            <v>Nam Cực Tiên Tử</v>
          </cell>
          <cell r="Q616" t="str">
            <v>Sinh Mệnh Nguyên Tuyền</v>
          </cell>
        </row>
        <row r="617">
          <cell r="P617" t="str">
            <v>Lộc Duyên Thượng Tiên</v>
          </cell>
          <cell r="Q617" t="str">
            <v>Phổ Công</v>
          </cell>
        </row>
        <row r="618">
          <cell r="P618" t="str">
            <v>Lộc Duyên Thượng Tiên</v>
          </cell>
          <cell r="Q618" t="str">
            <v>Cát Tinh Cao Chiếu</v>
          </cell>
        </row>
        <row r="619">
          <cell r="P619" t="str">
            <v>Lộc Duyên Thượng Tiên</v>
          </cell>
          <cell r="Q619" t="str">
            <v>Cát Tinh Cao Chiếu</v>
          </cell>
        </row>
        <row r="620">
          <cell r="P620" t="str">
            <v>Lộc Duyên Thượng Tiên</v>
          </cell>
          <cell r="Q620" t="str">
            <v>Cát Tinh Cao Chiếu</v>
          </cell>
        </row>
        <row r="621">
          <cell r="P621" t="str">
            <v>Lộc Duyên Thượng Tiên</v>
          </cell>
          <cell r="Q621" t="str">
            <v>Sinh Tài Hữu Đạo</v>
          </cell>
        </row>
        <row r="622">
          <cell r="P622" t="str">
            <v>Lộc Duyên Thượng Tiên</v>
          </cell>
          <cell r="Q622" t="str">
            <v>Sinh Tài Hữu Đạo</v>
          </cell>
        </row>
        <row r="623">
          <cell r="P623" t="str">
            <v>Lộc Duyên Thượng Tiên</v>
          </cell>
          <cell r="Q623" t="str">
            <v>Sinh Tài Hữu Đạo</v>
          </cell>
        </row>
        <row r="624">
          <cell r="P624" t="str">
            <v>Lộc Duyên Thượng Tiên</v>
          </cell>
          <cell r="Q624" t="str">
            <v>Cực · Sinh Tài Hữu Đạo</v>
          </cell>
        </row>
        <row r="625">
          <cell r="P625" t="str">
            <v>Lộc Duyên Thượng Tiên</v>
          </cell>
          <cell r="Q625" t="str">
            <v>Cực · Sinh Tài Hữu Đạo</v>
          </cell>
        </row>
        <row r="626">
          <cell r="P626" t="str">
            <v>Lộc Duyên Thượng Tiên</v>
          </cell>
          <cell r="Q626" t="str">
            <v>Cực · Sinh Tài Hữu Đạo</v>
          </cell>
        </row>
        <row r="627">
          <cell r="P627" t="str">
            <v>Lộc Duyên Thượng Tiên</v>
          </cell>
          <cell r="Q627" t="str">
            <v>Khởi Tử Hồi Sinh</v>
          </cell>
        </row>
        <row r="628">
          <cell r="P628" t="str">
            <v>Lộc Duyên Thượng Tiên</v>
          </cell>
          <cell r="Q628" t="str">
            <v>Khởi Tử Hồi Sinh</v>
          </cell>
        </row>
        <row r="629">
          <cell r="P629" t="str">
            <v>Lộc Duyên Thượng Tiên</v>
          </cell>
          <cell r="Q629" t="str">
            <v>Khởi Tử Hồi Sinh</v>
          </cell>
        </row>
        <row r="630">
          <cell r="P630" t="str">
            <v>Lộc Duyên Thượng Tiên</v>
          </cell>
          <cell r="Q630" t="str">
            <v>Hiển Năng</v>
          </cell>
        </row>
        <row r="631">
          <cell r="P631" t="str">
            <v>Lộc Duyên Thượng Tiên</v>
          </cell>
          <cell r="Q631" t="str">
            <v>Hiển Năng</v>
          </cell>
        </row>
        <row r="632">
          <cell r="P632" t="str">
            <v>Lộc Duyên Thượng Tiên</v>
          </cell>
          <cell r="Q632" t="str">
            <v>Hiển Năng</v>
          </cell>
        </row>
        <row r="633">
          <cell r="P633" t="str">
            <v>Lộc Duyên Thượng Tiên</v>
          </cell>
          <cell r="Q633" t="str">
            <v>Khởi Tử Hồi Sinh</v>
          </cell>
        </row>
        <row r="634">
          <cell r="P634" t="str">
            <v>Lộc Duyên Thượng Tiên</v>
          </cell>
          <cell r="Q634" t="str">
            <v>Khởi Tử Hồi Sinh</v>
          </cell>
        </row>
        <row r="635">
          <cell r="P635" t="str">
            <v>Lộc Duyên Thượng Tiên</v>
          </cell>
          <cell r="Q635" t="str">
            <v>Khởi Tử Hồi Sinh</v>
          </cell>
        </row>
        <row r="636">
          <cell r="P636" t="str">
            <v>Lộc Duyên Thượng Tiên</v>
          </cell>
          <cell r="Q636" t="str">
            <v>Cát Tinh Cao Chiếu</v>
          </cell>
        </row>
        <row r="637">
          <cell r="P637" t="str">
            <v>Lộc Duyên Thượng Tiên</v>
          </cell>
          <cell r="Q637" t="str">
            <v>Cát Tinh Cao Chiếu</v>
          </cell>
        </row>
        <row r="638">
          <cell r="P638" t="str">
            <v>Lộc Duyên Thượng Tiên</v>
          </cell>
          <cell r="Q638" t="str">
            <v>Cát Tinh Cao Chiếu</v>
          </cell>
        </row>
        <row r="639">
          <cell r="P639" t="str">
            <v>Lộc Duyên Thượng Tiên</v>
          </cell>
          <cell r="Q639" t="str">
            <v>Cát Tinh Cao Chiếu</v>
          </cell>
        </row>
        <row r="640">
          <cell r="P640" t="str">
            <v>Lộc Duyên Thượng Tiên</v>
          </cell>
          <cell r="Q640" t="str">
            <v>Cát Tinh Cao Chiếu</v>
          </cell>
        </row>
        <row r="641">
          <cell r="P641" t="str">
            <v>Lộc Duyên Thượng Tiên</v>
          </cell>
          <cell r="Q641" t="str">
            <v>Cát Tinh Cao Chiếu</v>
          </cell>
        </row>
        <row r="642">
          <cell r="P642" t="str">
            <v>Lộc Duyên Thượng Tiên</v>
          </cell>
          <cell r="Q642" t="str">
            <v>Cát Tinh Cao Chiếu</v>
          </cell>
        </row>
        <row r="643">
          <cell r="P643" t="str">
            <v>Lộc Duyên Thượng Tiên</v>
          </cell>
          <cell r="Q643" t="str">
            <v>Cát Tinh Cao Chiếu</v>
          </cell>
        </row>
        <row r="644">
          <cell r="P644" t="str">
            <v>Lộc Duyên Thượng Tiên</v>
          </cell>
          <cell r="Q644" t="str">
            <v>Cát Tinh Cao Chiếu</v>
          </cell>
        </row>
        <row r="645">
          <cell r="P645" t="str">
            <v>Lộc Duyên Thượng Tiên</v>
          </cell>
          <cell r="Q645" t="str">
            <v>Tán Tài</v>
          </cell>
        </row>
        <row r="646">
          <cell r="P646" t="str">
            <v>Lộc Duyên Thượng Tiên</v>
          </cell>
          <cell r="Q646" t="str">
            <v>Tán Tài</v>
          </cell>
        </row>
        <row r="647">
          <cell r="P647" t="str">
            <v>Lộc Duyên Thượng Tiên</v>
          </cell>
          <cell r="Q647" t="str">
            <v>Tán Tài</v>
          </cell>
        </row>
        <row r="648">
          <cell r="P648" t="str">
            <v>Lộc Duyên Thượng Tiên</v>
          </cell>
          <cell r="Q648" t="str">
            <v>Đắc Đạo Kim Tiên</v>
          </cell>
        </row>
        <row r="649">
          <cell r="P649" t="str">
            <v>Lộc Duyên Thượng Tiên</v>
          </cell>
          <cell r="Q649" t="str">
            <v>Đắc Đạo Kim Tiên</v>
          </cell>
        </row>
        <row r="650">
          <cell r="P650" t="str">
            <v>Lộc Duyên Thượng Tiên</v>
          </cell>
          <cell r="Q650" t="str">
            <v>Đắc Đạo Kim Tiên</v>
          </cell>
        </row>
        <row r="651">
          <cell r="P651" t="str">
            <v>Lộc Duyên Thượng Tiên</v>
          </cell>
          <cell r="Q651" t="str">
            <v>Khởi Tử Hồi Sinh</v>
          </cell>
        </row>
        <row r="652">
          <cell r="P652" t="str">
            <v>Lộc Duyên Thượng Tiên</v>
          </cell>
          <cell r="Q652" t="str">
            <v>Khởi Tử Hồi Sinh</v>
          </cell>
        </row>
        <row r="653">
          <cell r="P653" t="str">
            <v>Đấu Chiến Thắng Phật</v>
          </cell>
          <cell r="Q653" t="str">
            <v>Đấu Chiến Thắng Phật</v>
          </cell>
        </row>
        <row r="654">
          <cell r="P654" t="str">
            <v>Đấu Chiến Thắng Phật</v>
          </cell>
          <cell r="Q654" t="str">
            <v>Kình Thiên Nhất Côn</v>
          </cell>
        </row>
        <row r="655">
          <cell r="P655" t="str">
            <v>Đấu Chiến Thắng Phật</v>
          </cell>
          <cell r="Q655" t="str">
            <v>Kình Thiên Nhất Côn</v>
          </cell>
        </row>
        <row r="656">
          <cell r="P656" t="str">
            <v>Đấu Chiến Thắng Phật</v>
          </cell>
          <cell r="Q656" t="str">
            <v>Kình Thiên Nhất Côn</v>
          </cell>
        </row>
        <row r="657">
          <cell r="P657" t="str">
            <v>Đấu Chiến Thắng Phật</v>
          </cell>
          <cell r="Q657" t="str">
            <v>Kình Thiên Nhất Côn</v>
          </cell>
        </row>
        <row r="658">
          <cell r="P658" t="str">
            <v>Đấu Chiến Thắng Phật</v>
          </cell>
          <cell r="Q658" t="str">
            <v>Kình Thiên Nhất Côn</v>
          </cell>
        </row>
        <row r="659">
          <cell r="P659" t="str">
            <v>Đấu Chiến Thắng Phật</v>
          </cell>
          <cell r="Q659" t="str">
            <v>Kình Thiên Nhất Côn</v>
          </cell>
        </row>
        <row r="660">
          <cell r="P660" t="str">
            <v>Đấu Chiến Thắng Phật</v>
          </cell>
          <cell r="Q660" t="str">
            <v>Cân Đấu Vân</v>
          </cell>
        </row>
        <row r="661">
          <cell r="P661" t="str">
            <v>Đấu Chiến Thắng Phật</v>
          </cell>
          <cell r="Q661" t="str">
            <v>Cân Đấu Vân</v>
          </cell>
        </row>
        <row r="662">
          <cell r="P662" t="str">
            <v>Đấu Chiến Thắng Phật</v>
          </cell>
          <cell r="Q662" t="str">
            <v>Cân Đấu Vân</v>
          </cell>
        </row>
        <row r="663">
          <cell r="P663" t="str">
            <v>Đấu Chiến Thắng Phật</v>
          </cell>
          <cell r="Q663" t="str">
            <v>Cực · Cân Đấu Vân</v>
          </cell>
        </row>
        <row r="664">
          <cell r="P664" t="str">
            <v>Đấu Chiến Thắng Phật</v>
          </cell>
          <cell r="Q664" t="str">
            <v>Cực · Cân Đấu Vân</v>
          </cell>
        </row>
        <row r="665">
          <cell r="P665" t="str">
            <v>Đấu Chiến Thắng Phật</v>
          </cell>
          <cell r="Q665" t="str">
            <v>Cực · Cân Đấu Vân</v>
          </cell>
        </row>
        <row r="666">
          <cell r="P666" t="str">
            <v>Đấu Chiến Thắng Phật</v>
          </cell>
          <cell r="Q666" t="str">
            <v>Hoành Tảo Tứ Phương</v>
          </cell>
        </row>
        <row r="667">
          <cell r="P667" t="str">
            <v>Đấu Chiến Thắng Phật</v>
          </cell>
          <cell r="Q667" t="str">
            <v>Hoành Tảo Tứ Phương</v>
          </cell>
        </row>
        <row r="668">
          <cell r="P668" t="str">
            <v>Đấu Chiến Thắng Phật</v>
          </cell>
          <cell r="Q668" t="str">
            <v>Hoành Tảo Tứ Phương</v>
          </cell>
        </row>
        <row r="669">
          <cell r="P669" t="str">
            <v>Đấu Chiến Thắng Phật</v>
          </cell>
          <cell r="Q669" t="str">
            <v>Hoành Tảo Tứ Phương</v>
          </cell>
        </row>
        <row r="670">
          <cell r="P670" t="str">
            <v>Đấu Chiến Thắng Phật</v>
          </cell>
          <cell r="Q670" t="str">
            <v>Hoành Tảo Tứ Phương</v>
          </cell>
        </row>
        <row r="671">
          <cell r="P671" t="str">
            <v>Đấu Chiến Thắng Phật</v>
          </cell>
          <cell r="Q671" t="str">
            <v>Hoành Tảo Tứ Phương</v>
          </cell>
        </row>
        <row r="672">
          <cell r="P672" t="str">
            <v>Đấu Chiến Thắng Phật</v>
          </cell>
          <cell r="Q672" t="str">
            <v>Hoành Tảo Tứ Phương</v>
          </cell>
        </row>
        <row r="673">
          <cell r="P673" t="str">
            <v>Đấu Chiến Thắng Phật</v>
          </cell>
          <cell r="Q673" t="str">
            <v>Hoành Tảo Tứ Phương</v>
          </cell>
        </row>
        <row r="674">
          <cell r="P674" t="str">
            <v>Đấu Chiến Thắng Phật</v>
          </cell>
          <cell r="Q674" t="str">
            <v>Hoành Tảo Tứ Phương</v>
          </cell>
        </row>
        <row r="675">
          <cell r="P675" t="str">
            <v>Đấu Chiến Thắng Phật</v>
          </cell>
          <cell r="Q675" t="str">
            <v>Hảo Đấu</v>
          </cell>
        </row>
        <row r="676">
          <cell r="P676" t="str">
            <v>Đấu Chiến Thắng Phật</v>
          </cell>
          <cell r="Q676" t="str">
            <v>Hảo Đấu</v>
          </cell>
        </row>
        <row r="677">
          <cell r="P677" t="str">
            <v>Đấu Chiến Thắng Phật</v>
          </cell>
          <cell r="Q677" t="str">
            <v>Hảo Đấu</v>
          </cell>
        </row>
        <row r="678">
          <cell r="P678" t="str">
            <v>Đấu Chiến Thắng Phật</v>
          </cell>
          <cell r="Q678" t="str">
            <v>Dịch Thế</v>
          </cell>
        </row>
        <row r="679">
          <cell r="P679" t="str">
            <v>Đấu Chiến Thắng Phật</v>
          </cell>
          <cell r="Q679" t="str">
            <v>Dịch Thế</v>
          </cell>
        </row>
        <row r="680">
          <cell r="P680" t="str">
            <v>Đấu Chiến Thắng Phật</v>
          </cell>
          <cell r="Q680" t="str">
            <v>Dịch Thế</v>
          </cell>
        </row>
        <row r="681">
          <cell r="P681" t="str">
            <v>Đấu Chiến Thắng Phật</v>
          </cell>
          <cell r="Q681" t="str">
            <v>Kình Thiên Nhất Côn</v>
          </cell>
        </row>
        <row r="682">
          <cell r="P682" t="str">
            <v>Đấu Chiến Thắng Phật</v>
          </cell>
          <cell r="Q682" t="str">
            <v>Kình Thiên Nhất Côn</v>
          </cell>
        </row>
        <row r="683">
          <cell r="P683" t="str">
            <v>Đấu Chiến Thắng Phật</v>
          </cell>
          <cell r="Q683" t="str">
            <v>Kình Thiên Nhất Côn</v>
          </cell>
        </row>
        <row r="684">
          <cell r="P684" t="str">
            <v>Đấu Chiến Thắng Phật</v>
          </cell>
          <cell r="Q684" t="str">
            <v>Sát Tâm Sậu Khởi</v>
          </cell>
        </row>
        <row r="685">
          <cell r="P685" t="str">
            <v>Đấu Chiến Thắng Phật</v>
          </cell>
          <cell r="Q685" t="str">
            <v>Sát Tâm Sậu Khởi</v>
          </cell>
        </row>
        <row r="686">
          <cell r="P686" t="str">
            <v>Đấu Chiến Thắng Phật</v>
          </cell>
          <cell r="Q686" t="str">
            <v>Sát Tâm Sậu Khởi</v>
          </cell>
        </row>
        <row r="687">
          <cell r="P687" t="str">
            <v>Đấu Chiến Thắng Phật</v>
          </cell>
          <cell r="Q687" t="str">
            <v>Hảo Đấu</v>
          </cell>
        </row>
        <row r="688">
          <cell r="P688" t="str">
            <v>Đấu Chiến Thắng Phật</v>
          </cell>
          <cell r="Q688" t="str">
            <v>Hảo Đấu</v>
          </cell>
        </row>
        <row r="689">
          <cell r="P689" t="str">
            <v>Đấu Chiến Thắng Phật</v>
          </cell>
          <cell r="Q689" t="str">
            <v>Hảo Đấu</v>
          </cell>
        </row>
        <row r="690">
          <cell r="P690" t="str">
            <v>Đấu Chiến Thắng Phật</v>
          </cell>
          <cell r="Q690" t="str">
            <v>Định Hải Thần Châm</v>
          </cell>
        </row>
        <row r="691">
          <cell r="P691" t="str">
            <v>Đấu Chiến Thắng Phật</v>
          </cell>
          <cell r="Q691" t="str">
            <v>Định Hải Thần Châm</v>
          </cell>
        </row>
        <row r="692">
          <cell r="P692" t="str">
            <v>Đấu Chiến Thắng Phật</v>
          </cell>
          <cell r="Q692" t="str">
            <v>Định Hải Thần Châm</v>
          </cell>
        </row>
        <row r="693">
          <cell r="P693" t="str">
            <v>Đấu Chiến Thắng Phật</v>
          </cell>
          <cell r="Q693" t="str">
            <v>Tề Thiên</v>
          </cell>
        </row>
        <row r="694">
          <cell r="P694" t="str">
            <v>Đấu Chiến Thắng Phật</v>
          </cell>
          <cell r="Q694" t="str">
            <v>Tề Thiên</v>
          </cell>
        </row>
        <row r="695">
          <cell r="P695" t="str">
            <v>Đấu Chiến Thắng Phật</v>
          </cell>
          <cell r="Q695" t="str">
            <v>Tề Thiên</v>
          </cell>
        </row>
        <row r="696">
          <cell r="P696" t="str">
            <v>Đấu Chiến Thắng Phật</v>
          </cell>
          <cell r="Q696" t="str">
            <v>Tề Thiên</v>
          </cell>
        </row>
        <row r="697">
          <cell r="P697" t="str">
            <v>Đấu Chiến Thắng Phật</v>
          </cell>
          <cell r="Q697" t="str">
            <v>Tề Thiên</v>
          </cell>
        </row>
        <row r="698">
          <cell r="P698" t="str">
            <v>Đấu Chiến Thắng Phật</v>
          </cell>
          <cell r="Q698" t="str">
            <v>Tề Thiên</v>
          </cell>
        </row>
        <row r="699">
          <cell r="P699" t="str">
            <v>Đấu Chiến Thắng Phật</v>
          </cell>
          <cell r="Q699" t="str">
            <v>Tề Thiên</v>
          </cell>
        </row>
        <row r="700">
          <cell r="P700" t="str">
            <v>Đấu Chiến Thắng Phật</v>
          </cell>
          <cell r="Q700" t="str">
            <v>Tề Thiên</v>
          </cell>
        </row>
        <row r="701">
          <cell r="P701" t="str">
            <v>Đấu Chiến Thắng Phật</v>
          </cell>
          <cell r="Q701" t="str">
            <v>Tề Thiên</v>
          </cell>
        </row>
        <row r="702">
          <cell r="P702" t="str">
            <v>Đấu Chiến Thắng Phật</v>
          </cell>
          <cell r="Q702" t="str">
            <v>Tề Thiên</v>
          </cell>
        </row>
        <row r="703">
          <cell r="P703" t="str">
            <v>Thái Ất Chân Nhân</v>
          </cell>
          <cell r="Q703" t="str">
            <v>Cửu Phượng</v>
          </cell>
        </row>
        <row r="704">
          <cell r="P704" t="str">
            <v>Thái Ất Chân Nhân</v>
          </cell>
          <cell r="Q704" t="str">
            <v>Cửu Phượng</v>
          </cell>
        </row>
        <row r="705">
          <cell r="P705" t="str">
            <v>Thái Ất Chân Nhân</v>
          </cell>
          <cell r="Q705" t="str">
            <v>Cửu Phượng</v>
          </cell>
        </row>
        <row r="706">
          <cell r="P706" t="str">
            <v>Thái Ất Chân Nhân</v>
          </cell>
          <cell r="Q706" t="str">
            <v>Cửu Phượng</v>
          </cell>
        </row>
        <row r="707">
          <cell r="P707" t="str">
            <v>Thái Ất Chân Nhân</v>
          </cell>
          <cell r="Q707" t="str">
            <v>Cửu Phượng</v>
          </cell>
        </row>
        <row r="708">
          <cell r="P708" t="str">
            <v>Thái Ất Chân Nhân</v>
          </cell>
          <cell r="Q708" t="str">
            <v>Cửu Phượng</v>
          </cell>
        </row>
        <row r="709">
          <cell r="P709" t="str">
            <v>Thái Ất Chân Nhân</v>
          </cell>
          <cell r="Q709" t="str">
            <v>Cửu Phượng</v>
          </cell>
        </row>
        <row r="710">
          <cell r="P710" t="str">
            <v>Thái Ất Chân Nhân</v>
          </cell>
          <cell r="Q710" t="str">
            <v>Cửu Phượng</v>
          </cell>
        </row>
        <row r="711">
          <cell r="P711" t="str">
            <v>Thái Ất Chân Nhân</v>
          </cell>
          <cell r="Q711" t="str">
            <v>Cửu Phượng</v>
          </cell>
        </row>
        <row r="712">
          <cell r="P712" t="str">
            <v>Thái Ất Chân Nhân</v>
          </cell>
          <cell r="Q712" t="str">
            <v>Cửu Phượng</v>
          </cell>
        </row>
        <row r="713">
          <cell r="P713" t="str">
            <v>Thái Ất Chân Nhân</v>
          </cell>
          <cell r="Q713" t="str">
            <v>Cửu Phượng</v>
          </cell>
        </row>
        <row r="714">
          <cell r="P714" t="str">
            <v>Thái Ất Chân Nhân</v>
          </cell>
          <cell r="Q714" t="str">
            <v>Cửu Phượng</v>
          </cell>
        </row>
        <row r="715">
          <cell r="P715" t="str">
            <v>Thái Ất Chân Nhân</v>
          </cell>
          <cell r="Q715" t="str">
            <v>Cửu Phượng</v>
          </cell>
        </row>
        <row r="716">
          <cell r="P716" t="str">
            <v>Thông Thiên Giáo Chủ</v>
          </cell>
          <cell r="Q716" t="str">
            <v>Phổ Công</v>
          </cell>
        </row>
        <row r="717">
          <cell r="P717" t="str">
            <v>Thông Thiên Giáo Chủ</v>
          </cell>
          <cell r="Q717" t="str">
            <v>Xuyên Tâm Thương</v>
          </cell>
        </row>
        <row r="718">
          <cell r="P718" t="str">
            <v>Thông Thiên Giáo Chủ</v>
          </cell>
          <cell r="Q718" t="str">
            <v>Xuyên Tâm Thương</v>
          </cell>
        </row>
        <row r="719">
          <cell r="P719" t="str">
            <v>Thông Thiên Giáo Chủ</v>
          </cell>
          <cell r="Q719" t="str">
            <v>Xuyên Tâm Thương</v>
          </cell>
        </row>
        <row r="720">
          <cell r="P720" t="str">
            <v>Thông Thiên Giáo Chủ</v>
          </cell>
          <cell r="Q720" t="str">
            <v>Hỗn Nguyên Thuật</v>
          </cell>
        </row>
        <row r="721">
          <cell r="P721" t="str">
            <v>Thông Thiên Giáo Chủ</v>
          </cell>
          <cell r="Q721" t="str">
            <v>Hỗn Nguyên Thuật</v>
          </cell>
        </row>
        <row r="722">
          <cell r="P722" t="str">
            <v>Thông Thiên Giáo Chủ</v>
          </cell>
          <cell r="Q722" t="str">
            <v>Hỗn Nguyên Thuật</v>
          </cell>
        </row>
        <row r="723">
          <cell r="P723" t="str">
            <v>Thông Thiên Giáo Chủ</v>
          </cell>
          <cell r="Q723" t="str">
            <v>Cực · Hỗn Nguyên Thuật</v>
          </cell>
        </row>
        <row r="724">
          <cell r="P724" t="str">
            <v>Thông Thiên Giáo Chủ</v>
          </cell>
          <cell r="Q724" t="str">
            <v>Cực · Hỗn Nguyên Thuật</v>
          </cell>
        </row>
        <row r="725">
          <cell r="P725" t="str">
            <v>Thông Thiên Giáo Chủ</v>
          </cell>
          <cell r="Q725" t="str">
            <v>Cực · Hỗn Nguyên Thuật</v>
          </cell>
        </row>
        <row r="726">
          <cell r="P726" t="str">
            <v>Thông Thiên Giáo Chủ</v>
          </cell>
          <cell r="Q726" t="str">
            <v>Khai Thiên Trảm</v>
          </cell>
        </row>
        <row r="727">
          <cell r="P727" t="str">
            <v>Thông Thiên Giáo Chủ</v>
          </cell>
          <cell r="Q727" t="str">
            <v>Khai Thiên Trảm</v>
          </cell>
        </row>
        <row r="728">
          <cell r="P728" t="str">
            <v>Thông Thiên Giáo Chủ</v>
          </cell>
          <cell r="Q728" t="str">
            <v>Khai Thiên Trảm</v>
          </cell>
        </row>
        <row r="729">
          <cell r="P729" t="str">
            <v>Thông Thiên Giáo Chủ</v>
          </cell>
          <cell r="Q729" t="str">
            <v>Tru Tiên Trận</v>
          </cell>
        </row>
        <row r="730">
          <cell r="P730" t="str">
            <v>Thông Thiên Giáo Chủ</v>
          </cell>
          <cell r="Q730" t="str">
            <v>Tru Tiên Trận</v>
          </cell>
        </row>
        <row r="731">
          <cell r="P731" t="str">
            <v>Thông Thiên Giáo Chủ</v>
          </cell>
          <cell r="Q731" t="str">
            <v>Tru Tiên Trận</v>
          </cell>
        </row>
        <row r="732">
          <cell r="P732" t="str">
            <v>Thông Thiên Giáo Chủ</v>
          </cell>
          <cell r="Q732" t="str">
            <v>Lục Tâm</v>
          </cell>
        </row>
        <row r="733">
          <cell r="P733" t="str">
            <v>Thông Thiên Giáo Chủ</v>
          </cell>
          <cell r="Q733" t="str">
            <v>Lục Tâm</v>
          </cell>
        </row>
        <row r="734">
          <cell r="P734" t="str">
            <v>Thông Thiên Giáo Chủ</v>
          </cell>
          <cell r="Q734" t="str">
            <v>Lục Tâm</v>
          </cell>
        </row>
        <row r="735">
          <cell r="P735" t="str">
            <v>Thông Thiên Giáo Chủ</v>
          </cell>
          <cell r="Q735" t="str">
            <v>Xuyên Tâm Thương</v>
          </cell>
        </row>
        <row r="736">
          <cell r="P736" t="str">
            <v>Thông Thiên Giáo Chủ</v>
          </cell>
          <cell r="Q736" t="str">
            <v>Xuyên Tâm Thương</v>
          </cell>
        </row>
        <row r="737">
          <cell r="P737" t="str">
            <v>Thông Thiên Giáo Chủ</v>
          </cell>
          <cell r="Q737" t="str">
            <v>Xuyên Tâm Thương</v>
          </cell>
        </row>
        <row r="738">
          <cell r="P738" t="str">
            <v>Thông Thiên Giáo Chủ</v>
          </cell>
          <cell r="Q738" t="str">
            <v>Tru Tiên Trận</v>
          </cell>
        </row>
        <row r="739">
          <cell r="P739" t="str">
            <v>Thông Thiên Giáo Chủ</v>
          </cell>
          <cell r="Q739" t="str">
            <v>Tru Tiên Trận</v>
          </cell>
        </row>
        <row r="740">
          <cell r="P740" t="str">
            <v>Thông Thiên Giáo Chủ</v>
          </cell>
          <cell r="Q740" t="str">
            <v>Tru Tiên Trận</v>
          </cell>
        </row>
        <row r="741">
          <cell r="P741" t="str">
            <v>Thông Thiên Giáo Chủ</v>
          </cell>
          <cell r="Q741" t="str">
            <v>Càn Khôn Tá Pháp</v>
          </cell>
        </row>
        <row r="742">
          <cell r="P742" t="str">
            <v>Thông Thiên Giáo Chủ</v>
          </cell>
          <cell r="Q742" t="str">
            <v>Càn Khôn Tá Pháp</v>
          </cell>
        </row>
        <row r="743">
          <cell r="P743" t="str">
            <v>Thông Thiên Giáo Chủ</v>
          </cell>
          <cell r="Q743" t="str">
            <v>Càn Khôn Tá Pháp</v>
          </cell>
        </row>
        <row r="744">
          <cell r="P744" t="str">
            <v>Thông Thiên Giáo Chủ</v>
          </cell>
          <cell r="Q744" t="str">
            <v>Bạo Viêm Thương</v>
          </cell>
        </row>
        <row r="745">
          <cell r="P745" t="str">
            <v>Thông Thiên Giáo Chủ</v>
          </cell>
          <cell r="Q745" t="str">
            <v>Khai Thiên Trảm</v>
          </cell>
        </row>
        <row r="746">
          <cell r="P746" t="str">
            <v>Thông Thiên Giáo Chủ</v>
          </cell>
          <cell r="Q746" t="str">
            <v>Khai Thiên Trảm</v>
          </cell>
        </row>
        <row r="747">
          <cell r="P747" t="str">
            <v>Nguyên Thủy Thiên Tôn</v>
          </cell>
          <cell r="Q747" t="str">
            <v>Phổ Công</v>
          </cell>
        </row>
        <row r="748">
          <cell r="P748" t="str">
            <v>Nguyên Thủy Thiên Tôn</v>
          </cell>
          <cell r="Q748" t="str">
            <v>Vạn Tượng Quy Nguyên</v>
          </cell>
        </row>
        <row r="749">
          <cell r="P749" t="str">
            <v>Nguyên Thủy Thiên Tôn</v>
          </cell>
          <cell r="Q749" t="str">
            <v>Vạn Tượng Quy Nguyên</v>
          </cell>
        </row>
        <row r="750">
          <cell r="P750" t="str">
            <v>Nguyên Thủy Thiên Tôn</v>
          </cell>
          <cell r="Q750" t="str">
            <v>Vạn Tượng Quy Nguyên</v>
          </cell>
        </row>
        <row r="751">
          <cell r="P751" t="str">
            <v>Nguyên Thủy Thiên Tôn</v>
          </cell>
          <cell r="Q751" t="str">
            <v>Hỗn Nguyên Kim Thân</v>
          </cell>
        </row>
        <row r="752">
          <cell r="P752" t="str">
            <v>Nguyên Thủy Thiên Tôn</v>
          </cell>
          <cell r="Q752" t="str">
            <v>Hỗn Nguyên Kim Thân</v>
          </cell>
        </row>
        <row r="753">
          <cell r="P753" t="str">
            <v>Nguyên Thủy Thiên Tôn</v>
          </cell>
          <cell r="Q753" t="str">
            <v>Hỗn Nguyên Kim Thân</v>
          </cell>
        </row>
        <row r="754">
          <cell r="P754" t="str">
            <v>Nguyên Thủy Thiên Tôn</v>
          </cell>
          <cell r="Q754" t="str">
            <v>Cực · Hỗn Nguyên Kim Thân</v>
          </cell>
        </row>
        <row r="755">
          <cell r="P755" t="str">
            <v>Nguyên Thủy Thiên Tôn</v>
          </cell>
          <cell r="Q755" t="str">
            <v>Cực · Hỗn Nguyên Kim Thân</v>
          </cell>
        </row>
        <row r="756">
          <cell r="P756" t="str">
            <v>Nguyên Thủy Thiên Tôn</v>
          </cell>
          <cell r="Q756" t="str">
            <v>Cực · Hỗn Nguyên Kim Thân</v>
          </cell>
        </row>
        <row r="757">
          <cell r="P757" t="str">
            <v>Nguyên Thủy Thiên Tôn</v>
          </cell>
          <cell r="Q757" t="str">
            <v>Thái Cực Sát Trận</v>
          </cell>
        </row>
        <row r="758">
          <cell r="P758" t="str">
            <v>Nguyên Thủy Thiên Tôn</v>
          </cell>
          <cell r="Q758" t="str">
            <v>Thái Cực Sát Trận</v>
          </cell>
        </row>
        <row r="759">
          <cell r="P759" t="str">
            <v>Nguyên Thủy Thiên Tôn</v>
          </cell>
          <cell r="Q759" t="str">
            <v>Thái Cực Sát Trận</v>
          </cell>
        </row>
        <row r="760">
          <cell r="P760" t="str">
            <v>Nguyên Thủy Thiên Tôn</v>
          </cell>
          <cell r="Q760" t="str">
            <v>Đạo Pháp Tự Nhiên</v>
          </cell>
        </row>
        <row r="761">
          <cell r="P761" t="str">
            <v>Nguyên Thủy Thiên Tôn</v>
          </cell>
          <cell r="Q761" t="str">
            <v>Đạo Pháp Tự Nhiên</v>
          </cell>
        </row>
        <row r="762">
          <cell r="P762" t="str">
            <v>Nguyên Thủy Thiên Tôn</v>
          </cell>
          <cell r="Q762" t="str">
            <v>Đạo Pháp Tự Nhiên</v>
          </cell>
        </row>
        <row r="763">
          <cell r="P763" t="str">
            <v>Nguyên Thủy Thiên Tôn</v>
          </cell>
          <cell r="Q763" t="str">
            <v>Khí Định Thần Nhàn</v>
          </cell>
        </row>
        <row r="764">
          <cell r="P764" t="str">
            <v>Nguyên Thủy Thiên Tôn</v>
          </cell>
          <cell r="Q764" t="str">
            <v>Khí Định Thần Nhàn</v>
          </cell>
        </row>
        <row r="765">
          <cell r="P765" t="str">
            <v>Nguyên Thủy Thiên Tôn</v>
          </cell>
          <cell r="Q765" t="str">
            <v>Khí Định Thần Nhàn</v>
          </cell>
        </row>
        <row r="766">
          <cell r="P766" t="str">
            <v>Nguyên Thủy Thiên Tôn</v>
          </cell>
          <cell r="Q766" t="str">
            <v>Khí Định Thần Nhàn</v>
          </cell>
        </row>
        <row r="767">
          <cell r="P767" t="str">
            <v>Nguyên Thủy Thiên Tôn</v>
          </cell>
          <cell r="Q767" t="str">
            <v>Khí Định Thần Nhàn</v>
          </cell>
        </row>
        <row r="768">
          <cell r="P768" t="str">
            <v>Nguyên Thủy Thiên Tôn</v>
          </cell>
          <cell r="Q768" t="str">
            <v>Khí Định Thần Nhàn</v>
          </cell>
        </row>
        <row r="769">
          <cell r="P769" t="str">
            <v>Nguyên Thủy Thiên Tôn</v>
          </cell>
          <cell r="Q769" t="str">
            <v>Vạn Tượng Quy Nguyên</v>
          </cell>
        </row>
        <row r="770">
          <cell r="P770" t="str">
            <v>Nguyên Thủy Thiên Tôn</v>
          </cell>
          <cell r="Q770" t="str">
            <v>Vạn Tượng Quy Nguyên</v>
          </cell>
        </row>
        <row r="771">
          <cell r="P771" t="str">
            <v>Nguyên Thủy Thiên Tôn</v>
          </cell>
          <cell r="Q771" t="str">
            <v>Vạn Tượng Quy Nguyên</v>
          </cell>
        </row>
        <row r="772">
          <cell r="P772" t="str">
            <v>Nguyên Thủy Thiên Tôn</v>
          </cell>
          <cell r="Q772" t="str">
            <v>Vô Cực Càn Khôn</v>
          </cell>
        </row>
        <row r="773">
          <cell r="P773" t="str">
            <v>Nguyên Thủy Thiên Tôn</v>
          </cell>
          <cell r="Q773" t="str">
            <v>Vô Cực Càn Khôn</v>
          </cell>
        </row>
        <row r="774">
          <cell r="P774" t="str">
            <v>Nguyên Thủy Thiên Tôn</v>
          </cell>
          <cell r="Q774" t="str">
            <v>Vô Cực Càn Khôn</v>
          </cell>
        </row>
        <row r="775">
          <cell r="P775" t="str">
            <v>Nguyên Thủy Thiên Tôn</v>
          </cell>
          <cell r="Q775" t="str">
            <v>Tiêm Diệt</v>
          </cell>
        </row>
        <row r="776">
          <cell r="P776" t="str">
            <v>Nguyên Thủy Thiên Tôn</v>
          </cell>
          <cell r="Q776" t="str">
            <v>Tiêm Diệt</v>
          </cell>
        </row>
        <row r="777">
          <cell r="P777" t="str">
            <v>Nguyên Thủy Thiên Tôn</v>
          </cell>
          <cell r="Q777" t="str">
            <v>Tiêm Diệt</v>
          </cell>
        </row>
        <row r="778">
          <cell r="P778" t="str">
            <v>Nguyên Thủy Thiên Tôn</v>
          </cell>
          <cell r="Q778" t="str">
            <v>Tiêm Diệt</v>
          </cell>
        </row>
        <row r="779">
          <cell r="P779" t="str">
            <v>Vân Trung Tử</v>
          </cell>
          <cell r="Q779" t="str">
            <v>Phổ Công</v>
          </cell>
        </row>
        <row r="780">
          <cell r="P780" t="str">
            <v>Vân Trung Tử</v>
          </cell>
          <cell r="Q780" t="str">
            <v>Cương Phong</v>
          </cell>
        </row>
        <row r="781">
          <cell r="P781" t="str">
            <v>Vân Trung Tử</v>
          </cell>
          <cell r="Q781" t="str">
            <v>Cương Phong</v>
          </cell>
        </row>
        <row r="782">
          <cell r="P782" t="str">
            <v>Vân Trung Tử</v>
          </cell>
          <cell r="Q782" t="str">
            <v>Cương Phong</v>
          </cell>
        </row>
        <row r="783">
          <cell r="P783" t="str">
            <v>Vân Trung Tử</v>
          </cell>
          <cell r="Q783" t="str">
            <v>Phúc Đức</v>
          </cell>
        </row>
        <row r="784">
          <cell r="P784" t="str">
            <v>Vân Trung Tử</v>
          </cell>
          <cell r="Q784" t="str">
            <v>Phúc Đức</v>
          </cell>
        </row>
        <row r="785">
          <cell r="P785" t="str">
            <v>Vân Trung Tử</v>
          </cell>
          <cell r="Q785" t="str">
            <v>Phúc Đức</v>
          </cell>
        </row>
        <row r="786">
          <cell r="P786" t="str">
            <v>Vân Trung Tử</v>
          </cell>
          <cell r="Q786" t="str">
            <v>Cực · Phúc Đức</v>
          </cell>
        </row>
        <row r="787">
          <cell r="P787" t="str">
            <v>Vân Trung Tử</v>
          </cell>
          <cell r="Q787" t="str">
            <v>Cực · Phúc Đức</v>
          </cell>
        </row>
        <row r="788">
          <cell r="P788" t="str">
            <v>Vân Trung Tử</v>
          </cell>
          <cell r="Q788" t="str">
            <v>Cực · Phúc Đức</v>
          </cell>
        </row>
        <row r="789">
          <cell r="P789" t="str">
            <v>Vân Trung Tử</v>
          </cell>
          <cell r="Q789" t="str">
            <v>Tụ Lý Thanh Phong</v>
          </cell>
        </row>
        <row r="790">
          <cell r="P790" t="str">
            <v>Vân Trung Tử</v>
          </cell>
          <cell r="Q790" t="str">
            <v>Tụ Lý Thanh Phong</v>
          </cell>
        </row>
        <row r="791">
          <cell r="P791" t="str">
            <v>Vân Trung Tử</v>
          </cell>
          <cell r="Q791" t="str">
            <v>Tụ Lý Thanh Phong</v>
          </cell>
        </row>
        <row r="792">
          <cell r="P792" t="str">
            <v>Bạch Long</v>
          </cell>
          <cell r="Q792" t="str">
            <v>Phổ Công</v>
          </cell>
        </row>
        <row r="793">
          <cell r="P793" t="str">
            <v>Bạch Long</v>
          </cell>
          <cell r="Q793" t="str">
            <v>Xá Kỷ</v>
          </cell>
        </row>
        <row r="794">
          <cell r="P794" t="str">
            <v>Bạch Long</v>
          </cell>
          <cell r="Q794" t="str">
            <v>Xá Kỷ</v>
          </cell>
        </row>
        <row r="795">
          <cell r="P795" t="str">
            <v>Bạch Long</v>
          </cell>
          <cell r="Q795" t="str">
            <v>Xá Kỷ</v>
          </cell>
        </row>
        <row r="796">
          <cell r="P796" t="str">
            <v>Bạch Long</v>
          </cell>
          <cell r="Q796" t="str">
            <v>Xá Kỷ</v>
          </cell>
        </row>
        <row r="797">
          <cell r="P797" t="str">
            <v>Bạch Long</v>
          </cell>
          <cell r="Q797" t="str">
            <v>Xá Kỷ</v>
          </cell>
        </row>
        <row r="798">
          <cell r="P798" t="str">
            <v>Bạch Long</v>
          </cell>
          <cell r="Q798" t="str">
            <v>Xá Kỷ</v>
          </cell>
        </row>
        <row r="799">
          <cell r="P799" t="str">
            <v>Bạch Long</v>
          </cell>
          <cell r="Q799" t="str">
            <v>Xá Kỷ</v>
          </cell>
        </row>
        <row r="800">
          <cell r="P800" t="str">
            <v>Bạch Long</v>
          </cell>
          <cell r="Q800" t="str">
            <v>Xá Kỷ</v>
          </cell>
        </row>
        <row r="801">
          <cell r="P801" t="str">
            <v>Bạch Long</v>
          </cell>
          <cell r="Q801" t="str">
            <v>Xá Kỷ</v>
          </cell>
        </row>
        <row r="802">
          <cell r="P802" t="str">
            <v>Bạch Long</v>
          </cell>
          <cell r="Q802" t="str">
            <v>Thốn Lân</v>
          </cell>
        </row>
        <row r="803">
          <cell r="P803" t="str">
            <v>Bạch Long</v>
          </cell>
          <cell r="Q803" t="str">
            <v>Thốn Lân</v>
          </cell>
        </row>
        <row r="804">
          <cell r="P804" t="str">
            <v>Bạch Long</v>
          </cell>
          <cell r="Q804" t="str">
            <v>Thốn Lân</v>
          </cell>
        </row>
        <row r="805">
          <cell r="P805" t="str">
            <v>Bạch Long</v>
          </cell>
          <cell r="Q805" t="str">
            <v>Cực · Thốn Lân</v>
          </cell>
        </row>
        <row r="806">
          <cell r="P806" t="str">
            <v>Bạch Long</v>
          </cell>
          <cell r="Q806" t="str">
            <v>Cực · Thốn Lân</v>
          </cell>
        </row>
        <row r="807">
          <cell r="P807" t="str">
            <v>Bạch Long</v>
          </cell>
          <cell r="Q807" t="str">
            <v>Cực · Thốn Lân</v>
          </cell>
        </row>
        <row r="808">
          <cell r="P808" t="str">
            <v>Bạch Long</v>
          </cell>
          <cell r="Q808" t="str">
            <v>Ngư Long Vũ</v>
          </cell>
        </row>
        <row r="809">
          <cell r="P809" t="str">
            <v>Bạch Long</v>
          </cell>
          <cell r="Q809" t="str">
            <v>Ngư Long Vũ</v>
          </cell>
        </row>
        <row r="810">
          <cell r="P810" t="str">
            <v>Bạch Long</v>
          </cell>
          <cell r="Q810" t="str">
            <v>Ngư Long Vũ</v>
          </cell>
        </row>
        <row r="811">
          <cell r="P811" t="str">
            <v>Bạch Long</v>
          </cell>
          <cell r="Q811" t="str">
            <v>Ngư Long Vũ</v>
          </cell>
        </row>
        <row r="812">
          <cell r="P812" t="str">
            <v>Bạch Long</v>
          </cell>
          <cell r="Q812" t="str">
            <v>Ngư Long Vũ</v>
          </cell>
        </row>
        <row r="813">
          <cell r="P813" t="str">
            <v>Bạch Long</v>
          </cell>
          <cell r="Q813" t="str">
            <v>Ngư Long Vũ</v>
          </cell>
        </row>
        <row r="814">
          <cell r="P814" t="str">
            <v>Bạch Long</v>
          </cell>
          <cell r="Q814" t="str">
            <v>Phục Ký Thiên Lý</v>
          </cell>
        </row>
        <row r="815">
          <cell r="P815" t="str">
            <v>Bạch Long</v>
          </cell>
          <cell r="Q815" t="str">
            <v>Phục Ký Thiên Lý</v>
          </cell>
        </row>
        <row r="816">
          <cell r="P816" t="str">
            <v>Bạch Long</v>
          </cell>
          <cell r="Q816" t="str">
            <v>Phục Ký Thiên Lý</v>
          </cell>
        </row>
        <row r="817">
          <cell r="P817" t="str">
            <v>Bạch Long</v>
          </cell>
          <cell r="Q817" t="str">
            <v>Xích Thành Chi Tâm</v>
          </cell>
        </row>
        <row r="818">
          <cell r="P818" t="str">
            <v>Bạch Long</v>
          </cell>
          <cell r="Q818" t="str">
            <v>Xích Thành Chi Tâm</v>
          </cell>
        </row>
        <row r="819">
          <cell r="P819" t="str">
            <v>Bạch Long</v>
          </cell>
          <cell r="Q819" t="str">
            <v>Xích Thành Chi Tâm</v>
          </cell>
        </row>
        <row r="820">
          <cell r="P820" t="str">
            <v>Bạch Long</v>
          </cell>
          <cell r="Q820" t="str">
            <v>Xá Kỷ</v>
          </cell>
        </row>
        <row r="821">
          <cell r="P821" t="str">
            <v>Bạch Long</v>
          </cell>
          <cell r="Q821" t="str">
            <v>Xá Kỷ</v>
          </cell>
        </row>
        <row r="822">
          <cell r="P822" t="str">
            <v>Bạch Long</v>
          </cell>
          <cell r="Q822" t="str">
            <v>Xá Kỷ</v>
          </cell>
        </row>
        <row r="823">
          <cell r="P823" t="str">
            <v>Bạch Long</v>
          </cell>
          <cell r="Q823" t="str">
            <v>Xá Kỷ</v>
          </cell>
        </row>
        <row r="824">
          <cell r="P824" t="str">
            <v>Bạch Long</v>
          </cell>
          <cell r="Q824" t="str">
            <v>Xá Kỷ</v>
          </cell>
        </row>
        <row r="825">
          <cell r="P825" t="str">
            <v>Bạch Long</v>
          </cell>
          <cell r="Q825" t="str">
            <v>Xá Kỷ</v>
          </cell>
        </row>
        <row r="826">
          <cell r="P826" t="str">
            <v>Bạch Long</v>
          </cell>
          <cell r="Q826" t="str">
            <v>Xá Kỷ</v>
          </cell>
        </row>
        <row r="827">
          <cell r="P827" t="str">
            <v>Bạch Long</v>
          </cell>
          <cell r="Q827" t="str">
            <v>Xá Kỷ</v>
          </cell>
        </row>
        <row r="828">
          <cell r="P828" t="str">
            <v>Bạch Long</v>
          </cell>
          <cell r="Q828" t="str">
            <v>Xá Kỷ</v>
          </cell>
        </row>
        <row r="829">
          <cell r="P829" t="str">
            <v>Bạch Long</v>
          </cell>
          <cell r="Q829" t="str">
            <v>Cộng Miễn</v>
          </cell>
        </row>
        <row r="830">
          <cell r="P830" t="str">
            <v>Bạch Long</v>
          </cell>
          <cell r="Q830" t="str">
            <v>Cộng Miễn</v>
          </cell>
        </row>
        <row r="831">
          <cell r="P831" t="str">
            <v>Bạch Long</v>
          </cell>
          <cell r="Q831" t="str">
            <v>Cộng Miễn</v>
          </cell>
        </row>
        <row r="832">
          <cell r="P832" t="str">
            <v>Huyền Trang</v>
          </cell>
          <cell r="Q832" t="str">
            <v>Phổ Công</v>
          </cell>
        </row>
        <row r="833">
          <cell r="P833" t="str">
            <v>Huyền Trang</v>
          </cell>
          <cell r="Q833" t="str">
            <v>Đại Uy Thiên Long</v>
          </cell>
        </row>
        <row r="834">
          <cell r="P834" t="str">
            <v>Huyền Trang</v>
          </cell>
          <cell r="Q834" t="str">
            <v>Đại Uy Thiên Long</v>
          </cell>
        </row>
        <row r="835">
          <cell r="P835" t="str">
            <v>Huyền Trang</v>
          </cell>
          <cell r="Q835" t="str">
            <v>Đại Uy Thiên Long</v>
          </cell>
        </row>
        <row r="836">
          <cell r="P836" t="str">
            <v>Huyền Trang</v>
          </cell>
          <cell r="Q836" t="str">
            <v>Đại Uy Thiên Long</v>
          </cell>
        </row>
        <row r="837">
          <cell r="P837" t="str">
            <v>Huyền Trang</v>
          </cell>
          <cell r="Q837" t="str">
            <v>Đại Uy Thiên Long</v>
          </cell>
        </row>
        <row r="838">
          <cell r="P838" t="str">
            <v>Huyền Trang</v>
          </cell>
          <cell r="Q838" t="str">
            <v>Đại Uy Thiên Long</v>
          </cell>
        </row>
        <row r="839">
          <cell r="P839" t="str">
            <v>Huyền Trang</v>
          </cell>
          <cell r="Q839" t="str">
            <v>Đại Uy Thiên Long</v>
          </cell>
        </row>
        <row r="840">
          <cell r="P840" t="str">
            <v>Huyền Trang</v>
          </cell>
          <cell r="Q840" t="str">
            <v>Đại Uy Thiên Long</v>
          </cell>
        </row>
        <row r="841">
          <cell r="P841" t="str">
            <v>Huyền Trang</v>
          </cell>
          <cell r="Q841" t="str">
            <v>Đại Uy Thiên Long</v>
          </cell>
        </row>
        <row r="842">
          <cell r="P842" t="str">
            <v>Huyền Trang</v>
          </cell>
          <cell r="Q842" t="str">
            <v>Kim Thân</v>
          </cell>
        </row>
        <row r="843">
          <cell r="P843" t="str">
            <v>Huyền Trang</v>
          </cell>
          <cell r="Q843" t="str">
            <v>Kim Thân</v>
          </cell>
        </row>
        <row r="844">
          <cell r="P844" t="str">
            <v>Huyền Trang</v>
          </cell>
          <cell r="Q844" t="str">
            <v>Kim Thân</v>
          </cell>
        </row>
        <row r="845">
          <cell r="P845" t="str">
            <v>Huyền Trang</v>
          </cell>
          <cell r="Q845" t="str">
            <v>Cực · Kim Thân</v>
          </cell>
        </row>
        <row r="846">
          <cell r="P846" t="str">
            <v>Huyền Trang</v>
          </cell>
          <cell r="Q846" t="str">
            <v>Cực · Kim Thân</v>
          </cell>
        </row>
        <row r="847">
          <cell r="P847" t="str">
            <v>Huyền Trang</v>
          </cell>
          <cell r="Q847" t="str">
            <v>Cực · Kim Thân</v>
          </cell>
        </row>
        <row r="848">
          <cell r="P848" t="str">
            <v>Huyền Trang</v>
          </cell>
          <cell r="Q848" t="str">
            <v>Đại La Pháp Chú</v>
          </cell>
        </row>
        <row r="849">
          <cell r="P849" t="str">
            <v>Huyền Trang</v>
          </cell>
          <cell r="Q849" t="str">
            <v>Đại La Pháp Chú</v>
          </cell>
        </row>
        <row r="850">
          <cell r="P850" t="str">
            <v>Huyền Trang</v>
          </cell>
          <cell r="Q850" t="str">
            <v>Đại La Pháp Chú</v>
          </cell>
        </row>
        <row r="851">
          <cell r="P851" t="str">
            <v>Huyền Trang</v>
          </cell>
          <cell r="Q851" t="str">
            <v>Đại La Pháp Chú</v>
          </cell>
        </row>
        <row r="852">
          <cell r="P852" t="str">
            <v>Huyền Trang</v>
          </cell>
          <cell r="Q852" t="str">
            <v>Đại La Pháp Chú</v>
          </cell>
        </row>
        <row r="853">
          <cell r="P853" t="str">
            <v>Huyền Trang</v>
          </cell>
          <cell r="Q853" t="str">
            <v>Ngã Phật Từ Bi</v>
          </cell>
        </row>
        <row r="854">
          <cell r="P854" t="str">
            <v>Huyền Trang</v>
          </cell>
          <cell r="Q854" t="str">
            <v>Ngã Phật Từ Bi</v>
          </cell>
        </row>
        <row r="855">
          <cell r="P855" t="str">
            <v>Huyền Trang</v>
          </cell>
          <cell r="Q855" t="str">
            <v>Ngã Phật Từ Bi</v>
          </cell>
        </row>
        <row r="856">
          <cell r="P856" t="str">
            <v>Huyền Trang</v>
          </cell>
          <cell r="Q856" t="str">
            <v>Khu Túy</v>
          </cell>
        </row>
        <row r="857">
          <cell r="P857" t="str">
            <v>Huyền Trang</v>
          </cell>
          <cell r="Q857" t="str">
            <v>Khu Túy</v>
          </cell>
        </row>
        <row r="858">
          <cell r="P858" t="str">
            <v>Huyền Trang</v>
          </cell>
          <cell r="Q858" t="str">
            <v>Khu Túy</v>
          </cell>
        </row>
        <row r="859">
          <cell r="P859" t="str">
            <v>Huyền Trang</v>
          </cell>
          <cell r="Q859" t="str">
            <v>Đại Uy Thiên Long</v>
          </cell>
        </row>
        <row r="860">
          <cell r="P860" t="str">
            <v>Huyền Trang</v>
          </cell>
          <cell r="Q860" t="str">
            <v>Đại Uy Thiên Long</v>
          </cell>
        </row>
        <row r="861">
          <cell r="P861" t="str">
            <v>Huyền Trang</v>
          </cell>
          <cell r="Q861" t="str">
            <v>Đại Uy Thiên Long</v>
          </cell>
        </row>
        <row r="862">
          <cell r="P862" t="str">
            <v>Huyền Trang</v>
          </cell>
          <cell r="Q862" t="str">
            <v>Đại Uy Thiên Long</v>
          </cell>
        </row>
        <row r="863">
          <cell r="P863" t="str">
            <v>Huyền Trang</v>
          </cell>
          <cell r="Q863" t="str">
            <v>Đại Uy Thiên Long</v>
          </cell>
        </row>
        <row r="864">
          <cell r="P864" t="str">
            <v>Huyền Trang</v>
          </cell>
          <cell r="Q864" t="str">
            <v>Đại Uy Thiên Long</v>
          </cell>
        </row>
        <row r="865">
          <cell r="P865" t="str">
            <v>Huyền Trang</v>
          </cell>
          <cell r="Q865" t="str">
            <v>Đại Uy Thiên Long</v>
          </cell>
        </row>
        <row r="866">
          <cell r="P866" t="str">
            <v>Huyền Trang</v>
          </cell>
          <cell r="Q866" t="str">
            <v>Đại Uy Thiên Long</v>
          </cell>
        </row>
        <row r="867">
          <cell r="P867" t="str">
            <v>Huyền Trang</v>
          </cell>
          <cell r="Q867" t="str">
            <v>Đại Uy Thiên Long</v>
          </cell>
        </row>
        <row r="868">
          <cell r="P868" t="str">
            <v>Huyền Trang</v>
          </cell>
          <cell r="Q868" t="str">
            <v>Đại Thừa Phật Pháp</v>
          </cell>
        </row>
        <row r="869">
          <cell r="P869" t="str">
            <v>Huyền Trang</v>
          </cell>
          <cell r="Q869" t="str">
            <v>Đại Thừa Phật Pháp</v>
          </cell>
        </row>
        <row r="870">
          <cell r="P870" t="str">
            <v>Huyền Trang</v>
          </cell>
          <cell r="Q870" t="str">
            <v>Đại Thừa Phật Pháp</v>
          </cell>
        </row>
        <row r="871">
          <cell r="P871" t="str">
            <v>Huyền Trang</v>
          </cell>
          <cell r="Q871" t="str">
            <v>Ngã Phật Từ Bi</v>
          </cell>
        </row>
        <row r="872">
          <cell r="P872" t="str">
            <v>Huyền Trang</v>
          </cell>
          <cell r="Q872" t="str">
            <v>Ngã Phật Từ Bi</v>
          </cell>
        </row>
        <row r="873">
          <cell r="P873" t="str">
            <v>Thổ Địa</v>
          </cell>
          <cell r="Q873" t="str">
            <v>Phổ Công</v>
          </cell>
        </row>
        <row r="874">
          <cell r="P874" t="str">
            <v>Thổ Địa</v>
          </cell>
          <cell r="Q874" t="str">
            <v>Phổ Công</v>
          </cell>
        </row>
        <row r="875">
          <cell r="P875" t="str">
            <v>Thổ Địa</v>
          </cell>
          <cell r="Q875" t="str">
            <v>Tiểu Thần Nộ Hỏa</v>
          </cell>
        </row>
        <row r="876">
          <cell r="P876" t="str">
            <v>Thổ Địa</v>
          </cell>
          <cell r="Q876" t="str">
            <v>Tiểu Thần Nộ Hỏa</v>
          </cell>
        </row>
        <row r="877">
          <cell r="P877" t="str">
            <v>Thổ Địa</v>
          </cell>
          <cell r="Q877" t="str">
            <v>Tiểu Thần Nộ Hỏa</v>
          </cell>
        </row>
        <row r="878">
          <cell r="P878" t="str">
            <v>Thổ Địa</v>
          </cell>
          <cell r="Q878" t="str">
            <v>Nộ Hỏa</v>
          </cell>
        </row>
        <row r="879">
          <cell r="P879" t="str">
            <v>Thổ Địa</v>
          </cell>
          <cell r="Q879" t="str">
            <v>Nộ Hỏa</v>
          </cell>
        </row>
        <row r="880">
          <cell r="P880" t="str">
            <v>Thổ Địa</v>
          </cell>
          <cell r="Q880" t="str">
            <v>Nộ Hỏa</v>
          </cell>
        </row>
        <row r="881">
          <cell r="P881" t="str">
            <v>Thổ Địa</v>
          </cell>
          <cell r="Q881" t="str">
            <v>Phúc Đức Chính Thần</v>
          </cell>
        </row>
        <row r="882">
          <cell r="P882" t="str">
            <v>Thổ Địa</v>
          </cell>
          <cell r="Q882" t="str">
            <v>Phúc Đức Chính Thần</v>
          </cell>
        </row>
        <row r="883">
          <cell r="P883" t="str">
            <v>Thổ Địa</v>
          </cell>
          <cell r="Q883" t="str">
            <v>Phúc Đức Chính Thần</v>
          </cell>
        </row>
        <row r="884">
          <cell r="P884" t="str">
            <v>Thổ Địa</v>
          </cell>
          <cell r="Q884" t="str">
            <v>Cực · Phúc Đức Chính Thần</v>
          </cell>
        </row>
        <row r="885">
          <cell r="P885" t="str">
            <v>Thổ Địa</v>
          </cell>
          <cell r="Q885" t="str">
            <v>Cực · Phúc Đức Chính Thần</v>
          </cell>
        </row>
        <row r="886">
          <cell r="P886" t="str">
            <v>Thổ Địa</v>
          </cell>
          <cell r="Q886" t="str">
            <v>Cực · Phúc Đức Chính Thần</v>
          </cell>
        </row>
        <row r="887">
          <cell r="P887" t="str">
            <v>Thổ Địa</v>
          </cell>
          <cell r="Q887" t="str">
            <v>Kỳ Phúc Khư Tai</v>
          </cell>
        </row>
        <row r="888">
          <cell r="P888" t="str">
            <v>Thổ Địa</v>
          </cell>
          <cell r="Q888" t="str">
            <v>Kỳ Phúc Khư Tai</v>
          </cell>
        </row>
        <row r="889">
          <cell r="P889" t="str">
            <v>Thổ Địa</v>
          </cell>
          <cell r="Q889" t="str">
            <v>Kỳ Phúc Khư Tai</v>
          </cell>
        </row>
        <row r="890">
          <cell r="P890" t="str">
            <v>Thổ Địa</v>
          </cell>
          <cell r="Q890" t="str">
            <v>Kỳ Phúc Khư Tai</v>
          </cell>
        </row>
        <row r="891">
          <cell r="P891" t="str">
            <v>Thổ Địa</v>
          </cell>
          <cell r="Q891" t="str">
            <v>Kỳ Phúc Khư Tai</v>
          </cell>
        </row>
        <row r="892">
          <cell r="P892" t="str">
            <v>Thổ Địa</v>
          </cell>
          <cell r="Q892" t="str">
            <v>Kỳ Phúc Khư Tai</v>
          </cell>
        </row>
        <row r="893">
          <cell r="P893" t="str">
            <v>Thổ Địa</v>
          </cell>
          <cell r="Q893" t="str">
            <v>Kỳ Phúc Khư Tai</v>
          </cell>
        </row>
        <row r="894">
          <cell r="P894" t="str">
            <v>Thổ Địa</v>
          </cell>
          <cell r="Q894" t="str">
            <v>Kỳ Phúc Khư Tai</v>
          </cell>
        </row>
        <row r="895">
          <cell r="P895" t="str">
            <v>Thổ Địa</v>
          </cell>
          <cell r="Q895" t="str">
            <v>Kỳ Phúc Khư Tai</v>
          </cell>
        </row>
        <row r="896">
          <cell r="P896" t="str">
            <v>Thổ Địa</v>
          </cell>
          <cell r="Q896" t="str">
            <v>Kỳ Phúc Khư Tai</v>
          </cell>
        </row>
        <row r="897">
          <cell r="P897" t="str">
            <v>Thổ Địa</v>
          </cell>
          <cell r="Q897" t="str">
            <v>Kỳ Phúc Khư Tai</v>
          </cell>
        </row>
        <row r="898">
          <cell r="P898" t="str">
            <v>Thổ Địa</v>
          </cell>
          <cell r="Q898" t="str">
            <v>Kỳ Phúc Khư Tai</v>
          </cell>
        </row>
        <row r="899">
          <cell r="P899" t="str">
            <v>Thổ Địa</v>
          </cell>
          <cell r="Q899" t="str">
            <v>Kỳ Phúc Khư Tai</v>
          </cell>
        </row>
        <row r="900">
          <cell r="P900" t="str">
            <v>Thổ Địa</v>
          </cell>
          <cell r="Q900" t="str">
            <v>Kỳ Phúc Khư Tai</v>
          </cell>
        </row>
        <row r="901">
          <cell r="P901" t="str">
            <v>Thổ Địa</v>
          </cell>
          <cell r="Q901" t="str">
            <v>Kỳ Phúc Khư Tai</v>
          </cell>
        </row>
        <row r="902">
          <cell r="P902" t="str">
            <v>Thổ Địa</v>
          </cell>
          <cell r="Q902" t="str">
            <v>Khư Tai</v>
          </cell>
        </row>
        <row r="903">
          <cell r="P903" t="str">
            <v>Thổ Địa</v>
          </cell>
          <cell r="Q903" t="str">
            <v>Khư Tai</v>
          </cell>
        </row>
        <row r="904">
          <cell r="P904" t="str">
            <v>Thổ Địa</v>
          </cell>
          <cell r="Q904" t="str">
            <v>Khư Tai</v>
          </cell>
        </row>
        <row r="905">
          <cell r="P905" t="str">
            <v>Thổ Địa</v>
          </cell>
          <cell r="Q905" t="str">
            <v>Khư Tai</v>
          </cell>
        </row>
        <row r="906">
          <cell r="P906" t="str">
            <v>Thổ Địa</v>
          </cell>
          <cell r="Q906" t="str">
            <v>Khư Tai</v>
          </cell>
        </row>
        <row r="907">
          <cell r="P907" t="str">
            <v>Thổ Địa</v>
          </cell>
          <cell r="Q907" t="str">
            <v>Khư Tai</v>
          </cell>
        </row>
        <row r="908">
          <cell r="P908" t="str">
            <v>Thổ Địa</v>
          </cell>
          <cell r="Q908" t="str">
            <v>Khư Tai</v>
          </cell>
        </row>
        <row r="909">
          <cell r="P909" t="str">
            <v>Thổ Địa</v>
          </cell>
          <cell r="Q909" t="str">
            <v>Khư Tai</v>
          </cell>
        </row>
        <row r="910">
          <cell r="P910" t="str">
            <v>Thổ Địa</v>
          </cell>
          <cell r="Q910" t="str">
            <v>Khư Tai</v>
          </cell>
        </row>
        <row r="911">
          <cell r="P911" t="str">
            <v>Thổ Địa</v>
          </cell>
          <cell r="Q911" t="str">
            <v>Khư Tai</v>
          </cell>
        </row>
        <row r="912">
          <cell r="P912" t="str">
            <v>Thổ Địa</v>
          </cell>
          <cell r="Q912" t="str">
            <v>Khư Tai</v>
          </cell>
        </row>
        <row r="913">
          <cell r="P913" t="str">
            <v>Thổ Địa</v>
          </cell>
          <cell r="Q913" t="str">
            <v>Khư Tai</v>
          </cell>
        </row>
        <row r="914">
          <cell r="P914" t="str">
            <v>Thổ Địa</v>
          </cell>
          <cell r="Q914" t="str">
            <v>Khư Tai</v>
          </cell>
        </row>
        <row r="915">
          <cell r="P915" t="str">
            <v>Thổ Địa</v>
          </cell>
          <cell r="Q915" t="str">
            <v>Khư Tai</v>
          </cell>
        </row>
        <row r="916">
          <cell r="P916" t="str">
            <v>Thổ Địa</v>
          </cell>
          <cell r="Q916" t="str">
            <v>Khư Tai</v>
          </cell>
        </row>
        <row r="917">
          <cell r="P917" t="str">
            <v>Thổ Địa</v>
          </cell>
          <cell r="Q917" t="str">
            <v>Thổ Độn</v>
          </cell>
        </row>
        <row r="918">
          <cell r="P918" t="str">
            <v>Thổ Địa</v>
          </cell>
          <cell r="Q918" t="str">
            <v>Thổ Độn</v>
          </cell>
        </row>
        <row r="919">
          <cell r="P919" t="str">
            <v>Thổ Địa</v>
          </cell>
          <cell r="Q919" t="str">
            <v>Thổ Độn</v>
          </cell>
        </row>
        <row r="920">
          <cell r="P920" t="str">
            <v>Thổ Địa</v>
          </cell>
          <cell r="Q920" t="str">
            <v>Tiên Pháp Thổ Độn</v>
          </cell>
        </row>
        <row r="921">
          <cell r="P921" t="str">
            <v>Thổ Địa</v>
          </cell>
          <cell r="Q921" t="str">
            <v>Tiên Pháp Thổ Độn</v>
          </cell>
        </row>
        <row r="922">
          <cell r="P922" t="str">
            <v>Thổ Địa</v>
          </cell>
          <cell r="Q922" t="str">
            <v>Tiên Pháp Thổ Độn</v>
          </cell>
        </row>
        <row r="923">
          <cell r="P923" t="str">
            <v>Thổ Địa</v>
          </cell>
          <cell r="Q923" t="str">
            <v>Thổ Độn</v>
          </cell>
        </row>
        <row r="924">
          <cell r="P924" t="str">
            <v>Thổ Địa</v>
          </cell>
          <cell r="Q924" t="str">
            <v>Thổ Độn</v>
          </cell>
        </row>
        <row r="925">
          <cell r="P925" t="str">
            <v>Thổ Địa</v>
          </cell>
          <cell r="Q925" t="str">
            <v>Thổ Độn</v>
          </cell>
        </row>
        <row r="926">
          <cell r="P926" t="str">
            <v>Thổ Địa</v>
          </cell>
          <cell r="Q926" t="str">
            <v>Thiện Nhân Thiện Quả</v>
          </cell>
        </row>
        <row r="927">
          <cell r="P927" t="str">
            <v>Thổ Địa</v>
          </cell>
          <cell r="Q927" t="str">
            <v>Thiện Nhân Thiện Quả</v>
          </cell>
        </row>
        <row r="928">
          <cell r="P928" t="str">
            <v>Thổ Địa</v>
          </cell>
          <cell r="Q928" t="str">
            <v>Thiện Nhân Thiện Quả</v>
          </cell>
        </row>
        <row r="929">
          <cell r="P929" t="str">
            <v>Thổ Địa</v>
          </cell>
          <cell r="Q929" t="str">
            <v>Tư Dưỡng</v>
          </cell>
        </row>
        <row r="930">
          <cell r="P930" t="str">
            <v>Thổ Địa</v>
          </cell>
          <cell r="Q930" t="str">
            <v>Tư Dưỡng</v>
          </cell>
        </row>
        <row r="931">
          <cell r="P931" t="str">
            <v>Thổ Địa</v>
          </cell>
          <cell r="Q931" t="str">
            <v>Tư Dưỡng</v>
          </cell>
        </row>
        <row r="932">
          <cell r="P932" t="str">
            <v>Thổ Địa</v>
          </cell>
          <cell r="Q932" t="str">
            <v>Tiêu Diêu Tiểu Tiên</v>
          </cell>
        </row>
        <row r="933">
          <cell r="P933" t="str">
            <v>Thổ Địa</v>
          </cell>
          <cell r="Q933" t="str">
            <v>Tiêu Diêu Tiểu Tiên</v>
          </cell>
        </row>
        <row r="934">
          <cell r="P934" t="str">
            <v>Thổ Địa</v>
          </cell>
          <cell r="Q934" t="str">
            <v>Tiêu Diêu Tiểu Tiên</v>
          </cell>
        </row>
        <row r="935">
          <cell r="P935" t="str">
            <v>Thổ Địa</v>
          </cell>
          <cell r="Q935" t="str">
            <v>Tiêu Diêu Tiểu Tiên</v>
          </cell>
        </row>
        <row r="936">
          <cell r="P936" t="str">
            <v>Thổ Địa</v>
          </cell>
          <cell r="Q936" t="str">
            <v>Tiêu Diêu Tiểu Tiên</v>
          </cell>
        </row>
        <row r="937">
          <cell r="P937" t="str">
            <v>Thổ Địa</v>
          </cell>
          <cell r="Q937" t="str">
            <v>Tiêu Diêu Tiểu Tiên</v>
          </cell>
        </row>
        <row r="938">
          <cell r="P938" t="str">
            <v>Thổ Địa</v>
          </cell>
          <cell r="Q938" t="str">
            <v>Tiêu Diêu Tiểu Tiên</v>
          </cell>
        </row>
        <row r="939">
          <cell r="P939" t="str">
            <v>Thổ Địa</v>
          </cell>
          <cell r="Q939" t="str">
            <v>Tiêu Diêu Tiểu Tiên</v>
          </cell>
        </row>
        <row r="940">
          <cell r="P940" t="str">
            <v>Thổ Địa</v>
          </cell>
          <cell r="Q940" t="str">
            <v>Tiêu Diêu Tiểu Tiên</v>
          </cell>
        </row>
        <row r="941">
          <cell r="P941" t="str">
            <v>Thổ Địa</v>
          </cell>
          <cell r="Q941" t="str">
            <v>Tiêu Diêu Tiểu Tiên</v>
          </cell>
        </row>
        <row r="942">
          <cell r="P942" t="str">
            <v>Ẩu Cơ</v>
          </cell>
          <cell r="Q942" t="str">
            <v>Phổ Công</v>
          </cell>
        </row>
        <row r="943">
          <cell r="P943" t="str">
            <v>Ẩu Cơ</v>
          </cell>
          <cell r="Q943" t="str">
            <v>Dương Viêm Thuật</v>
          </cell>
        </row>
        <row r="944">
          <cell r="P944" t="str">
            <v>Ẩu Cơ</v>
          </cell>
          <cell r="Q944" t="str">
            <v>Dương Viêm Thuật</v>
          </cell>
        </row>
        <row r="945">
          <cell r="P945" t="str">
            <v>Ẩu Cơ</v>
          </cell>
          <cell r="Q945" t="str">
            <v>Dương Viêm Thuật</v>
          </cell>
        </row>
        <row r="946">
          <cell r="P946" t="str">
            <v>Ẩu Cơ</v>
          </cell>
          <cell r="Q946" t="str">
            <v>Kim Liên Trán Phóng</v>
          </cell>
        </row>
        <row r="947">
          <cell r="P947" t="str">
            <v>Ẩu Cơ</v>
          </cell>
          <cell r="Q947" t="str">
            <v>Kim Liên Trán Phóng</v>
          </cell>
        </row>
        <row r="948">
          <cell r="P948" t="str">
            <v>Ẩu Cơ</v>
          </cell>
          <cell r="Q948" t="str">
            <v>Kim Liên Trán Phóng</v>
          </cell>
        </row>
        <row r="949">
          <cell r="P949" t="str">
            <v>Ẩu Cơ</v>
          </cell>
          <cell r="Q949" t="str">
            <v>Phượng Thể</v>
          </cell>
        </row>
        <row r="950">
          <cell r="P950" t="str">
            <v>Ẩu Cơ</v>
          </cell>
          <cell r="Q950" t="str">
            <v>Phượng Thể</v>
          </cell>
        </row>
        <row r="951">
          <cell r="P951" t="str">
            <v>Ẩu Cơ</v>
          </cell>
          <cell r="Q951" t="str">
            <v>Phượng Thể</v>
          </cell>
        </row>
        <row r="952">
          <cell r="P952" t="str">
            <v>Ẩu Cơ</v>
          </cell>
          <cell r="Q952" t="str">
            <v>Cực · Phượng Thể</v>
          </cell>
        </row>
        <row r="953">
          <cell r="P953" t="str">
            <v>Ẩu Cơ</v>
          </cell>
          <cell r="Q953" t="str">
            <v>Cực · Phượng Thể</v>
          </cell>
        </row>
        <row r="954">
          <cell r="P954" t="str">
            <v>Ẩu Cơ</v>
          </cell>
          <cell r="Q954" t="str">
            <v>Cực · Phượng Thể</v>
          </cell>
        </row>
        <row r="955">
          <cell r="P955" t="str">
            <v>Ẩu Cơ</v>
          </cell>
          <cell r="Q955" t="str">
            <v>Hỏa Phượng Uy Áp</v>
          </cell>
        </row>
        <row r="956">
          <cell r="P956" t="str">
            <v>Ẩu Cơ</v>
          </cell>
          <cell r="Q956" t="str">
            <v>Hỏa Phượng Uy Áp</v>
          </cell>
        </row>
        <row r="957">
          <cell r="P957" t="str">
            <v>Ẩu Cơ</v>
          </cell>
          <cell r="Q957" t="str">
            <v>Hỏa Phượng Uy Áp</v>
          </cell>
        </row>
        <row r="958">
          <cell r="P958" t="str">
            <v>Ẩu Cơ</v>
          </cell>
          <cell r="Q958" t="str">
            <v>Thần Tín Dư Uy</v>
          </cell>
        </row>
        <row r="959">
          <cell r="P959" t="str">
            <v>Ẩu Cơ</v>
          </cell>
          <cell r="Q959" t="str">
            <v>Thần Tín Dư Uy</v>
          </cell>
        </row>
        <row r="960">
          <cell r="P960" t="str">
            <v>Ẩu Cơ</v>
          </cell>
          <cell r="Q960" t="str">
            <v>Thần Tín Dư Uy</v>
          </cell>
        </row>
        <row r="961">
          <cell r="P961" t="str">
            <v>Ẩu Cơ</v>
          </cell>
          <cell r="Q961" t="str">
            <v>Vô Tận Trán Phóng</v>
          </cell>
        </row>
        <row r="962">
          <cell r="P962" t="str">
            <v>Ẩu Cơ</v>
          </cell>
          <cell r="Q962" t="str">
            <v>Vô Tận Trán Phóng</v>
          </cell>
        </row>
        <row r="963">
          <cell r="P963" t="str">
            <v>Ẩu Cơ</v>
          </cell>
          <cell r="Q963" t="str">
            <v>Vô Tận Trán Phóng</v>
          </cell>
        </row>
        <row r="964">
          <cell r="P964" t="str">
            <v>Ẩu Cơ</v>
          </cell>
          <cell r="Q964" t="str">
            <v>Kim Liên Trán Phóng</v>
          </cell>
        </row>
        <row r="965">
          <cell r="P965" t="str">
            <v>Ẩu Cơ</v>
          </cell>
          <cell r="Q965" t="str">
            <v>Kim Liên Trán Phóng</v>
          </cell>
        </row>
        <row r="966">
          <cell r="P966" t="str">
            <v>Ẩu Cơ</v>
          </cell>
          <cell r="Q966" t="str">
            <v>Kim Liên Trán Phóng</v>
          </cell>
        </row>
        <row r="967">
          <cell r="P967" t="str">
            <v>Khí Dụng Hồng Quân Vật San</v>
          </cell>
          <cell r="Q967" t="str">
            <v>Phổ Công</v>
          </cell>
        </row>
        <row r="968">
          <cell r="P968" t="str">
            <v>Khí Dụng Hồng Quân Vật San</v>
          </cell>
          <cell r="Q968" t="str">
            <v>Đại Nhân Quả Thuật</v>
          </cell>
        </row>
        <row r="969">
          <cell r="P969" t="str">
            <v>Khí Dụng Hồng Quân Vật San</v>
          </cell>
          <cell r="Q969" t="str">
            <v>Đại Nhân Quả Thuật</v>
          </cell>
        </row>
        <row r="970">
          <cell r="P970" t="str">
            <v>Khí Dụng Hồng Quân Vật San</v>
          </cell>
          <cell r="Q970" t="str">
            <v>Đại Nhân Quả Thuật</v>
          </cell>
        </row>
        <row r="971">
          <cell r="P971" t="str">
            <v>Khí Dụng Hồng Quân Vật San</v>
          </cell>
          <cell r="Q971" t="str">
            <v>Vạn Kiếp Thánh Thể</v>
          </cell>
        </row>
        <row r="972">
          <cell r="P972" t="str">
            <v>Khí Dụng Hồng Quân Vật San</v>
          </cell>
          <cell r="Q972" t="str">
            <v>Vạn Kiếp Thánh Thể</v>
          </cell>
        </row>
        <row r="973">
          <cell r="P973" t="str">
            <v>Khí Dụng Hồng Quân Vật San</v>
          </cell>
          <cell r="Q973" t="str">
            <v>Vạn Kiếp Thánh Thể</v>
          </cell>
        </row>
        <row r="974">
          <cell r="P974" t="str">
            <v>Khí Dụng Hồng Quân Vật San</v>
          </cell>
          <cell r="Q974" t="str">
            <v>Hỗn Nguyên Kiếm Trận</v>
          </cell>
        </row>
        <row r="975">
          <cell r="P975" t="str">
            <v>Khí Dụng Hồng Quân Vật San</v>
          </cell>
          <cell r="Q975" t="str">
            <v>Hỗn Nguyên Kiếm Trận</v>
          </cell>
        </row>
        <row r="976">
          <cell r="P976" t="str">
            <v>Khí Dụng Hồng Quân Vật San</v>
          </cell>
          <cell r="Q976" t="str">
            <v>Hỗn Nguyên Kiếm Trận</v>
          </cell>
        </row>
        <row r="977">
          <cell r="P977" t="str">
            <v>Khí Dụng Hồng Quân Vật San</v>
          </cell>
          <cell r="Q977" t="str">
            <v>Thiên Nộ Thần Phạt</v>
          </cell>
        </row>
        <row r="978">
          <cell r="P978" t="str">
            <v>Khí Dụng Hồng Quân Vật San</v>
          </cell>
          <cell r="Q978" t="str">
            <v>Thiên Nộ Thần Phạt</v>
          </cell>
        </row>
        <row r="979">
          <cell r="P979" t="str">
            <v>Khí Dụng Hồng Quân Vật San</v>
          </cell>
          <cell r="Q979" t="str">
            <v>Thiên Nộ Thần Phạt</v>
          </cell>
        </row>
        <row r="980">
          <cell r="P980" t="str">
            <v>Khí Dụng Hồng Quân Vật San</v>
          </cell>
          <cell r="Q980" t="str">
            <v>Tam Giới Bất Phược</v>
          </cell>
        </row>
        <row r="981">
          <cell r="P981" t="str">
            <v>Khí Dụng Hồng Quân Vật San</v>
          </cell>
          <cell r="Q981" t="str">
            <v>Tam Giới Bất Phược</v>
          </cell>
        </row>
        <row r="982">
          <cell r="P982" t="str">
            <v>Khí Dụng Hồng Quân Vật San</v>
          </cell>
          <cell r="Q982" t="str">
            <v>Tam Giới Bất Phược</v>
          </cell>
        </row>
        <row r="983">
          <cell r="P983" t="str">
            <v>Khí Dụng Hồng Quân Vật San</v>
          </cell>
          <cell r="Q983" t="str">
            <v>Đại Nhân Quả Thuật</v>
          </cell>
        </row>
        <row r="984">
          <cell r="P984" t="str">
            <v>Khí Dụng Hồng Quân Vật San</v>
          </cell>
          <cell r="Q984" t="str">
            <v>Đại Nhân Quả Thuật</v>
          </cell>
        </row>
        <row r="985">
          <cell r="P985" t="str">
            <v>Khí Dụng Hồng Quân Vật San</v>
          </cell>
          <cell r="Q985" t="str">
            <v>Công Tham Tạo Hóa</v>
          </cell>
        </row>
        <row r="986">
          <cell r="P986" t="str">
            <v>Khí Dụng Hồng Quân Vật San</v>
          </cell>
          <cell r="Q986" t="str">
            <v>Công Tham Tạo Hóa</v>
          </cell>
        </row>
        <row r="987">
          <cell r="P987" t="str">
            <v>Khí Dụng Hồng Quân Vật San</v>
          </cell>
          <cell r="Q987" t="str">
            <v>Công Tham Tạo Hóa</v>
          </cell>
        </row>
        <row r="988">
          <cell r="P988" t="str">
            <v>Tương Thần</v>
          </cell>
          <cell r="Q988" t="str">
            <v>Phổ Công</v>
          </cell>
        </row>
        <row r="989">
          <cell r="P989" t="str">
            <v>Tương Thần</v>
          </cell>
          <cell r="Q989" t="str">
            <v>Quỷ Trảo</v>
          </cell>
        </row>
        <row r="990">
          <cell r="P990" t="str">
            <v>U Linh</v>
          </cell>
          <cell r="Q990" t="str">
            <v>U Linh</v>
          </cell>
        </row>
        <row r="991">
          <cell r="P991" t="str">
            <v>U Linh</v>
          </cell>
          <cell r="Q991" t="str">
            <v>U Linh</v>
          </cell>
        </row>
        <row r="992">
          <cell r="P992" t="str">
            <v>U Linh</v>
          </cell>
          <cell r="Q992" t="str">
            <v>U Linh</v>
          </cell>
        </row>
        <row r="993">
          <cell r="P993" t="str">
            <v>Hoa Yêu</v>
          </cell>
          <cell r="Q993" t="str">
            <v>Phổ Công</v>
          </cell>
        </row>
        <row r="994">
          <cell r="P994" t="str">
            <v>Hoa Yêu</v>
          </cell>
          <cell r="Q994" t="str">
            <v>Hoa Hương</v>
          </cell>
        </row>
        <row r="995">
          <cell r="P995" t="str">
            <v>Hoa Yêu</v>
          </cell>
          <cell r="Q995" t="str">
            <v>Tự Nhiên Thân Hòa</v>
          </cell>
        </row>
        <row r="996">
          <cell r="P996" t="str">
            <v>Hắc Phong</v>
          </cell>
          <cell r="Q996" t="str">
            <v>Phổ Công</v>
          </cell>
        </row>
        <row r="997">
          <cell r="P997" t="str">
            <v>Hắc Phong</v>
          </cell>
          <cell r="Q997" t="str">
            <v>Cự Lực Trọng Khảm</v>
          </cell>
        </row>
        <row r="998">
          <cell r="P998" t="str">
            <v>Hắc Phong</v>
          </cell>
          <cell r="Q998" t="str">
            <v>Ngạnh Hóa Bì Phu</v>
          </cell>
        </row>
        <row r="999">
          <cell r="P999" t="str">
            <v>Sơn Quỷ</v>
          </cell>
          <cell r="Q999" t="str">
            <v>Ngưu Yêu</v>
          </cell>
        </row>
        <row r="1000">
          <cell r="P1000" t="str">
            <v>Sơn Quỷ</v>
          </cell>
          <cell r="Q1000" t="str">
            <v>Ngưu Yêu</v>
          </cell>
        </row>
        <row r="1001">
          <cell r="P1001" t="str">
            <v>Sơn Quỷ</v>
          </cell>
          <cell r="Q1001" t="str">
            <v>Ngưu Yêu</v>
          </cell>
        </row>
        <row r="1002">
          <cell r="P1002" t="str">
            <v>Sơn Quỷ</v>
          </cell>
          <cell r="Q1002" t="str">
            <v>Ngưu Yêu</v>
          </cell>
        </row>
        <row r="1003">
          <cell r="P1003" t="str">
            <v>Sơn Quỷ</v>
          </cell>
          <cell r="Q1003" t="str">
            <v>Ngưu Yêu</v>
          </cell>
        </row>
        <row r="1004">
          <cell r="P1004" t="str">
            <v>Bá Ba Nhĩ Bôn</v>
          </cell>
          <cell r="Q1004" t="str">
            <v>Dạ Xoa</v>
          </cell>
        </row>
        <row r="1005">
          <cell r="P1005" t="str">
            <v>Bá Ba Nhĩ Bôn</v>
          </cell>
          <cell r="Q1005" t="str">
            <v>Dạ Xoa</v>
          </cell>
        </row>
        <row r="1006">
          <cell r="P1006" t="str">
            <v>Bá Ba Nhĩ Bôn</v>
          </cell>
          <cell r="Q1006" t="str">
            <v>Dạ Xoa</v>
          </cell>
        </row>
        <row r="1007">
          <cell r="P1007" t="str">
            <v>Ngọc Thỏ</v>
          </cell>
          <cell r="Q1007" t="str">
            <v>Phổ Công</v>
          </cell>
        </row>
        <row r="1008">
          <cell r="P1008" t="str">
            <v>Ngọc Thỏ</v>
          </cell>
          <cell r="Q1008" t="str">
            <v>Quỳnh Tương Ngọc Dịch</v>
          </cell>
        </row>
        <row r="1009">
          <cell r="P1009" t="str">
            <v>Ngọc Thỏ</v>
          </cell>
          <cell r="Q1009" t="str">
            <v>Tương Y</v>
          </cell>
        </row>
        <row r="1010">
          <cell r="P1010" t="str">
            <v>Bôn Ba Nhi Bá</v>
          </cell>
          <cell r="Q1010" t="str">
            <v>Nhiếp Tiểu Thanh</v>
          </cell>
        </row>
        <row r="1011">
          <cell r="P1011" t="str">
            <v>Bôn Ba Nhi Bá</v>
          </cell>
          <cell r="Q1011" t="str">
            <v>Nhiếp Tiểu Thanh</v>
          </cell>
        </row>
        <row r="1012">
          <cell r="P1012" t="str">
            <v>Bôn Ba Nhi Bá</v>
          </cell>
          <cell r="Q1012" t="str">
            <v>Nhiếp Tiểu Thanh</v>
          </cell>
        </row>
        <row r="1013">
          <cell r="P1013" t="str">
            <v>Ngân Giác Đại Vương</v>
          </cell>
          <cell r="Q1013" t="str">
            <v>Ngân Giác Đại Vương</v>
          </cell>
        </row>
        <row r="1014">
          <cell r="P1014" t="str">
            <v>Ngân Giác Đại Vương</v>
          </cell>
          <cell r="Q1014" t="str">
            <v>Ngân Giác Đại Vương</v>
          </cell>
        </row>
        <row r="1015">
          <cell r="P1015" t="str">
            <v>Ngân Giác Đại Vương</v>
          </cell>
          <cell r="Q1015" t="str">
            <v>Ngân Giác Đại Vương</v>
          </cell>
        </row>
        <row r="1016">
          <cell r="P1016" t="str">
            <v>Ngân Giác Đại Vương</v>
          </cell>
          <cell r="Q1016" t="str">
            <v>Ngân Giác Đại Vương</v>
          </cell>
        </row>
        <row r="1017">
          <cell r="P1017" t="str">
            <v>Quỷ Tương</v>
          </cell>
          <cell r="Q1017" t="str">
            <v>Phổ Công</v>
          </cell>
        </row>
        <row r="1018">
          <cell r="P1018" t="str">
            <v>Quỷ Tương</v>
          </cell>
          <cell r="Q1018" t="str">
            <v>Yên Diệt</v>
          </cell>
        </row>
        <row r="1019">
          <cell r="P1019" t="str">
            <v>Quỷ Tương</v>
          </cell>
          <cell r="Q1019" t="str">
            <v>Vong Giả Ý Chí</v>
          </cell>
        </row>
        <row r="1020">
          <cell r="P1020" t="str">
            <v>Quỷ Tương</v>
          </cell>
          <cell r="Q1020" t="str">
            <v>U Minh Hộ Thuẫn</v>
          </cell>
        </row>
        <row r="1021">
          <cell r="P1021" t="str">
            <v>Kim Giác Đại Vương</v>
          </cell>
          <cell r="Q1021" t="str">
            <v>Phổ Công</v>
          </cell>
        </row>
        <row r="1022">
          <cell r="P1022" t="str">
            <v>Kim Giác Đại Vương</v>
          </cell>
          <cell r="Q1022" t="str">
            <v>Xích Diễm</v>
          </cell>
        </row>
        <row r="1023">
          <cell r="P1023" t="str">
            <v>Kim Giác Đại Vương</v>
          </cell>
          <cell r="Q1023" t="str">
            <v>Liệt Diễm Chưởng Khống</v>
          </cell>
        </row>
        <row r="1024">
          <cell r="P1024" t="str">
            <v>Kim Giác Đại Vương</v>
          </cell>
          <cell r="Q1024" t="str">
            <v>Sí Hỏa Liệu Nguyên</v>
          </cell>
        </row>
        <row r="1025">
          <cell r="P1025" t="str">
            <v>Bàn Ti</v>
          </cell>
          <cell r="Q1025" t="str">
            <v>Phổ Công</v>
          </cell>
        </row>
        <row r="1026">
          <cell r="P1026" t="str">
            <v>Bàn Ti</v>
          </cell>
          <cell r="Q1026" t="str">
            <v>Chước Nhiệt Chi Vẫn</v>
          </cell>
        </row>
        <row r="1027">
          <cell r="P1027" t="str">
            <v>Bàn Ti</v>
          </cell>
          <cell r="Q1027" t="str">
            <v>Chức Võng</v>
          </cell>
        </row>
        <row r="1028">
          <cell r="P1028" t="str">
            <v>Bàn Ti</v>
          </cell>
          <cell r="Q1028" t="str">
            <v>Thiên Chu Xâm Tập</v>
          </cell>
        </row>
        <row r="1029">
          <cell r="P1029" t="str">
            <v>Dạ Xoa</v>
          </cell>
          <cell r="Q1029" t="str">
            <v>Bạch Cốt Tinh</v>
          </cell>
        </row>
        <row r="1030">
          <cell r="P1030" t="str">
            <v>Dạ Xoa</v>
          </cell>
          <cell r="Q1030" t="str">
            <v>Bạch Cốt Tinh</v>
          </cell>
        </row>
        <row r="1031">
          <cell r="P1031" t="str">
            <v>Dạ Xoa</v>
          </cell>
          <cell r="Q1031" t="str">
            <v>Bạch Cốt Tinh</v>
          </cell>
        </row>
        <row r="1032">
          <cell r="P1032" t="str">
            <v>Dạ Xoa</v>
          </cell>
          <cell r="Q1032" t="str">
            <v>Bạch Cốt Tinh</v>
          </cell>
        </row>
        <row r="1033">
          <cell r="P1033" t="str">
            <v>Hồng Hài Nhi</v>
          </cell>
          <cell r="Q1033" t="str">
            <v>Phổ Công</v>
          </cell>
        </row>
        <row r="1034">
          <cell r="P1034" t="str">
            <v>Hồng Hài Nhi</v>
          </cell>
          <cell r="Q1034" t="str">
            <v>Hỏa Diễm Phún Xạ Khí</v>
          </cell>
        </row>
        <row r="1035">
          <cell r="P1035" t="str">
            <v>Hồng Hài Nhi</v>
          </cell>
          <cell r="Q1035" t="str">
            <v>Hỏa Diễm Phún Xạ Khí</v>
          </cell>
        </row>
        <row r="1036">
          <cell r="P1036" t="str">
            <v>Hồng Hài Nhi</v>
          </cell>
          <cell r="Q1036" t="str">
            <v>Hỏa Diễm Phún Xạ Khí</v>
          </cell>
        </row>
        <row r="1037">
          <cell r="P1037" t="str">
            <v>Hồng Hài Nhi</v>
          </cell>
          <cell r="Q1037" t="str">
            <v>Hỏa Diễm Phún Xạ Khí</v>
          </cell>
        </row>
        <row r="1038">
          <cell r="P1038" t="str">
            <v>Hồng Hài Nhi</v>
          </cell>
          <cell r="Q1038" t="str">
            <v>Hỏa Diễm Phún Xạ Khí</v>
          </cell>
        </row>
        <row r="1039">
          <cell r="P1039" t="str">
            <v>Hồng Hài Nhi</v>
          </cell>
          <cell r="Q1039" t="str">
            <v>Hỏa Diễm Phún Xạ Khí</v>
          </cell>
        </row>
        <row r="1040">
          <cell r="P1040" t="str">
            <v>Hồng Hài Nhi</v>
          </cell>
          <cell r="Q1040" t="str">
            <v>Hỏa Diễm Phún Xạ Khí</v>
          </cell>
        </row>
        <row r="1041">
          <cell r="P1041" t="str">
            <v>Hồng Hài Nhi</v>
          </cell>
          <cell r="Q1041" t="str">
            <v>Hỏa Diễm Phún Xạ Khí</v>
          </cell>
        </row>
        <row r="1042">
          <cell r="P1042" t="str">
            <v>Hồng Hài Nhi</v>
          </cell>
          <cell r="Q1042" t="str">
            <v>Hỏa Diễm Phún Xạ Khí</v>
          </cell>
        </row>
        <row r="1043">
          <cell r="P1043" t="str">
            <v>Hồng Hài Nhi</v>
          </cell>
          <cell r="Q1043" t="str">
            <v>Hỏa Diễm Phún Xạ Khí</v>
          </cell>
        </row>
        <row r="1044">
          <cell r="P1044" t="str">
            <v>Hồng Hài Nhi</v>
          </cell>
          <cell r="Q1044" t="str">
            <v>Hỏa Diễm Phún Xạ Khí</v>
          </cell>
        </row>
        <row r="1045">
          <cell r="P1045" t="str">
            <v>Hồng Hài Nhi</v>
          </cell>
          <cell r="Q1045" t="str">
            <v>Hỏa Diễm Phún Xạ Khí</v>
          </cell>
        </row>
        <row r="1046">
          <cell r="P1046" t="str">
            <v>Hồng Hài Nhi</v>
          </cell>
          <cell r="Q1046" t="str">
            <v>Quá Tái</v>
          </cell>
        </row>
        <row r="1047">
          <cell r="P1047" t="str">
            <v>Hồng Hài Nhi</v>
          </cell>
          <cell r="Q1047" t="str">
            <v>Quá Tái</v>
          </cell>
        </row>
        <row r="1048">
          <cell r="P1048" t="str">
            <v>Hồng Hài Nhi</v>
          </cell>
          <cell r="Q1048" t="str">
            <v>Quá Tái</v>
          </cell>
        </row>
        <row r="1049">
          <cell r="P1049" t="str">
            <v>Hồng Hài Nhi</v>
          </cell>
          <cell r="Q1049" t="str">
            <v>Cực · Quá Tái</v>
          </cell>
        </row>
        <row r="1050">
          <cell r="P1050" t="str">
            <v>Hồng Hài Nhi</v>
          </cell>
          <cell r="Q1050" t="str">
            <v>Cực · Quá Tái</v>
          </cell>
        </row>
        <row r="1051">
          <cell r="P1051" t="str">
            <v>Hồng Hài Nhi</v>
          </cell>
          <cell r="Q1051" t="str">
            <v>Cực · Quá Tái</v>
          </cell>
        </row>
        <row r="1052">
          <cell r="P1052" t="str">
            <v>Hồng Hài Nhi</v>
          </cell>
          <cell r="Q1052" t="str">
            <v>Chiến Địa Tu Phục</v>
          </cell>
        </row>
        <row r="1053">
          <cell r="P1053" t="str">
            <v>Hồng Hài Nhi</v>
          </cell>
          <cell r="Q1053" t="str">
            <v>Chiến Địa Tu Phục</v>
          </cell>
        </row>
        <row r="1054">
          <cell r="P1054" t="str">
            <v>Hồng Hài Nhi</v>
          </cell>
          <cell r="Q1054" t="str">
            <v>Chiến Địa Tu Phục</v>
          </cell>
        </row>
        <row r="1055">
          <cell r="P1055" t="str">
            <v>Hồng Hài Nhi</v>
          </cell>
          <cell r="Q1055" t="str">
            <v>Chước Nhiệt Cơ Giáp</v>
          </cell>
        </row>
        <row r="1056">
          <cell r="P1056" t="str">
            <v>Hồng Hài Nhi</v>
          </cell>
          <cell r="Q1056" t="str">
            <v>Chước Nhiệt Cơ Giáp</v>
          </cell>
        </row>
        <row r="1057">
          <cell r="P1057" t="str">
            <v>Hồng Hài Nhi</v>
          </cell>
          <cell r="Q1057" t="str">
            <v>Chước Nhiệt Cơ Giáp</v>
          </cell>
        </row>
        <row r="1058">
          <cell r="P1058" t="str">
            <v>Hồng Hài Nhi</v>
          </cell>
          <cell r="Q1058" t="str">
            <v>Hỏa Diễm Phún Xạ Khí</v>
          </cell>
        </row>
        <row r="1059">
          <cell r="P1059" t="str">
            <v>Hồng Hài Nhi</v>
          </cell>
          <cell r="Q1059" t="str">
            <v>Hỏa Diễm Phún Xạ Khí</v>
          </cell>
        </row>
        <row r="1060">
          <cell r="P1060" t="str">
            <v>Hồng Hài Nhi</v>
          </cell>
          <cell r="Q1060" t="str">
            <v>Hỏa Diễm Phún Xạ Khí</v>
          </cell>
        </row>
        <row r="1061">
          <cell r="P1061" t="str">
            <v>Hồng Hài Nhi</v>
          </cell>
          <cell r="Q1061" t="str">
            <v>Hỏa Diễm Phún Xạ Khí</v>
          </cell>
        </row>
        <row r="1062">
          <cell r="P1062" t="str">
            <v>Hồng Hài Nhi</v>
          </cell>
          <cell r="Q1062" t="str">
            <v>Hỏa Diễm Phún Xạ Khí</v>
          </cell>
        </row>
        <row r="1063">
          <cell r="P1063" t="str">
            <v>Hồng Hài Nhi</v>
          </cell>
          <cell r="Q1063" t="str">
            <v>Hỏa Diễm Phún Xạ Khí</v>
          </cell>
        </row>
        <row r="1064">
          <cell r="P1064" t="str">
            <v>Hồng Hài Nhi</v>
          </cell>
          <cell r="Q1064" t="str">
            <v>Hỏa Diễm Phún Xạ Khí</v>
          </cell>
        </row>
        <row r="1065">
          <cell r="P1065" t="str">
            <v>Hồng Hài Nhi</v>
          </cell>
          <cell r="Q1065" t="str">
            <v>Hỏa Diễm Phún Xạ Khí</v>
          </cell>
        </row>
        <row r="1066">
          <cell r="P1066" t="str">
            <v>Hồng Hài Nhi</v>
          </cell>
          <cell r="Q1066" t="str">
            <v>Hỏa Diễm Phún Xạ Khí</v>
          </cell>
        </row>
        <row r="1067">
          <cell r="P1067" t="str">
            <v>Hồng Hài Nhi</v>
          </cell>
          <cell r="Q1067" t="str">
            <v>Chích Khảo</v>
          </cell>
        </row>
        <row r="1068">
          <cell r="P1068" t="str">
            <v>Hồng Hài Nhi</v>
          </cell>
          <cell r="Q1068" t="str">
            <v>Chích Khảo</v>
          </cell>
        </row>
        <row r="1069">
          <cell r="P1069" t="str">
            <v>Hồng Hài Nhi</v>
          </cell>
          <cell r="Q1069" t="str">
            <v>Chích Khảo</v>
          </cell>
        </row>
        <row r="1070">
          <cell r="P1070" t="str">
            <v>Hồng Hài Nhi</v>
          </cell>
          <cell r="Q1070" t="str">
            <v>Chiến Địa Bổ Cấp</v>
          </cell>
        </row>
        <row r="1071">
          <cell r="P1071" t="str">
            <v>Hồng Hài Nhi</v>
          </cell>
          <cell r="Q1071" t="str">
            <v>Chiến Địa Bổ Cấp</v>
          </cell>
        </row>
        <row r="1072">
          <cell r="P1072" t="str">
            <v>Hồng Hài Nhi</v>
          </cell>
          <cell r="Q1072" t="str">
            <v>Chiến Địa Bổ Cấp</v>
          </cell>
        </row>
        <row r="1073">
          <cell r="P1073" t="str">
            <v>Hồng Hài Nhi</v>
          </cell>
          <cell r="Q1073" t="str">
            <v>Chiến Địa Tu Phục</v>
          </cell>
        </row>
        <row r="1074">
          <cell r="P1074" t="str">
            <v>Hồng Hài Nhi</v>
          </cell>
          <cell r="Q1074" t="str">
            <v>Chiến Địa Tu Phục</v>
          </cell>
        </row>
        <row r="1075">
          <cell r="P1075" t="str">
            <v>Hồng Hài Nhi</v>
          </cell>
          <cell r="Q1075" t="str">
            <v>Chiến Địa Tu Phục _ Chủ Kỹ Năng</v>
          </cell>
        </row>
        <row r="1076">
          <cell r="P1076" t="str">
            <v>Hồng Hài Nhi</v>
          </cell>
          <cell r="Q1076" t="str">
            <v>Chiến Địa Tu Phục _ Tử Kỹ Năng</v>
          </cell>
        </row>
        <row r="1077">
          <cell r="P1077" t="str">
            <v>Hồng Hài Nhi</v>
          </cell>
          <cell r="Q1077" t="str">
            <v>Cơ Giáp Tiêm Thứ</v>
          </cell>
        </row>
        <row r="1078">
          <cell r="P1078" t="str">
            <v>Hồng Hài Nhi</v>
          </cell>
          <cell r="Q1078" t="str">
            <v>Cơ Giáp Tiêm Thứ</v>
          </cell>
        </row>
        <row r="1079">
          <cell r="P1079" t="str">
            <v>Hồng Hài Nhi</v>
          </cell>
          <cell r="Q1079" t="str">
            <v>Cơ Giáp Tiêm Thứ</v>
          </cell>
        </row>
        <row r="1080">
          <cell r="P1080" t="str">
            <v>Hồng Hài Nhi</v>
          </cell>
          <cell r="Q1080" t="str">
            <v>Cơ Giáp Tiêm Thứ</v>
          </cell>
        </row>
        <row r="1081">
          <cell r="P1081" t="str">
            <v>Hồng Hài Nhi</v>
          </cell>
          <cell r="Q1081" t="str">
            <v>Cơ Giáp Tiêm Thứ</v>
          </cell>
        </row>
        <row r="1082">
          <cell r="P1082" t="str">
            <v>Hồng Hài Nhi</v>
          </cell>
          <cell r="Q1082" t="str">
            <v>Cơ Giáp Tiêm Thứ</v>
          </cell>
        </row>
        <row r="1083">
          <cell r="P1083" t="str">
            <v>Hồng Hài Nhi</v>
          </cell>
          <cell r="Q1083" t="str">
            <v>Cơ Giáp Tiêm Thứ</v>
          </cell>
        </row>
        <row r="1084">
          <cell r="P1084" t="str">
            <v>Hồng Hài Nhi</v>
          </cell>
          <cell r="Q1084" t="str">
            <v>Cơ Giáp Tiêm Thứ</v>
          </cell>
        </row>
        <row r="1085">
          <cell r="P1085" t="str">
            <v>Hồng Hài Nhi</v>
          </cell>
          <cell r="Q1085" t="str">
            <v>Cơ Giáp Tiêm Thứ</v>
          </cell>
        </row>
        <row r="1086">
          <cell r="P1086" t="str">
            <v>Hồng Hài Nhi</v>
          </cell>
          <cell r="Q1086" t="str">
            <v>Cơ Giáp Tiêm Thứ</v>
          </cell>
        </row>
        <row r="1087">
          <cell r="P1087" t="str">
            <v>Thạch Ki</v>
          </cell>
          <cell r="Q1087" t="str">
            <v>Phổ Công</v>
          </cell>
        </row>
        <row r="1088">
          <cell r="P1088" t="str">
            <v>Thạch Ki</v>
          </cell>
          <cell r="Q1088" t="str">
            <v>Tinh Vẫn Lạc</v>
          </cell>
        </row>
        <row r="1089">
          <cell r="P1089" t="str">
            <v>Thạch Ki</v>
          </cell>
          <cell r="Q1089" t="str">
            <v>Tinh Vẫn Lạc</v>
          </cell>
        </row>
        <row r="1090">
          <cell r="P1090" t="str">
            <v>Thạch Ki</v>
          </cell>
          <cell r="Q1090" t="str">
            <v>Tinh Vẫn Lạc</v>
          </cell>
        </row>
        <row r="1091">
          <cell r="P1091" t="str">
            <v>Thạch Ki</v>
          </cell>
          <cell r="Q1091" t="str">
            <v>Minh Tưởng</v>
          </cell>
        </row>
        <row r="1092">
          <cell r="P1092" t="str">
            <v>Thạch Ki</v>
          </cell>
          <cell r="Q1092" t="str">
            <v>Minh Tưởng</v>
          </cell>
        </row>
        <row r="1093">
          <cell r="P1093" t="str">
            <v>Thạch Ki</v>
          </cell>
          <cell r="Q1093" t="str">
            <v>Minh Tưởng</v>
          </cell>
        </row>
        <row r="1094">
          <cell r="P1094" t="str">
            <v>Thạch Ki</v>
          </cell>
          <cell r="Q1094" t="str">
            <v>Cực · Minh Tưởng</v>
          </cell>
        </row>
        <row r="1095">
          <cell r="P1095" t="str">
            <v>Thạch Ki</v>
          </cell>
          <cell r="Q1095" t="str">
            <v>Cực · Minh Tưởng</v>
          </cell>
        </row>
        <row r="1096">
          <cell r="P1096" t="str">
            <v>Thạch Ki</v>
          </cell>
          <cell r="Q1096" t="str">
            <v>Cực · Minh Tưởng</v>
          </cell>
        </row>
        <row r="1097">
          <cell r="P1097" t="str">
            <v>Thạch Ki</v>
          </cell>
          <cell r="Q1097" t="str">
            <v>Tiêm Nhuệ Chi Thứ</v>
          </cell>
        </row>
        <row r="1098">
          <cell r="P1098" t="str">
            <v>Thạch Ki</v>
          </cell>
          <cell r="Q1098" t="str">
            <v>Tiêm Nhuệ Chi Thứ</v>
          </cell>
        </row>
        <row r="1099">
          <cell r="P1099" t="str">
            <v>Thạch Ki</v>
          </cell>
          <cell r="Q1099" t="str">
            <v>Tiêm Nhuệ Chi Thứ</v>
          </cell>
        </row>
        <row r="1100">
          <cell r="P1100" t="str">
            <v>Thạch Ki</v>
          </cell>
          <cell r="Q1100" t="str">
            <v>Năng Lượng Chỉ Dẫn</v>
          </cell>
        </row>
        <row r="1101">
          <cell r="P1101" t="str">
            <v>Thạch Ki</v>
          </cell>
          <cell r="Q1101" t="str">
            <v>Năng Lượng Chỉ Dẫn</v>
          </cell>
        </row>
        <row r="1102">
          <cell r="P1102" t="str">
            <v>Thạch Ki</v>
          </cell>
          <cell r="Q1102" t="str">
            <v>Năng Lượng Chỉ Dẫn</v>
          </cell>
        </row>
        <row r="1103">
          <cell r="P1103" t="str">
            <v>Thạch Ki</v>
          </cell>
          <cell r="Q1103" t="str">
            <v>Vân Quang Phất Diện</v>
          </cell>
        </row>
        <row r="1104">
          <cell r="P1104" t="str">
            <v>Thạch Ki</v>
          </cell>
          <cell r="Q1104" t="str">
            <v>Vân Quang Phất Diện</v>
          </cell>
        </row>
        <row r="1105">
          <cell r="P1105" t="str">
            <v>Thạch Ki</v>
          </cell>
          <cell r="Q1105" t="str">
            <v>Vân Quang Phất Diện</v>
          </cell>
        </row>
        <row r="1106">
          <cell r="P1106" t="str">
            <v>Thạch Ki</v>
          </cell>
          <cell r="Q1106" t="str">
            <v>Vân Quang Phất Diện</v>
          </cell>
        </row>
        <row r="1107">
          <cell r="P1107" t="str">
            <v>Thạch Ki</v>
          </cell>
          <cell r="Q1107" t="str">
            <v>Vân Quang Phất Diện</v>
          </cell>
        </row>
        <row r="1108">
          <cell r="P1108" t="str">
            <v>Thạch Ki</v>
          </cell>
          <cell r="Q1108" t="str">
            <v>Vân Quang Phất Diện</v>
          </cell>
        </row>
        <row r="1109">
          <cell r="P1109" t="str">
            <v>Thạch Ki</v>
          </cell>
          <cell r="Q1109" t="str">
            <v>Tinh Vẫn Lạc</v>
          </cell>
        </row>
        <row r="1110">
          <cell r="P1110" t="str">
            <v>Thạch Ki</v>
          </cell>
          <cell r="Q1110" t="str">
            <v>Tinh Vẫn Lạc</v>
          </cell>
        </row>
        <row r="1111">
          <cell r="P1111" t="str">
            <v>Thạch Ki</v>
          </cell>
          <cell r="Q1111" t="str">
            <v>Tinh Vẫn Lạc</v>
          </cell>
        </row>
        <row r="1112">
          <cell r="P1112" t="str">
            <v>Thạch Ki</v>
          </cell>
          <cell r="Q1112" t="str">
            <v>Tâm Như Bàn Thạch</v>
          </cell>
        </row>
        <row r="1113">
          <cell r="P1113" t="str">
            <v>Thạch Ki</v>
          </cell>
          <cell r="Q1113" t="str">
            <v>Tâm Như Bàn Thạch</v>
          </cell>
        </row>
        <row r="1114">
          <cell r="P1114" t="str">
            <v>Thạch Ki</v>
          </cell>
          <cell r="Q1114" t="str">
            <v>Tâm Như Bàn Thạch</v>
          </cell>
        </row>
        <row r="1115">
          <cell r="P1115" t="str">
            <v>Thạch Ki</v>
          </cell>
          <cell r="Q1115" t="str">
            <v>Tâm Như Bàn Thạch</v>
          </cell>
        </row>
        <row r="1116">
          <cell r="P1116" t="str">
            <v>Thạch Ki</v>
          </cell>
          <cell r="Q1116" t="str">
            <v>Tâm Như Bàn Thạch</v>
          </cell>
        </row>
        <row r="1117">
          <cell r="P1117" t="str">
            <v>Thạch Ki</v>
          </cell>
          <cell r="Q1117" t="str">
            <v>Tâm Như Bàn Thạch</v>
          </cell>
        </row>
        <row r="1118">
          <cell r="P1118" t="str">
            <v>Thạch Ki</v>
          </cell>
          <cell r="Q1118" t="str">
            <v>Tâm Như Bàn Thạch</v>
          </cell>
        </row>
        <row r="1119">
          <cell r="P1119" t="str">
            <v>Thạch Ki</v>
          </cell>
          <cell r="Q1119" t="str">
            <v>Tâm Như Bàn Thạch</v>
          </cell>
        </row>
        <row r="1120">
          <cell r="P1120" t="str">
            <v>Thạch Ki</v>
          </cell>
          <cell r="Q1120" t="str">
            <v>Tâm Như Bàn Thạch</v>
          </cell>
        </row>
        <row r="1121">
          <cell r="P1121" t="str">
            <v>Thạch Ki</v>
          </cell>
          <cell r="Q1121" t="str">
            <v>Tâm Như Bàn Thạch</v>
          </cell>
        </row>
        <row r="1122">
          <cell r="P1122" t="str">
            <v>Thạch Ki</v>
          </cell>
          <cell r="Q1122" t="str">
            <v>Tâm Như Bàn Thạch</v>
          </cell>
        </row>
        <row r="1123">
          <cell r="P1123" t="str">
            <v>Thạch Ki</v>
          </cell>
          <cell r="Q1123" t="str">
            <v>Tâm Như Bàn Thạch</v>
          </cell>
        </row>
        <row r="1124">
          <cell r="P1124" t="str">
            <v>Hỗn Thiên Đại Thánh</v>
          </cell>
          <cell r="Q1124" t="str">
            <v>Phổ Công</v>
          </cell>
        </row>
        <row r="1125">
          <cell r="P1125" t="str">
            <v>Hỗn Thiên Đại Thánh</v>
          </cell>
          <cell r="Q1125" t="str">
            <v>Thị Huyết Trảm</v>
          </cell>
        </row>
        <row r="1126">
          <cell r="P1126" t="str">
            <v>Hỗn Thiên Đại Thánh</v>
          </cell>
          <cell r="Q1126" t="str">
            <v>Thị Huyết Trảm</v>
          </cell>
        </row>
        <row r="1127">
          <cell r="P1127" t="str">
            <v>Hỗn Thiên Đại Thánh</v>
          </cell>
          <cell r="Q1127" t="str">
            <v>Thị Huyết Trảm</v>
          </cell>
        </row>
        <row r="1128">
          <cell r="P1128" t="str">
            <v>Hỗn Thiên Đại Thánh</v>
          </cell>
          <cell r="Q1128" t="str">
            <v>Sát Ý Ba Động</v>
          </cell>
        </row>
        <row r="1129">
          <cell r="P1129" t="str">
            <v>Hỗn Thiên Đại Thánh</v>
          </cell>
          <cell r="Q1129" t="str">
            <v>Sát Ý Ba Động</v>
          </cell>
        </row>
        <row r="1130">
          <cell r="P1130" t="str">
            <v>Hỗn Thiên Đại Thánh</v>
          </cell>
          <cell r="Q1130" t="str">
            <v>Sát Ý Ba Động</v>
          </cell>
        </row>
        <row r="1131">
          <cell r="P1131" t="str">
            <v>Hỗn Thiên Đại Thánh</v>
          </cell>
          <cell r="Q1131" t="str">
            <v>Cực · Sát Ý Ba Động</v>
          </cell>
        </row>
        <row r="1132">
          <cell r="P1132" t="str">
            <v>Hỗn Thiên Đại Thánh</v>
          </cell>
          <cell r="Q1132" t="str">
            <v>Cực · Sát Ý Ba Động</v>
          </cell>
        </row>
        <row r="1133">
          <cell r="P1133" t="str">
            <v>Hỗn Thiên Đại Thánh</v>
          </cell>
          <cell r="Q1133" t="str">
            <v>Cực · Sát Ý Ba Động</v>
          </cell>
        </row>
        <row r="1134">
          <cell r="P1134" t="str">
            <v>Hỗn Thiên Đại Thánh</v>
          </cell>
          <cell r="Q1134" t="str">
            <v>Huyết Cức Phủ Luân</v>
          </cell>
        </row>
        <row r="1135">
          <cell r="P1135" t="str">
            <v>Hỗn Thiên Đại Thánh</v>
          </cell>
          <cell r="Q1135" t="str">
            <v>Huyết Cức Phủ Luân</v>
          </cell>
        </row>
        <row r="1136">
          <cell r="P1136" t="str">
            <v>Hỗn Thiên Đại Thánh</v>
          </cell>
          <cell r="Q1136" t="str">
            <v>Huyết Cức Phủ Luân</v>
          </cell>
        </row>
        <row r="1137">
          <cell r="P1137" t="str">
            <v>Hỗn Thiên Đại Thánh</v>
          </cell>
          <cell r="Q1137" t="str">
            <v>Khuy Tý</v>
          </cell>
        </row>
        <row r="1138">
          <cell r="P1138" t="str">
            <v>Hỗn Thiên Đại Thánh</v>
          </cell>
          <cell r="Q1138" t="str">
            <v>Khuy Tý</v>
          </cell>
        </row>
        <row r="1139">
          <cell r="P1139" t="str">
            <v>Hỗn Thiên Đại Thánh</v>
          </cell>
          <cell r="Q1139" t="str">
            <v>Khuy Tý</v>
          </cell>
        </row>
        <row r="1140">
          <cell r="P1140" t="str">
            <v>Hỗn Thiên Đại Thánh</v>
          </cell>
          <cell r="Q1140" t="str">
            <v>Huyết Sắc Di Mạn</v>
          </cell>
        </row>
        <row r="1141">
          <cell r="P1141" t="str">
            <v>Hỗn Thiên Đại Thánh</v>
          </cell>
          <cell r="Q1141" t="str">
            <v>Huyết Sắc Di Mạn</v>
          </cell>
        </row>
        <row r="1142">
          <cell r="P1142" t="str">
            <v>Hỗn Thiên Đại Thánh</v>
          </cell>
          <cell r="Q1142" t="str">
            <v>Huyết Sắc Di Mạn</v>
          </cell>
        </row>
        <row r="1143">
          <cell r="P1143" t="str">
            <v>Hỗn Thiên Đại Thánh</v>
          </cell>
          <cell r="Q1143" t="str">
            <v>Thị Huyết Trảm</v>
          </cell>
        </row>
        <row r="1144">
          <cell r="P1144" t="str">
            <v>Hỗn Thiên Đại Thánh</v>
          </cell>
          <cell r="Q1144" t="str">
            <v>Thị Huyết Trảm</v>
          </cell>
        </row>
        <row r="1145">
          <cell r="P1145" t="str">
            <v>Hỗn Thiên Đại Thánh</v>
          </cell>
          <cell r="Q1145" t="str">
            <v>Thị Huyết Trảm</v>
          </cell>
        </row>
        <row r="1146">
          <cell r="P1146" t="str">
            <v>Hỗn Thiên Đại Thánh</v>
          </cell>
          <cell r="Q1146" t="str">
            <v>Đồng Sinh Cộng Tử</v>
          </cell>
        </row>
        <row r="1147">
          <cell r="P1147" t="str">
            <v>Hỗn Thiên Đại Thánh</v>
          </cell>
          <cell r="Q1147" t="str">
            <v>Đồng Sinh Cộng Tử</v>
          </cell>
        </row>
        <row r="1148">
          <cell r="P1148" t="str">
            <v>Hỗn Thiên Đại Thánh</v>
          </cell>
          <cell r="Q1148" t="str">
            <v>Đồng Sinh Cộng Tử</v>
          </cell>
        </row>
        <row r="1149">
          <cell r="P1149" t="str">
            <v>Hỗn Thiên Đại Thánh</v>
          </cell>
          <cell r="Q1149" t="str">
            <v>Đồng Sinh Cộng Tử</v>
          </cell>
        </row>
        <row r="1150">
          <cell r="P1150" t="str">
            <v>Hỗn Thiên Đại Thánh</v>
          </cell>
          <cell r="Q1150" t="str">
            <v>Đồng Sinh Cộng Tử</v>
          </cell>
        </row>
        <row r="1151">
          <cell r="P1151" t="str">
            <v>Hỗn Thiên Đại Thánh</v>
          </cell>
          <cell r="Q1151" t="str">
            <v>Khuy Tý</v>
          </cell>
        </row>
        <row r="1152">
          <cell r="P1152" t="str">
            <v>Hỗn Thiên Đại Thánh</v>
          </cell>
          <cell r="Q1152" t="str">
            <v>Khuy Tý</v>
          </cell>
        </row>
        <row r="1153">
          <cell r="P1153" t="str">
            <v>Hỗn Thiên Đại Thánh</v>
          </cell>
          <cell r="Q1153" t="str">
            <v>Khuy Tý</v>
          </cell>
        </row>
        <row r="1154">
          <cell r="P1154" t="str">
            <v>Hỗn Thiên Đại Thánh</v>
          </cell>
          <cell r="Q1154" t="str">
            <v>Huyết Cức Phủ Luân</v>
          </cell>
        </row>
        <row r="1155">
          <cell r="P1155" t="str">
            <v>Hỗn Thiên Đại Thánh</v>
          </cell>
          <cell r="Q1155" t="str">
            <v>Huyết Cức Phủ Luân</v>
          </cell>
        </row>
        <row r="1156">
          <cell r="P1156" t="str">
            <v>Hỗn Thiên Đại Thánh</v>
          </cell>
          <cell r="Q1156" t="str">
            <v>Hỗn Thiên Bí Pháp</v>
          </cell>
        </row>
        <row r="1157">
          <cell r="P1157" t="str">
            <v>Hỗn Thiên Đại Thánh</v>
          </cell>
          <cell r="Q1157" t="str">
            <v>Hỗn Thiên Bí Pháp</v>
          </cell>
        </row>
        <row r="1158">
          <cell r="P1158" t="str">
            <v>Hỗn Thiên Đại Thánh</v>
          </cell>
          <cell r="Q1158" t="str">
            <v>Hỗn Thiên Bí Pháp</v>
          </cell>
        </row>
        <row r="1159">
          <cell r="P1159" t="str">
            <v>Hỗn Thiên Đại Thánh</v>
          </cell>
          <cell r="Q1159" t="str">
            <v>Hỗn Thiên Bí Pháp</v>
          </cell>
        </row>
        <row r="1160">
          <cell r="P1160" t="str">
            <v>Hỗn Thiên Đại Thánh</v>
          </cell>
          <cell r="Q1160" t="str">
            <v>Hỗn Thiên Bí Pháp</v>
          </cell>
        </row>
        <row r="1161">
          <cell r="P1161" t="str">
            <v>Hỗn Thiên Đại Thánh</v>
          </cell>
          <cell r="Q1161" t="str">
            <v>Hỗn Thiên Bí Pháp</v>
          </cell>
        </row>
        <row r="1162">
          <cell r="P1162" t="str">
            <v>Hỗn Thiên Đại Thánh</v>
          </cell>
          <cell r="Q1162" t="str">
            <v>Hỗn Thiên Bí Pháp</v>
          </cell>
        </row>
        <row r="1163">
          <cell r="P1163" t="str">
            <v>Hỗn Thiên Đại Thánh</v>
          </cell>
          <cell r="Q1163" t="str">
            <v>Hỗn Thiên Bí Pháp</v>
          </cell>
        </row>
        <row r="1164">
          <cell r="P1164" t="str">
            <v>Hỗn Thiên Đại Thánh</v>
          </cell>
          <cell r="Q1164" t="str">
            <v>Hỗn Thiên Bí Pháp</v>
          </cell>
        </row>
        <row r="1165">
          <cell r="P1165" t="str">
            <v>Hỗn Thiên Đại Thánh</v>
          </cell>
          <cell r="Q1165" t="str">
            <v>Hỗn Thiên Bí Pháp</v>
          </cell>
        </row>
        <row r="1166">
          <cell r="P1166" t="str">
            <v>Ngưu Ma Vương</v>
          </cell>
          <cell r="Q1166" t="str">
            <v>Phổ Công</v>
          </cell>
        </row>
        <row r="1167">
          <cell r="P1167" t="str">
            <v>Ngưu Ma Vương</v>
          </cell>
          <cell r="Q1167" t="str">
            <v>Tấn Thiết Lưu Tinh</v>
          </cell>
        </row>
        <row r="1168">
          <cell r="P1168" t="str">
            <v>Ngưu Ma Vương</v>
          </cell>
          <cell r="Q1168" t="str">
            <v>Tấn Thiết Lưu Tinh</v>
          </cell>
        </row>
        <row r="1169">
          <cell r="P1169" t="str">
            <v>Ngưu Ma Vương</v>
          </cell>
          <cell r="Q1169" t="str">
            <v>Tấn Thiết Lưu Tinh</v>
          </cell>
        </row>
        <row r="1170">
          <cell r="P1170" t="str">
            <v>Ngưu Ma Vương</v>
          </cell>
          <cell r="Q1170" t="str">
            <v>Tấn Thiết Lưu Tinh</v>
          </cell>
        </row>
        <row r="1171">
          <cell r="P1171" t="str">
            <v>Ngưu Ma Vương</v>
          </cell>
          <cell r="Q1171" t="str">
            <v>Tấn Thiết Lưu Tinh</v>
          </cell>
        </row>
        <row r="1172">
          <cell r="P1172" t="str">
            <v>Ngưu Ma Vương</v>
          </cell>
          <cell r="Q1172" t="str">
            <v>Tấn Thiết Lưu Tinh</v>
          </cell>
        </row>
        <row r="1173">
          <cell r="P1173" t="str">
            <v>Ngưu Ma Vương</v>
          </cell>
          <cell r="Q1173" t="str">
            <v>Tấn Thiết Lưu Tinh</v>
          </cell>
        </row>
        <row r="1174">
          <cell r="P1174" t="str">
            <v>Ngưu Ma Vương</v>
          </cell>
          <cell r="Q1174" t="str">
            <v>Tấn Thiết Lưu Tinh</v>
          </cell>
        </row>
        <row r="1175">
          <cell r="P1175" t="str">
            <v>Ngưu Ma Vương</v>
          </cell>
          <cell r="Q1175" t="str">
            <v>Tấn Thiết Lưu Tinh</v>
          </cell>
        </row>
        <row r="1176">
          <cell r="P1176" t="str">
            <v>Ngưu Ma Vương</v>
          </cell>
          <cell r="Q1176" t="str">
            <v>Nguyên Thủy Thú Tính</v>
          </cell>
        </row>
        <row r="1177">
          <cell r="P1177" t="str">
            <v>Ngưu Ma Vương</v>
          </cell>
          <cell r="Q1177" t="str">
            <v>Nguyên Thủy Thú Tính</v>
          </cell>
        </row>
        <row r="1178">
          <cell r="P1178" t="str">
            <v>Ngưu Ma Vương</v>
          </cell>
          <cell r="Q1178" t="str">
            <v>Nguyên Thủy Thú Tính</v>
          </cell>
        </row>
        <row r="1179">
          <cell r="P1179" t="str">
            <v>Ngưu Ma Vương</v>
          </cell>
          <cell r="Q1179" t="str">
            <v>Cực · Nguyên Thủy Thú Tính</v>
          </cell>
        </row>
        <row r="1180">
          <cell r="P1180" t="str">
            <v>Ngưu Ma Vương</v>
          </cell>
          <cell r="Q1180" t="str">
            <v>Cực · Nguyên Thủy Thú Tính</v>
          </cell>
        </row>
        <row r="1181">
          <cell r="P1181" t="str">
            <v>Ngưu Ma Vương</v>
          </cell>
          <cell r="Q1181" t="str">
            <v>Cực · Nguyên Thủy Thú Tính</v>
          </cell>
        </row>
        <row r="1182">
          <cell r="P1182" t="str">
            <v>Ngưu Ma Vương</v>
          </cell>
          <cell r="Q1182" t="str">
            <v>Hám Địa Chùy</v>
          </cell>
        </row>
        <row r="1183">
          <cell r="P1183" t="str">
            <v>Ngưu Ma Vương</v>
          </cell>
          <cell r="Q1183" t="str">
            <v>Hám Địa Chùy</v>
          </cell>
        </row>
        <row r="1184">
          <cell r="P1184" t="str">
            <v>Ngưu Ma Vương</v>
          </cell>
          <cell r="Q1184" t="str">
            <v>Hám Địa Chùy</v>
          </cell>
        </row>
        <row r="1185">
          <cell r="P1185" t="str">
            <v>Ngưu Ma Vương</v>
          </cell>
          <cell r="Q1185" t="str">
            <v>Phẫn Nộ Ngưng Thị</v>
          </cell>
        </row>
        <row r="1186">
          <cell r="P1186" t="str">
            <v>Ngưu Ma Vương</v>
          </cell>
          <cell r="Q1186" t="str">
            <v>Phẫn Nộ Ngưng Thị</v>
          </cell>
        </row>
        <row r="1187">
          <cell r="P1187" t="str">
            <v>Ngưu Ma Vương</v>
          </cell>
          <cell r="Q1187" t="str">
            <v>Phẫn Nộ Ngưng Thị</v>
          </cell>
        </row>
        <row r="1188">
          <cell r="P1188" t="str">
            <v>Ngưu Ma Vương</v>
          </cell>
          <cell r="Q1188" t="str">
            <v>Đồng Cừu Địch Hi</v>
          </cell>
        </row>
        <row r="1189">
          <cell r="P1189" t="str">
            <v>Ngưu Ma Vương</v>
          </cell>
          <cell r="Q1189" t="str">
            <v>Đồng Cừu Địch Hi</v>
          </cell>
        </row>
        <row r="1190">
          <cell r="P1190" t="str">
            <v>Ngưu Ma Vương</v>
          </cell>
          <cell r="Q1190" t="str">
            <v>Đồng Cừu Địch Hi</v>
          </cell>
        </row>
        <row r="1191">
          <cell r="P1191" t="str">
            <v>Ngưu Ma Vương</v>
          </cell>
          <cell r="Q1191" t="str">
            <v>Hám Địa Chùy</v>
          </cell>
        </row>
        <row r="1192">
          <cell r="P1192" t="str">
            <v>Ngưu Ma Vương</v>
          </cell>
          <cell r="Q1192" t="str">
            <v>Hám Địa Chùy</v>
          </cell>
        </row>
        <row r="1193">
          <cell r="P1193" t="str">
            <v>Ngưu Ma Vương</v>
          </cell>
          <cell r="Q1193" t="str">
            <v>Hám Địa Chùy</v>
          </cell>
        </row>
        <row r="1194">
          <cell r="P1194" t="str">
            <v>Kình Thương</v>
          </cell>
          <cell r="Q1194" t="str">
            <v>Phổ Công</v>
          </cell>
        </row>
        <row r="1195">
          <cell r="P1195" t="str">
            <v>Kình Thương</v>
          </cell>
          <cell r="Q1195" t="str">
            <v>Huyết Tinh Tê Liệt</v>
          </cell>
        </row>
        <row r="1196">
          <cell r="P1196" t="str">
            <v>Kình Thương</v>
          </cell>
          <cell r="Q1196" t="str">
            <v>Huyết Tinh Tê Liệt</v>
          </cell>
        </row>
        <row r="1197">
          <cell r="P1197" t="str">
            <v>Kình Thương</v>
          </cell>
          <cell r="Q1197" t="str">
            <v>Huyết Tinh Tê Liệt</v>
          </cell>
        </row>
        <row r="1198">
          <cell r="P1198" t="str">
            <v>Kình Thương</v>
          </cell>
          <cell r="Q1198" t="str">
            <v>Huyết Tinh Tê Liệt</v>
          </cell>
        </row>
        <row r="1199">
          <cell r="P1199" t="str">
            <v>Kình Thương</v>
          </cell>
          <cell r="Q1199" t="str">
            <v>Huyết Tinh Tê Liệt</v>
          </cell>
        </row>
        <row r="1200">
          <cell r="P1200" t="str">
            <v>Kình Thương</v>
          </cell>
          <cell r="Q1200" t="str">
            <v>Huyết Tinh Tê Liệt</v>
          </cell>
        </row>
        <row r="1201">
          <cell r="P1201" t="str">
            <v>Kình Thương</v>
          </cell>
          <cell r="Q1201" t="str">
            <v>Huyết Tinh Tê Liệt</v>
          </cell>
        </row>
        <row r="1202">
          <cell r="P1202" t="str">
            <v>Kình Thương</v>
          </cell>
          <cell r="Q1202" t="str">
            <v>Huyết Tinh Tê Liệt</v>
          </cell>
        </row>
        <row r="1203">
          <cell r="P1203" t="str">
            <v>Kình Thương</v>
          </cell>
          <cell r="Q1203" t="str">
            <v>Huyết Tinh Tê Liệt</v>
          </cell>
        </row>
        <row r="1204">
          <cell r="P1204" t="str">
            <v>Kình Thương</v>
          </cell>
          <cell r="Q1204" t="str">
            <v>Cuồng Nhiệt</v>
          </cell>
        </row>
        <row r="1205">
          <cell r="P1205" t="str">
            <v>Kình Thương</v>
          </cell>
          <cell r="Q1205" t="str">
            <v>Cuồng Nhiệt</v>
          </cell>
        </row>
        <row r="1206">
          <cell r="P1206" t="str">
            <v>Kình Thương</v>
          </cell>
          <cell r="Q1206" t="str">
            <v>Cuồng Nhiệt</v>
          </cell>
        </row>
        <row r="1207">
          <cell r="P1207" t="str">
            <v>Kình Thương</v>
          </cell>
          <cell r="Q1207" t="str">
            <v>Cực · Cuồng Nhiệt</v>
          </cell>
        </row>
        <row r="1208">
          <cell r="P1208" t="str">
            <v>Kình Thương</v>
          </cell>
          <cell r="Q1208" t="str">
            <v>Cực · Cuồng Nhiệt</v>
          </cell>
        </row>
        <row r="1209">
          <cell r="P1209" t="str">
            <v>Kình Thương</v>
          </cell>
          <cell r="Q1209" t="str">
            <v>Cực · Cuồng Nhiệt</v>
          </cell>
        </row>
        <row r="1210">
          <cell r="P1210" t="str">
            <v>Kình Thương</v>
          </cell>
          <cell r="Q1210" t="str">
            <v>Tàn Nhẫn Lợi Phủ</v>
          </cell>
        </row>
        <row r="1211">
          <cell r="P1211" t="str">
            <v>Kình Thương</v>
          </cell>
          <cell r="Q1211" t="str">
            <v>Tàn Nhẫn Lợi Phủ</v>
          </cell>
        </row>
        <row r="1212">
          <cell r="P1212" t="str">
            <v>Kình Thương</v>
          </cell>
          <cell r="Q1212" t="str">
            <v>Tàn Nhẫn Lợi Phủ</v>
          </cell>
        </row>
        <row r="1213">
          <cell r="P1213" t="str">
            <v>Kình Thương</v>
          </cell>
          <cell r="Q1213" t="str">
            <v>Tàn Nhẫn Lợi Phủ</v>
          </cell>
        </row>
        <row r="1214">
          <cell r="P1214" t="str">
            <v>Kình Thương</v>
          </cell>
          <cell r="Q1214" t="str">
            <v>Tàn Nhẫn Lợi Phủ</v>
          </cell>
        </row>
        <row r="1215">
          <cell r="P1215" t="str">
            <v>Kình Thương</v>
          </cell>
          <cell r="Q1215" t="str">
            <v>Tàn Nhẫn Lợi Phủ</v>
          </cell>
        </row>
        <row r="1216">
          <cell r="P1216" t="str">
            <v>Kình Thương</v>
          </cell>
          <cell r="Q1216" t="str">
            <v>Tàn Nhẫn Lợi Phủ</v>
          </cell>
        </row>
        <row r="1217">
          <cell r="P1217" t="str">
            <v>Kình Thương</v>
          </cell>
          <cell r="Q1217" t="str">
            <v>Tàn Nhẫn Lợi Phủ</v>
          </cell>
        </row>
        <row r="1218">
          <cell r="P1218" t="str">
            <v>Kình Thương</v>
          </cell>
          <cell r="Q1218" t="str">
            <v>Tàn Nhẫn Lợi Phủ</v>
          </cell>
        </row>
        <row r="1219">
          <cell r="P1219" t="str">
            <v>Kình Thương</v>
          </cell>
          <cell r="Q1219" t="str">
            <v>Tàn Nhẫn Lợi Phủ</v>
          </cell>
        </row>
        <row r="1220">
          <cell r="P1220" t="str">
            <v>Kình Thương</v>
          </cell>
          <cell r="Q1220" t="str">
            <v>Tàn Nhẫn Lợi Phủ</v>
          </cell>
        </row>
        <row r="1221">
          <cell r="P1221" t="str">
            <v>Kình Thương</v>
          </cell>
          <cell r="Q1221" t="str">
            <v>Tàn Nhẫn Lợi Phủ</v>
          </cell>
        </row>
        <row r="1222">
          <cell r="P1222" t="str">
            <v>Kim Ô</v>
          </cell>
          <cell r="Q1222" t="str">
            <v>Phổ Công</v>
          </cell>
        </row>
        <row r="1223">
          <cell r="P1223" t="str">
            <v>Kim Ô</v>
          </cell>
          <cell r="Q1223" t="str">
            <v>Liệt Không Phách</v>
          </cell>
        </row>
        <row r="1224">
          <cell r="P1224" t="str">
            <v>Kim Ô</v>
          </cell>
          <cell r="Q1224" t="str">
            <v>Liệt Không Phách</v>
          </cell>
        </row>
        <row r="1225">
          <cell r="P1225" t="str">
            <v>Kim Ô</v>
          </cell>
          <cell r="Q1225" t="str">
            <v>Liệt Không Phách</v>
          </cell>
        </row>
        <row r="1226">
          <cell r="P1226" t="str">
            <v>Kim Ô</v>
          </cell>
          <cell r="Q1226" t="str">
            <v>Huy Ảnh</v>
          </cell>
        </row>
        <row r="1227">
          <cell r="P1227" t="str">
            <v>Kim Ô</v>
          </cell>
          <cell r="Q1227" t="str">
            <v>Huy Ảnh</v>
          </cell>
        </row>
        <row r="1228">
          <cell r="P1228" t="str">
            <v>Kim Ô</v>
          </cell>
          <cell r="Q1228" t="str">
            <v>Huy Ảnh</v>
          </cell>
        </row>
        <row r="1229">
          <cell r="P1229" t="str">
            <v>Kim Ô</v>
          </cell>
          <cell r="Q1229" t="str">
            <v>Cực · Huy Ảnh</v>
          </cell>
        </row>
        <row r="1230">
          <cell r="P1230" t="str">
            <v>Kim Ô</v>
          </cell>
          <cell r="Q1230" t="str">
            <v>Cực · Huy Ảnh</v>
          </cell>
        </row>
        <row r="1231">
          <cell r="P1231" t="str">
            <v>Kim Ô</v>
          </cell>
          <cell r="Q1231" t="str">
            <v>Cực · Huy Ảnh</v>
          </cell>
        </row>
        <row r="1232">
          <cell r="P1232" t="str">
            <v>Kim Ô</v>
          </cell>
          <cell r="Q1232" t="str">
            <v>Tấn Ảnh Đột Thứ</v>
          </cell>
        </row>
        <row r="1233">
          <cell r="P1233" t="str">
            <v>Kim Ô</v>
          </cell>
          <cell r="Q1233" t="str">
            <v>Tấn Ảnh Đột Thứ</v>
          </cell>
        </row>
        <row r="1234">
          <cell r="P1234" t="str">
            <v>Kim Ô</v>
          </cell>
          <cell r="Q1234" t="str">
            <v>Tấn Ảnh Đột Thứ</v>
          </cell>
        </row>
        <row r="1235">
          <cell r="P1235" t="str">
            <v>Kim Ô</v>
          </cell>
          <cell r="Q1235" t="str">
            <v>Tấn Ảnh Đột Thứ</v>
          </cell>
        </row>
        <row r="1236">
          <cell r="P1236" t="str">
            <v>Kim Ô</v>
          </cell>
          <cell r="Q1236" t="str">
            <v>Tấn Ảnh Đột Thứ</v>
          </cell>
        </row>
        <row r="1237">
          <cell r="P1237" t="str">
            <v>Kim Ô</v>
          </cell>
          <cell r="Q1237" t="str">
            <v>Tấn Ảnh Đột Thứ</v>
          </cell>
        </row>
        <row r="1238">
          <cell r="P1238" t="str">
            <v>Kim Ô</v>
          </cell>
          <cell r="Q1238" t="str">
            <v>Tấn Ảnh Đột Thứ</v>
          </cell>
        </row>
        <row r="1239">
          <cell r="P1239" t="str">
            <v>Kim Ô</v>
          </cell>
          <cell r="Q1239" t="str">
            <v>Tấn Ảnh Đột Thứ</v>
          </cell>
        </row>
        <row r="1240">
          <cell r="P1240" t="str">
            <v>Kim Ô</v>
          </cell>
          <cell r="Q1240" t="str">
            <v>Tấn Ảnh Đột Thứ</v>
          </cell>
        </row>
        <row r="1241">
          <cell r="P1241" t="str">
            <v>Ngao Bính</v>
          </cell>
          <cell r="Q1241" t="str">
            <v>Phổ Công</v>
          </cell>
        </row>
        <row r="1242">
          <cell r="P1242" t="str">
            <v>Ngao Bính</v>
          </cell>
          <cell r="Q1242" t="str">
            <v>Đạo Hải</v>
          </cell>
        </row>
        <row r="1243">
          <cell r="P1243" t="str">
            <v>Ngao Bính</v>
          </cell>
          <cell r="Q1243" t="str">
            <v>Đạo Hải</v>
          </cell>
        </row>
        <row r="1244">
          <cell r="P1244" t="str">
            <v>Ngao Bính</v>
          </cell>
          <cell r="Q1244" t="str">
            <v>Đạo Hải</v>
          </cell>
        </row>
        <row r="1245">
          <cell r="P1245" t="str">
            <v>Ngao Bính</v>
          </cell>
          <cell r="Q1245" t="str">
            <v>Long Duệ</v>
          </cell>
        </row>
        <row r="1246">
          <cell r="P1246" t="str">
            <v>Ngao Bính</v>
          </cell>
          <cell r="Q1246" t="str">
            <v>Long Duệ</v>
          </cell>
        </row>
        <row r="1247">
          <cell r="P1247" t="str">
            <v>Ngao Bính</v>
          </cell>
          <cell r="Q1247" t="str">
            <v>Long Duệ</v>
          </cell>
        </row>
        <row r="1248">
          <cell r="P1248" t="str">
            <v>Ngao Bính</v>
          </cell>
          <cell r="Q1248" t="str">
            <v>Cực · Long Duệ</v>
          </cell>
        </row>
        <row r="1249">
          <cell r="P1249" t="str">
            <v>Ngao Bính</v>
          </cell>
          <cell r="Q1249" t="str">
            <v>Cực · Long Duệ</v>
          </cell>
        </row>
        <row r="1250">
          <cell r="P1250" t="str">
            <v>Ngao Bính</v>
          </cell>
          <cell r="Q1250" t="str">
            <v>Cực · Long Duệ</v>
          </cell>
        </row>
        <row r="1251">
          <cell r="P1251" t="str">
            <v>Ngao Bính</v>
          </cell>
          <cell r="Q1251" t="str">
            <v>Bát Lăng Chùy</v>
          </cell>
        </row>
        <row r="1252">
          <cell r="P1252" t="str">
            <v>Ngao Bính</v>
          </cell>
          <cell r="Q1252" t="str">
            <v>Bát Lăng Chùy</v>
          </cell>
        </row>
        <row r="1253">
          <cell r="P1253" t="str">
            <v>Ngao Bính</v>
          </cell>
          <cell r="Q1253" t="str">
            <v>Bát Lăng Chùy</v>
          </cell>
        </row>
        <row r="1254">
          <cell r="P1254" t="str">
            <v>Ngao Bính</v>
          </cell>
          <cell r="Q1254" t="str">
            <v>Đoạn Cân</v>
          </cell>
        </row>
        <row r="1255">
          <cell r="P1255" t="str">
            <v>Ngao Bính</v>
          </cell>
          <cell r="Q1255" t="str">
            <v>Đoạn Cân</v>
          </cell>
        </row>
        <row r="1256">
          <cell r="P1256" t="str">
            <v>Ngao Bính</v>
          </cell>
          <cell r="Q1256" t="str">
            <v>Đoạn Cân</v>
          </cell>
        </row>
        <row r="1257">
          <cell r="P1257" t="str">
            <v>Ngao Bính</v>
          </cell>
          <cell r="Q1257" t="str">
            <v>Kiềm Chế</v>
          </cell>
        </row>
        <row r="1258">
          <cell r="P1258" t="str">
            <v>Ngao Bính</v>
          </cell>
          <cell r="Q1258" t="str">
            <v>Kiềm Chế</v>
          </cell>
        </row>
        <row r="1259">
          <cell r="P1259" t="str">
            <v>Ngao Bính</v>
          </cell>
          <cell r="Q1259" t="str">
            <v>Kiềm Chế</v>
          </cell>
        </row>
        <row r="1260">
          <cell r="P1260" t="str">
            <v>Ngao Bính</v>
          </cell>
          <cell r="Q1260" t="str">
            <v>Đạo Hải</v>
          </cell>
        </row>
        <row r="1261">
          <cell r="P1261" t="str">
            <v>Ngao Bính</v>
          </cell>
          <cell r="Q1261" t="str">
            <v>Đạo Hải</v>
          </cell>
        </row>
        <row r="1262">
          <cell r="P1262" t="str">
            <v>Ngao Bính</v>
          </cell>
          <cell r="Q1262" t="str">
            <v>Đạo Hải</v>
          </cell>
        </row>
        <row r="1263">
          <cell r="P1263" t="str">
            <v>Ngao Bính</v>
          </cell>
          <cell r="Q1263" t="str">
            <v>Đạo Hải</v>
          </cell>
        </row>
        <row r="1264">
          <cell r="P1264" t="str">
            <v>Ngao Bính</v>
          </cell>
          <cell r="Q1264" t="str">
            <v>Đạo Hải</v>
          </cell>
        </row>
        <row r="1265">
          <cell r="P1265" t="str">
            <v>Ngao Bính</v>
          </cell>
          <cell r="Q1265" t="str">
            <v>Đạo Hải</v>
          </cell>
        </row>
        <row r="1266">
          <cell r="P1266" t="str">
            <v>Ngao Bính</v>
          </cell>
          <cell r="Q1266" t="str">
            <v>Đạo Hải</v>
          </cell>
        </row>
        <row r="1267">
          <cell r="P1267" t="str">
            <v>Ngao Bính</v>
          </cell>
          <cell r="Q1267" t="str">
            <v>Đạo Hải</v>
          </cell>
        </row>
        <row r="1268">
          <cell r="P1268" t="str">
            <v>Ngao Bính</v>
          </cell>
          <cell r="Q1268" t="str">
            <v>Đạo Hải</v>
          </cell>
        </row>
        <row r="1269">
          <cell r="P1269" t="str">
            <v>Ngao Bính</v>
          </cell>
          <cell r="Q1269" t="str">
            <v>Chấn Chùy Kích Lãng</v>
          </cell>
        </row>
        <row r="1270">
          <cell r="P1270" t="str">
            <v>Ngao Bính</v>
          </cell>
          <cell r="Q1270" t="str">
            <v>Chấn Chùy Kích Lãng</v>
          </cell>
        </row>
        <row r="1271">
          <cell r="P1271" t="str">
            <v>Ngao Bính</v>
          </cell>
          <cell r="Q1271" t="str">
            <v>Chấn Chùy Kích Lãng</v>
          </cell>
        </row>
        <row r="1272">
          <cell r="P1272" t="str">
            <v>Bạch Cốt Phu Nhân</v>
          </cell>
          <cell r="Q1272" t="str">
            <v>Phổ Công</v>
          </cell>
        </row>
        <row r="1273">
          <cell r="P1273" t="str">
            <v>Bạch Cốt Phu Nhân</v>
          </cell>
          <cell r="Q1273" t="str">
            <v>Triền Oán</v>
          </cell>
        </row>
        <row r="1274">
          <cell r="P1274" t="str">
            <v>Bạch Cốt Phu Nhân</v>
          </cell>
          <cell r="Q1274" t="str">
            <v>Triền Oán</v>
          </cell>
        </row>
        <row r="1275">
          <cell r="P1275" t="str">
            <v>Bạch Cốt Phu Nhân</v>
          </cell>
          <cell r="Q1275" t="str">
            <v>Triền Oán</v>
          </cell>
        </row>
        <row r="1276">
          <cell r="P1276" t="str">
            <v>Bạch Cốt Phu Nhân</v>
          </cell>
          <cell r="Q1276" t="str">
            <v>Quỷ Linh Phụ Thể</v>
          </cell>
        </row>
        <row r="1277">
          <cell r="P1277" t="str">
            <v>Bạch Cốt Phu Nhân</v>
          </cell>
          <cell r="Q1277" t="str">
            <v>Quỷ Linh Phụ Thể</v>
          </cell>
        </row>
        <row r="1278">
          <cell r="P1278" t="str">
            <v>Bạch Cốt Phu Nhân</v>
          </cell>
          <cell r="Q1278" t="str">
            <v>Quỷ Linh Phụ Thể</v>
          </cell>
        </row>
        <row r="1279">
          <cell r="P1279" t="str">
            <v>Bạch Cốt Phu Nhân</v>
          </cell>
          <cell r="Q1279" t="str">
            <v>Cực · Quỷ Linh Phụ Thể</v>
          </cell>
        </row>
        <row r="1280">
          <cell r="P1280" t="str">
            <v>Bạch Cốt Phu Nhân</v>
          </cell>
          <cell r="Q1280" t="str">
            <v>Cực · Quỷ Linh Phụ Thể</v>
          </cell>
        </row>
        <row r="1281">
          <cell r="P1281" t="str">
            <v>Bạch Cốt Phu Nhân</v>
          </cell>
          <cell r="Q1281" t="str">
            <v>Cực · Quỷ Linh Phụ Thể</v>
          </cell>
        </row>
        <row r="1282">
          <cell r="P1282" t="str">
            <v>Bạch Cốt Phu Nhân</v>
          </cell>
          <cell r="Q1282" t="str">
            <v>Quỷ Ảnh Trọng Trọng</v>
          </cell>
        </row>
        <row r="1283">
          <cell r="P1283" t="str">
            <v>Bạch Cốt Phu Nhân</v>
          </cell>
          <cell r="Q1283" t="str">
            <v>Quỷ Ảnh Trọng Trọng</v>
          </cell>
        </row>
        <row r="1284">
          <cell r="P1284" t="str">
            <v>Bạch Cốt Phu Nhân</v>
          </cell>
          <cell r="Q1284" t="str">
            <v>Quỷ Ảnh Trọng Trọng</v>
          </cell>
        </row>
        <row r="1285">
          <cell r="P1285" t="str">
            <v>Bạch Cốt Phu Nhân</v>
          </cell>
          <cell r="Q1285" t="str">
            <v>Tâm Linh Giam Trắc</v>
          </cell>
        </row>
        <row r="1286">
          <cell r="P1286" t="str">
            <v>Bạch Cốt Phu Nhân</v>
          </cell>
          <cell r="Q1286" t="str">
            <v>Tâm Linh Giam Trắc</v>
          </cell>
        </row>
        <row r="1287">
          <cell r="P1287" t="str">
            <v>Bạch Cốt Phu Nhân</v>
          </cell>
          <cell r="Q1287" t="str">
            <v>Tâm Linh Giam Trắc</v>
          </cell>
        </row>
        <row r="1288">
          <cell r="P1288" t="str">
            <v>Bạch Cốt Phu Nhân</v>
          </cell>
          <cell r="Q1288" t="str">
            <v>Yêu Khí Xâm Thực</v>
          </cell>
        </row>
        <row r="1289">
          <cell r="P1289" t="str">
            <v>Bạch Cốt Phu Nhân</v>
          </cell>
          <cell r="Q1289" t="str">
            <v>Yêu Khí Xâm Thực</v>
          </cell>
        </row>
        <row r="1290">
          <cell r="P1290" t="str">
            <v>Bạch Cốt Phu Nhân</v>
          </cell>
          <cell r="Q1290" t="str">
            <v>Yêu Khí Xâm Thực</v>
          </cell>
        </row>
        <row r="1291">
          <cell r="P1291" t="str">
            <v>Bạch Cốt Phu Nhân</v>
          </cell>
          <cell r="Q1291" t="str">
            <v>Triền Oán</v>
          </cell>
        </row>
        <row r="1292">
          <cell r="P1292" t="str">
            <v>Bạch Cốt Phu Nhân</v>
          </cell>
          <cell r="Q1292" t="str">
            <v>Triền Oán</v>
          </cell>
        </row>
        <row r="1293">
          <cell r="P1293" t="str">
            <v>Bạch Cốt Phu Nhân</v>
          </cell>
          <cell r="Q1293" t="str">
            <v>Triền Oán</v>
          </cell>
        </row>
        <row r="1294">
          <cell r="P1294" t="str">
            <v>Bạch Cốt Phu Nhân</v>
          </cell>
          <cell r="Q1294" t="str">
            <v>Yêu Lực Thích Phóng</v>
          </cell>
        </row>
        <row r="1295">
          <cell r="P1295" t="str">
            <v>Bạch Cốt Phu Nhân</v>
          </cell>
          <cell r="Q1295" t="str">
            <v>Yêu Lực Thích Phóng</v>
          </cell>
        </row>
        <row r="1296">
          <cell r="P1296" t="str">
            <v>Bạch Cốt Phu Nhân</v>
          </cell>
          <cell r="Q1296" t="str">
            <v>Yêu Lực Thích Phóng</v>
          </cell>
        </row>
        <row r="1297">
          <cell r="P1297" t="str">
            <v>Bạch Cốt Phu Nhân</v>
          </cell>
          <cell r="Q1297" t="str">
            <v>Phổ Công</v>
          </cell>
        </row>
        <row r="1298">
          <cell r="P1298" t="str">
            <v>Bạch Cốt Phu Nhân</v>
          </cell>
          <cell r="Q1298" t="str">
            <v>Phổ Công</v>
          </cell>
        </row>
        <row r="1299">
          <cell r="P1299" t="str">
            <v>Bạch Cốt Phu Nhân</v>
          </cell>
          <cell r="Q1299" t="str">
            <v>Quỷ Ảnh Trọng Trọng</v>
          </cell>
        </row>
        <row r="1300">
          <cell r="P1300" t="str">
            <v>Đát Kỷ</v>
          </cell>
          <cell r="Q1300" t="str">
            <v>Phổ Công</v>
          </cell>
        </row>
        <row r="1301">
          <cell r="P1301" t="str">
            <v>Đát Kỷ</v>
          </cell>
          <cell r="Q1301" t="str">
            <v>Hồng Liên Tán</v>
          </cell>
        </row>
        <row r="1302">
          <cell r="P1302" t="str">
            <v>Đát Kỷ</v>
          </cell>
          <cell r="Q1302" t="str">
            <v>Hồng Liên Tán</v>
          </cell>
        </row>
        <row r="1303">
          <cell r="P1303" t="str">
            <v>Đát Kỷ</v>
          </cell>
          <cell r="Q1303" t="str">
            <v>Hồng Liên Tán</v>
          </cell>
        </row>
        <row r="1304">
          <cell r="P1304" t="str">
            <v>Đát Kỷ</v>
          </cell>
          <cell r="Q1304" t="str">
            <v>Hồng Liên Tán</v>
          </cell>
        </row>
        <row r="1305">
          <cell r="P1305" t="str">
            <v>Đát Kỷ</v>
          </cell>
          <cell r="Q1305" t="str">
            <v>Hồng Liên Tán</v>
          </cell>
        </row>
        <row r="1306">
          <cell r="P1306" t="str">
            <v>Đát Kỷ</v>
          </cell>
          <cell r="Q1306" t="str">
            <v>Hồng Liên Tán</v>
          </cell>
        </row>
        <row r="1307">
          <cell r="P1307" t="str">
            <v>Đát Kỷ</v>
          </cell>
          <cell r="Q1307" t="str">
            <v>Hồng Liên Tán</v>
          </cell>
        </row>
        <row r="1308">
          <cell r="P1308" t="str">
            <v>Đát Kỷ</v>
          </cell>
          <cell r="Q1308" t="str">
            <v>Hồng Liên Tán</v>
          </cell>
        </row>
        <row r="1309">
          <cell r="P1309" t="str">
            <v>Đát Kỷ</v>
          </cell>
          <cell r="Q1309" t="str">
            <v>Hồng Liên Tán</v>
          </cell>
        </row>
        <row r="1310">
          <cell r="P1310" t="str">
            <v>Đát Kỷ</v>
          </cell>
          <cell r="Q1310" t="str">
            <v>Hồng Liên Tán</v>
          </cell>
        </row>
        <row r="1311">
          <cell r="P1311" t="str">
            <v>Đát Kỷ</v>
          </cell>
          <cell r="Q1311" t="str">
            <v>Hồng Liên Tán</v>
          </cell>
        </row>
        <row r="1312">
          <cell r="P1312" t="str">
            <v>Đát Kỷ</v>
          </cell>
          <cell r="Q1312" t="str">
            <v>Hồng Liên Tán</v>
          </cell>
        </row>
        <row r="1313">
          <cell r="P1313" t="str">
            <v>Đát Kỷ</v>
          </cell>
          <cell r="Q1313" t="str">
            <v>Hồng Liên Tán</v>
          </cell>
        </row>
        <row r="1314">
          <cell r="P1314" t="str">
            <v>Đát Kỷ</v>
          </cell>
          <cell r="Q1314" t="str">
            <v>Hồng Liên Tán</v>
          </cell>
        </row>
        <row r="1315">
          <cell r="P1315" t="str">
            <v>Đát Kỷ</v>
          </cell>
          <cell r="Q1315" t="str">
            <v>Hồng Liên Tán</v>
          </cell>
        </row>
        <row r="1316">
          <cell r="P1316" t="str">
            <v>Đát Kỷ</v>
          </cell>
          <cell r="Q1316" t="str">
            <v>Huyễn Hình</v>
          </cell>
        </row>
        <row r="1317">
          <cell r="P1317" t="str">
            <v>Đát Kỷ</v>
          </cell>
          <cell r="Q1317" t="str">
            <v>Huyễn Hình</v>
          </cell>
        </row>
        <row r="1318">
          <cell r="P1318" t="str">
            <v>Đát Kỷ</v>
          </cell>
          <cell r="Q1318" t="str">
            <v>Huyễn Hình</v>
          </cell>
        </row>
        <row r="1319">
          <cell r="P1319" t="str">
            <v>Đát Kỷ</v>
          </cell>
          <cell r="Q1319" t="str">
            <v>Cực · Huyễn Hình</v>
          </cell>
        </row>
        <row r="1320">
          <cell r="P1320" t="str">
            <v>Đát Kỷ</v>
          </cell>
          <cell r="Q1320" t="str">
            <v>Cực · Huyễn Hình</v>
          </cell>
        </row>
        <row r="1321">
          <cell r="P1321" t="str">
            <v>Đát Kỷ</v>
          </cell>
          <cell r="Q1321" t="str">
            <v>Cực · Huyễn Hình</v>
          </cell>
        </row>
        <row r="1322">
          <cell r="P1322" t="str">
            <v>Đát Kỷ</v>
          </cell>
          <cell r="Q1322" t="str">
            <v>Mị Hoặc</v>
          </cell>
        </row>
        <row r="1323">
          <cell r="P1323" t="str">
            <v>Đát Kỷ</v>
          </cell>
          <cell r="Q1323" t="str">
            <v>Mị Hoặc</v>
          </cell>
        </row>
        <row r="1324">
          <cell r="P1324" t="str">
            <v>Đát Kỷ</v>
          </cell>
          <cell r="Q1324" t="str">
            <v>Mị Hoặc</v>
          </cell>
        </row>
        <row r="1325">
          <cell r="P1325" t="str">
            <v>Đát Kỷ</v>
          </cell>
          <cell r="Q1325" t="str">
            <v>Lạc Tâm</v>
          </cell>
        </row>
        <row r="1326">
          <cell r="P1326" t="str">
            <v>Đát Kỷ</v>
          </cell>
          <cell r="Q1326" t="str">
            <v>Lạc Tâm</v>
          </cell>
        </row>
        <row r="1327">
          <cell r="P1327" t="str">
            <v>Đát Kỷ</v>
          </cell>
          <cell r="Q1327" t="str">
            <v>Lạc Tâm</v>
          </cell>
        </row>
        <row r="1328">
          <cell r="P1328" t="str">
            <v>Đát Kỷ</v>
          </cell>
          <cell r="Q1328" t="str">
            <v>Ly Oán</v>
          </cell>
        </row>
        <row r="1329">
          <cell r="P1329" t="str">
            <v>Đát Kỷ</v>
          </cell>
          <cell r="Q1329" t="str">
            <v>Ly Oán</v>
          </cell>
        </row>
        <row r="1330">
          <cell r="P1330" t="str">
            <v>Đát Kỷ</v>
          </cell>
          <cell r="Q1330" t="str">
            <v>Ly Oán</v>
          </cell>
        </row>
        <row r="1331">
          <cell r="P1331" t="str">
            <v>Đát Kỷ</v>
          </cell>
          <cell r="Q1331" t="str">
            <v>Hồng Liên Tán</v>
          </cell>
        </row>
        <row r="1332">
          <cell r="P1332" t="str">
            <v>Đát Kỷ</v>
          </cell>
          <cell r="Q1332" t="str">
            <v>Hồng Liên Tán</v>
          </cell>
        </row>
        <row r="1333">
          <cell r="P1333" t="str">
            <v>Đát Kỷ</v>
          </cell>
          <cell r="Q1333" t="str">
            <v>Hồng Liên Tán</v>
          </cell>
        </row>
        <row r="1334">
          <cell r="P1334" t="str">
            <v>Đát Kỷ</v>
          </cell>
          <cell r="Q1334" t="str">
            <v>Hồng Liên Tán</v>
          </cell>
        </row>
        <row r="1335">
          <cell r="P1335" t="str">
            <v>Đát Kỷ</v>
          </cell>
          <cell r="Q1335" t="str">
            <v>Hồng Liên Tán</v>
          </cell>
        </row>
        <row r="1336">
          <cell r="P1336" t="str">
            <v>Đát Kỷ</v>
          </cell>
          <cell r="Q1336" t="str">
            <v>Yêu Khí Trùng Thiên</v>
          </cell>
        </row>
        <row r="1337">
          <cell r="P1337" t="str">
            <v>Đát Kỷ</v>
          </cell>
          <cell r="Q1337" t="str">
            <v>Yêu Khí Trùng Thiên</v>
          </cell>
        </row>
        <row r="1338">
          <cell r="P1338" t="str">
            <v>Đát Kỷ</v>
          </cell>
          <cell r="Q1338" t="str">
            <v>Yêu Khí Trùng Thiên</v>
          </cell>
        </row>
        <row r="1339">
          <cell r="P1339" t="str">
            <v>Đát Kỷ</v>
          </cell>
          <cell r="Q1339" t="str">
            <v>Yêu Khí Trùng Thiên</v>
          </cell>
        </row>
        <row r="1340">
          <cell r="P1340" t="str">
            <v>Đát Kỷ</v>
          </cell>
          <cell r="Q1340" t="str">
            <v>Yêu Khí Trùng Thiên</v>
          </cell>
        </row>
        <row r="1341">
          <cell r="P1341" t="str">
            <v>Đát Kỷ</v>
          </cell>
          <cell r="Q1341" t="str">
            <v>Mị Hoặc</v>
          </cell>
        </row>
        <row r="1342">
          <cell r="P1342" t="str">
            <v>Đát Kỷ</v>
          </cell>
          <cell r="Q1342" t="str">
            <v>Mị Hoặc</v>
          </cell>
        </row>
        <row r="1343">
          <cell r="P1343" t="str">
            <v>Đát Kỷ</v>
          </cell>
          <cell r="Q1343" t="str">
            <v>Mị Hoặc</v>
          </cell>
        </row>
        <row r="1344">
          <cell r="P1344" t="str">
            <v>Khổng Tuyên</v>
          </cell>
          <cell r="Q1344" t="str">
            <v>Phổ Công</v>
          </cell>
        </row>
        <row r="1345">
          <cell r="P1345" t="str">
            <v>Khổng Tuyên</v>
          </cell>
          <cell r="Q1345" t="str">
            <v>Phổ Công</v>
          </cell>
        </row>
        <row r="1346">
          <cell r="P1346" t="str">
            <v>Khổng Tuyên</v>
          </cell>
          <cell r="Q1346" t="str">
            <v>Tranh Phương Đấu Diễm</v>
          </cell>
        </row>
        <row r="1347">
          <cell r="P1347" t="str">
            <v>Khổng Tuyên</v>
          </cell>
          <cell r="Q1347" t="str">
            <v>Tranh Phương Đấu Diễm</v>
          </cell>
        </row>
        <row r="1348">
          <cell r="P1348" t="str">
            <v>Khổng Tuyên</v>
          </cell>
          <cell r="Q1348" t="str">
            <v>Tranh Phương Đấu Diễm</v>
          </cell>
        </row>
        <row r="1349">
          <cell r="P1349" t="str">
            <v>Khổng Tuyên</v>
          </cell>
          <cell r="Q1349" t="str">
            <v>Tranh Phương Đấu Diễm</v>
          </cell>
        </row>
        <row r="1350">
          <cell r="P1350" t="str">
            <v>Khổng Tuyên</v>
          </cell>
          <cell r="Q1350" t="str">
            <v>Tranh Phương Đấu Diễm</v>
          </cell>
        </row>
        <row r="1351">
          <cell r="P1351" t="str">
            <v>Khổng Tuyên</v>
          </cell>
          <cell r="Q1351" t="str">
            <v>Tranh Phương Đấu Diễm</v>
          </cell>
        </row>
        <row r="1352">
          <cell r="P1352" t="str">
            <v>Khổng Tuyên</v>
          </cell>
          <cell r="Q1352" t="str">
            <v>Tranh Phương Đấu Diễm</v>
          </cell>
        </row>
        <row r="1353">
          <cell r="P1353" t="str">
            <v>Khổng Tuyên</v>
          </cell>
          <cell r="Q1353" t="str">
            <v>Tranh Phương Đấu Diễm</v>
          </cell>
        </row>
        <row r="1354">
          <cell r="P1354" t="str">
            <v>Khổng Tuyên</v>
          </cell>
          <cell r="Q1354" t="str">
            <v>Tranh Phương Đấu Diễm</v>
          </cell>
        </row>
        <row r="1355">
          <cell r="P1355" t="str">
            <v>Khổng Tuyên</v>
          </cell>
          <cell r="Q1355" t="str">
            <v>Tranh Phương Đấu Diễm</v>
          </cell>
        </row>
        <row r="1356">
          <cell r="P1356" t="str">
            <v>Khổng Tuyên</v>
          </cell>
          <cell r="Q1356" t="str">
            <v>Tranh Phương Đấu Diễm</v>
          </cell>
        </row>
        <row r="1357">
          <cell r="P1357" t="str">
            <v>Khổng Tuyên</v>
          </cell>
          <cell r="Q1357" t="str">
            <v>Tranh Phương Đấu Diễm</v>
          </cell>
        </row>
        <row r="1358">
          <cell r="P1358" t="str">
            <v>Khổng Tuyên</v>
          </cell>
          <cell r="Q1358" t="str">
            <v>Tranh Phương Đấu Diễm</v>
          </cell>
        </row>
        <row r="1359">
          <cell r="P1359" t="str">
            <v>Khổng Tuyên</v>
          </cell>
          <cell r="Q1359" t="str">
            <v>Tranh Phương Đấu Diễm</v>
          </cell>
        </row>
        <row r="1360">
          <cell r="P1360" t="str">
            <v>Khổng Tuyên</v>
          </cell>
          <cell r="Q1360" t="str">
            <v>Tranh Phương Đấu Diễm</v>
          </cell>
        </row>
        <row r="1361">
          <cell r="P1361" t="str">
            <v>Khổng Tuyên</v>
          </cell>
          <cell r="Q1361" t="str">
            <v>Tranh Phương Đấu Diễm</v>
          </cell>
        </row>
        <row r="1362">
          <cell r="P1362" t="str">
            <v>Khổng Tuyên</v>
          </cell>
          <cell r="Q1362" t="str">
            <v>Tranh Phương Đấu Diễm</v>
          </cell>
        </row>
        <row r="1363">
          <cell r="P1363" t="str">
            <v>Khổng Tuyên</v>
          </cell>
          <cell r="Q1363" t="str">
            <v>Tranh Phương Đấu Diễm</v>
          </cell>
        </row>
        <row r="1364">
          <cell r="P1364" t="str">
            <v>Khổng Tuyên</v>
          </cell>
          <cell r="Q1364" t="str">
            <v>Tranh Phương Đấu Diễm</v>
          </cell>
        </row>
        <row r="1365">
          <cell r="P1365" t="str">
            <v>Khổng Tuyên</v>
          </cell>
          <cell r="Q1365" t="str">
            <v>Tranh Phương Đấu Diễm</v>
          </cell>
        </row>
        <row r="1366">
          <cell r="P1366" t="str">
            <v>Khổng Tuyên</v>
          </cell>
          <cell r="Q1366" t="str">
            <v>Tranh Phương Đấu Diễm</v>
          </cell>
        </row>
        <row r="1367">
          <cell r="P1367" t="str">
            <v>Khổng Tuyên</v>
          </cell>
          <cell r="Q1367" t="str">
            <v>Tranh Phương Đấu Diễm</v>
          </cell>
        </row>
        <row r="1368">
          <cell r="P1368" t="str">
            <v>Khổng Tuyên</v>
          </cell>
          <cell r="Q1368" t="str">
            <v>Tranh Phương Đấu Diễm</v>
          </cell>
        </row>
        <row r="1369">
          <cell r="P1369" t="str">
            <v>Khổng Tuyên</v>
          </cell>
          <cell r="Q1369" t="str">
            <v>Tranh Phương Đấu Diễm</v>
          </cell>
        </row>
        <row r="1370">
          <cell r="P1370" t="str">
            <v>Khổng Tuyên</v>
          </cell>
          <cell r="Q1370" t="str">
            <v>Tranh Phương Đấu Diễm</v>
          </cell>
        </row>
        <row r="1371">
          <cell r="P1371" t="str">
            <v>Khổng Tuyên</v>
          </cell>
          <cell r="Q1371" t="str">
            <v>Tranh Phương Đấu Diễm</v>
          </cell>
        </row>
        <row r="1372">
          <cell r="P1372" t="str">
            <v>Khổng Tuyên</v>
          </cell>
          <cell r="Q1372" t="str">
            <v>Tranh Phương Đấu Diễm</v>
          </cell>
        </row>
        <row r="1373">
          <cell r="P1373" t="str">
            <v>Khổng Tuyên</v>
          </cell>
          <cell r="Q1373" t="str">
            <v>Tranh Phương Đấu Diễm</v>
          </cell>
        </row>
        <row r="1374">
          <cell r="P1374" t="str">
            <v>Khổng Tuyên</v>
          </cell>
          <cell r="Q1374" t="str">
            <v>Tranh Phương Đấu Diễm</v>
          </cell>
        </row>
        <row r="1375">
          <cell r="P1375" t="str">
            <v>Khổng Tuyên</v>
          </cell>
          <cell r="Q1375" t="str">
            <v>Tranh Phương Đấu Diễm</v>
          </cell>
        </row>
        <row r="1376">
          <cell r="P1376" t="str">
            <v>Khổng Tuyên</v>
          </cell>
          <cell r="Q1376" t="str">
            <v>Tranh Phương Đấu Diễm</v>
          </cell>
        </row>
        <row r="1377">
          <cell r="P1377" t="str">
            <v>Khổng Tuyên</v>
          </cell>
          <cell r="Q1377" t="str">
            <v>Tranh Phương Đấu Diễm</v>
          </cell>
        </row>
        <row r="1378">
          <cell r="P1378" t="str">
            <v>Khổng Tuyên</v>
          </cell>
          <cell r="Q1378" t="str">
            <v>Tranh Phương Đấu Diễm</v>
          </cell>
        </row>
        <row r="1379">
          <cell r="P1379" t="str">
            <v>Khổng Tuyên</v>
          </cell>
          <cell r="Q1379" t="str">
            <v>Tranh Phương Đấu Diễm</v>
          </cell>
        </row>
        <row r="1380">
          <cell r="P1380" t="str">
            <v>Khổng Tuyên</v>
          </cell>
          <cell r="Q1380" t="str">
            <v>Tranh Phương Đấu Diễm</v>
          </cell>
        </row>
        <row r="1381">
          <cell r="P1381" t="str">
            <v>Khổng Tuyên</v>
          </cell>
          <cell r="Q1381" t="str">
            <v>Tranh Phương Đấu Diễm</v>
          </cell>
        </row>
        <row r="1382">
          <cell r="P1382" t="str">
            <v>Khổng Tuyên</v>
          </cell>
          <cell r="Q1382" t="str">
            <v>Cô Phương Tự Thưởng</v>
          </cell>
        </row>
        <row r="1383">
          <cell r="P1383" t="str">
            <v>Khổng Tuyên</v>
          </cell>
          <cell r="Q1383" t="str">
            <v>Cô Phương Tự Thưởng</v>
          </cell>
        </row>
        <row r="1384">
          <cell r="P1384" t="str">
            <v>Khổng Tuyên</v>
          </cell>
          <cell r="Q1384" t="str">
            <v>Cô Phương Tự Thưởng</v>
          </cell>
        </row>
        <row r="1385">
          <cell r="P1385" t="str">
            <v>Khổng Tuyên</v>
          </cell>
          <cell r="Q1385" t="str">
            <v>Cực · Cô Phương Tự Thưởng</v>
          </cell>
        </row>
        <row r="1386">
          <cell r="P1386" t="str">
            <v>Khổng Tuyên</v>
          </cell>
          <cell r="Q1386" t="str">
            <v>Cực · Cô Phương Tự Thưởng</v>
          </cell>
        </row>
        <row r="1387">
          <cell r="P1387" t="str">
            <v>Khổng Tuyên</v>
          </cell>
          <cell r="Q1387" t="str">
            <v>Cực · Cô Phương Tự Thưởng</v>
          </cell>
        </row>
        <row r="1388">
          <cell r="P1388" t="str">
            <v>Khổng Tuyên</v>
          </cell>
          <cell r="Q1388" t="str">
            <v>Khai Bình</v>
          </cell>
        </row>
        <row r="1389">
          <cell r="P1389" t="str">
            <v>Khổng Tuyên</v>
          </cell>
          <cell r="Q1389" t="str">
            <v>Khai Bình</v>
          </cell>
        </row>
        <row r="1390">
          <cell r="P1390" t="str">
            <v>Khổng Tuyên</v>
          </cell>
          <cell r="Q1390" t="str">
            <v>Khai Bình</v>
          </cell>
        </row>
        <row r="1391">
          <cell r="P1391" t="str">
            <v>Khổng Tuyên</v>
          </cell>
          <cell r="Q1391" t="str">
            <v>Vạn Yêu Tụng</v>
          </cell>
        </row>
        <row r="1392">
          <cell r="P1392" t="str">
            <v>Khổng Tuyên</v>
          </cell>
          <cell r="Q1392" t="str">
            <v>Vạn Yêu Tụng</v>
          </cell>
        </row>
        <row r="1393">
          <cell r="P1393" t="str">
            <v>Khổng Tuyên</v>
          </cell>
          <cell r="Q1393" t="str">
            <v>Vạn Yêu Tụng</v>
          </cell>
        </row>
        <row r="1394">
          <cell r="P1394" t="str">
            <v>Khổng Tuyên</v>
          </cell>
          <cell r="Q1394" t="str">
            <v>Dao Duệ Thần Quang</v>
          </cell>
        </row>
        <row r="1395">
          <cell r="P1395" t="str">
            <v>Khổng Tuyên</v>
          </cell>
          <cell r="Q1395" t="str">
            <v>Dao Duệ Thần Quang</v>
          </cell>
        </row>
        <row r="1396">
          <cell r="P1396" t="str">
            <v>Khổng Tuyên</v>
          </cell>
          <cell r="Q1396" t="str">
            <v>Dao Duệ Thần Quang</v>
          </cell>
        </row>
        <row r="1397">
          <cell r="P1397" t="str">
            <v>Khổng Tuyên</v>
          </cell>
          <cell r="Q1397" t="str">
            <v>Khai Bình</v>
          </cell>
        </row>
        <row r="1398">
          <cell r="P1398" t="str">
            <v>Khổng Tuyên</v>
          </cell>
          <cell r="Q1398" t="str">
            <v>Khai Bình</v>
          </cell>
        </row>
        <row r="1399">
          <cell r="P1399" t="str">
            <v>Khổng Tuyên</v>
          </cell>
          <cell r="Q1399" t="str">
            <v>Khai Bình</v>
          </cell>
        </row>
        <row r="1400">
          <cell r="P1400" t="str">
            <v>Khổng Tuyên</v>
          </cell>
          <cell r="Q1400" t="str">
            <v>Tây Phương Đại Yêu</v>
          </cell>
        </row>
        <row r="1401">
          <cell r="P1401" t="str">
            <v>Khổng Tuyên</v>
          </cell>
          <cell r="Q1401" t="str">
            <v>Tây Phương Đại Yêu</v>
          </cell>
        </row>
        <row r="1402">
          <cell r="P1402" t="str">
            <v>Khổng Tuyên</v>
          </cell>
          <cell r="Q1402" t="str">
            <v>Tây Phương Đại Yêu</v>
          </cell>
        </row>
        <row r="1403">
          <cell r="P1403" t="str">
            <v>Khổng Tuyên</v>
          </cell>
          <cell r="Q1403" t="str">
            <v>Khổng Tước Chân Thân</v>
          </cell>
        </row>
        <row r="1404">
          <cell r="P1404" t="str">
            <v>Khổng Tuyên</v>
          </cell>
          <cell r="Q1404" t="str">
            <v>Khổng Tước Chân Thân</v>
          </cell>
        </row>
        <row r="1405">
          <cell r="P1405" t="str">
            <v>Mạn Châu</v>
          </cell>
          <cell r="Q1405" t="str">
            <v>Phổ Công</v>
          </cell>
        </row>
        <row r="1406">
          <cell r="P1406" t="str">
            <v>Mạn Châu</v>
          </cell>
          <cell r="Q1406" t="str">
            <v>Kịch Độc Đằng Mạn</v>
          </cell>
        </row>
        <row r="1407">
          <cell r="P1407" t="str">
            <v>Mạn Châu</v>
          </cell>
          <cell r="Q1407" t="str">
            <v>Kịch Độc Đằng Mạn</v>
          </cell>
        </row>
        <row r="1408">
          <cell r="P1408" t="str">
            <v>Mạn Châu</v>
          </cell>
          <cell r="Q1408" t="str">
            <v>Kịch Độc Đằng Mạn</v>
          </cell>
        </row>
        <row r="1409">
          <cell r="P1409" t="str">
            <v>Mạn Châu</v>
          </cell>
          <cell r="Q1409" t="str">
            <v>Nghênh Phong Ngạo Lập</v>
          </cell>
        </row>
        <row r="1410">
          <cell r="P1410" t="str">
            <v>Mạn Châu</v>
          </cell>
          <cell r="Q1410" t="str">
            <v>Nghênh Phong Ngạo Lập</v>
          </cell>
        </row>
        <row r="1411">
          <cell r="P1411" t="str">
            <v>Mạn Châu</v>
          </cell>
          <cell r="Q1411" t="str">
            <v>Nghênh Phong Ngạo Lập</v>
          </cell>
        </row>
        <row r="1412">
          <cell r="P1412" t="str">
            <v>Mạn Châu</v>
          </cell>
          <cell r="Q1412" t="str">
            <v>Cực · Nghênh Phong Ngạo Lập</v>
          </cell>
        </row>
        <row r="1413">
          <cell r="P1413" t="str">
            <v>Mạn Châu</v>
          </cell>
          <cell r="Q1413" t="str">
            <v>Cực · Nghênh Phong Ngạo Lập</v>
          </cell>
        </row>
        <row r="1414">
          <cell r="P1414" t="str">
            <v>Mạn Châu</v>
          </cell>
          <cell r="Q1414" t="str">
            <v>Cực · Nghênh Phong Ngạo Lập</v>
          </cell>
        </row>
        <row r="1415">
          <cell r="P1415" t="str">
            <v>Mạn Châu</v>
          </cell>
          <cell r="Q1415" t="str">
            <v>Phản Phệ Hoa Chủng</v>
          </cell>
        </row>
        <row r="1416">
          <cell r="P1416" t="str">
            <v>Mạn Châu</v>
          </cell>
          <cell r="Q1416" t="str">
            <v>Phản Phệ Hoa Chủng</v>
          </cell>
        </row>
        <row r="1417">
          <cell r="P1417" t="str">
            <v>Mạn Châu</v>
          </cell>
          <cell r="Q1417" t="str">
            <v>Phản Phệ Hoa Chủng</v>
          </cell>
        </row>
        <row r="1418">
          <cell r="P1418" t="str">
            <v>Mạn Châu</v>
          </cell>
          <cell r="Q1418" t="str">
            <v>Dã Man Sinh Trường</v>
          </cell>
        </row>
        <row r="1419">
          <cell r="P1419" t="str">
            <v>Mạn Châu</v>
          </cell>
          <cell r="Q1419" t="str">
            <v>Dã Man Sinh Trường</v>
          </cell>
        </row>
        <row r="1420">
          <cell r="P1420" t="str">
            <v>Mạn Châu</v>
          </cell>
          <cell r="Q1420" t="str">
            <v>Dã Man Sinh Trường</v>
          </cell>
        </row>
        <row r="1421">
          <cell r="P1421" t="str">
            <v>Mạn Châu</v>
          </cell>
          <cell r="Q1421" t="str">
            <v>Hoàng Tuyền Chi Hoa</v>
          </cell>
        </row>
        <row r="1422">
          <cell r="P1422" t="str">
            <v>Mạn Châu</v>
          </cell>
          <cell r="Q1422" t="str">
            <v>Hoàng Tuyền Chi Hoa</v>
          </cell>
        </row>
        <row r="1423">
          <cell r="P1423" t="str">
            <v>Mạn Châu</v>
          </cell>
          <cell r="Q1423" t="str">
            <v>Hoàng Tuyền Chi Hoa</v>
          </cell>
        </row>
        <row r="1424">
          <cell r="P1424" t="str">
            <v>Mạn Châu</v>
          </cell>
          <cell r="Q1424" t="str">
            <v>Kịch Độc Đằng Mạn</v>
          </cell>
        </row>
        <row r="1425">
          <cell r="P1425" t="str">
            <v>Mạn Châu</v>
          </cell>
          <cell r="Q1425" t="str">
            <v>Kịch Độc Đằng Mạn</v>
          </cell>
        </row>
        <row r="1426">
          <cell r="P1426" t="str">
            <v>Mạn Châu</v>
          </cell>
          <cell r="Q1426" t="str">
            <v>Kịch Độc Đằng Mạn</v>
          </cell>
        </row>
        <row r="1427">
          <cell r="P1427" t="str">
            <v>Mạn Châu</v>
          </cell>
          <cell r="Q1427" t="str">
            <v>Phản Phệ Hoa Chủng</v>
          </cell>
        </row>
        <row r="1428">
          <cell r="P1428" t="str">
            <v>Mạn Châu</v>
          </cell>
          <cell r="Q1428" t="str">
            <v>Viễn Cổ Hoa Hoàng</v>
          </cell>
        </row>
        <row r="1429">
          <cell r="P1429" t="str">
            <v>Mạn Châu</v>
          </cell>
          <cell r="Q1429" t="str">
            <v>Viễn Cổ Hoa Hoàng</v>
          </cell>
        </row>
        <row r="1430">
          <cell r="P1430" t="str">
            <v>Mạn Châu</v>
          </cell>
          <cell r="Q1430" t="str">
            <v>Viễn Cổ Hoa Hoàng</v>
          </cell>
        </row>
        <row r="1431">
          <cell r="P1431" t="str">
            <v>Mạn Châu</v>
          </cell>
          <cell r="Q1431" t="str">
            <v>Dã Man Sinh Trường</v>
          </cell>
        </row>
        <row r="1432">
          <cell r="P1432" t="str">
            <v>Mạn Châu</v>
          </cell>
          <cell r="Q1432" t="str">
            <v>Dã Man Sinh Trường</v>
          </cell>
        </row>
        <row r="1433">
          <cell r="P1433" t="str">
            <v>Mạn Châu</v>
          </cell>
          <cell r="Q1433" t="str">
            <v>Tử Linh Dưỡng Liêu</v>
          </cell>
        </row>
        <row r="1434">
          <cell r="P1434" t="str">
            <v>Mạn Châu</v>
          </cell>
          <cell r="Q1434" t="str">
            <v>Tử Linh Dưỡng Liêu</v>
          </cell>
        </row>
        <row r="1435">
          <cell r="P1435" t="str">
            <v>Mạn Châu</v>
          </cell>
          <cell r="Q1435" t="str">
            <v>Tử Linh Dưỡng Liêu</v>
          </cell>
        </row>
        <row r="1436">
          <cell r="P1436" t="str">
            <v>Mạn Châu</v>
          </cell>
          <cell r="Q1436" t="str">
            <v>Tử Linh Dưỡng Liêu</v>
          </cell>
        </row>
        <row r="1437">
          <cell r="P1437" t="str">
            <v>Mạn Châu</v>
          </cell>
          <cell r="Q1437" t="str">
            <v>Tử Linh Dưỡng Liêu</v>
          </cell>
        </row>
        <row r="1438">
          <cell r="P1438" t="str">
            <v>Mạn Châu</v>
          </cell>
          <cell r="Q1438" t="str">
            <v>Tử Linh Dưỡng Liêu</v>
          </cell>
        </row>
        <row r="1439">
          <cell r="P1439" t="str">
            <v>Mạn Châu</v>
          </cell>
          <cell r="Q1439" t="str">
            <v>Tử Linh Dưỡng Liêu</v>
          </cell>
        </row>
        <row r="1440">
          <cell r="P1440" t="str">
            <v>Mạn Châu</v>
          </cell>
          <cell r="Q1440" t="str">
            <v>Tử Linh Dưỡng Liêu</v>
          </cell>
        </row>
        <row r="1441">
          <cell r="P1441" t="str">
            <v>Mạn Châu</v>
          </cell>
          <cell r="Q1441" t="str">
            <v>Tử Linh Dưỡng Liêu</v>
          </cell>
        </row>
        <row r="1442">
          <cell r="P1442" t="str">
            <v>Mạn Châu</v>
          </cell>
          <cell r="Q1442" t="str">
            <v>Tử Linh Dưỡng Liêu</v>
          </cell>
        </row>
        <row r="1443">
          <cell r="P1443" t="str">
            <v>Tinh Vệ</v>
          </cell>
          <cell r="Q1443" t="str">
            <v>Phổ Công</v>
          </cell>
        </row>
        <row r="1444">
          <cell r="P1444" t="str">
            <v>Tinh Vệ</v>
          </cell>
          <cell r="Q1444" t="str">
            <v>Cưu Minh</v>
          </cell>
        </row>
        <row r="1445">
          <cell r="P1445" t="str">
            <v>Tinh Vệ</v>
          </cell>
          <cell r="Q1445" t="str">
            <v>Thỉ Chí</v>
          </cell>
        </row>
        <row r="1446">
          <cell r="P1446" t="str">
            <v>Dao Cơ</v>
          </cell>
          <cell r="Q1446" t="str">
            <v>Tuần Du Thiên Thần</v>
          </cell>
        </row>
        <row r="1447">
          <cell r="P1447" t="str">
            <v>Dao Cơ</v>
          </cell>
          <cell r="Q1447" t="str">
            <v>Tuần Du Thiên Thần</v>
          </cell>
        </row>
        <row r="1448">
          <cell r="P1448" t="str">
            <v>Dao Cơ</v>
          </cell>
          <cell r="Q1448" t="str">
            <v>Tuần Du Thiên Thần</v>
          </cell>
        </row>
        <row r="1449">
          <cell r="P1449" t="str">
            <v>Dao Cơ</v>
          </cell>
          <cell r="Q1449" t="str">
            <v>Tuần Du Thiên Thần</v>
          </cell>
        </row>
        <row r="1450">
          <cell r="P1450" t="str">
            <v>Nữ Bạt</v>
          </cell>
          <cell r="Q1450" t="str">
            <v>Phổ Công</v>
          </cell>
        </row>
        <row r="1451">
          <cell r="P1451" t="str">
            <v>Nữ Bạt</v>
          </cell>
          <cell r="Q1451" t="str">
            <v>Ly Châu</v>
          </cell>
        </row>
        <row r="1452">
          <cell r="P1452" t="str">
            <v>Nữ Bạt</v>
          </cell>
          <cell r="Q1452" t="str">
            <v>Nhân Tâm</v>
          </cell>
        </row>
        <row r="1453">
          <cell r="P1453" t="str">
            <v>Nữ Bạt</v>
          </cell>
          <cell r="Q1453" t="str">
            <v>Phục Tô Chi Quang</v>
          </cell>
        </row>
        <row r="1454">
          <cell r="P1454" t="str">
            <v>Giam Binh</v>
          </cell>
          <cell r="Q1454" t="str">
            <v>Phổ Công</v>
          </cell>
        </row>
        <row r="1455">
          <cell r="P1455" t="str">
            <v>Giam Binh</v>
          </cell>
          <cell r="Q1455" t="str">
            <v>Đoạn Không Trảm</v>
          </cell>
        </row>
        <row r="1456">
          <cell r="P1456" t="str">
            <v>Giam Binh</v>
          </cell>
          <cell r="Q1456" t="str">
            <v>Nộ Khí Bạo Phát</v>
          </cell>
        </row>
        <row r="1457">
          <cell r="P1457" t="str">
            <v>Giam Binh</v>
          </cell>
          <cell r="Q1457" t="str">
            <v>Thăng Long Kích</v>
          </cell>
        </row>
        <row r="1458">
          <cell r="P1458" t="str">
            <v>Giam Binh</v>
          </cell>
          <cell r="Q1458" t="str">
            <v>Thăng Long Kích</v>
          </cell>
        </row>
        <row r="1459">
          <cell r="P1459" t="str">
            <v>Giam Binh</v>
          </cell>
          <cell r="Q1459" t="str">
            <v>Thăng Long Kích</v>
          </cell>
        </row>
        <row r="1460">
          <cell r="P1460" t="str">
            <v>Giam Binh</v>
          </cell>
          <cell r="Q1460" t="str">
            <v>Thăng Long Kích</v>
          </cell>
        </row>
        <row r="1461">
          <cell r="P1461" t="str">
            <v>Giam Binh</v>
          </cell>
          <cell r="Q1461" t="str">
            <v>Thăng Long Kích</v>
          </cell>
        </row>
        <row r="1462">
          <cell r="P1462" t="str">
            <v>Giam Binh</v>
          </cell>
          <cell r="Q1462" t="str">
            <v>Thăng Long Kích</v>
          </cell>
        </row>
        <row r="1463">
          <cell r="P1463" t="str">
            <v>Lạc Thần</v>
          </cell>
          <cell r="Q1463" t="str">
            <v>Phổ Công</v>
          </cell>
        </row>
        <row r="1464">
          <cell r="P1464" t="str">
            <v>Lạc Thần</v>
          </cell>
          <cell r="Q1464" t="str">
            <v>Liên Châu</v>
          </cell>
        </row>
        <row r="1465">
          <cell r="P1465" t="str">
            <v>Lạc Thần</v>
          </cell>
          <cell r="Q1465" t="str">
            <v>Liên Châu</v>
          </cell>
        </row>
        <row r="1466">
          <cell r="P1466" t="str">
            <v>Lạc Thần</v>
          </cell>
          <cell r="Q1466" t="str">
            <v>Liên Châu</v>
          </cell>
        </row>
        <row r="1467">
          <cell r="P1467" t="str">
            <v>Lạc Thần</v>
          </cell>
          <cell r="Q1467" t="str">
            <v>Âm Luật Đại Sư</v>
          </cell>
        </row>
        <row r="1468">
          <cell r="P1468" t="str">
            <v>Lạc Thần</v>
          </cell>
          <cell r="Q1468" t="str">
            <v>Ma Âm</v>
          </cell>
        </row>
        <row r="1469">
          <cell r="P1469" t="str">
            <v>Bàn Cổ</v>
          </cell>
          <cell r="Q1469" t="str">
            <v>Phổ Công</v>
          </cell>
        </row>
        <row r="1470">
          <cell r="P1470" t="str">
            <v>Bàn Cổ</v>
          </cell>
          <cell r="Q1470" t="str">
            <v>Thiên Băng Địa Liệt</v>
          </cell>
        </row>
        <row r="1471">
          <cell r="P1471" t="str">
            <v>Bàn Cổ</v>
          </cell>
          <cell r="Q1471" t="str">
            <v>Thiên Băng Địa Liệt</v>
          </cell>
        </row>
        <row r="1472">
          <cell r="P1472" t="str">
            <v>Bàn Cổ</v>
          </cell>
          <cell r="Q1472" t="str">
            <v>Thiên Băng Địa Liệt</v>
          </cell>
        </row>
        <row r="1473">
          <cell r="P1473" t="str">
            <v>Bàn Cổ</v>
          </cell>
          <cell r="Q1473" t="str">
            <v>Bàn Cổ Chi Lực</v>
          </cell>
        </row>
        <row r="1474">
          <cell r="P1474" t="str">
            <v>Bàn Cổ</v>
          </cell>
          <cell r="Q1474" t="str">
            <v>Bàn Cổ Chi Lực</v>
          </cell>
        </row>
        <row r="1475">
          <cell r="P1475" t="str">
            <v>Bàn Cổ</v>
          </cell>
          <cell r="Q1475" t="str">
            <v>Bàn Cổ Chi Lực</v>
          </cell>
        </row>
        <row r="1476">
          <cell r="P1476" t="str">
            <v>Bàn Cổ</v>
          </cell>
          <cell r="Q1476" t="str">
            <v>Cực · Bàn Cổ Chi Lực</v>
          </cell>
        </row>
        <row r="1477">
          <cell r="P1477" t="str">
            <v>Bàn Cổ</v>
          </cell>
          <cell r="Q1477" t="str">
            <v>Cực · Bàn Cổ Chi Lực</v>
          </cell>
        </row>
        <row r="1478">
          <cell r="P1478" t="str">
            <v>Bàn Cổ</v>
          </cell>
          <cell r="Q1478" t="str">
            <v>Cực · Bàn Cổ Chi Lực</v>
          </cell>
        </row>
        <row r="1479">
          <cell r="P1479" t="str">
            <v>Bàn Cổ</v>
          </cell>
          <cell r="Q1479" t="str">
            <v>Thần Vệ</v>
          </cell>
        </row>
        <row r="1480">
          <cell r="P1480" t="str">
            <v>Bàn Cổ</v>
          </cell>
          <cell r="Q1480" t="str">
            <v>Thần Vệ</v>
          </cell>
        </row>
        <row r="1481">
          <cell r="P1481" t="str">
            <v>Bàn Cổ</v>
          </cell>
          <cell r="Q1481" t="str">
            <v>Thần Vệ</v>
          </cell>
        </row>
        <row r="1482">
          <cell r="P1482" t="str">
            <v>Bàn Cổ</v>
          </cell>
          <cell r="Q1482" t="str">
            <v>Bất Khuất Ý Chí</v>
          </cell>
        </row>
        <row r="1483">
          <cell r="P1483" t="str">
            <v>Bàn Cổ</v>
          </cell>
          <cell r="Q1483" t="str">
            <v>Bất Khuất Ý Chí</v>
          </cell>
        </row>
        <row r="1484">
          <cell r="P1484" t="str">
            <v>Bàn Cổ</v>
          </cell>
          <cell r="Q1484" t="str">
            <v>Bất Khuất Ý Chí</v>
          </cell>
        </row>
        <row r="1485">
          <cell r="P1485" t="str">
            <v>Bàn Cổ</v>
          </cell>
          <cell r="Q1485" t="str">
            <v>Ý Chí Truyện Đệ</v>
          </cell>
        </row>
        <row r="1486">
          <cell r="P1486" t="str">
            <v>Bàn Cổ</v>
          </cell>
          <cell r="Q1486" t="str">
            <v>Ý Chí Truyện Đệ</v>
          </cell>
        </row>
        <row r="1487">
          <cell r="P1487" t="str">
            <v>Bàn Cổ</v>
          </cell>
          <cell r="Q1487" t="str">
            <v>Ý Chí Truyện Đệ</v>
          </cell>
        </row>
        <row r="1488">
          <cell r="P1488" t="str">
            <v>Bàn Cổ</v>
          </cell>
          <cell r="Q1488" t="str">
            <v>Hộ Vệ</v>
          </cell>
        </row>
        <row r="1489">
          <cell r="P1489" t="str">
            <v>Bàn Cổ</v>
          </cell>
          <cell r="Q1489" t="str">
            <v>Hộ Vệ</v>
          </cell>
        </row>
        <row r="1490">
          <cell r="P1490" t="str">
            <v>Bàn Cổ</v>
          </cell>
          <cell r="Q1490" t="str">
            <v>Hộ Vệ</v>
          </cell>
        </row>
        <row r="1491">
          <cell r="P1491" t="str">
            <v>Bàn Cổ</v>
          </cell>
          <cell r="Q1491" t="str">
            <v>Thượng Cổ Hộ Thuẫn</v>
          </cell>
        </row>
        <row r="1492">
          <cell r="P1492" t="str">
            <v>Bàn Cổ</v>
          </cell>
          <cell r="Q1492" t="str">
            <v>Thượng Cổ Hộ Thuẫn</v>
          </cell>
        </row>
        <row r="1493">
          <cell r="P1493" t="str">
            <v>Bàn Cổ</v>
          </cell>
          <cell r="Q1493" t="str">
            <v>Thượng Cổ Hộ Thuẫn</v>
          </cell>
        </row>
        <row r="1494">
          <cell r="P1494" t="str">
            <v>Bàn Cổ</v>
          </cell>
          <cell r="Q1494" t="str">
            <v>Thượng Cổ Hộ Thuẫn</v>
          </cell>
        </row>
        <row r="1495">
          <cell r="P1495" t="str">
            <v>Bàn Cổ</v>
          </cell>
          <cell r="Q1495" t="str">
            <v>Thượng Cổ Hộ Thuẫn</v>
          </cell>
        </row>
        <row r="1496">
          <cell r="P1496" t="str">
            <v>Bàn Cổ</v>
          </cell>
          <cell r="Q1496" t="str">
            <v>Thượng Cổ Hộ Thuẫn</v>
          </cell>
        </row>
        <row r="1497">
          <cell r="P1497" t="str">
            <v>Bàn Cổ</v>
          </cell>
          <cell r="Q1497" t="str">
            <v>Thượng Cổ Hộ Thuẫn</v>
          </cell>
        </row>
        <row r="1498">
          <cell r="P1498" t="str">
            <v>Bàn Cổ</v>
          </cell>
          <cell r="Q1498" t="str">
            <v>Thượng Cổ Hộ Thuẫn</v>
          </cell>
        </row>
        <row r="1499">
          <cell r="P1499" t="str">
            <v>Bàn Cổ</v>
          </cell>
          <cell r="Q1499" t="str">
            <v>Thượng Cổ Hộ Thuẫn</v>
          </cell>
        </row>
        <row r="1500">
          <cell r="P1500" t="str">
            <v>Bàn Cổ</v>
          </cell>
          <cell r="Q1500" t="str">
            <v>Thượng Cổ Hộ Thuẫn</v>
          </cell>
        </row>
        <row r="1501">
          <cell r="P1501" t="str">
            <v>Thần Nông</v>
          </cell>
          <cell r="Q1501" t="str">
            <v>Phổ Công</v>
          </cell>
        </row>
        <row r="1502">
          <cell r="P1502" t="str">
            <v>Thần Nông</v>
          </cell>
          <cell r="Q1502" t="str">
            <v>Khứ Tật</v>
          </cell>
        </row>
        <row r="1503">
          <cell r="P1503" t="str">
            <v>Thần Nông</v>
          </cell>
          <cell r="Q1503" t="str">
            <v>Khứ Tật</v>
          </cell>
        </row>
        <row r="1504">
          <cell r="P1504" t="str">
            <v>Thần Nông</v>
          </cell>
          <cell r="Q1504" t="str">
            <v>Khứ Tật</v>
          </cell>
        </row>
        <row r="1505">
          <cell r="P1505" t="str">
            <v>Thần Nông</v>
          </cell>
          <cell r="Q1505" t="str">
            <v>Thần Mộc Chi Thể</v>
          </cell>
        </row>
        <row r="1506">
          <cell r="P1506" t="str">
            <v>Thần Nông</v>
          </cell>
          <cell r="Q1506" t="str">
            <v>Thần Mộc Chi Thể</v>
          </cell>
        </row>
        <row r="1507">
          <cell r="P1507" t="str">
            <v>Thần Nông</v>
          </cell>
          <cell r="Q1507" t="str">
            <v>Thần Mộc Chi Thể</v>
          </cell>
        </row>
        <row r="1508">
          <cell r="P1508" t="str">
            <v>Thần Nông</v>
          </cell>
          <cell r="Q1508" t="str">
            <v>Cực · Thần Mộc Chi Thể</v>
          </cell>
        </row>
        <row r="1509">
          <cell r="P1509" t="str">
            <v>Thần Nông</v>
          </cell>
          <cell r="Q1509" t="str">
            <v>Cực · Thần Mộc Chi Thể</v>
          </cell>
        </row>
        <row r="1510">
          <cell r="P1510" t="str">
            <v>Thần Nông</v>
          </cell>
          <cell r="Q1510" t="str">
            <v>Cực · Thần Mộc Chi Thể</v>
          </cell>
        </row>
        <row r="1511">
          <cell r="P1511" t="str">
            <v>Thần Nông</v>
          </cell>
          <cell r="Q1511" t="str">
            <v>Linh Hồn Kết Giới</v>
          </cell>
        </row>
        <row r="1512">
          <cell r="P1512" t="str">
            <v>Thần Nông</v>
          </cell>
          <cell r="Q1512" t="str">
            <v>Linh Hồn Kết Giới</v>
          </cell>
        </row>
        <row r="1513">
          <cell r="P1513" t="str">
            <v>Thần Nông</v>
          </cell>
          <cell r="Q1513" t="str">
            <v>Linh Hồn Kết Giới</v>
          </cell>
        </row>
        <row r="1514">
          <cell r="P1514" t="str">
            <v>Thần Nông</v>
          </cell>
          <cell r="Q1514" t="str">
            <v>Tận Tụy</v>
          </cell>
        </row>
        <row r="1515">
          <cell r="P1515" t="str">
            <v>Thần Nông</v>
          </cell>
          <cell r="Q1515" t="str">
            <v>Tận Tụy</v>
          </cell>
        </row>
        <row r="1516">
          <cell r="P1516" t="str">
            <v>Thần Nông</v>
          </cell>
          <cell r="Q1516" t="str">
            <v>Tận Tụy</v>
          </cell>
        </row>
        <row r="1517">
          <cell r="P1517" t="str">
            <v>Thần Nông</v>
          </cell>
          <cell r="Q1517" t="str">
            <v>Ma Pháp Quán Chú</v>
          </cell>
        </row>
        <row r="1518">
          <cell r="P1518" t="str">
            <v>Thần Nông</v>
          </cell>
          <cell r="Q1518" t="str">
            <v>Ma Pháp Quán Chú</v>
          </cell>
        </row>
        <row r="1519">
          <cell r="P1519" t="str">
            <v>Thần Nông</v>
          </cell>
          <cell r="Q1519" t="str">
            <v>Ma Pháp Quán Chú</v>
          </cell>
        </row>
        <row r="1520">
          <cell r="P1520" t="str">
            <v>Thần Nông</v>
          </cell>
          <cell r="Q1520" t="str">
            <v>Khứ Tật</v>
          </cell>
        </row>
        <row r="1521">
          <cell r="P1521" t="str">
            <v>Thần Nông</v>
          </cell>
          <cell r="Q1521" t="str">
            <v>Khứ Tật</v>
          </cell>
        </row>
        <row r="1522">
          <cell r="P1522" t="str">
            <v>Thần Nông</v>
          </cell>
          <cell r="Q1522" t="str">
            <v>Khứ Tật</v>
          </cell>
        </row>
        <row r="1523">
          <cell r="P1523" t="str">
            <v>Thần Nông</v>
          </cell>
          <cell r="Q1523" t="str">
            <v>Khứ Tật</v>
          </cell>
        </row>
        <row r="1524">
          <cell r="P1524" t="str">
            <v>Thần Nông</v>
          </cell>
          <cell r="Q1524" t="str">
            <v>Khứ Tật</v>
          </cell>
        </row>
        <row r="1525">
          <cell r="P1525" t="str">
            <v>Thần Nông</v>
          </cell>
          <cell r="Q1525" t="str">
            <v>Khứ Tật</v>
          </cell>
        </row>
        <row r="1526">
          <cell r="P1526" t="str">
            <v>Thần Nông</v>
          </cell>
          <cell r="Q1526" t="str">
            <v>Khứ Tật</v>
          </cell>
        </row>
        <row r="1527">
          <cell r="P1527" t="str">
            <v>Thần Nông</v>
          </cell>
          <cell r="Q1527" t="str">
            <v>Khứ Tật</v>
          </cell>
        </row>
        <row r="1528">
          <cell r="P1528" t="str">
            <v>Thần Nông</v>
          </cell>
          <cell r="Q1528" t="str">
            <v>Khứ Tật</v>
          </cell>
        </row>
        <row r="1529">
          <cell r="P1529" t="str">
            <v>Thần Nông</v>
          </cell>
          <cell r="Q1529" t="str">
            <v>Sinh Mệnh Liên Tiếp</v>
          </cell>
        </row>
        <row r="1530">
          <cell r="P1530" t="str">
            <v>Thần Nông</v>
          </cell>
          <cell r="Q1530" t="str">
            <v>Sinh Mệnh Liên Tiếp</v>
          </cell>
        </row>
        <row r="1531">
          <cell r="P1531" t="str">
            <v>Thần Nông</v>
          </cell>
          <cell r="Q1531" t="str">
            <v>Sinh Mệnh Liên Tiếp</v>
          </cell>
        </row>
        <row r="1532">
          <cell r="P1532" t="str">
            <v>Thần Nông</v>
          </cell>
          <cell r="Q1532" t="str">
            <v>Linh Hồn Kết Giới</v>
          </cell>
        </row>
        <row r="1533">
          <cell r="P1533" t="str">
            <v>Thần Nông</v>
          </cell>
          <cell r="Q1533" t="str">
            <v>Linh Hồn Kết Giới</v>
          </cell>
        </row>
        <row r="1534">
          <cell r="P1534" t="str">
            <v>Thần Nông</v>
          </cell>
          <cell r="Q1534" t="str">
            <v>Linh Hồn Kết Giới</v>
          </cell>
        </row>
        <row r="1535">
          <cell r="P1535" t="str">
            <v>Nữ Oa</v>
          </cell>
          <cell r="Q1535" t="str">
            <v>Phổ Công</v>
          </cell>
        </row>
        <row r="1536">
          <cell r="P1536" t="str">
            <v>Nữ Oa</v>
          </cell>
          <cell r="Q1536" t="str">
            <v>Tam Sinh Quyết</v>
          </cell>
        </row>
        <row r="1537">
          <cell r="P1537" t="str">
            <v>Nữ Oa</v>
          </cell>
          <cell r="Q1537" t="str">
            <v>Tam Sinh Quyết</v>
          </cell>
        </row>
        <row r="1538">
          <cell r="P1538" t="str">
            <v>Nữ Oa</v>
          </cell>
          <cell r="Q1538" t="str">
            <v>Tam Sinh Quyết</v>
          </cell>
        </row>
        <row r="1539">
          <cell r="P1539" t="str">
            <v>Nữ Oa</v>
          </cell>
          <cell r="Q1539" t="str">
            <v>Tạo Vật</v>
          </cell>
        </row>
        <row r="1540">
          <cell r="P1540" t="str">
            <v>Nữ Oa</v>
          </cell>
          <cell r="Q1540" t="str">
            <v>Tạo Vật</v>
          </cell>
        </row>
        <row r="1541">
          <cell r="P1541" t="str">
            <v>Nữ Oa</v>
          </cell>
          <cell r="Q1541" t="str">
            <v>Tạo Vật</v>
          </cell>
        </row>
        <row r="1542">
          <cell r="P1542" t="str">
            <v>Nữ Oa</v>
          </cell>
          <cell r="Q1542" t="str">
            <v>Cực · Tạo Vật</v>
          </cell>
        </row>
        <row r="1543">
          <cell r="P1543" t="str">
            <v>Nữ Oa</v>
          </cell>
          <cell r="Q1543" t="str">
            <v>Cực · Tạo Vật</v>
          </cell>
        </row>
        <row r="1544">
          <cell r="P1544" t="str">
            <v>Nữ Oa</v>
          </cell>
          <cell r="Q1544" t="str">
            <v>Cực · Tạo Vật</v>
          </cell>
        </row>
        <row r="1545">
          <cell r="P1545" t="str">
            <v>Nữ Oa</v>
          </cell>
          <cell r="Q1545" t="str">
            <v>Cam Lâm</v>
          </cell>
        </row>
        <row r="1546">
          <cell r="P1546" t="str">
            <v>Nữ Oa</v>
          </cell>
          <cell r="Q1546" t="str">
            <v>Cam Lâm</v>
          </cell>
        </row>
        <row r="1547">
          <cell r="P1547" t="str">
            <v>Nữ Oa</v>
          </cell>
          <cell r="Q1547" t="str">
            <v>Cam Lâm</v>
          </cell>
        </row>
        <row r="1548">
          <cell r="P1548" t="str">
            <v>Nữ Oa</v>
          </cell>
          <cell r="Q1548" t="str">
            <v>Nhiếp Hồn</v>
          </cell>
        </row>
        <row r="1549">
          <cell r="P1549" t="str">
            <v>Nữ Oa</v>
          </cell>
          <cell r="Q1549" t="str">
            <v>Nhiếp Hồn</v>
          </cell>
        </row>
        <row r="1550">
          <cell r="P1550" t="str">
            <v>Nữ Oa</v>
          </cell>
          <cell r="Q1550" t="str">
            <v>Nhiếp Hồn</v>
          </cell>
        </row>
        <row r="1551">
          <cell r="P1551" t="str">
            <v>Nữ Oa</v>
          </cell>
          <cell r="Q1551" t="str">
            <v>Lăng Kính Chi Quang</v>
          </cell>
        </row>
        <row r="1552">
          <cell r="P1552" t="str">
            <v>Nữ Oa</v>
          </cell>
          <cell r="Q1552" t="str">
            <v>Lăng Kính Chi Quang</v>
          </cell>
        </row>
        <row r="1553">
          <cell r="P1553" t="str">
            <v>Nữ Oa</v>
          </cell>
          <cell r="Q1553" t="str">
            <v>Lăng Kính Chi Quang</v>
          </cell>
        </row>
        <row r="1554">
          <cell r="P1554" t="str">
            <v>Nữ Oa</v>
          </cell>
          <cell r="Q1554" t="str">
            <v>Tình Nhật</v>
          </cell>
        </row>
        <row r="1555">
          <cell r="P1555" t="str">
            <v>Nữ Oa</v>
          </cell>
          <cell r="Q1555" t="str">
            <v>Tình Nhật</v>
          </cell>
        </row>
        <row r="1556">
          <cell r="P1556" t="str">
            <v>Nữ Oa</v>
          </cell>
          <cell r="Q1556" t="str">
            <v>Tình Nhật</v>
          </cell>
        </row>
        <row r="1557">
          <cell r="P1557" t="str">
            <v>Nữ Oa</v>
          </cell>
          <cell r="Q1557" t="str">
            <v>Tình Nhật</v>
          </cell>
        </row>
        <row r="1558">
          <cell r="P1558" t="str">
            <v>Nữ Oa</v>
          </cell>
          <cell r="Q1558" t="str">
            <v>Tình Nhật</v>
          </cell>
        </row>
        <row r="1559">
          <cell r="P1559" t="str">
            <v>Nữ Oa</v>
          </cell>
          <cell r="Q1559" t="str">
            <v>Tình Nhật</v>
          </cell>
        </row>
        <row r="1560">
          <cell r="P1560" t="str">
            <v>Nữ Oa</v>
          </cell>
          <cell r="Q1560" t="str">
            <v>Tình Nhật</v>
          </cell>
        </row>
        <row r="1561">
          <cell r="P1561" t="str">
            <v>Nữ Oa</v>
          </cell>
          <cell r="Q1561" t="str">
            <v>Tình Nhật</v>
          </cell>
        </row>
        <row r="1562">
          <cell r="P1562" t="str">
            <v>Nữ Oa</v>
          </cell>
          <cell r="Q1562" t="str">
            <v>Tình Nhật</v>
          </cell>
        </row>
        <row r="1563">
          <cell r="P1563" t="str">
            <v>Nữ Oa</v>
          </cell>
          <cell r="Q1563" t="str">
            <v>Thiên Tính Thích Phóng</v>
          </cell>
        </row>
        <row r="1564">
          <cell r="P1564" t="str">
            <v>Nữ Oa</v>
          </cell>
          <cell r="Q1564" t="str">
            <v>Thiên Tính Thích Phóng</v>
          </cell>
        </row>
        <row r="1565">
          <cell r="P1565" t="str">
            <v>Nữ Oa</v>
          </cell>
          <cell r="Q1565" t="str">
            <v>Thiên Tính Thích Phóng</v>
          </cell>
        </row>
        <row r="1566">
          <cell r="P1566" t="str">
            <v>Nữ Oa</v>
          </cell>
          <cell r="Q1566" t="str">
            <v>Thiên Tính Thích Phóng</v>
          </cell>
        </row>
        <row r="1567">
          <cell r="P1567" t="str">
            <v>Nữ Oa</v>
          </cell>
          <cell r="Q1567" t="str">
            <v>Thiên Tính Thích Phóng</v>
          </cell>
        </row>
        <row r="1568">
          <cell r="P1568" t="str">
            <v>Nữ Oa</v>
          </cell>
          <cell r="Q1568" t="str">
            <v>Thiên Tính Thích Phóng</v>
          </cell>
        </row>
        <row r="1569">
          <cell r="P1569" t="str">
            <v>Nữ Oa</v>
          </cell>
          <cell r="Q1569" t="str">
            <v>Thiên Tính Thích Phóng</v>
          </cell>
        </row>
        <row r="1570">
          <cell r="P1570" t="str">
            <v>Nữ Oa</v>
          </cell>
          <cell r="Q1570" t="str">
            <v>Thiên Tính Thích Phóng</v>
          </cell>
        </row>
        <row r="1571">
          <cell r="P1571" t="str">
            <v>Nữ Oa</v>
          </cell>
          <cell r="Q1571" t="str">
            <v>Thiên Tính Thích Phóng</v>
          </cell>
        </row>
        <row r="1572">
          <cell r="P1572" t="str">
            <v>Nữ Oa</v>
          </cell>
          <cell r="Q1572" t="str">
            <v>Thiên Tính Thích Phóng</v>
          </cell>
        </row>
        <row r="1573">
          <cell r="P1573" t="str">
            <v>Côn</v>
          </cell>
          <cell r="Q1573" t="str">
            <v>Phổ Công</v>
          </cell>
        </row>
        <row r="1574">
          <cell r="P1574" t="str">
            <v>Côn</v>
          </cell>
          <cell r="Q1574" t="str">
            <v>Giao Chức Mộng Cảnh</v>
          </cell>
        </row>
        <row r="1575">
          <cell r="P1575" t="str">
            <v>Côn</v>
          </cell>
          <cell r="Q1575" t="str">
            <v>Giao Chức Mộng Cảnh</v>
          </cell>
        </row>
        <row r="1576">
          <cell r="P1576" t="str">
            <v>Côn</v>
          </cell>
          <cell r="Q1576" t="str">
            <v>Giao Chức Mộng Cảnh</v>
          </cell>
        </row>
        <row r="1577">
          <cell r="P1577" t="str">
            <v>Côn</v>
          </cell>
          <cell r="Q1577" t="str">
            <v>Vong Ưu</v>
          </cell>
        </row>
        <row r="1578">
          <cell r="P1578" t="str">
            <v>Côn</v>
          </cell>
          <cell r="Q1578" t="str">
            <v>Vong Ưu</v>
          </cell>
        </row>
        <row r="1579">
          <cell r="P1579" t="str">
            <v>Côn</v>
          </cell>
          <cell r="Q1579" t="str">
            <v>Vong Ưu</v>
          </cell>
        </row>
        <row r="1580">
          <cell r="P1580" t="str">
            <v>Côn</v>
          </cell>
          <cell r="Q1580" t="str">
            <v>Cực · Vong Ưu</v>
          </cell>
        </row>
        <row r="1581">
          <cell r="P1581" t="str">
            <v>Côn</v>
          </cell>
          <cell r="Q1581" t="str">
            <v>Cực · Vong Ưu</v>
          </cell>
        </row>
        <row r="1582">
          <cell r="P1582" t="str">
            <v>Côn</v>
          </cell>
          <cell r="Q1582" t="str">
            <v>Cực · Vong Ưu</v>
          </cell>
        </row>
        <row r="1583">
          <cell r="P1583" t="str">
            <v>Côn</v>
          </cell>
          <cell r="Q1583" t="str">
            <v>Khởi Tử Hồi Sinh</v>
          </cell>
        </row>
        <row r="1584">
          <cell r="P1584" t="str">
            <v>Côn</v>
          </cell>
          <cell r="Q1584" t="str">
            <v>Khởi Tử Hồi Sinh</v>
          </cell>
        </row>
        <row r="1585">
          <cell r="P1585" t="str">
            <v>Côn</v>
          </cell>
          <cell r="Q1585" t="str">
            <v>Khởi Tử Hồi Sinh</v>
          </cell>
        </row>
        <row r="1586">
          <cell r="P1586" t="str">
            <v>Côn</v>
          </cell>
          <cell r="Q1586" t="str">
            <v>Khởi Tử Hồi Sinh</v>
          </cell>
        </row>
        <row r="1587">
          <cell r="P1587" t="str">
            <v>Côn</v>
          </cell>
          <cell r="Q1587" t="str">
            <v>Khởi Tử Hồi Sinh</v>
          </cell>
        </row>
        <row r="1588">
          <cell r="P1588" t="str">
            <v>Côn</v>
          </cell>
          <cell r="Q1588" t="str">
            <v>Khởi Tử Hồi Sinh</v>
          </cell>
        </row>
        <row r="1589">
          <cell r="P1589" t="str">
            <v>Côn</v>
          </cell>
          <cell r="Q1589" t="str">
            <v>Nhân Tâm</v>
          </cell>
        </row>
        <row r="1590">
          <cell r="P1590" t="str">
            <v>Côn</v>
          </cell>
          <cell r="Q1590" t="str">
            <v>Nhân Tâm</v>
          </cell>
        </row>
        <row r="1591">
          <cell r="P1591" t="str">
            <v>Côn</v>
          </cell>
          <cell r="Q1591" t="str">
            <v>Nhân Tâm</v>
          </cell>
        </row>
        <row r="1592">
          <cell r="P1592" t="str">
            <v>Côn</v>
          </cell>
          <cell r="Q1592" t="str">
            <v>Phổ Công</v>
          </cell>
        </row>
        <row r="1593">
          <cell r="P1593" t="str">
            <v>Côn</v>
          </cell>
          <cell r="Q1593" t="str">
            <v>Phổ Công</v>
          </cell>
        </row>
        <row r="1594">
          <cell r="P1594" t="str">
            <v>Côn</v>
          </cell>
          <cell r="Q1594" t="str">
            <v>Phổ Công</v>
          </cell>
        </row>
        <row r="1595">
          <cell r="P1595" t="str">
            <v>Côn</v>
          </cell>
          <cell r="Q1595" t="str">
            <v>Phổ Công</v>
          </cell>
        </row>
        <row r="1596">
          <cell r="P1596" t="str">
            <v>Côn</v>
          </cell>
          <cell r="Q1596" t="str">
            <v>Phổ Công</v>
          </cell>
        </row>
        <row r="1597">
          <cell r="P1597" t="str">
            <v>Côn</v>
          </cell>
          <cell r="Q1597" t="str">
            <v>Phổ Công</v>
          </cell>
        </row>
        <row r="1598">
          <cell r="P1598" t="str">
            <v>Côn</v>
          </cell>
          <cell r="Q1598" t="str">
            <v>Lưỡng Nghi Mộng Cảnh</v>
          </cell>
        </row>
        <row r="1599">
          <cell r="P1599" t="str">
            <v>Côn</v>
          </cell>
          <cell r="Q1599" t="str">
            <v>Lưỡng Nghi Mộng Cảnh</v>
          </cell>
        </row>
        <row r="1600">
          <cell r="P1600" t="str">
            <v>Côn</v>
          </cell>
          <cell r="Q1600" t="str">
            <v>Lưỡng Nghi Mộng Cảnh</v>
          </cell>
        </row>
        <row r="1601">
          <cell r="P1601" t="str">
            <v>Côn</v>
          </cell>
          <cell r="Q1601" t="str">
            <v>Dự Tri Mộng Cảnh</v>
          </cell>
        </row>
        <row r="1602">
          <cell r="P1602" t="str">
            <v>Côn</v>
          </cell>
          <cell r="Q1602" t="str">
            <v>Dự Tri Mộng Cảnh</v>
          </cell>
        </row>
        <row r="1603">
          <cell r="P1603" t="str">
            <v>Côn</v>
          </cell>
          <cell r="Q1603" t="str">
            <v>Dự Tri Mộng Cảnh</v>
          </cell>
        </row>
        <row r="1604">
          <cell r="P1604" t="str">
            <v>Côn</v>
          </cell>
          <cell r="Q1604" t="str">
            <v>Bắc Minh Thần Công</v>
          </cell>
        </row>
        <row r="1605">
          <cell r="P1605" t="str">
            <v>Côn</v>
          </cell>
          <cell r="Q1605" t="str">
            <v>Bắc Minh Thần Công</v>
          </cell>
        </row>
        <row r="1606">
          <cell r="P1606" t="str">
            <v>Côn</v>
          </cell>
          <cell r="Q1606" t="str">
            <v>Bắc Minh Thần Công</v>
          </cell>
        </row>
        <row r="1607">
          <cell r="P1607" t="str">
            <v>Côn</v>
          </cell>
          <cell r="Q1607" t="str">
            <v>Bắc Minh Thần Công</v>
          </cell>
        </row>
        <row r="1608">
          <cell r="P1608" t="str">
            <v>Côn</v>
          </cell>
          <cell r="Q1608" t="str">
            <v>Bắc Minh Thần Công</v>
          </cell>
        </row>
        <row r="1609">
          <cell r="P1609" t="str">
            <v>Côn</v>
          </cell>
          <cell r="Q1609" t="str">
            <v>Bắc Minh Thần Công</v>
          </cell>
        </row>
        <row r="1610">
          <cell r="P1610" t="str">
            <v>Côn</v>
          </cell>
          <cell r="Q1610" t="str">
            <v>Bắc Minh Thần Công</v>
          </cell>
        </row>
        <row r="1611">
          <cell r="P1611" t="str">
            <v>Côn</v>
          </cell>
          <cell r="Q1611" t="str">
            <v>Bắc Minh Thần Công</v>
          </cell>
        </row>
        <row r="1612">
          <cell r="P1612" t="str">
            <v>Côn</v>
          </cell>
          <cell r="Q1612" t="str">
            <v>Bắc Minh Thần Công</v>
          </cell>
        </row>
        <row r="1613">
          <cell r="P1613" t="str">
            <v>Côn</v>
          </cell>
          <cell r="Q1613" t="str">
            <v>Bắc Minh Thần Công</v>
          </cell>
        </row>
        <row r="1614">
          <cell r="P1614" t="str">
            <v>Ngọc Đế</v>
          </cell>
          <cell r="Q1614" t="str">
            <v>Phổ Công</v>
          </cell>
        </row>
        <row r="1615">
          <cell r="P1615" t="str">
            <v>Ngọc Đế</v>
          </cell>
          <cell r="Q1615" t="str">
            <v>Thiên Hàng Thần Phạt</v>
          </cell>
        </row>
        <row r="1616">
          <cell r="P1616" t="str">
            <v>Ngọc Đế</v>
          </cell>
          <cell r="Q1616" t="str">
            <v>Thiên Hàng Thần Phạt</v>
          </cell>
        </row>
        <row r="1617">
          <cell r="P1617" t="str">
            <v>Ngọc Đế</v>
          </cell>
          <cell r="Q1617" t="str">
            <v>Thiên Hàng Thần Phạt</v>
          </cell>
        </row>
        <row r="1618">
          <cell r="P1618" t="str">
            <v>Ngọc Đế</v>
          </cell>
          <cell r="Q1618" t="str">
            <v>Thiên Hàng Thần Phạt</v>
          </cell>
        </row>
        <row r="1619">
          <cell r="P1619" t="str">
            <v>Ngọc Đế</v>
          </cell>
          <cell r="Q1619" t="str">
            <v>Thiên Hàng Thần Phạt</v>
          </cell>
        </row>
        <row r="1620">
          <cell r="P1620" t="str">
            <v>Ngọc Đế</v>
          </cell>
          <cell r="Q1620" t="str">
            <v>Thiên Hàng Thần Phạt</v>
          </cell>
        </row>
        <row r="1621">
          <cell r="P1621" t="str">
            <v>Ngọc Đế</v>
          </cell>
          <cell r="Q1621" t="str">
            <v>Thiên Hàng Thần Phạt</v>
          </cell>
        </row>
        <row r="1622">
          <cell r="P1622" t="str">
            <v>Ngọc Đế</v>
          </cell>
          <cell r="Q1622" t="str">
            <v>Thiên Hàng Thần Phạt</v>
          </cell>
        </row>
        <row r="1623">
          <cell r="P1623" t="str">
            <v>Ngọc Đế</v>
          </cell>
          <cell r="Q1623" t="str">
            <v>Thiên Hàng Thần Phạt</v>
          </cell>
        </row>
        <row r="1624">
          <cell r="P1624" t="str">
            <v>Ngọc Đế</v>
          </cell>
          <cell r="Q1624" t="str">
            <v>Thiên Hàng Thần Phạt</v>
          </cell>
        </row>
        <row r="1625">
          <cell r="P1625" t="str">
            <v>Ngọc Đế</v>
          </cell>
          <cell r="Q1625" t="str">
            <v>Thiên Hàng Thần Phạt</v>
          </cell>
        </row>
        <row r="1626">
          <cell r="P1626" t="str">
            <v>Ngọc Đế</v>
          </cell>
          <cell r="Q1626" t="str">
            <v>Thiên Hàng Thần Phạt</v>
          </cell>
        </row>
        <row r="1627">
          <cell r="P1627" t="str">
            <v>Ngọc Đế</v>
          </cell>
          <cell r="Q1627" t="str">
            <v>Thiên Hàng Thần Phạt</v>
          </cell>
        </row>
        <row r="1628">
          <cell r="P1628" t="str">
            <v>Ngọc Đế</v>
          </cell>
          <cell r="Q1628" t="str">
            <v>Thiên Hàng Thần Phạt</v>
          </cell>
        </row>
        <row r="1629">
          <cell r="P1629" t="str">
            <v>Ngọc Đế</v>
          </cell>
          <cell r="Q1629" t="str">
            <v>Thiên Hàng Thần Phạt</v>
          </cell>
        </row>
        <row r="1630">
          <cell r="P1630" t="str">
            <v>Ngọc Đế</v>
          </cell>
          <cell r="Q1630" t="str">
            <v>Thiên Hàng Thần Phạt</v>
          </cell>
        </row>
        <row r="1631">
          <cell r="P1631" t="str">
            <v>Ngọc Đế</v>
          </cell>
          <cell r="Q1631" t="str">
            <v>Thiên Hàng Thần Phạt</v>
          </cell>
        </row>
        <row r="1632">
          <cell r="P1632" t="str">
            <v>Ngọc Đế</v>
          </cell>
          <cell r="Q1632" t="str">
            <v>Thiên Hàng Thần Phạt</v>
          </cell>
        </row>
        <row r="1633">
          <cell r="P1633" t="str">
            <v>Ngọc Đế</v>
          </cell>
          <cell r="Q1633" t="str">
            <v>Kiếm Khí Hộ Thể</v>
          </cell>
        </row>
        <row r="1634">
          <cell r="P1634" t="str">
            <v>Ngọc Đế</v>
          </cell>
          <cell r="Q1634" t="str">
            <v>Kiếm Khí Hộ Thể</v>
          </cell>
        </row>
        <row r="1635">
          <cell r="P1635" t="str">
            <v>Ngọc Đế</v>
          </cell>
          <cell r="Q1635" t="str">
            <v>Kiếm Khí Hộ Thể</v>
          </cell>
        </row>
        <row r="1636">
          <cell r="P1636" t="str">
            <v>Ngọc Đế</v>
          </cell>
          <cell r="Q1636" t="str">
            <v>Cực · Kiếm Khí Hộ Thể</v>
          </cell>
        </row>
        <row r="1637">
          <cell r="P1637" t="str">
            <v>Ngọc Đế</v>
          </cell>
          <cell r="Q1637" t="str">
            <v>Cực · Kiếm Khí Hộ Thể</v>
          </cell>
        </row>
        <row r="1638">
          <cell r="P1638" t="str">
            <v>Ngọc Đế</v>
          </cell>
          <cell r="Q1638" t="str">
            <v>Cực · Kiếm Khí Hộ Thể</v>
          </cell>
        </row>
        <row r="1639">
          <cell r="P1639" t="str">
            <v>Ngọc Đế</v>
          </cell>
          <cell r="Q1639" t="str">
            <v>Phá Ma Trảm</v>
          </cell>
        </row>
        <row r="1640">
          <cell r="P1640" t="str">
            <v>Ngọc Đế</v>
          </cell>
          <cell r="Q1640" t="str">
            <v>Phá Ma Trảm</v>
          </cell>
        </row>
        <row r="1641">
          <cell r="P1641" t="str">
            <v>Ngọc Đế</v>
          </cell>
          <cell r="Q1641" t="str">
            <v>Phá Ma Trảm</v>
          </cell>
        </row>
        <row r="1642">
          <cell r="P1642" t="str">
            <v>Ngọc Đế</v>
          </cell>
          <cell r="Q1642" t="str">
            <v>Phá Ma Trảm</v>
          </cell>
        </row>
        <row r="1643">
          <cell r="P1643" t="str">
            <v>Ngọc Đế</v>
          </cell>
          <cell r="Q1643" t="str">
            <v>Phá Ma Trảm</v>
          </cell>
        </row>
        <row r="1644">
          <cell r="P1644" t="str">
            <v>Ngọc Đế</v>
          </cell>
          <cell r="Q1644" t="str">
            <v>Phá Ma Trảm</v>
          </cell>
        </row>
        <row r="1645">
          <cell r="P1645" t="str">
            <v>Ngọc Đế</v>
          </cell>
          <cell r="Q1645" t="str">
            <v>Phá Ma Trảm</v>
          </cell>
        </row>
        <row r="1646">
          <cell r="P1646" t="str">
            <v>Ngọc Đế</v>
          </cell>
          <cell r="Q1646" t="str">
            <v>Phá Ma Trảm</v>
          </cell>
        </row>
        <row r="1647">
          <cell r="P1647" t="str">
            <v>Ngọc Đế</v>
          </cell>
          <cell r="Q1647" t="str">
            <v>Phá Ma Trảm</v>
          </cell>
        </row>
        <row r="1648">
          <cell r="P1648" t="str">
            <v>Ngọc Đế</v>
          </cell>
          <cell r="Q1648" t="str">
            <v>Phá Ma Trảm</v>
          </cell>
        </row>
        <row r="1649">
          <cell r="P1649" t="str">
            <v>Ngọc Đế</v>
          </cell>
          <cell r="Q1649" t="str">
            <v>Phá Ma Trảm</v>
          </cell>
        </row>
        <row r="1650">
          <cell r="P1650" t="str">
            <v>Ngọc Đế</v>
          </cell>
          <cell r="Q1650" t="str">
            <v>Phá Ma Trảm</v>
          </cell>
        </row>
        <row r="1651">
          <cell r="P1651" t="str">
            <v>Ngọc Đế</v>
          </cell>
          <cell r="Q1651" t="str">
            <v>Hạo Thiên Uy Áp</v>
          </cell>
        </row>
        <row r="1652">
          <cell r="P1652" t="str">
            <v>Ngọc Đế</v>
          </cell>
          <cell r="Q1652" t="str">
            <v>Hạo Thiên Uy Áp</v>
          </cell>
        </row>
        <row r="1653">
          <cell r="P1653" t="str">
            <v>Ngọc Đế</v>
          </cell>
          <cell r="Q1653" t="str">
            <v>Hạo Thiên Uy Áp</v>
          </cell>
        </row>
        <row r="1654">
          <cell r="P1654" t="str">
            <v>Ngọc Đế</v>
          </cell>
          <cell r="Q1654" t="str">
            <v>Ly Long Ngự Thủ</v>
          </cell>
        </row>
        <row r="1655">
          <cell r="P1655" t="str">
            <v>Ngọc Đế</v>
          </cell>
          <cell r="Q1655" t="str">
            <v>Ly Long Ngự Thủ</v>
          </cell>
        </row>
        <row r="1656">
          <cell r="P1656" t="str">
            <v>Ngọc Đế</v>
          </cell>
          <cell r="Q1656" t="str">
            <v>Ly Long Ngự Thủ</v>
          </cell>
        </row>
        <row r="1657">
          <cell r="P1657" t="str">
            <v>Ngọc Đế</v>
          </cell>
          <cell r="Q1657" t="str">
            <v>Thiên Hàng Thần Phạt</v>
          </cell>
        </row>
        <row r="1658">
          <cell r="P1658" t="str">
            <v>Ngọc Đế</v>
          </cell>
          <cell r="Q1658" t="str">
            <v>Thiên Hàng Thần Phạt</v>
          </cell>
        </row>
        <row r="1659">
          <cell r="P1659" t="str">
            <v>Ngọc Đế</v>
          </cell>
          <cell r="Q1659" t="str">
            <v>Thiên Hàng Thần Phạt</v>
          </cell>
        </row>
        <row r="1660">
          <cell r="P1660" t="str">
            <v>Ngọc Đế</v>
          </cell>
          <cell r="Q1660" t="str">
            <v>Thiên Hàng Thần Phạt</v>
          </cell>
        </row>
        <row r="1661">
          <cell r="P1661" t="str">
            <v>Ngọc Đế</v>
          </cell>
          <cell r="Q1661" t="str">
            <v>Thiên Hàng Thần Phạt</v>
          </cell>
        </row>
        <row r="1662">
          <cell r="P1662" t="str">
            <v>Ngọc Đế</v>
          </cell>
          <cell r="Q1662" t="str">
            <v>Thiên Hàng Thần Phạt</v>
          </cell>
        </row>
        <row r="1663">
          <cell r="P1663" t="str">
            <v>Ngọc Đế</v>
          </cell>
          <cell r="Q1663" t="str">
            <v>Thiên Hàng Thần Phạt</v>
          </cell>
        </row>
        <row r="1664">
          <cell r="P1664" t="str">
            <v>Ngọc Đế</v>
          </cell>
          <cell r="Q1664" t="str">
            <v>Thiên Hàng Thần Phạt</v>
          </cell>
        </row>
        <row r="1665">
          <cell r="P1665" t="str">
            <v>Ngọc Đế</v>
          </cell>
          <cell r="Q1665" t="str">
            <v>Thiên Hàng Thần Phạt</v>
          </cell>
        </row>
        <row r="1666">
          <cell r="P1666" t="str">
            <v>Ngọc Đế</v>
          </cell>
          <cell r="Q1666" t="str">
            <v>Thiên Hàng Thần Phạt</v>
          </cell>
        </row>
        <row r="1667">
          <cell r="P1667" t="str">
            <v>Ngọc Đế</v>
          </cell>
          <cell r="Q1667" t="str">
            <v>Thiên Hàng Thần Phạt</v>
          </cell>
        </row>
        <row r="1668">
          <cell r="P1668" t="str">
            <v>Ngọc Đế</v>
          </cell>
          <cell r="Q1668" t="str">
            <v>Thiên Hàng Thần Phạt</v>
          </cell>
        </row>
        <row r="1669">
          <cell r="P1669" t="str">
            <v>Ngọc Đế</v>
          </cell>
          <cell r="Q1669" t="str">
            <v>Thiên Hàng Thần Phạt</v>
          </cell>
        </row>
        <row r="1670">
          <cell r="P1670" t="str">
            <v>Ngọc Đế</v>
          </cell>
          <cell r="Q1670" t="str">
            <v>Thiên Hàng Thần Phạt</v>
          </cell>
        </row>
        <row r="1671">
          <cell r="P1671" t="str">
            <v>Ngọc Đế</v>
          </cell>
          <cell r="Q1671" t="str">
            <v>Thiên Hàng Thần Phạt</v>
          </cell>
        </row>
        <row r="1672">
          <cell r="P1672" t="str">
            <v>Ngọc Đế</v>
          </cell>
          <cell r="Q1672" t="str">
            <v>Thiên Hàng Thần Phạt</v>
          </cell>
        </row>
        <row r="1673">
          <cell r="P1673" t="str">
            <v>Ngọc Đế</v>
          </cell>
          <cell r="Q1673" t="str">
            <v>Thiên Hàng Thần Phạt</v>
          </cell>
        </row>
        <row r="1674">
          <cell r="P1674" t="str">
            <v>Ngọc Đế</v>
          </cell>
          <cell r="Q1674" t="str">
            <v>Thiên Hàng Thần Phạt</v>
          </cell>
        </row>
        <row r="1675">
          <cell r="P1675" t="str">
            <v>Ngọc Đế</v>
          </cell>
          <cell r="Q1675" t="str">
            <v>Chúng Thần Chi Vương</v>
          </cell>
        </row>
        <row r="1676">
          <cell r="P1676" t="str">
            <v>Ngọc Đế</v>
          </cell>
          <cell r="Q1676" t="str">
            <v>Chúng Thần Chi Vương</v>
          </cell>
        </row>
        <row r="1677">
          <cell r="P1677" t="str">
            <v>Ngọc Đế</v>
          </cell>
          <cell r="Q1677" t="str">
            <v>Chúng Thần Chi Vương</v>
          </cell>
        </row>
        <row r="1678">
          <cell r="P1678" t="str">
            <v>Ngọc Đế</v>
          </cell>
          <cell r="Q1678" t="str">
            <v>Phá Ma Trảm</v>
          </cell>
        </row>
        <row r="1679">
          <cell r="P1679" t="str">
            <v>Ngọc Đế</v>
          </cell>
          <cell r="Q1679" t="str">
            <v>Phá Ma Trảm</v>
          </cell>
        </row>
        <row r="1680">
          <cell r="P1680" t="str">
            <v>Ngọc Đế</v>
          </cell>
          <cell r="Q1680" t="str">
            <v>Phá Ma Trảm</v>
          </cell>
        </row>
        <row r="1681">
          <cell r="P1681" t="str">
            <v>Ngọc Đế</v>
          </cell>
          <cell r="Q1681" t="str">
            <v>Phá Ma Trảm</v>
          </cell>
        </row>
        <row r="1682">
          <cell r="P1682" t="str">
            <v>Ngọc Đế</v>
          </cell>
          <cell r="Q1682" t="str">
            <v>Phá Ma Trảm</v>
          </cell>
        </row>
        <row r="1683">
          <cell r="P1683" t="str">
            <v>Ngọc Đế</v>
          </cell>
          <cell r="Q1683" t="str">
            <v>Phá Ma Trảm</v>
          </cell>
        </row>
        <row r="1684">
          <cell r="P1684" t="str">
            <v>Ngọc Đế</v>
          </cell>
          <cell r="Q1684" t="str">
            <v>Phá Ma Trảm</v>
          </cell>
        </row>
        <row r="1685">
          <cell r="P1685" t="str">
            <v>Ngọc Đế</v>
          </cell>
          <cell r="Q1685" t="str">
            <v>Phá Ma Trảm</v>
          </cell>
        </row>
        <row r="1686">
          <cell r="P1686" t="str">
            <v>Ngọc Đế</v>
          </cell>
          <cell r="Q1686" t="str">
            <v>Phá Ma Trảm</v>
          </cell>
        </row>
        <row r="1687">
          <cell r="P1687" t="str">
            <v>Ngọc Đế</v>
          </cell>
          <cell r="Q1687" t="str">
            <v>Thụ Mệnh Vu Thiên</v>
          </cell>
        </row>
        <row r="1688">
          <cell r="P1688" t="str">
            <v>Ngọc Đế</v>
          </cell>
          <cell r="Q1688" t="str">
            <v>Thụ Mệnh Vu Thiên</v>
          </cell>
        </row>
        <row r="1689">
          <cell r="P1689" t="str">
            <v>Ngọc Đế</v>
          </cell>
          <cell r="Q1689" t="str">
            <v>Thụ Mệnh Vu Thiên</v>
          </cell>
        </row>
        <row r="1690">
          <cell r="P1690" t="str">
            <v>Ngọc Đế</v>
          </cell>
          <cell r="Q1690" t="str">
            <v>Thụ Mệnh Vu Thiên</v>
          </cell>
        </row>
        <row r="1691">
          <cell r="P1691" t="str">
            <v>Ngọc Đế</v>
          </cell>
          <cell r="Q1691" t="str">
            <v>Thụ Mệnh Vu Thiên</v>
          </cell>
        </row>
        <row r="1692">
          <cell r="P1692" t="str">
            <v>Ngọc Đế</v>
          </cell>
          <cell r="Q1692" t="str">
            <v>Thụ Mệnh Vu Thiên</v>
          </cell>
        </row>
        <row r="1693">
          <cell r="P1693" t="str">
            <v>Ngọc Đế</v>
          </cell>
          <cell r="Q1693" t="str">
            <v>Thụ Mệnh Vu Thiên</v>
          </cell>
        </row>
        <row r="1694">
          <cell r="P1694" t="str">
            <v>Ngọc Đế</v>
          </cell>
          <cell r="Q1694" t="str">
            <v>Thụ Mệnh Vu Thiên</v>
          </cell>
        </row>
        <row r="1695">
          <cell r="P1695" t="str">
            <v>Ngọc Đế</v>
          </cell>
          <cell r="Q1695" t="str">
            <v>Thụ Mệnh Vu Thiên</v>
          </cell>
        </row>
        <row r="1696">
          <cell r="P1696" t="str">
            <v>Ngọc Đế</v>
          </cell>
          <cell r="Q1696" t="str">
            <v>Thụ Mệnh Vu Thiên</v>
          </cell>
        </row>
        <row r="1697">
          <cell r="P1697" t="str">
            <v>Lôi Trạch</v>
          </cell>
          <cell r="Q1697" t="str">
            <v>Lôi Trạch Chi Thần</v>
          </cell>
        </row>
        <row r="1698">
          <cell r="P1698" t="str">
            <v>Lôi Trạch</v>
          </cell>
          <cell r="Q1698" t="str">
            <v>Lôi Trạch Chi Thần</v>
          </cell>
        </row>
        <row r="1699">
          <cell r="P1699" t="str">
            <v>Lôi Trạch</v>
          </cell>
          <cell r="Q1699" t="str">
            <v>Lôi Trạch Chi Thần</v>
          </cell>
        </row>
        <row r="1700">
          <cell r="P1700" t="str">
            <v>Lôi Trạch</v>
          </cell>
          <cell r="Q1700" t="str">
            <v>Lôi Trạch Chi Thần</v>
          </cell>
        </row>
        <row r="1701">
          <cell r="P1701" t="str">
            <v>Lôi Trạch</v>
          </cell>
          <cell r="Q1701" t="str">
            <v>Lôi Trạch Chi Thần</v>
          </cell>
        </row>
        <row r="1702">
          <cell r="P1702" t="str">
            <v>Lôi Trạch</v>
          </cell>
          <cell r="Q1702" t="str">
            <v>Lôi Trạch Chi Thần</v>
          </cell>
        </row>
        <row r="1703">
          <cell r="P1703" t="str">
            <v>Lôi Trạch</v>
          </cell>
          <cell r="Q1703" t="str">
            <v>Lôi Trạch Chi Thần</v>
          </cell>
        </row>
        <row r="1704">
          <cell r="P1704" t="str">
            <v>Lôi Trạch</v>
          </cell>
          <cell r="Q1704" t="str">
            <v>Lôi Trạch Chi Thần</v>
          </cell>
        </row>
        <row r="1705">
          <cell r="P1705" t="str">
            <v>Lôi Trạch</v>
          </cell>
          <cell r="Q1705" t="str">
            <v>Lôi Trạch Chi Thần</v>
          </cell>
        </row>
        <row r="1706">
          <cell r="P1706" t="str">
            <v>Lôi Trạch</v>
          </cell>
          <cell r="Q1706" t="str">
            <v>Lôi Trạch Chi Thần</v>
          </cell>
        </row>
        <row r="1707">
          <cell r="P1707" t="str">
            <v>Lôi Trạch</v>
          </cell>
          <cell r="Q1707" t="str">
            <v>Lôi Trạch Chi Thần</v>
          </cell>
        </row>
        <row r="1708">
          <cell r="P1708" t="str">
            <v>Lôi Trạch</v>
          </cell>
          <cell r="Q1708" t="str">
            <v>Lôi Trạch Chi Thần</v>
          </cell>
        </row>
        <row r="1709">
          <cell r="P1709" t="str">
            <v>Lôi Trạch</v>
          </cell>
          <cell r="Q1709" t="str">
            <v>Lôi Trạch Chi Thần</v>
          </cell>
        </row>
        <row r="1710">
          <cell r="P1710" t="str">
            <v>Cộng Công</v>
          </cell>
          <cell r="Q1710" t="str">
            <v>Phổ Công</v>
          </cell>
        </row>
        <row r="1711">
          <cell r="P1711" t="str">
            <v>Cộng Công</v>
          </cell>
          <cell r="Q1711" t="str">
            <v>Long Giảo</v>
          </cell>
        </row>
        <row r="1712">
          <cell r="P1712" t="str">
            <v>Cộng Công</v>
          </cell>
          <cell r="Q1712" t="str">
            <v>Long Giảo</v>
          </cell>
        </row>
        <row r="1713">
          <cell r="P1713" t="str">
            <v>Cộng Công</v>
          </cell>
          <cell r="Q1713" t="str">
            <v>Long Giảo</v>
          </cell>
        </row>
        <row r="1714">
          <cell r="P1714" t="str">
            <v>Cộng Công</v>
          </cell>
          <cell r="Q1714" t="str">
            <v>Tịch Thủy Châu</v>
          </cell>
        </row>
        <row r="1715">
          <cell r="P1715" t="str">
            <v>Cộng Công</v>
          </cell>
          <cell r="Q1715" t="str">
            <v>Tịch Thủy Châu</v>
          </cell>
        </row>
        <row r="1716">
          <cell r="P1716" t="str">
            <v>Cộng Công</v>
          </cell>
          <cell r="Q1716" t="str">
            <v>Tịch Thủy Châu</v>
          </cell>
        </row>
        <row r="1717">
          <cell r="P1717" t="str">
            <v>Cộng Công</v>
          </cell>
          <cell r="Q1717" t="str">
            <v>Cực · Tịch Thủy Châu</v>
          </cell>
        </row>
        <row r="1718">
          <cell r="P1718" t="str">
            <v>Cộng Công</v>
          </cell>
          <cell r="Q1718" t="str">
            <v>Cực · Tịch Thủy Châu</v>
          </cell>
        </row>
        <row r="1719">
          <cell r="P1719" t="str">
            <v>Cộng Công</v>
          </cell>
          <cell r="Q1719" t="str">
            <v>Cực · Tịch Thủy Châu</v>
          </cell>
        </row>
        <row r="1720">
          <cell r="P1720" t="str">
            <v>Cộng Công</v>
          </cell>
          <cell r="Q1720" t="str">
            <v>Thương Long Xuất Hải</v>
          </cell>
        </row>
        <row r="1721">
          <cell r="P1721" t="str">
            <v>Cộng Công</v>
          </cell>
          <cell r="Q1721" t="str">
            <v>Thương Long Xuất Hải</v>
          </cell>
        </row>
        <row r="1722">
          <cell r="P1722" t="str">
            <v>Cộng Công</v>
          </cell>
          <cell r="Q1722" t="str">
            <v>Thương Long Xuất Hải</v>
          </cell>
        </row>
        <row r="1723">
          <cell r="P1723" t="str">
            <v>Cộng Công</v>
          </cell>
          <cell r="Q1723" t="str">
            <v>Vạn Long Ngâm</v>
          </cell>
        </row>
        <row r="1724">
          <cell r="P1724" t="str">
            <v>Cộng Công</v>
          </cell>
          <cell r="Q1724" t="str">
            <v>Vạn Long Ngâm</v>
          </cell>
        </row>
        <row r="1725">
          <cell r="P1725" t="str">
            <v>Cộng Công</v>
          </cell>
          <cell r="Q1725" t="str">
            <v>Vạn Long Ngâm</v>
          </cell>
        </row>
        <row r="1726">
          <cell r="P1726" t="str">
            <v>Cộng Công</v>
          </cell>
          <cell r="Q1726" t="str">
            <v>Toan Vũ</v>
          </cell>
        </row>
        <row r="1727">
          <cell r="P1727" t="str">
            <v>Cộng Công</v>
          </cell>
          <cell r="Q1727" t="str">
            <v>Toan Vũ</v>
          </cell>
        </row>
        <row r="1728">
          <cell r="P1728" t="str">
            <v>Cộng Công</v>
          </cell>
          <cell r="Q1728" t="str">
            <v>Toan Vũ</v>
          </cell>
        </row>
        <row r="1729">
          <cell r="P1729" t="str">
            <v>Cộng Công</v>
          </cell>
          <cell r="Q1729" t="str">
            <v>Long Tiên Tàn Tí</v>
          </cell>
        </row>
        <row r="1730">
          <cell r="P1730" t="str">
            <v>Cộng Công</v>
          </cell>
          <cell r="Q1730" t="str">
            <v>Long Tiên Tàn Tí</v>
          </cell>
        </row>
        <row r="1731">
          <cell r="P1731" t="str">
            <v>Cộng Công</v>
          </cell>
          <cell r="Q1731" t="str">
            <v>Long Tiên Tàn Tí</v>
          </cell>
        </row>
        <row r="1732">
          <cell r="P1732" t="str">
            <v>Cộng Công</v>
          </cell>
          <cell r="Q1732" t="str">
            <v>Long Tiên Tàn Tí</v>
          </cell>
        </row>
        <row r="1733">
          <cell r="P1733" t="str">
            <v>Cộng Công</v>
          </cell>
          <cell r="Q1733" t="str">
            <v>Long Tiên Tàn Tí</v>
          </cell>
        </row>
        <row r="1734">
          <cell r="P1734" t="str">
            <v>Cộng Công</v>
          </cell>
          <cell r="Q1734" t="str">
            <v>Long Tiên Tàn Tí</v>
          </cell>
        </row>
        <row r="1735">
          <cell r="P1735" t="str">
            <v>Cộng Công</v>
          </cell>
          <cell r="Q1735" t="str">
            <v>Long Tiên Tàn Tí</v>
          </cell>
        </row>
        <row r="1736">
          <cell r="P1736" t="str">
            <v>Cộng Công</v>
          </cell>
          <cell r="Q1736" t="str">
            <v>Long Tiên Tàn Tí</v>
          </cell>
        </row>
        <row r="1737">
          <cell r="P1737" t="str">
            <v>Cộng Công</v>
          </cell>
          <cell r="Q1737" t="str">
            <v>Vạn Long Ngâm</v>
          </cell>
        </row>
        <row r="1738">
          <cell r="P1738" t="str">
            <v>Cộng Công</v>
          </cell>
          <cell r="Q1738" t="str">
            <v>Vạn Long Ngâm</v>
          </cell>
        </row>
        <row r="1739">
          <cell r="P1739" t="str">
            <v>Cộng Công</v>
          </cell>
          <cell r="Q1739" t="str">
            <v>Vạn Long Ngâm</v>
          </cell>
        </row>
        <row r="1740">
          <cell r="P1740" t="str">
            <v>Cộng Công</v>
          </cell>
          <cell r="Q1740" t="str">
            <v>Thương Long Xuất Hải</v>
          </cell>
        </row>
        <row r="1741">
          <cell r="P1741" t="str">
            <v>Chúc Dung</v>
          </cell>
          <cell r="Q1741" t="str">
            <v>Phổ Công</v>
          </cell>
        </row>
        <row r="1742">
          <cell r="P1742" t="str">
            <v>Chúc Dung</v>
          </cell>
          <cell r="Q1742" t="str">
            <v>Hỏa Chi Luyện Ngục</v>
          </cell>
        </row>
        <row r="1743">
          <cell r="P1743" t="str">
            <v>Chúc Dung</v>
          </cell>
          <cell r="Q1743" t="str">
            <v>Hỏa Chi Luyện Ngục</v>
          </cell>
        </row>
        <row r="1744">
          <cell r="P1744" t="str">
            <v>Chúc Dung</v>
          </cell>
          <cell r="Q1744" t="str">
            <v>Hỏa Chi Luyện Ngục</v>
          </cell>
        </row>
        <row r="1745">
          <cell r="P1745" t="str">
            <v>Chúc Dung</v>
          </cell>
          <cell r="Q1745" t="str">
            <v>Hỏa Diễm Chưởng Khống</v>
          </cell>
        </row>
        <row r="1746">
          <cell r="P1746" t="str">
            <v>Chúc Dung</v>
          </cell>
          <cell r="Q1746" t="str">
            <v>Hỏa Diễm Chưởng Khống</v>
          </cell>
        </row>
        <row r="1747">
          <cell r="P1747" t="str">
            <v>Chúc Dung</v>
          </cell>
          <cell r="Q1747" t="str">
            <v>Hỏa Diễm Chưởng Khống</v>
          </cell>
        </row>
        <row r="1748">
          <cell r="P1748" t="str">
            <v>Chúc Dung</v>
          </cell>
          <cell r="Q1748" t="str">
            <v>Cực · Hỏa Diễm Chưởng Khống</v>
          </cell>
        </row>
        <row r="1749">
          <cell r="P1749" t="str">
            <v>Chúc Dung</v>
          </cell>
          <cell r="Q1749" t="str">
            <v>Cực · Hỏa Diễm Chưởng Khống</v>
          </cell>
        </row>
        <row r="1750">
          <cell r="P1750" t="str">
            <v>Chúc Dung</v>
          </cell>
          <cell r="Q1750" t="str">
            <v>Cực · Hỏa Diễm Chưởng Khống</v>
          </cell>
        </row>
        <row r="1751">
          <cell r="P1751" t="str">
            <v>Chúc Dung</v>
          </cell>
          <cell r="Q1751" t="str">
            <v>Hỏa Diễm Phong Bạo</v>
          </cell>
        </row>
        <row r="1752">
          <cell r="P1752" t="str">
            <v>Chúc Dung</v>
          </cell>
          <cell r="Q1752" t="str">
            <v>Hỏa Diễm Phong Bạo</v>
          </cell>
        </row>
        <row r="1753">
          <cell r="P1753" t="str">
            <v>Chúc Dung</v>
          </cell>
          <cell r="Q1753" t="str">
            <v>Hỏa Diễm Phong Bạo</v>
          </cell>
        </row>
        <row r="1754">
          <cell r="P1754" t="str">
            <v>Chúc Dung</v>
          </cell>
          <cell r="Q1754" t="str">
            <v>Hỏa Diễm Phong Bạo</v>
          </cell>
        </row>
        <row r="1755">
          <cell r="P1755" t="str">
            <v>Chúc Dung</v>
          </cell>
          <cell r="Q1755" t="str">
            <v>Hỏa Diễm Phong Bạo</v>
          </cell>
        </row>
        <row r="1756">
          <cell r="P1756" t="str">
            <v>Chúc Dung</v>
          </cell>
          <cell r="Q1756" t="str">
            <v>Hỏa Diễm Gia Tỏa</v>
          </cell>
        </row>
        <row r="1757">
          <cell r="P1757" t="str">
            <v>Chúc Dung</v>
          </cell>
          <cell r="Q1757" t="str">
            <v>Hỏa Diễm Gia Tỏa</v>
          </cell>
        </row>
        <row r="1758">
          <cell r="P1758" t="str">
            <v>Chúc Dung</v>
          </cell>
          <cell r="Q1758" t="str">
            <v>Hỏa Diễm Gia Tỏa</v>
          </cell>
        </row>
        <row r="1759">
          <cell r="P1759" t="str">
            <v>Chúc Dung</v>
          </cell>
          <cell r="Q1759" t="str">
            <v>Sí Nhiệt Dung Nham</v>
          </cell>
        </row>
        <row r="1760">
          <cell r="P1760" t="str">
            <v>Chúc Dung</v>
          </cell>
          <cell r="Q1760" t="str">
            <v>Sí Nhiệt Dung Nham</v>
          </cell>
        </row>
        <row r="1761">
          <cell r="P1761" t="str">
            <v>Chúc Dung</v>
          </cell>
          <cell r="Q1761" t="str">
            <v>Sí Nhiệt Dung Nham</v>
          </cell>
        </row>
        <row r="1762">
          <cell r="P1762" t="str">
            <v>Chúc Dung</v>
          </cell>
          <cell r="Q1762" t="str">
            <v>Sí Nhiệt Dung Nham</v>
          </cell>
        </row>
        <row r="1763">
          <cell r="P1763" t="str">
            <v>Chúc Dung</v>
          </cell>
          <cell r="Q1763" t="str">
            <v>Sí Nhiệt Dung Nham</v>
          </cell>
        </row>
        <row r="1764">
          <cell r="P1764" t="str">
            <v>Chúc Dung</v>
          </cell>
          <cell r="Q1764" t="str">
            <v>Sí Nhiệt Dung Nham</v>
          </cell>
        </row>
        <row r="1765">
          <cell r="P1765" t="str">
            <v>Chúc Dung</v>
          </cell>
          <cell r="Q1765" t="str">
            <v>Sí Nhiệt Dung Nham</v>
          </cell>
        </row>
        <row r="1766">
          <cell r="P1766" t="str">
            <v>Chúc Dung</v>
          </cell>
          <cell r="Q1766" t="str">
            <v>Hỏa Chi Luyện Ngục</v>
          </cell>
        </row>
        <row r="1767">
          <cell r="P1767" t="str">
            <v>Chúc Dung</v>
          </cell>
          <cell r="Q1767" t="str">
            <v>Hỏa Chi Luyện Ngục</v>
          </cell>
        </row>
        <row r="1768">
          <cell r="P1768" t="str">
            <v>Chúc Dung</v>
          </cell>
          <cell r="Q1768" t="str">
            <v>Hỏa Chi Luyện Ngục</v>
          </cell>
        </row>
        <row r="1769">
          <cell r="P1769" t="str">
            <v>Chúc Dung</v>
          </cell>
          <cell r="Q1769" t="str">
            <v>Hỏa Thần</v>
          </cell>
        </row>
        <row r="1770">
          <cell r="P1770" t="str">
            <v>Chúc Dung</v>
          </cell>
          <cell r="Q1770" t="str">
            <v>Hỏa Thần</v>
          </cell>
        </row>
        <row r="1771">
          <cell r="P1771" t="str">
            <v>Chúc Dung</v>
          </cell>
          <cell r="Q1771" t="str">
            <v>Hỏa Thần</v>
          </cell>
        </row>
        <row r="1772">
          <cell r="P1772" t="str">
            <v>Cửu Thiên Huyền Nữ</v>
          </cell>
          <cell r="Q1772" t="str">
            <v>Phổ Công</v>
          </cell>
        </row>
        <row r="1773">
          <cell r="P1773" t="str">
            <v>Cửu Thiên Huyền Nữ</v>
          </cell>
          <cell r="Q1773" t="str">
            <v>Vũ Nhận</v>
          </cell>
        </row>
        <row r="1774">
          <cell r="P1774" t="str">
            <v>Cửu Thiên Huyền Nữ</v>
          </cell>
          <cell r="Q1774" t="str">
            <v>Vũ Nhận</v>
          </cell>
        </row>
        <row r="1775">
          <cell r="P1775" t="str">
            <v>Cửu Thiên Huyền Nữ</v>
          </cell>
          <cell r="Q1775" t="str">
            <v>Vũ Nhận</v>
          </cell>
        </row>
        <row r="1776">
          <cell r="P1776" t="str">
            <v>Cửu Thiên Huyền Nữ</v>
          </cell>
          <cell r="Q1776" t="str">
            <v>Vũ Nhận</v>
          </cell>
        </row>
        <row r="1777">
          <cell r="P1777" t="str">
            <v>Cửu Thiên Huyền Nữ</v>
          </cell>
          <cell r="Q1777" t="str">
            <v>Vũ Nhận</v>
          </cell>
        </row>
        <row r="1778">
          <cell r="P1778" t="str">
            <v>Cửu Thiên Huyền Nữ</v>
          </cell>
          <cell r="Q1778" t="str">
            <v>Vũ Nhận</v>
          </cell>
        </row>
        <row r="1779">
          <cell r="P1779" t="str">
            <v>Cửu Thiên Huyền Nữ</v>
          </cell>
          <cell r="Q1779" t="str">
            <v>Vũ Nhận</v>
          </cell>
        </row>
        <row r="1780">
          <cell r="P1780" t="str">
            <v>Cửu Thiên Huyền Nữ</v>
          </cell>
          <cell r="Q1780" t="str">
            <v>Vũ Nhận</v>
          </cell>
        </row>
        <row r="1781">
          <cell r="P1781" t="str">
            <v>Cửu Thiên Huyền Nữ</v>
          </cell>
          <cell r="Q1781" t="str">
            <v>Vũ Nhận</v>
          </cell>
        </row>
        <row r="1782">
          <cell r="P1782" t="str">
            <v>Cửu Thiên Huyền Nữ</v>
          </cell>
          <cell r="Q1782" t="str">
            <v>Vũ Hộ</v>
          </cell>
        </row>
        <row r="1783">
          <cell r="P1783" t="str">
            <v>Cửu Thiên Huyền Nữ</v>
          </cell>
          <cell r="Q1783" t="str">
            <v>Vũ Hộ</v>
          </cell>
        </row>
        <row r="1784">
          <cell r="P1784" t="str">
            <v>Cửu Thiên Huyền Nữ</v>
          </cell>
          <cell r="Q1784" t="str">
            <v>Vũ Hộ</v>
          </cell>
        </row>
        <row r="1785">
          <cell r="P1785" t="str">
            <v>Cửu Thiên Huyền Nữ</v>
          </cell>
          <cell r="Q1785" t="str">
            <v>Cực · Vũ Hộ</v>
          </cell>
        </row>
        <row r="1786">
          <cell r="P1786" t="str">
            <v>Cửu Thiên Huyền Nữ</v>
          </cell>
          <cell r="Q1786" t="str">
            <v>Cực · Vũ Hộ</v>
          </cell>
        </row>
        <row r="1787">
          <cell r="P1787" t="str">
            <v>Cửu Thiên Huyền Nữ</v>
          </cell>
          <cell r="Q1787" t="str">
            <v>Cực · Vũ Hộ</v>
          </cell>
        </row>
        <row r="1788">
          <cell r="P1788" t="str">
            <v>Cửu Thiên Huyền Nữ</v>
          </cell>
          <cell r="Q1788" t="str">
            <v>Mạn Thiên Phi Vũ</v>
          </cell>
        </row>
        <row r="1789">
          <cell r="P1789" t="str">
            <v>Cửu Thiên Huyền Nữ</v>
          </cell>
          <cell r="Q1789" t="str">
            <v>Mạn Thiên Phi Vũ</v>
          </cell>
        </row>
        <row r="1790">
          <cell r="P1790" t="str">
            <v>Cửu Thiên Huyền Nữ</v>
          </cell>
          <cell r="Q1790" t="str">
            <v>Mạn Thiên Phi Vũ</v>
          </cell>
        </row>
        <row r="1791">
          <cell r="P1791" t="str">
            <v>Cửu Thiên Huyền Nữ</v>
          </cell>
          <cell r="Q1791" t="str">
            <v>Thần Hữu</v>
          </cell>
        </row>
        <row r="1792">
          <cell r="P1792" t="str">
            <v>Cửu Thiên Huyền Nữ</v>
          </cell>
          <cell r="Q1792" t="str">
            <v>Thần Hữu</v>
          </cell>
        </row>
        <row r="1793">
          <cell r="P1793" t="str">
            <v>Cửu Thiên Huyền Nữ</v>
          </cell>
          <cell r="Q1793" t="str">
            <v>Thần Hữu</v>
          </cell>
        </row>
        <row r="1794">
          <cell r="P1794" t="str">
            <v>Cửu Thiên Huyền Nữ</v>
          </cell>
          <cell r="Q1794" t="str">
            <v>Thần Hữu</v>
          </cell>
        </row>
        <row r="1795">
          <cell r="P1795" t="str">
            <v>Cửu Thiên Huyền Nữ</v>
          </cell>
          <cell r="Q1795" t="str">
            <v>Thần Hữu</v>
          </cell>
        </row>
        <row r="1796">
          <cell r="P1796" t="str">
            <v>Cửu Thiên Huyền Nữ</v>
          </cell>
          <cell r="Q1796" t="str">
            <v>Thần Hữu</v>
          </cell>
        </row>
        <row r="1797">
          <cell r="P1797" t="str">
            <v>Cửu Thiên Huyền Nữ</v>
          </cell>
          <cell r="Q1797" t="str">
            <v>Thần Hữu</v>
          </cell>
        </row>
        <row r="1798">
          <cell r="P1798" t="str">
            <v>Cửu Thiên Huyền Nữ</v>
          </cell>
          <cell r="Q1798" t="str">
            <v>Thần Hữu</v>
          </cell>
        </row>
        <row r="1799">
          <cell r="P1799" t="str">
            <v>Cửu Thiên Huyền Nữ</v>
          </cell>
          <cell r="Q1799" t="str">
            <v>Thần Hữu</v>
          </cell>
        </row>
        <row r="1800">
          <cell r="P1800" t="str">
            <v>Cửu Thiên Huyền Nữ</v>
          </cell>
          <cell r="Q1800" t="str">
            <v>Sơ Vũ</v>
          </cell>
        </row>
        <row r="1801">
          <cell r="P1801" t="str">
            <v>Cửu Thiên Huyền Nữ</v>
          </cell>
          <cell r="Q1801" t="str">
            <v>Sơ Vũ</v>
          </cell>
        </row>
        <row r="1802">
          <cell r="P1802" t="str">
            <v>Cửu Thiên Huyền Nữ</v>
          </cell>
          <cell r="Q1802" t="str">
            <v>Sơ Vũ</v>
          </cell>
        </row>
        <row r="1803">
          <cell r="P1803" t="str">
            <v>Cửu Thiên Huyền Nữ</v>
          </cell>
          <cell r="Q1803" t="str">
            <v>Vũ Nhận</v>
          </cell>
        </row>
        <row r="1804">
          <cell r="P1804" t="str">
            <v>Cửu Thiên Huyền Nữ</v>
          </cell>
          <cell r="Q1804" t="str">
            <v>Vũ Nhận</v>
          </cell>
        </row>
        <row r="1805">
          <cell r="P1805" t="str">
            <v>Cửu Thiên Huyền Nữ</v>
          </cell>
          <cell r="Q1805" t="str">
            <v>Vũ Nhận</v>
          </cell>
        </row>
        <row r="1806">
          <cell r="P1806" t="str">
            <v>Cửu Thiên Huyền Nữ</v>
          </cell>
          <cell r="Q1806" t="str">
            <v>Vũ Nhận</v>
          </cell>
        </row>
        <row r="1807">
          <cell r="P1807" t="str">
            <v>Cửu Thiên Huyền Nữ</v>
          </cell>
          <cell r="Q1807" t="str">
            <v>Vũ Nhận</v>
          </cell>
        </row>
        <row r="1808">
          <cell r="P1808" t="str">
            <v>Cửu Thiên Huyền Nữ</v>
          </cell>
          <cell r="Q1808" t="str">
            <v>Vũ Nhận</v>
          </cell>
        </row>
        <row r="1809">
          <cell r="P1809" t="str">
            <v>Cửu Thiên Huyền Nữ</v>
          </cell>
          <cell r="Q1809" t="str">
            <v>Vũ Nhận</v>
          </cell>
        </row>
        <row r="1810">
          <cell r="P1810" t="str">
            <v>Cửu Thiên Huyền Nữ</v>
          </cell>
          <cell r="Q1810" t="str">
            <v>Vũ Nhận</v>
          </cell>
        </row>
        <row r="1811">
          <cell r="P1811" t="str">
            <v>Cửu Thiên Huyền Nữ</v>
          </cell>
          <cell r="Q1811" t="str">
            <v>Vũ Nhận</v>
          </cell>
        </row>
        <row r="1812">
          <cell r="P1812" t="str">
            <v>Cửu Thiên Huyền Nữ</v>
          </cell>
          <cell r="Q1812" t="str">
            <v>Vũ Nhận</v>
          </cell>
        </row>
        <row r="1813">
          <cell r="P1813" t="str">
            <v>Cửu Thiên Huyền Nữ</v>
          </cell>
          <cell r="Q1813" t="str">
            <v>Vũ Nhận</v>
          </cell>
        </row>
        <row r="1814">
          <cell r="P1814" t="str">
            <v>Cửu Thiên Huyền Nữ</v>
          </cell>
          <cell r="Q1814" t="str">
            <v>Vũ Nhận</v>
          </cell>
        </row>
        <row r="1815">
          <cell r="P1815" t="str">
            <v>Cửu Thiên Huyền Nữ</v>
          </cell>
          <cell r="Q1815" t="str">
            <v>Vũ Nhận</v>
          </cell>
        </row>
        <row r="1816">
          <cell r="P1816" t="str">
            <v>Cửu Thiên Huyền Nữ</v>
          </cell>
          <cell r="Q1816" t="str">
            <v>Vũ Nhận</v>
          </cell>
        </row>
        <row r="1817">
          <cell r="P1817" t="str">
            <v>Cửu Thiên Huyền Nữ</v>
          </cell>
          <cell r="Q1817" t="str">
            <v>Vũ Nhận</v>
          </cell>
        </row>
        <row r="1818">
          <cell r="P1818" t="str">
            <v>Cửu Thiên Huyền Nữ</v>
          </cell>
          <cell r="Q1818" t="str">
            <v>Vũ Nhận</v>
          </cell>
        </row>
        <row r="1819">
          <cell r="P1819" t="str">
            <v>Cửu Thiên Huyền Nữ</v>
          </cell>
          <cell r="Q1819" t="str">
            <v>Vũ Nhận</v>
          </cell>
        </row>
        <row r="1820">
          <cell r="P1820" t="str">
            <v>Cửu Thiên Huyền Nữ</v>
          </cell>
          <cell r="Q1820" t="str">
            <v>Vũ Nhận</v>
          </cell>
        </row>
        <row r="1821">
          <cell r="P1821" t="str">
            <v>Cửu Thiên Huyền Nữ</v>
          </cell>
          <cell r="Q1821" t="str">
            <v>Mạn Thiên Phi Vũ</v>
          </cell>
        </row>
        <row r="1822">
          <cell r="P1822" t="str">
            <v>Cửu Thiên Huyền Nữ</v>
          </cell>
          <cell r="Q1822" t="str">
            <v>Mạn Thiên Phi Vũ</v>
          </cell>
        </row>
        <row r="1823">
          <cell r="P1823" t="str">
            <v>Cửu Thiên Huyền Nữ</v>
          </cell>
          <cell r="Q1823" t="str">
            <v>Mạn Thiên Phi Vũ</v>
          </cell>
        </row>
        <row r="1824">
          <cell r="P1824" t="str">
            <v>Cửu Thiên Huyền Nữ</v>
          </cell>
          <cell r="Q1824" t="str">
            <v>Mạn Thiên Phi Vũ</v>
          </cell>
        </row>
        <row r="1825">
          <cell r="P1825" t="str">
            <v>Cửu Thiên Huyền Nữ</v>
          </cell>
          <cell r="Q1825" t="str">
            <v>Mạn Thiên Phi Vũ</v>
          </cell>
        </row>
        <row r="1826">
          <cell r="P1826" t="str">
            <v>Cửu Thiên Huyền Nữ</v>
          </cell>
          <cell r="Q1826" t="str">
            <v>Mạn Thiên Phi Vũ</v>
          </cell>
        </row>
        <row r="1827">
          <cell r="P1827" t="str">
            <v>Cửu Thiên Huyền Nữ</v>
          </cell>
          <cell r="Q1827" t="str">
            <v>Mạn Thiên Phi Vũ</v>
          </cell>
        </row>
        <row r="1828">
          <cell r="P1828" t="str">
            <v>Cửu Thiên Huyền Nữ</v>
          </cell>
          <cell r="Q1828" t="str">
            <v>Mạn Thiên Phi Vũ</v>
          </cell>
        </row>
        <row r="1829">
          <cell r="P1829" t="str">
            <v>Cửu Thiên Huyền Nữ</v>
          </cell>
          <cell r="Q1829" t="str">
            <v>Mạn Thiên Phi Vũ</v>
          </cell>
        </row>
        <row r="1830">
          <cell r="P1830" t="str">
            <v>Cửu Thiên Huyền Nữ</v>
          </cell>
          <cell r="Q1830" t="str">
            <v>Vũ Dực</v>
          </cell>
        </row>
        <row r="1831">
          <cell r="P1831" t="str">
            <v>Cửu Thiên Huyền Nữ</v>
          </cell>
          <cell r="Q1831" t="str">
            <v>Vũ Dực</v>
          </cell>
        </row>
        <row r="1832">
          <cell r="P1832" t="str">
            <v>Cửu Thiên Huyền Nữ</v>
          </cell>
          <cell r="Q1832" t="str">
            <v>Vũ Dực</v>
          </cell>
        </row>
        <row r="1833">
          <cell r="P1833" t="str">
            <v>Cửu Thiên Huyền Nữ</v>
          </cell>
          <cell r="Q1833" t="str">
            <v>Vũ Nhận Đan Thể</v>
          </cell>
        </row>
        <row r="1834">
          <cell r="P1834" t="str">
            <v>Cửu Thiên Huyền Nữ</v>
          </cell>
          <cell r="Q1834" t="str">
            <v>Vũ Nhận Đan Thể</v>
          </cell>
        </row>
        <row r="1835">
          <cell r="P1835" t="str">
            <v>Cửu Thiên Huyền Nữ</v>
          </cell>
          <cell r="Q1835" t="str">
            <v>Vũ Nhận Đan Thể</v>
          </cell>
        </row>
        <row r="1836">
          <cell r="P1836" t="str">
            <v>Cửu Thiên Huyền Nữ</v>
          </cell>
          <cell r="Q1836" t="str">
            <v>Vũ Nhận · Tàng Phẩm</v>
          </cell>
        </row>
        <row r="1837">
          <cell r="P1837" t="str">
            <v>Cửu Thiên Huyền Nữ</v>
          </cell>
          <cell r="Q1837" t="str">
            <v>Vũ Nhận · Tàng Phẩm</v>
          </cell>
        </row>
        <row r="1838">
          <cell r="P1838" t="str">
            <v>Cửu Thiên Huyền Nữ</v>
          </cell>
          <cell r="Q1838" t="str">
            <v>Vũ Nhận · Tàng Phẩm</v>
          </cell>
        </row>
        <row r="1839">
          <cell r="P1839" t="str">
            <v>Cửu Thiên Huyền Nữ</v>
          </cell>
          <cell r="Q1839" t="str">
            <v>Vũ Mang</v>
          </cell>
        </row>
        <row r="1840">
          <cell r="P1840" t="str">
            <v>Cửu Thiên Huyền Nữ</v>
          </cell>
          <cell r="Q1840" t="str">
            <v>Vũ Mang</v>
          </cell>
        </row>
        <row r="1841">
          <cell r="P1841" t="str">
            <v>Cửu Thiên Huyền Nữ</v>
          </cell>
          <cell r="Q1841" t="str">
            <v>Vũ Mang</v>
          </cell>
        </row>
        <row r="1842">
          <cell r="P1842" t="str">
            <v>Cửu Thiên Huyền Nữ</v>
          </cell>
          <cell r="Q1842" t="str">
            <v>Vũ Mang</v>
          </cell>
        </row>
        <row r="1843">
          <cell r="P1843" t="str">
            <v>Cửu Thiên Huyền Nữ</v>
          </cell>
          <cell r="Q1843" t="str">
            <v>Vũ Mang</v>
          </cell>
        </row>
        <row r="1844">
          <cell r="P1844" t="str">
            <v>Cửu Thiên Huyền Nữ</v>
          </cell>
          <cell r="Q1844" t="str">
            <v>Vũ Mang</v>
          </cell>
        </row>
        <row r="1845">
          <cell r="P1845" t="str">
            <v>Cửu Thiên Huyền Nữ</v>
          </cell>
          <cell r="Q1845" t="str">
            <v>Vũ Mang</v>
          </cell>
        </row>
        <row r="1846">
          <cell r="P1846" t="str">
            <v>Cửu Thiên Huyền Nữ</v>
          </cell>
          <cell r="Q1846" t="str">
            <v>Vũ Mang</v>
          </cell>
        </row>
        <row r="1847">
          <cell r="P1847" t="str">
            <v>Cửu Thiên Huyền Nữ</v>
          </cell>
          <cell r="Q1847" t="str">
            <v>Vũ Mang</v>
          </cell>
        </row>
        <row r="1848">
          <cell r="P1848" t="str">
            <v>Cửu Thiên Huyền Nữ</v>
          </cell>
          <cell r="Q1848" t="str">
            <v>Vũ Mang</v>
          </cell>
        </row>
        <row r="1849">
          <cell r="P1849" t="str">
            <v>Dương Tiển</v>
          </cell>
          <cell r="Q1849" t="str">
            <v>Phổ Công</v>
          </cell>
        </row>
        <row r="1850">
          <cell r="P1850" t="str">
            <v>Dương Tiển</v>
          </cell>
          <cell r="Q1850" t="str">
            <v>Phổ Công</v>
          </cell>
        </row>
        <row r="1851">
          <cell r="P1851" t="str">
            <v>Dương Tiển</v>
          </cell>
          <cell r="Q1851" t="str">
            <v>Ân Oán Phân Minh</v>
          </cell>
        </row>
        <row r="1852">
          <cell r="P1852" t="str">
            <v>Dương Tiển</v>
          </cell>
          <cell r="Q1852" t="str">
            <v>Ân Oán Phân Minh</v>
          </cell>
        </row>
        <row r="1853">
          <cell r="P1853" t="str">
            <v>Dương Tiển</v>
          </cell>
          <cell r="Q1853" t="str">
            <v>Ân Oán Phân Minh</v>
          </cell>
        </row>
        <row r="1854">
          <cell r="P1854" t="str">
            <v>Dương Tiển</v>
          </cell>
          <cell r="Q1854" t="str">
            <v>Ân Oán Phân Minh</v>
          </cell>
        </row>
        <row r="1855">
          <cell r="P1855" t="str">
            <v>Dương Tiển</v>
          </cell>
          <cell r="Q1855" t="str">
            <v>Ân Oán Phân Minh</v>
          </cell>
        </row>
        <row r="1856">
          <cell r="P1856" t="str">
            <v>Dương Tiển</v>
          </cell>
          <cell r="Q1856" t="str">
            <v>Ân Oán Phân Minh</v>
          </cell>
        </row>
        <row r="1857">
          <cell r="P1857" t="str">
            <v>Dương Tiển</v>
          </cell>
          <cell r="Q1857" t="str">
            <v>Ân Oán Phân Minh</v>
          </cell>
        </row>
        <row r="1858">
          <cell r="P1858" t="str">
            <v>Dương Tiển</v>
          </cell>
          <cell r="Q1858" t="str">
            <v>Ân Oán Phân Minh</v>
          </cell>
        </row>
        <row r="1859">
          <cell r="P1859" t="str">
            <v>Dương Tiển</v>
          </cell>
          <cell r="Q1859" t="str">
            <v>Ân Oán Phân Minh</v>
          </cell>
        </row>
        <row r="1860">
          <cell r="P1860" t="str">
            <v>Dương Tiển</v>
          </cell>
          <cell r="Q1860" t="str">
            <v>Ân Oán Phân Minh</v>
          </cell>
        </row>
        <row r="1861">
          <cell r="P1861" t="str">
            <v>Dương Tiển</v>
          </cell>
          <cell r="Q1861" t="str">
            <v>Ân Oán Phân Minh</v>
          </cell>
        </row>
        <row r="1862">
          <cell r="P1862" t="str">
            <v>Dương Tiển</v>
          </cell>
          <cell r="Q1862" t="str">
            <v>Ân Oán Phân Minh</v>
          </cell>
        </row>
        <row r="1863">
          <cell r="P1863" t="str">
            <v>Dương Tiển</v>
          </cell>
          <cell r="Q1863" t="str">
            <v>Ân Oán Phân Minh</v>
          </cell>
        </row>
        <row r="1864">
          <cell r="P1864" t="str">
            <v>Dương Tiển</v>
          </cell>
          <cell r="Q1864" t="str">
            <v>Ân Oán Phân Minh</v>
          </cell>
        </row>
        <row r="1865">
          <cell r="P1865" t="str">
            <v>Dương Tiển</v>
          </cell>
          <cell r="Q1865" t="str">
            <v>Ân Oán Phân Minh</v>
          </cell>
        </row>
        <row r="1866">
          <cell r="P1866" t="str">
            <v>Dương Tiển</v>
          </cell>
          <cell r="Q1866" t="str">
            <v>Kim Giáp Chấp Nhuệ</v>
          </cell>
        </row>
        <row r="1867">
          <cell r="P1867" t="str">
            <v>Dương Tiển</v>
          </cell>
          <cell r="Q1867" t="str">
            <v>Kim Giáp Chấp Nhuệ</v>
          </cell>
        </row>
        <row r="1868">
          <cell r="P1868" t="str">
            <v>Dương Tiển</v>
          </cell>
          <cell r="Q1868" t="str">
            <v>Kim Giáp Chấp Nhuệ</v>
          </cell>
        </row>
        <row r="1869">
          <cell r="P1869" t="str">
            <v>Dương Tiển</v>
          </cell>
          <cell r="Q1869" t="str">
            <v>Cực · Kim Giáp Chấp Nhuệ</v>
          </cell>
        </row>
        <row r="1870">
          <cell r="P1870" t="str">
            <v>Dương Tiển</v>
          </cell>
          <cell r="Q1870" t="str">
            <v>Cực · Kim Giáp Chấp Nhuệ</v>
          </cell>
        </row>
        <row r="1871">
          <cell r="P1871" t="str">
            <v>Dương Tiển</v>
          </cell>
          <cell r="Q1871" t="str">
            <v>Cực · Kim Giáp Chấp Nhuệ</v>
          </cell>
        </row>
        <row r="1872">
          <cell r="P1872" t="str">
            <v>Dương Tiển</v>
          </cell>
          <cell r="Q1872" t="str">
            <v>Phục Ma Trảm</v>
          </cell>
        </row>
        <row r="1873">
          <cell r="P1873" t="str">
            <v>Dương Tiển</v>
          </cell>
          <cell r="Q1873" t="str">
            <v>Phục Ma Trảm</v>
          </cell>
        </row>
        <row r="1874">
          <cell r="P1874" t="str">
            <v>Dương Tiển</v>
          </cell>
          <cell r="Q1874" t="str">
            <v>Phục Ma Trảm</v>
          </cell>
        </row>
        <row r="1875">
          <cell r="P1875" t="str">
            <v>Dương Tiển</v>
          </cell>
          <cell r="Q1875" t="str">
            <v>Phục Ma Trảm</v>
          </cell>
        </row>
        <row r="1876">
          <cell r="P1876" t="str">
            <v>Dương Tiển</v>
          </cell>
          <cell r="Q1876" t="str">
            <v>Phục Ma Trảm</v>
          </cell>
        </row>
        <row r="1877">
          <cell r="P1877" t="str">
            <v>Dương Tiển</v>
          </cell>
          <cell r="Q1877" t="str">
            <v>Phục Ma Trảm</v>
          </cell>
        </row>
        <row r="1878">
          <cell r="P1878" t="str">
            <v>Dương Tiển</v>
          </cell>
          <cell r="Q1878" t="str">
            <v>Phục Ma Trảm</v>
          </cell>
        </row>
        <row r="1879">
          <cell r="P1879" t="str">
            <v>Dương Tiển</v>
          </cell>
          <cell r="Q1879" t="str">
            <v>Phục Ma Trảm</v>
          </cell>
        </row>
        <row r="1880">
          <cell r="P1880" t="str">
            <v>Dương Tiển</v>
          </cell>
          <cell r="Q1880" t="str">
            <v>Phục Ma Trảm</v>
          </cell>
        </row>
        <row r="1881">
          <cell r="P1881" t="str">
            <v>Dương Tiển</v>
          </cell>
          <cell r="Q1881" t="str">
            <v>Phục Ma Trảm</v>
          </cell>
        </row>
        <row r="1882">
          <cell r="P1882" t="str">
            <v>Dương Tiển</v>
          </cell>
          <cell r="Q1882" t="str">
            <v>Phục Ma Trảm</v>
          </cell>
        </row>
        <row r="1883">
          <cell r="P1883" t="str">
            <v>Dương Tiển</v>
          </cell>
          <cell r="Q1883" t="str">
            <v>Phục Ma Trảm</v>
          </cell>
        </row>
        <row r="1884">
          <cell r="P1884" t="str">
            <v>Dương Tiển</v>
          </cell>
          <cell r="Q1884" t="str">
            <v>Thiên Nhãn Chi Uy</v>
          </cell>
        </row>
        <row r="1885">
          <cell r="P1885" t="str">
            <v>Dương Tiển</v>
          </cell>
          <cell r="Q1885" t="str">
            <v>Thiên Nhãn Chi Uy</v>
          </cell>
        </row>
        <row r="1886">
          <cell r="P1886" t="str">
            <v>Dương Tiển</v>
          </cell>
          <cell r="Q1886" t="str">
            <v>Thiên Nhãn Chi Uy</v>
          </cell>
        </row>
        <row r="1887">
          <cell r="P1887" t="str">
            <v>Dương Tiển</v>
          </cell>
          <cell r="Q1887" t="str">
            <v>Tiêm Nhận Phản Chuyển</v>
          </cell>
        </row>
        <row r="1888">
          <cell r="P1888" t="str">
            <v>Dương Tiển</v>
          </cell>
          <cell r="Q1888" t="str">
            <v>Tiêm Nhận Phản Chuyển</v>
          </cell>
        </row>
        <row r="1889">
          <cell r="P1889" t="str">
            <v>Dương Tiển</v>
          </cell>
          <cell r="Q1889" t="str">
            <v>Tiêm Nhận Phản Chuyển</v>
          </cell>
        </row>
        <row r="1890">
          <cell r="P1890" t="str">
            <v>Dương Tiển</v>
          </cell>
          <cell r="Q1890" t="str">
            <v>Hao Thiên Khuyển</v>
          </cell>
        </row>
        <row r="1891">
          <cell r="P1891" t="str">
            <v>Dương Tiển</v>
          </cell>
          <cell r="Q1891" t="str">
            <v>Hao Thiên Khuyển</v>
          </cell>
        </row>
        <row r="1892">
          <cell r="P1892" t="str">
            <v>Dương Tiển</v>
          </cell>
          <cell r="Q1892" t="str">
            <v>Hao Thiên Khuyển</v>
          </cell>
        </row>
        <row r="1893">
          <cell r="P1893" t="str">
            <v>Dương Tiển</v>
          </cell>
          <cell r="Q1893" t="str">
            <v>Hao Thiên Khuyển</v>
          </cell>
        </row>
        <row r="1894">
          <cell r="P1894" t="str">
            <v>Dương Tiển</v>
          </cell>
          <cell r="Q1894" t="str">
            <v>Hao Thiên Khuyển</v>
          </cell>
        </row>
        <row r="1895">
          <cell r="P1895" t="str">
            <v>Dương Tiển</v>
          </cell>
          <cell r="Q1895" t="str">
            <v>Hao Thiên Khuyển</v>
          </cell>
        </row>
        <row r="1896">
          <cell r="P1896" t="str">
            <v>Dương Tiển</v>
          </cell>
          <cell r="Q1896" t="str">
            <v>Hao Thiên Khuyển</v>
          </cell>
        </row>
        <row r="1897">
          <cell r="P1897" t="str">
            <v>Dương Tiển</v>
          </cell>
          <cell r="Q1897" t="str">
            <v>Hao Thiên Khuyển</v>
          </cell>
        </row>
        <row r="1898">
          <cell r="P1898" t="str">
            <v>Dương Tiển</v>
          </cell>
          <cell r="Q1898" t="str">
            <v>Hao Thiên Khuyển</v>
          </cell>
        </row>
        <row r="1899">
          <cell r="P1899" t="str">
            <v>Dương Tiển</v>
          </cell>
          <cell r="Q1899" t="str">
            <v>Thần Quân Hộ Thuẫn</v>
          </cell>
        </row>
        <row r="1900">
          <cell r="P1900" t="str">
            <v>Dương Tiển</v>
          </cell>
          <cell r="Q1900" t="str">
            <v>Thần Quân Hộ Thuẫn</v>
          </cell>
        </row>
        <row r="1901">
          <cell r="P1901" t="str">
            <v>Dương Tiển</v>
          </cell>
          <cell r="Q1901" t="str">
            <v>Thần Quân Hộ Thuẫn</v>
          </cell>
        </row>
        <row r="1902">
          <cell r="P1902" t="str">
            <v>Dương Tiển</v>
          </cell>
          <cell r="Q1902" t="str">
            <v>Thần Quân Hộ Thuẫn</v>
          </cell>
        </row>
        <row r="1903">
          <cell r="P1903" t="str">
            <v>Dương Tiển</v>
          </cell>
          <cell r="Q1903" t="str">
            <v>Thần Quân Hộ Thuẫn</v>
          </cell>
        </row>
        <row r="1904">
          <cell r="P1904" t="str">
            <v>Dương Tiển</v>
          </cell>
          <cell r="Q1904" t="str">
            <v>Thần Quân Hộ Thuẫn</v>
          </cell>
        </row>
        <row r="1905">
          <cell r="P1905" t="str">
            <v>Dương Tiển</v>
          </cell>
          <cell r="Q1905" t="str">
            <v>Thần Quân Hộ Thuẫn</v>
          </cell>
        </row>
        <row r="1906">
          <cell r="P1906" t="str">
            <v>Dương Tiển</v>
          </cell>
          <cell r="Q1906" t="str">
            <v>Thần Quân Hộ Thuẫn</v>
          </cell>
        </row>
        <row r="1907">
          <cell r="P1907" t="str">
            <v>Dương Tiển</v>
          </cell>
          <cell r="Q1907" t="str">
            <v>Thần Quân Hộ Thuẫn</v>
          </cell>
        </row>
        <row r="1908">
          <cell r="P1908" t="str">
            <v>Dương Tiển</v>
          </cell>
          <cell r="Q1908" t="str">
            <v>Thần Quân Hộ Thuẫn</v>
          </cell>
        </row>
        <row r="1909">
          <cell r="P1909" t="str">
            <v>Mụ Tổ</v>
          </cell>
          <cell r="Q1909" t="str">
            <v>Phổ Công</v>
          </cell>
        </row>
        <row r="1910">
          <cell r="P1910" t="str">
            <v>Mụ Tổ</v>
          </cell>
          <cell r="Q1910" t="str">
            <v>Thừa Phong Phá Lãng</v>
          </cell>
        </row>
        <row r="1911">
          <cell r="P1911" t="str">
            <v>Mụ Tổ</v>
          </cell>
          <cell r="Q1911" t="str">
            <v>Thừa Phong Phá Lãng</v>
          </cell>
        </row>
        <row r="1912">
          <cell r="P1912" t="str">
            <v>Mụ Tổ</v>
          </cell>
          <cell r="Q1912" t="str">
            <v>Thừa Phong Phá Lãng</v>
          </cell>
        </row>
        <row r="1913">
          <cell r="P1913" t="str">
            <v>Mụ Tổ</v>
          </cell>
          <cell r="Q1913" t="str">
            <v>Thừa Phong Phá Lãng</v>
          </cell>
        </row>
        <row r="1914">
          <cell r="P1914" t="str">
            <v>Mụ Tổ</v>
          </cell>
          <cell r="Q1914" t="str">
            <v>Thừa Phong Phá Lãng</v>
          </cell>
        </row>
        <row r="1915">
          <cell r="P1915" t="str">
            <v>Mụ Tổ</v>
          </cell>
          <cell r="Q1915" t="str">
            <v>Thừa Phong Phá Lãng</v>
          </cell>
        </row>
        <row r="1916">
          <cell r="P1916" t="str">
            <v>Mụ Tổ</v>
          </cell>
          <cell r="Q1916" t="str">
            <v>Thừa Phong Phá Lãng</v>
          </cell>
        </row>
        <row r="1917">
          <cell r="P1917" t="str">
            <v>Mụ Tổ</v>
          </cell>
          <cell r="Q1917" t="str">
            <v>Thừa Phong Phá Lãng</v>
          </cell>
        </row>
        <row r="1918">
          <cell r="P1918" t="str">
            <v>Mụ Tổ</v>
          </cell>
          <cell r="Q1918" t="str">
            <v>Thừa Phong Phá Lãng</v>
          </cell>
        </row>
        <row r="1919">
          <cell r="P1919" t="str">
            <v>Mụ Tổ</v>
          </cell>
          <cell r="Q1919" t="str">
            <v>Hải Dương Lĩnh Vực</v>
          </cell>
        </row>
        <row r="1920">
          <cell r="P1920" t="str">
            <v>Mụ Tổ</v>
          </cell>
          <cell r="Q1920" t="str">
            <v>Hải Dương Lĩnh Vực</v>
          </cell>
        </row>
        <row r="1921">
          <cell r="P1921" t="str">
            <v>Mụ Tổ</v>
          </cell>
          <cell r="Q1921" t="str">
            <v>Hải Dương Lĩnh Vực</v>
          </cell>
        </row>
        <row r="1922">
          <cell r="P1922" t="str">
            <v>Mụ Tổ</v>
          </cell>
          <cell r="Q1922" t="str">
            <v>Cực · Hải Dương Lĩnh Vực</v>
          </cell>
        </row>
        <row r="1923">
          <cell r="P1923" t="str">
            <v>Mụ Tổ</v>
          </cell>
          <cell r="Q1923" t="str">
            <v>Cực · Hải Dương Lĩnh Vực</v>
          </cell>
        </row>
        <row r="1924">
          <cell r="P1924" t="str">
            <v>Mụ Tổ</v>
          </cell>
          <cell r="Q1924" t="str">
            <v>Cực · Hải Dương Lĩnh Vực</v>
          </cell>
        </row>
        <row r="1925">
          <cell r="P1925" t="str">
            <v>Mụ Tổ</v>
          </cell>
          <cell r="Q1925" t="str">
            <v>Cự Lãng Duy Mạc</v>
          </cell>
        </row>
        <row r="1926">
          <cell r="P1926" t="str">
            <v>Mụ Tổ</v>
          </cell>
          <cell r="Q1926" t="str">
            <v>Cự Lãng Duy Mạc</v>
          </cell>
        </row>
        <row r="1927">
          <cell r="P1927" t="str">
            <v>Mụ Tổ</v>
          </cell>
          <cell r="Q1927" t="str">
            <v>Cự Lãng Duy Mạc</v>
          </cell>
        </row>
        <row r="1928">
          <cell r="P1928" t="str">
            <v>Mụ Tổ</v>
          </cell>
          <cell r="Q1928" t="str">
            <v>Cự Lãng Duy Mạc</v>
          </cell>
        </row>
        <row r="1929">
          <cell r="P1929" t="str">
            <v>Mụ Tổ</v>
          </cell>
          <cell r="Q1929" t="str">
            <v>Cự Lãng Duy Mạc</v>
          </cell>
        </row>
        <row r="1930">
          <cell r="P1930" t="str">
            <v>Mụ Tổ</v>
          </cell>
          <cell r="Q1930" t="str">
            <v>Cự Lãng Duy Mạc</v>
          </cell>
        </row>
        <row r="1931">
          <cell r="P1931" t="str">
            <v>Mụ Tổ</v>
          </cell>
          <cell r="Q1931" t="str">
            <v>Sủng · Thiên Lý Nhãn</v>
          </cell>
        </row>
        <row r="1932">
          <cell r="P1932" t="str">
            <v>Mụ Tổ</v>
          </cell>
          <cell r="Q1932" t="str">
            <v>Sủng · Thiên Lý Nhãn</v>
          </cell>
        </row>
        <row r="1933">
          <cell r="P1933" t="str">
            <v>Mụ Tổ</v>
          </cell>
          <cell r="Q1933" t="str">
            <v>Sủng · Thiên Lý Nhãn</v>
          </cell>
        </row>
        <row r="1934">
          <cell r="P1934" t="str">
            <v>Mụ Tổ</v>
          </cell>
          <cell r="Q1934" t="str">
            <v>Sủng Vật Tập Huấn</v>
          </cell>
        </row>
        <row r="1935">
          <cell r="P1935" t="str">
            <v>Mụ Tổ</v>
          </cell>
          <cell r="Q1935" t="str">
            <v>Sủng Vật Tập Huấn</v>
          </cell>
        </row>
        <row r="1936">
          <cell r="P1936" t="str">
            <v>Mụ Tổ</v>
          </cell>
          <cell r="Q1936" t="str">
            <v>Sủng Vật Tập Huấn</v>
          </cell>
        </row>
        <row r="1937">
          <cell r="P1937" t="str">
            <v>Mụ Tổ</v>
          </cell>
          <cell r="Q1937" t="str">
            <v>Sủng · Thiên Lý Nhãn</v>
          </cell>
        </row>
        <row r="1938">
          <cell r="P1938" t="str">
            <v>Mụ Tổ</v>
          </cell>
          <cell r="Q1938" t="str">
            <v>Sủng · Thiên Lý Nhãn</v>
          </cell>
        </row>
        <row r="1939">
          <cell r="P1939" t="str">
            <v>Mụ Tổ</v>
          </cell>
          <cell r="Q1939" t="str">
            <v>Sủng · Thiên Lý Nhãn</v>
          </cell>
        </row>
        <row r="1940">
          <cell r="P1940" t="str">
            <v>Mụ Tổ</v>
          </cell>
          <cell r="Q1940" t="str">
            <v>Hải Triều</v>
          </cell>
        </row>
        <row r="1941">
          <cell r="P1941" t="str">
            <v>Mụ Tổ</v>
          </cell>
          <cell r="Q1941" t="str">
            <v>Hải Triều</v>
          </cell>
        </row>
        <row r="1942">
          <cell r="P1942" t="str">
            <v>Mụ Tổ</v>
          </cell>
          <cell r="Q1942" t="str">
            <v>Hải Triều</v>
          </cell>
        </row>
        <row r="1943">
          <cell r="P1943" t="str">
            <v>Mụ Tổ</v>
          </cell>
          <cell r="Q1943" t="str">
            <v>Thừa Phong Phá Lãng</v>
          </cell>
        </row>
        <row r="1944">
          <cell r="P1944" t="str">
            <v>Mụ Tổ</v>
          </cell>
          <cell r="Q1944" t="str">
            <v>Thừa Phong Phá Lãng</v>
          </cell>
        </row>
        <row r="1945">
          <cell r="P1945" t="str">
            <v>Mụ Tổ</v>
          </cell>
          <cell r="Q1945" t="str">
            <v>Thừa Phong Phá Lãng</v>
          </cell>
        </row>
        <row r="1946">
          <cell r="P1946" t="str">
            <v>Mụ Tổ</v>
          </cell>
          <cell r="Q1946" t="str">
            <v>Thừa Phong Phá Lãng</v>
          </cell>
        </row>
        <row r="1947">
          <cell r="P1947" t="str">
            <v>Mụ Tổ</v>
          </cell>
          <cell r="Q1947" t="str">
            <v>Thừa Phong Phá Lãng</v>
          </cell>
        </row>
        <row r="1948">
          <cell r="P1948" t="str">
            <v>Mụ Tổ</v>
          </cell>
          <cell r="Q1948" t="str">
            <v>Thừa Phong Phá Lãng</v>
          </cell>
        </row>
        <row r="1949">
          <cell r="P1949" t="str">
            <v>Mụ Tổ</v>
          </cell>
          <cell r="Q1949" t="str">
            <v>Thừa Phong Phá Lãng</v>
          </cell>
        </row>
        <row r="1950">
          <cell r="P1950" t="str">
            <v>Mụ Tổ</v>
          </cell>
          <cell r="Q1950" t="str">
            <v>Thừa Phong Phá Lãng</v>
          </cell>
        </row>
        <row r="1951">
          <cell r="P1951" t="str">
            <v>Mụ Tổ</v>
          </cell>
          <cell r="Q1951" t="str">
            <v>Thừa Phong Phá Lãng</v>
          </cell>
        </row>
        <row r="1952">
          <cell r="P1952" t="str">
            <v>Mụ Tổ</v>
          </cell>
          <cell r="Q1952" t="str">
            <v>Cự Lãng Duy Mạc</v>
          </cell>
        </row>
        <row r="1953">
          <cell r="P1953" t="str">
            <v>Mụ Tổ</v>
          </cell>
          <cell r="Q1953" t="str">
            <v>Cự Lãng Duy Mạc</v>
          </cell>
        </row>
        <row r="1954">
          <cell r="P1954" t="str">
            <v>Mụ Tổ</v>
          </cell>
          <cell r="Q1954" t="str">
            <v>Cự Lãng Duy Mạc</v>
          </cell>
        </row>
        <row r="1955">
          <cell r="P1955" t="str">
            <v>Mụ Tổ</v>
          </cell>
          <cell r="Q1955" t="str">
            <v>Cự Lãng Duy Mạc</v>
          </cell>
        </row>
        <row r="1956">
          <cell r="P1956" t="str">
            <v>Mụ Tổ</v>
          </cell>
          <cell r="Q1956" t="str">
            <v>Cự Lãng Duy Mạc</v>
          </cell>
        </row>
        <row r="1957">
          <cell r="P1957" t="str">
            <v>Mụ Tổ</v>
          </cell>
          <cell r="Q1957" t="str">
            <v>Cự Lãng Duy Mạc</v>
          </cell>
        </row>
        <row r="1958">
          <cell r="P1958" t="str">
            <v>Tam Thánh Mẫu</v>
          </cell>
          <cell r="Q1958" t="str">
            <v>Phổ Công</v>
          </cell>
        </row>
        <row r="1959">
          <cell r="P1959" t="str">
            <v>Tam Thánh Mẫu</v>
          </cell>
          <cell r="Q1959" t="str">
            <v>Liên Đăng Quang Hoa</v>
          </cell>
        </row>
        <row r="1960">
          <cell r="P1960" t="str">
            <v>Tam Thánh Mẫu</v>
          </cell>
          <cell r="Q1960" t="str">
            <v>Liên Đăng Quang Hoa</v>
          </cell>
        </row>
        <row r="1961">
          <cell r="P1961" t="str">
            <v>Tam Thánh Mẫu</v>
          </cell>
          <cell r="Q1961" t="str">
            <v>Liên Đăng Quang Hoa</v>
          </cell>
        </row>
        <row r="1962">
          <cell r="P1962" t="str">
            <v>Tam Thánh Mẫu</v>
          </cell>
          <cell r="Q1962" t="str">
            <v>Liên Đăng Quang Hoa</v>
          </cell>
        </row>
        <row r="1963">
          <cell r="P1963" t="str">
            <v>Tam Thánh Mẫu</v>
          </cell>
          <cell r="Q1963" t="str">
            <v>Liên Đăng Quang Hoa</v>
          </cell>
        </row>
        <row r="1964">
          <cell r="P1964" t="str">
            <v>Tam Thánh Mẫu</v>
          </cell>
          <cell r="Q1964" t="str">
            <v>Liên Đăng Quang Hoa</v>
          </cell>
        </row>
        <row r="1965">
          <cell r="P1965" t="str">
            <v>Tam Thánh Mẫu</v>
          </cell>
          <cell r="Q1965" t="str">
            <v>Liên Đăng Quang Hoa</v>
          </cell>
        </row>
        <row r="1966">
          <cell r="P1966" t="str">
            <v>Tam Thánh Mẫu</v>
          </cell>
          <cell r="Q1966" t="str">
            <v>Liên Đăng Quang Hoa</v>
          </cell>
        </row>
        <row r="1967">
          <cell r="P1967" t="str">
            <v>Tam Thánh Mẫu</v>
          </cell>
          <cell r="Q1967" t="str">
            <v>Liên Đăng Quang Hoa</v>
          </cell>
        </row>
        <row r="1968">
          <cell r="P1968" t="str">
            <v>Tam Thánh Mẫu</v>
          </cell>
          <cell r="Q1968" t="str">
            <v>Vô Dạng Thần Nữ</v>
          </cell>
        </row>
        <row r="1969">
          <cell r="P1969" t="str">
            <v>Tam Thánh Mẫu</v>
          </cell>
          <cell r="Q1969" t="str">
            <v>Vô Dạng Thần Nữ</v>
          </cell>
        </row>
        <row r="1970">
          <cell r="P1970" t="str">
            <v>Tam Thánh Mẫu</v>
          </cell>
          <cell r="Q1970" t="str">
            <v>Vô Dạng Thần Nữ</v>
          </cell>
        </row>
        <row r="1971">
          <cell r="P1971" t="str">
            <v>Tam Thánh Mẫu</v>
          </cell>
          <cell r="Q1971" t="str">
            <v>Cực · Vô Dạng Thần Nữ</v>
          </cell>
        </row>
        <row r="1972">
          <cell r="P1972" t="str">
            <v>Tam Thánh Mẫu</v>
          </cell>
          <cell r="Q1972" t="str">
            <v>Cực · Vô Dạng Thần Nữ</v>
          </cell>
        </row>
        <row r="1973">
          <cell r="P1973" t="str">
            <v>Tam Thánh Mẫu</v>
          </cell>
          <cell r="Q1973" t="str">
            <v>Cực · Vô Dạng Thần Nữ</v>
          </cell>
        </row>
        <row r="1974">
          <cell r="P1974" t="str">
            <v>Tam Thánh Mẫu</v>
          </cell>
          <cell r="Q1974" t="str">
            <v>Bảo Liên Nộ Hỏa</v>
          </cell>
        </row>
        <row r="1975">
          <cell r="P1975" t="str">
            <v>Tam Thánh Mẫu</v>
          </cell>
          <cell r="Q1975" t="str">
            <v>Bảo Liên Nộ Hỏa</v>
          </cell>
        </row>
        <row r="1976">
          <cell r="P1976" t="str">
            <v>Tam Thánh Mẫu</v>
          </cell>
          <cell r="Q1976" t="str">
            <v>Bảo Liên Nộ Hỏa</v>
          </cell>
        </row>
        <row r="1977">
          <cell r="P1977" t="str">
            <v>Tam Thánh Mẫu</v>
          </cell>
          <cell r="Q1977" t="str">
            <v>Bảo Liên Nộ Hỏa</v>
          </cell>
        </row>
        <row r="1978">
          <cell r="P1978" t="str">
            <v>Tam Thánh Mẫu</v>
          </cell>
          <cell r="Q1978" t="str">
            <v>Bảo Liên Nộ Hỏa</v>
          </cell>
        </row>
        <row r="1979">
          <cell r="P1979" t="str">
            <v>Tam Thánh Mẫu</v>
          </cell>
          <cell r="Q1979" t="str">
            <v>Bảo Liên Nộ Hỏa</v>
          </cell>
        </row>
        <row r="1980">
          <cell r="P1980" t="str">
            <v>Tam Thánh Mẫu</v>
          </cell>
          <cell r="Q1980" t="str">
            <v>Bảo Liên Nộ Hỏa</v>
          </cell>
        </row>
        <row r="1981">
          <cell r="P1981" t="str">
            <v>Tam Thánh Mẫu</v>
          </cell>
          <cell r="Q1981" t="str">
            <v>Vô Ngôn Chi Ngạc</v>
          </cell>
        </row>
        <row r="1982">
          <cell r="P1982" t="str">
            <v>Tam Thánh Mẫu</v>
          </cell>
          <cell r="Q1982" t="str">
            <v>Vô Ngôn Chi Ngạc</v>
          </cell>
        </row>
        <row r="1983">
          <cell r="P1983" t="str">
            <v>Tam Thánh Mẫu</v>
          </cell>
          <cell r="Q1983" t="str">
            <v>Vô Ngôn Chi Ngạc</v>
          </cell>
        </row>
        <row r="1984">
          <cell r="P1984" t="str">
            <v>Tam Thánh Mẫu</v>
          </cell>
          <cell r="Q1984" t="str">
            <v>Đăng Ảnh Tương Tùy</v>
          </cell>
        </row>
        <row r="1985">
          <cell r="P1985" t="str">
            <v>Tam Thánh Mẫu</v>
          </cell>
          <cell r="Q1985" t="str">
            <v>Đăng Ảnh Tương Tùy</v>
          </cell>
        </row>
        <row r="1986">
          <cell r="P1986" t="str">
            <v>Tam Thánh Mẫu</v>
          </cell>
          <cell r="Q1986" t="str">
            <v>Đăng Ảnh Tương Tùy</v>
          </cell>
        </row>
        <row r="1987">
          <cell r="P1987" t="str">
            <v>Tam Thánh Mẫu</v>
          </cell>
          <cell r="Q1987" t="str">
            <v>Chỉ Qua</v>
          </cell>
        </row>
        <row r="1988">
          <cell r="P1988" t="str">
            <v>Tam Thánh Mẫu</v>
          </cell>
          <cell r="Q1988" t="str">
            <v>Chỉ Qua</v>
          </cell>
        </row>
        <row r="1989">
          <cell r="P1989" t="str">
            <v>Tam Thánh Mẫu</v>
          </cell>
          <cell r="Q1989" t="str">
            <v>Chỉ Qua</v>
          </cell>
        </row>
        <row r="1990">
          <cell r="P1990" t="str">
            <v>Tam Thánh Mẫu</v>
          </cell>
          <cell r="Q1990" t="str">
            <v>Chỉ Qua</v>
          </cell>
        </row>
        <row r="1991">
          <cell r="P1991" t="str">
            <v>Tam Thánh Mẫu</v>
          </cell>
          <cell r="Q1991" t="str">
            <v>Chỉ Qua</v>
          </cell>
        </row>
        <row r="1992">
          <cell r="P1992" t="str">
            <v>Tam Thánh Mẫu</v>
          </cell>
          <cell r="Q1992" t="str">
            <v>Chỉ Qua</v>
          </cell>
        </row>
        <row r="1993">
          <cell r="P1993" t="str">
            <v>Tam Thánh Mẫu</v>
          </cell>
          <cell r="Q1993" t="str">
            <v>Chỉ Qua</v>
          </cell>
        </row>
        <row r="1994">
          <cell r="P1994" t="str">
            <v>Tam Thánh Mẫu</v>
          </cell>
          <cell r="Q1994" t="str">
            <v>Chỉ Qua</v>
          </cell>
        </row>
        <row r="1995">
          <cell r="P1995" t="str">
            <v>Tam Thánh Mẫu</v>
          </cell>
          <cell r="Q1995" t="str">
            <v>Liên Đăng Quang Hoa</v>
          </cell>
        </row>
        <row r="1996">
          <cell r="P1996" t="str">
            <v>Tam Thánh Mẫu</v>
          </cell>
          <cell r="Q1996" t="str">
            <v>Liên Đăng Quang Hoa</v>
          </cell>
        </row>
        <row r="1997">
          <cell r="P1997" t="str">
            <v>Tam Thánh Mẫu</v>
          </cell>
          <cell r="Q1997" t="str">
            <v>Liên Đăng Quang Hoa</v>
          </cell>
        </row>
        <row r="1998">
          <cell r="P1998" t="str">
            <v>Tam Thánh Mẫu</v>
          </cell>
          <cell r="Q1998" t="str">
            <v>Liên Đăng Quang Hoa</v>
          </cell>
        </row>
        <row r="1999">
          <cell r="P1999" t="str">
            <v>Tam Thánh Mẫu</v>
          </cell>
          <cell r="Q1999" t="str">
            <v>Liên Đăng Quang Hoa</v>
          </cell>
        </row>
        <row r="2000">
          <cell r="P2000" t="str">
            <v>Tam Thánh Mẫu</v>
          </cell>
          <cell r="Q2000" t="str">
            <v>Liên Đăng Quang Hoa</v>
          </cell>
        </row>
        <row r="2001">
          <cell r="P2001" t="str">
            <v>Phách Long</v>
          </cell>
          <cell r="Q2001" t="str">
            <v>Phổ Công</v>
          </cell>
        </row>
        <row r="2002">
          <cell r="P2002" t="str">
            <v>Phách Long</v>
          </cell>
          <cell r="Q2002" t="str">
            <v>Kiếm Chi Chiếu Dụ</v>
          </cell>
        </row>
        <row r="2003">
          <cell r="P2003" t="str">
            <v>Phách Long</v>
          </cell>
          <cell r="Q2003" t="str">
            <v>Kiếm Chi Chiếu Dụ</v>
          </cell>
        </row>
        <row r="2004">
          <cell r="P2004" t="str">
            <v>Phách Long</v>
          </cell>
          <cell r="Q2004" t="str">
            <v>Kiếm Chi Chiếu Dụ</v>
          </cell>
        </row>
        <row r="2005">
          <cell r="P2005" t="str">
            <v>Phách Long</v>
          </cell>
          <cell r="Q2005" t="str">
            <v>Kiếm Chi Chiếu Dụ</v>
          </cell>
        </row>
        <row r="2006">
          <cell r="P2006" t="str">
            <v>Phách Long</v>
          </cell>
          <cell r="Q2006" t="str">
            <v>Kiếm Chi Chiếu Dụ</v>
          </cell>
        </row>
        <row r="2007">
          <cell r="P2007" t="str">
            <v>Phách Long</v>
          </cell>
          <cell r="Q2007" t="str">
            <v>Kiếm Chi Chiếu Dụ</v>
          </cell>
        </row>
        <row r="2008">
          <cell r="P2008" t="str">
            <v>Phách Long</v>
          </cell>
          <cell r="Q2008" t="str">
            <v>Kiếm Chi Chiếu Dụ</v>
          </cell>
        </row>
        <row r="2009">
          <cell r="P2009" t="str">
            <v>Phách Long</v>
          </cell>
          <cell r="Q2009" t="str">
            <v>Kiếm Chi Chiếu Dụ</v>
          </cell>
        </row>
        <row r="2010">
          <cell r="P2010" t="str">
            <v>Phách Long</v>
          </cell>
          <cell r="Q2010" t="str">
            <v>Kiếm Chi Chiếu Dụ</v>
          </cell>
        </row>
        <row r="2011">
          <cell r="P2011" t="str">
            <v>Phách Long</v>
          </cell>
          <cell r="Q2011" t="str">
            <v>Kiếm Khí Phản Kích</v>
          </cell>
        </row>
        <row r="2012">
          <cell r="P2012" t="str">
            <v>Phách Long</v>
          </cell>
          <cell r="Q2012" t="str">
            <v>Kiếm Khí Phản Kích</v>
          </cell>
        </row>
        <row r="2013">
          <cell r="P2013" t="str">
            <v>Phách Long</v>
          </cell>
          <cell r="Q2013" t="str">
            <v>Kiếm Khí Phản Kích</v>
          </cell>
        </row>
        <row r="2014">
          <cell r="P2014" t="str">
            <v>Phách Long</v>
          </cell>
          <cell r="Q2014" t="str">
            <v>Kiếm Khí Phản Kích</v>
          </cell>
        </row>
        <row r="2015">
          <cell r="P2015" t="str">
            <v>Phách Long</v>
          </cell>
          <cell r="Q2015" t="str">
            <v>Kiếm Khí Phản Kích</v>
          </cell>
        </row>
        <row r="2016">
          <cell r="P2016" t="str">
            <v>Phách Long</v>
          </cell>
          <cell r="Q2016" t="str">
            <v>Kiếm Khí Phản Kích</v>
          </cell>
        </row>
        <row r="2017">
          <cell r="P2017" t="str">
            <v>Phách Long</v>
          </cell>
          <cell r="Q2017" t="str">
            <v>Kiếm Khí Phản Kích</v>
          </cell>
        </row>
        <row r="2018">
          <cell r="P2018" t="str">
            <v>Phách Long</v>
          </cell>
          <cell r="Q2018" t="str">
            <v>Kiếm Khí Phản Kích</v>
          </cell>
        </row>
        <row r="2019">
          <cell r="P2019" t="str">
            <v>Phách Long</v>
          </cell>
          <cell r="Q2019" t="str">
            <v>Kiếm Khí Phản Kích</v>
          </cell>
        </row>
        <row r="2020">
          <cell r="P2020" t="str">
            <v>Phách Long</v>
          </cell>
          <cell r="Q2020" t="str">
            <v>Chân Long Chi Khu</v>
          </cell>
        </row>
        <row r="2021">
          <cell r="P2021" t="str">
            <v>Phách Long</v>
          </cell>
          <cell r="Q2021" t="str">
            <v>Chân Long Chi Khu</v>
          </cell>
        </row>
        <row r="2022">
          <cell r="P2022" t="str">
            <v>Phách Long</v>
          </cell>
          <cell r="Q2022" t="str">
            <v>Chân Long Chi Khu</v>
          </cell>
        </row>
        <row r="2023">
          <cell r="P2023" t="str">
            <v>Phách Long</v>
          </cell>
          <cell r="Q2023" t="str">
            <v>Cực · Chân Long Chi Khu</v>
          </cell>
        </row>
        <row r="2024">
          <cell r="P2024" t="str">
            <v>Phách Long</v>
          </cell>
          <cell r="Q2024" t="str">
            <v>Cực · Chân Long Chi Khu</v>
          </cell>
        </row>
        <row r="2025">
          <cell r="P2025" t="str">
            <v>Phách Long</v>
          </cell>
          <cell r="Q2025" t="str">
            <v>Cực · Chân Long Chi Khu</v>
          </cell>
        </row>
        <row r="2026">
          <cell r="P2026" t="str">
            <v>Phách Long</v>
          </cell>
          <cell r="Q2026" t="str">
            <v>Cự Long Chi Nộ</v>
          </cell>
        </row>
        <row r="2027">
          <cell r="P2027" t="str">
            <v>Phách Long</v>
          </cell>
          <cell r="Q2027" t="str">
            <v>Cự Long Chi Nộ</v>
          </cell>
        </row>
        <row r="2028">
          <cell r="P2028" t="str">
            <v>Phách Long</v>
          </cell>
          <cell r="Q2028" t="str">
            <v>Cự Long Chi Nộ</v>
          </cell>
        </row>
        <row r="2029">
          <cell r="P2029" t="str">
            <v>Phách Long</v>
          </cell>
          <cell r="Q2029" t="str">
            <v>Cự Long Chi Nộ</v>
          </cell>
        </row>
        <row r="2030">
          <cell r="P2030" t="str">
            <v>Phách Long</v>
          </cell>
          <cell r="Q2030" t="str">
            <v>Cự Long Chi Nộ</v>
          </cell>
        </row>
        <row r="2031">
          <cell r="P2031" t="str">
            <v>Phách Long</v>
          </cell>
          <cell r="Q2031" t="str">
            <v>Cự Long Chi Nộ</v>
          </cell>
        </row>
        <row r="2032">
          <cell r="P2032" t="str">
            <v>Phách Long</v>
          </cell>
          <cell r="Q2032" t="str">
            <v>Cự Long Chi Nộ</v>
          </cell>
        </row>
        <row r="2033">
          <cell r="P2033" t="str">
            <v>Phách Long</v>
          </cell>
          <cell r="Q2033" t="str">
            <v>Cự Long Chi Nộ</v>
          </cell>
        </row>
        <row r="2034">
          <cell r="P2034" t="str">
            <v>Phách Long</v>
          </cell>
          <cell r="Q2034" t="str">
            <v>Cự Long Chi Nộ</v>
          </cell>
        </row>
        <row r="2035">
          <cell r="P2035" t="str">
            <v>Phách Long</v>
          </cell>
          <cell r="Q2035" t="str">
            <v>Cự Long Chi Nộ</v>
          </cell>
        </row>
        <row r="2036">
          <cell r="P2036" t="str">
            <v>Phách Long</v>
          </cell>
          <cell r="Q2036" t="str">
            <v>Cự Long Chi Nộ</v>
          </cell>
        </row>
        <row r="2037">
          <cell r="P2037" t="str">
            <v>Phách Long</v>
          </cell>
          <cell r="Q2037" t="str">
            <v>Cự Long Chi Nộ</v>
          </cell>
        </row>
        <row r="2038">
          <cell r="P2038" t="str">
            <v>Phách Long</v>
          </cell>
          <cell r="Q2038" t="str">
            <v>Long Vương Thần Ý</v>
          </cell>
        </row>
        <row r="2039">
          <cell r="P2039" t="str">
            <v>Phách Long</v>
          </cell>
          <cell r="Q2039" t="str">
            <v>Long Vương Thần Ý</v>
          </cell>
        </row>
        <row r="2040">
          <cell r="P2040" t="str">
            <v>Phách Long</v>
          </cell>
          <cell r="Q2040" t="str">
            <v>Long Vương Thần Ý</v>
          </cell>
        </row>
        <row r="2041">
          <cell r="P2041" t="str">
            <v>Phách Long</v>
          </cell>
          <cell r="Q2041" t="str">
            <v>Long Tộc Kiếm Tiên</v>
          </cell>
        </row>
        <row r="2042">
          <cell r="P2042" t="str">
            <v>Phách Long</v>
          </cell>
          <cell r="Q2042" t="str">
            <v>Long Tộc Kiếm Tiên</v>
          </cell>
        </row>
        <row r="2043">
          <cell r="P2043" t="str">
            <v>Phách Long</v>
          </cell>
          <cell r="Q2043" t="str">
            <v>Long Tộc Kiếm Tiên</v>
          </cell>
        </row>
        <row r="2044">
          <cell r="P2044" t="str">
            <v>Phách Long</v>
          </cell>
          <cell r="Q2044" t="str">
            <v>Cường Hóa Kiếm Chi Chiếu Dụ</v>
          </cell>
        </row>
        <row r="2045">
          <cell r="P2045" t="str">
            <v>Phách Long</v>
          </cell>
          <cell r="Q2045" t="str">
            <v>Cường Hóa Kiếm Chi Chiếu Dụ</v>
          </cell>
        </row>
        <row r="2046">
          <cell r="P2046" t="str">
            <v>Phách Long</v>
          </cell>
          <cell r="Q2046" t="str">
            <v>Cường Hóa Kiếm Chi Chiếu Dụ</v>
          </cell>
        </row>
        <row r="2047">
          <cell r="P2047" t="str">
            <v>Phách Long</v>
          </cell>
          <cell r="Q2047" t="str">
            <v>Kiếm Cương</v>
          </cell>
        </row>
        <row r="2048">
          <cell r="P2048" t="str">
            <v>Phách Long</v>
          </cell>
          <cell r="Q2048" t="str">
            <v>Kiếm Cương</v>
          </cell>
        </row>
        <row r="2049">
          <cell r="P2049" t="str">
            <v>Phách Long</v>
          </cell>
          <cell r="Q2049" t="str">
            <v>Kiếm Cương</v>
          </cell>
        </row>
        <row r="2050">
          <cell r="P2050" t="str">
            <v>Phách Long</v>
          </cell>
          <cell r="Q2050" t="str">
            <v>Kiếm Cương Phản Kích</v>
          </cell>
        </row>
        <row r="2051">
          <cell r="P2051" t="str">
            <v>Phách Long</v>
          </cell>
          <cell r="Q2051" t="str">
            <v>Kiếm Cương Phản Kích</v>
          </cell>
        </row>
        <row r="2052">
          <cell r="P2052" t="str">
            <v>Phách Long</v>
          </cell>
          <cell r="Q2052" t="str">
            <v>Kiếm Cương Phản Kích</v>
          </cell>
        </row>
        <row r="2053">
          <cell r="P2053" t="str">
            <v>Tây Vương Mẫu</v>
          </cell>
          <cell r="Q2053" t="str">
            <v>Phổ Công</v>
          </cell>
        </row>
        <row r="2054">
          <cell r="P2054" t="str">
            <v>Tây Vương Mẫu</v>
          </cell>
          <cell r="Q2054" t="str">
            <v>Dẫn Lôi Ngũ Thức</v>
          </cell>
        </row>
        <row r="2055">
          <cell r="P2055" t="str">
            <v>Tây Vương Mẫu</v>
          </cell>
          <cell r="Q2055" t="str">
            <v>Dẫn Lôi Ngũ Thức</v>
          </cell>
        </row>
        <row r="2056">
          <cell r="P2056" t="str">
            <v>Tây Vương Mẫu</v>
          </cell>
          <cell r="Q2056" t="str">
            <v>Dẫn Lôi Ngũ Thức</v>
          </cell>
        </row>
        <row r="2057">
          <cell r="P2057" t="str">
            <v>Tây Vương Mẫu</v>
          </cell>
          <cell r="Q2057" t="str">
            <v>Dẫn Lôi Ngũ Thức</v>
          </cell>
        </row>
        <row r="2058">
          <cell r="P2058" t="str">
            <v>Tây Vương Mẫu</v>
          </cell>
          <cell r="Q2058" t="str">
            <v>Dẫn Lôi Ngũ Thức</v>
          </cell>
        </row>
        <row r="2059">
          <cell r="P2059" t="str">
            <v>Tây Vương Mẫu</v>
          </cell>
          <cell r="Q2059" t="str">
            <v>Dẫn Lôi Ngũ Thức</v>
          </cell>
        </row>
        <row r="2060">
          <cell r="P2060" t="str">
            <v>Tây Vương Mẫu</v>
          </cell>
          <cell r="Q2060" t="str">
            <v>Dẫn Lôi Ngũ Thức</v>
          </cell>
        </row>
        <row r="2061">
          <cell r="P2061" t="str">
            <v>Tây Vương Mẫu</v>
          </cell>
          <cell r="Q2061" t="str">
            <v>Dẫn Lôi Ngũ Thức</v>
          </cell>
        </row>
        <row r="2062">
          <cell r="P2062" t="str">
            <v>Tây Vương Mẫu</v>
          </cell>
          <cell r="Q2062" t="str">
            <v>Dẫn Lôi Ngũ Thức</v>
          </cell>
        </row>
        <row r="2063">
          <cell r="P2063" t="str">
            <v>Tây Vương Mẫu</v>
          </cell>
          <cell r="Q2063" t="str">
            <v>Dẫn Lôi Ngũ Thức</v>
          </cell>
        </row>
        <row r="2064">
          <cell r="P2064" t="str">
            <v>Tây Vương Mẫu</v>
          </cell>
          <cell r="Q2064" t="str">
            <v>Dẫn Lôi Ngũ Thức</v>
          </cell>
        </row>
        <row r="2065">
          <cell r="P2065" t="str">
            <v>Tây Vương Mẫu</v>
          </cell>
          <cell r="Q2065" t="str">
            <v>Dẫn Lôi Ngũ Thức</v>
          </cell>
        </row>
        <row r="2066">
          <cell r="P2066" t="str">
            <v>Tây Vương Mẫu</v>
          </cell>
          <cell r="Q2066" t="str">
            <v>Dẫn Lôi Ngũ Thức</v>
          </cell>
        </row>
        <row r="2067">
          <cell r="P2067" t="str">
            <v>Tây Vương Mẫu</v>
          </cell>
          <cell r="Q2067" t="str">
            <v>Dẫn Lôi Ngũ Thức</v>
          </cell>
        </row>
        <row r="2068">
          <cell r="P2068" t="str">
            <v>Tây Vương Mẫu</v>
          </cell>
          <cell r="Q2068" t="str">
            <v>Dẫn Lôi Ngũ Thức</v>
          </cell>
        </row>
        <row r="2069">
          <cell r="P2069" t="str">
            <v>Tây Vương Mẫu</v>
          </cell>
          <cell r="Q2069" t="str">
            <v>Dẫn Lôi Ngũ Thức</v>
          </cell>
        </row>
        <row r="2070">
          <cell r="P2070" t="str">
            <v>Tây Vương Mẫu</v>
          </cell>
          <cell r="Q2070" t="str">
            <v>Dẫn Lôi Ngũ Thức</v>
          </cell>
        </row>
        <row r="2071">
          <cell r="P2071" t="str">
            <v>Tây Vương Mẫu</v>
          </cell>
          <cell r="Q2071" t="str">
            <v>Dẫn Lôi Ngũ Thức</v>
          </cell>
        </row>
        <row r="2072">
          <cell r="P2072" t="str">
            <v>Tây Vương Mẫu</v>
          </cell>
          <cell r="Q2072" t="str">
            <v>Dẫn Lôi Ngũ Thức</v>
          </cell>
        </row>
        <row r="2073">
          <cell r="P2073" t="str">
            <v>Tây Vương Mẫu</v>
          </cell>
          <cell r="Q2073" t="str">
            <v>Dẫn Lôi Ngũ Thức</v>
          </cell>
        </row>
        <row r="2074">
          <cell r="P2074" t="str">
            <v>Tây Vương Mẫu</v>
          </cell>
          <cell r="Q2074" t="str">
            <v>Dẫn Lôi Ngũ Thức</v>
          </cell>
        </row>
        <row r="2075">
          <cell r="P2075" t="str">
            <v>Tây Vương Mẫu</v>
          </cell>
          <cell r="Q2075" t="str">
            <v>Lôi Nguyên Thối Thể</v>
          </cell>
        </row>
        <row r="2076">
          <cell r="P2076" t="str">
            <v>Tây Vương Mẫu</v>
          </cell>
          <cell r="Q2076" t="str">
            <v>Lôi Nguyên Thối Thể</v>
          </cell>
        </row>
        <row r="2077">
          <cell r="P2077" t="str">
            <v>Tây Vương Mẫu</v>
          </cell>
          <cell r="Q2077" t="str">
            <v>Lôi Nguyên Thối Thể</v>
          </cell>
        </row>
        <row r="2078">
          <cell r="P2078" t="str">
            <v>Tây Vương Mẫu</v>
          </cell>
          <cell r="Q2078" t="str">
            <v>Cực · Lôi Nguyên Thối Thể</v>
          </cell>
        </row>
        <row r="2079">
          <cell r="P2079" t="str">
            <v>Tây Vương Mẫu</v>
          </cell>
          <cell r="Q2079" t="str">
            <v>Cực · Lôi Nguyên Thối Thể</v>
          </cell>
        </row>
        <row r="2080">
          <cell r="P2080" t="str">
            <v>Tây Vương Mẫu</v>
          </cell>
          <cell r="Q2080" t="str">
            <v>Cực · Lôi Nguyên Thối Thể</v>
          </cell>
        </row>
        <row r="2081">
          <cell r="P2081" t="str">
            <v>Tây Vương Mẫu</v>
          </cell>
          <cell r="Q2081" t="str">
            <v>Kim Luân Xuyên Toa</v>
          </cell>
        </row>
        <row r="2082">
          <cell r="P2082" t="str">
            <v>Tây Vương Mẫu</v>
          </cell>
          <cell r="Q2082" t="str">
            <v>Kim Luân Xuyên Toa</v>
          </cell>
        </row>
        <row r="2083">
          <cell r="P2083" t="str">
            <v>Tây Vương Mẫu</v>
          </cell>
          <cell r="Q2083" t="str">
            <v>Kim Luân Xuyên Toa</v>
          </cell>
        </row>
        <row r="2084">
          <cell r="P2084" t="str">
            <v>Tây Vương Mẫu</v>
          </cell>
          <cell r="Q2084" t="str">
            <v>Kim Luân Xuyên Toa</v>
          </cell>
        </row>
        <row r="2085">
          <cell r="P2085" t="str">
            <v>Tây Vương Mẫu</v>
          </cell>
          <cell r="Q2085" t="str">
            <v>Kim Luân Xuyên Toa</v>
          </cell>
        </row>
        <row r="2086">
          <cell r="P2086" t="str">
            <v>Tây Vương Mẫu</v>
          </cell>
          <cell r="Q2086" t="str">
            <v>Kim Luân Xuyên Toa</v>
          </cell>
        </row>
        <row r="2087">
          <cell r="P2087" t="str">
            <v>Tây Vương Mẫu</v>
          </cell>
          <cell r="Q2087" t="str">
            <v>Kim Luân Xuyên Toa</v>
          </cell>
        </row>
        <row r="2088">
          <cell r="P2088" t="str">
            <v>Tây Vương Mẫu</v>
          </cell>
          <cell r="Q2088" t="str">
            <v>Kim Luân Xuyên Toa</v>
          </cell>
        </row>
        <row r="2089">
          <cell r="P2089" t="str">
            <v>Tây Vương Mẫu</v>
          </cell>
          <cell r="Q2089" t="str">
            <v>Kim Luân Xuyên Toa</v>
          </cell>
        </row>
        <row r="2090">
          <cell r="P2090" t="str">
            <v>Tây Vương Mẫu</v>
          </cell>
          <cell r="Q2090" t="str">
            <v>Già Tế Thiên Cơ</v>
          </cell>
        </row>
        <row r="2091">
          <cell r="P2091" t="str">
            <v>Tây Vương Mẫu</v>
          </cell>
          <cell r="Q2091" t="str">
            <v>Già Tế Thiên Cơ</v>
          </cell>
        </row>
        <row r="2092">
          <cell r="P2092" t="str">
            <v>Tây Vương Mẫu</v>
          </cell>
          <cell r="Q2092" t="str">
            <v>Già Tế Thiên Cơ</v>
          </cell>
        </row>
        <row r="2093">
          <cell r="P2093" t="str">
            <v>Tây Vương Mẫu</v>
          </cell>
          <cell r="Q2093" t="str">
            <v>Nhất Tuyến Lôi</v>
          </cell>
        </row>
        <row r="2094">
          <cell r="P2094" t="str">
            <v>Tây Vương Mẫu</v>
          </cell>
          <cell r="Q2094" t="str">
            <v>Nhất Tuyến Lôi</v>
          </cell>
        </row>
        <row r="2095">
          <cell r="P2095" t="str">
            <v>Tây Vương Mẫu</v>
          </cell>
          <cell r="Q2095" t="str">
            <v>Nhất Tuyến Lôi</v>
          </cell>
        </row>
        <row r="2096">
          <cell r="P2096" t="str">
            <v>Tây Vương Mẫu</v>
          </cell>
          <cell r="Q2096" t="str">
            <v>Thương Lôi Hồi Hưởng</v>
          </cell>
        </row>
        <row r="2097">
          <cell r="P2097" t="str">
            <v>Tây Vương Mẫu</v>
          </cell>
          <cell r="Q2097" t="str">
            <v>Thương Lôi Hồi Hưởng</v>
          </cell>
        </row>
        <row r="2098">
          <cell r="P2098" t="str">
            <v>Tây Vương Mẫu</v>
          </cell>
          <cell r="Q2098" t="str">
            <v>Thương Lôi Hồi Hưởng</v>
          </cell>
        </row>
        <row r="2099">
          <cell r="P2099" t="str">
            <v>Tây Vương Mẫu</v>
          </cell>
          <cell r="Q2099" t="str">
            <v>Thương Lôi Hồi Hưởng</v>
          </cell>
        </row>
        <row r="2100">
          <cell r="P2100" t="str">
            <v>Tây Vương Mẫu</v>
          </cell>
          <cell r="Q2100" t="str">
            <v>Thương Lôi Hồi Hưởng</v>
          </cell>
        </row>
        <row r="2101">
          <cell r="P2101" t="str">
            <v>Tây Vương Mẫu</v>
          </cell>
          <cell r="Q2101" t="str">
            <v>Thương Lôi Hồi Hưởng</v>
          </cell>
        </row>
        <row r="2102">
          <cell r="P2102" t="str">
            <v>Tây Vương Mẫu</v>
          </cell>
          <cell r="Q2102" t="str">
            <v>Thương Lôi Hồi Hưởng</v>
          </cell>
        </row>
        <row r="2103">
          <cell r="P2103" t="str">
            <v>Tây Vương Mẫu</v>
          </cell>
          <cell r="Q2103" t="str">
            <v>Thương Lôi Hồi Hưởng</v>
          </cell>
        </row>
        <row r="2104">
          <cell r="P2104" t="str">
            <v>Tây Vương Mẫu</v>
          </cell>
          <cell r="Q2104" t="str">
            <v>Thương Lôi Hồi Hưởng</v>
          </cell>
        </row>
        <row r="2105">
          <cell r="P2105" t="str">
            <v>Tây Vương Mẫu</v>
          </cell>
          <cell r="Q2105" t="str">
            <v>Thương Lôi Hồi Hưởng</v>
          </cell>
        </row>
        <row r="2106">
          <cell r="P2106" t="str">
            <v>Tây Vương Mẫu</v>
          </cell>
          <cell r="Q2106" t="str">
            <v>Thương Lôi Hồi Hưởng</v>
          </cell>
        </row>
        <row r="2107">
          <cell r="P2107" t="str">
            <v>Tây Vương Mẫu</v>
          </cell>
          <cell r="Q2107" t="str">
            <v>Ký Thọ Vĩnh Xương</v>
          </cell>
        </row>
        <row r="2108">
          <cell r="P2108" t="str">
            <v>Tây Vương Mẫu</v>
          </cell>
          <cell r="Q2108" t="str">
            <v>Ký Thọ Vĩnh Xương</v>
          </cell>
        </row>
        <row r="2109">
          <cell r="P2109" t="str">
            <v>Tây Vương Mẫu</v>
          </cell>
          <cell r="Q2109" t="str">
            <v>Ký Thọ Vĩnh Xương</v>
          </cell>
        </row>
        <row r="2110">
          <cell r="P2110" t="str">
            <v>Tây Vương Mẫu</v>
          </cell>
          <cell r="Q2110" t="str">
            <v>Ký Thọ Vĩnh Xương</v>
          </cell>
        </row>
        <row r="2111">
          <cell r="P2111" t="str">
            <v>Tây Vương Mẫu</v>
          </cell>
          <cell r="Q2111" t="str">
            <v>Ký Thọ Vĩnh Xương</v>
          </cell>
        </row>
        <row r="2112">
          <cell r="P2112" t="str">
            <v>Tây Vương Mẫu</v>
          </cell>
          <cell r="Q2112" t="str">
            <v>Ký Thọ Vĩnh Xương</v>
          </cell>
        </row>
        <row r="2113">
          <cell r="P2113" t="str">
            <v>Tây Vương Mẫu</v>
          </cell>
          <cell r="Q2113" t="str">
            <v>Ký Thọ Vĩnh Xương</v>
          </cell>
        </row>
        <row r="2114">
          <cell r="P2114" t="str">
            <v>Tây Vương Mẫu</v>
          </cell>
          <cell r="Q2114" t="str">
            <v>Ký Thọ Vĩnh Xương</v>
          </cell>
        </row>
        <row r="2115">
          <cell r="P2115" t="str">
            <v>Tây Vương Mẫu</v>
          </cell>
          <cell r="Q2115" t="str">
            <v>Ký Thọ Vĩnh Xương</v>
          </cell>
        </row>
        <row r="2116">
          <cell r="P2116" t="str">
            <v>Tây Vương Mẫu</v>
          </cell>
          <cell r="Q2116" t="str">
            <v>Ký Thọ Vĩnh Xương</v>
          </cell>
        </row>
        <row r="2117">
          <cell r="P2117" t="str">
            <v>Mai Liễu Chân</v>
          </cell>
          <cell r="Q2117" t="str">
            <v>Phổ Công</v>
          </cell>
        </row>
        <row r="2118">
          <cell r="P2118" t="str">
            <v>Mai Liễu Chân</v>
          </cell>
          <cell r="Q2118" t="str">
            <v>Phổ Công</v>
          </cell>
        </row>
        <row r="2119">
          <cell r="P2119" t="str">
            <v>Mai Liễu Chân</v>
          </cell>
          <cell r="Q2119" t="str">
            <v>Phổ Công</v>
          </cell>
        </row>
        <row r="2120">
          <cell r="P2120" t="str">
            <v>Mai Liễu Chân</v>
          </cell>
          <cell r="Q2120" t="str">
            <v>Thoát Hồn Tam Thỉ</v>
          </cell>
        </row>
        <row r="2121">
          <cell r="P2121" t="str">
            <v>Mai Liễu Chân</v>
          </cell>
          <cell r="Q2121" t="str">
            <v>Thoát Hồn Tam Thỉ</v>
          </cell>
        </row>
        <row r="2122">
          <cell r="P2122" t="str">
            <v>Mai Liễu Chân</v>
          </cell>
          <cell r="Q2122" t="str">
            <v>Thoát Hồn Tam Thỉ</v>
          </cell>
        </row>
        <row r="2123">
          <cell r="P2123" t="str">
            <v>Mai Liễu Chân</v>
          </cell>
          <cell r="Q2123" t="str">
            <v>Thoát Hồn Tam Thỉ</v>
          </cell>
        </row>
        <row r="2124">
          <cell r="P2124" t="str">
            <v>Mai Liễu Chân</v>
          </cell>
          <cell r="Q2124" t="str">
            <v>Thoát Hồn Tam Thỉ</v>
          </cell>
        </row>
        <row r="2125">
          <cell r="P2125" t="str">
            <v>Mai Liễu Chân</v>
          </cell>
          <cell r="Q2125" t="str">
            <v>Thoát Hồn Tam Thỉ</v>
          </cell>
        </row>
        <row r="2126">
          <cell r="P2126" t="str">
            <v>Mai Liễu Chân</v>
          </cell>
          <cell r="Q2126" t="str">
            <v>Thoát Hồn Tam Thỉ</v>
          </cell>
        </row>
        <row r="2127">
          <cell r="P2127" t="str">
            <v>Mai Liễu Chân</v>
          </cell>
          <cell r="Q2127" t="str">
            <v>Thoát Hồn Tam Thỉ</v>
          </cell>
        </row>
        <row r="2128">
          <cell r="P2128" t="str">
            <v>Mai Liễu Chân</v>
          </cell>
          <cell r="Q2128" t="str">
            <v>Thoát Hồn Tam Thỉ</v>
          </cell>
        </row>
        <row r="2129">
          <cell r="P2129" t="str">
            <v>Mai Liễu Chân</v>
          </cell>
          <cell r="Q2129" t="str">
            <v>Thoát Hồn Tam Thỉ</v>
          </cell>
        </row>
        <row r="2130">
          <cell r="P2130" t="str">
            <v>Mai Liễu Chân</v>
          </cell>
          <cell r="Q2130" t="str">
            <v>Thoát Hồn Tam Thỉ</v>
          </cell>
        </row>
        <row r="2131">
          <cell r="P2131" t="str">
            <v>Mai Liễu Chân</v>
          </cell>
          <cell r="Q2131" t="str">
            <v>Thoát Hồn Tam Thỉ</v>
          </cell>
        </row>
        <row r="2132">
          <cell r="P2132" t="str">
            <v>Mai Liễu Chân</v>
          </cell>
          <cell r="Q2132" t="str">
            <v>Thoát Hồn Tam Thỉ</v>
          </cell>
        </row>
        <row r="2133">
          <cell r="P2133" t="str">
            <v>Mai Liễu Chân</v>
          </cell>
          <cell r="Q2133" t="str">
            <v>Thoát Hồn Tam Thỉ</v>
          </cell>
        </row>
        <row r="2134">
          <cell r="P2134" t="str">
            <v>Mai Liễu Chân</v>
          </cell>
          <cell r="Q2134" t="str">
            <v>Thoát Hồn Tam Thỉ</v>
          </cell>
        </row>
        <row r="2135">
          <cell r="P2135" t="str">
            <v>Mai Liễu Chân</v>
          </cell>
          <cell r="Q2135" t="str">
            <v>Tiễn Sĩ Thể Phách</v>
          </cell>
        </row>
        <row r="2136">
          <cell r="P2136" t="str">
            <v>Mai Liễu Chân</v>
          </cell>
          <cell r="Q2136" t="str">
            <v>Tiễn Sĩ Thể Phách</v>
          </cell>
        </row>
        <row r="2137">
          <cell r="P2137" t="str">
            <v>Mai Liễu Chân</v>
          </cell>
          <cell r="Q2137" t="str">
            <v>Tiễn Sĩ Thể Phách</v>
          </cell>
        </row>
        <row r="2138">
          <cell r="P2138" t="str">
            <v>Mai Liễu Chân</v>
          </cell>
          <cell r="Q2138" t="str">
            <v>Cực · Tiễn Sĩ Thể Phách</v>
          </cell>
        </row>
        <row r="2139">
          <cell r="P2139" t="str">
            <v>Mai Liễu Chân</v>
          </cell>
          <cell r="Q2139" t="str">
            <v>Cực · Tiễn Sĩ Thể Phách</v>
          </cell>
        </row>
        <row r="2140">
          <cell r="P2140" t="str">
            <v>Mai Liễu Chân</v>
          </cell>
          <cell r="Q2140" t="str">
            <v>Cực · Tiễn Sĩ Thể Phách</v>
          </cell>
        </row>
        <row r="2141">
          <cell r="P2141" t="str">
            <v>Mai Liễu Chân</v>
          </cell>
          <cell r="Q2141" t="str">
            <v>Xuyên Vân Tiễn</v>
          </cell>
        </row>
        <row r="2142">
          <cell r="P2142" t="str">
            <v>Mai Liễu Chân</v>
          </cell>
          <cell r="Q2142" t="str">
            <v>Xuyên Vân Tiễn</v>
          </cell>
        </row>
        <row r="2143">
          <cell r="P2143" t="str">
            <v>Mai Liễu Chân</v>
          </cell>
          <cell r="Q2143" t="str">
            <v>Xuyên Vân Tiễn</v>
          </cell>
        </row>
        <row r="2144">
          <cell r="P2144" t="str">
            <v>Mai Liễu Chân</v>
          </cell>
          <cell r="Q2144" t="str">
            <v>Xuyên Vân Tiễn</v>
          </cell>
        </row>
        <row r="2145">
          <cell r="P2145" t="str">
            <v>Mai Liễu Chân</v>
          </cell>
          <cell r="Q2145" t="str">
            <v>Xuyên Vân Tiễn</v>
          </cell>
        </row>
        <row r="2146">
          <cell r="P2146" t="str">
            <v>Mai Liễu Chân</v>
          </cell>
          <cell r="Q2146" t="str">
            <v>Xuyên Vân Tiễn</v>
          </cell>
        </row>
        <row r="2147">
          <cell r="P2147" t="str">
            <v>Mai Liễu Chân</v>
          </cell>
          <cell r="Q2147" t="str">
            <v>Xuyên Vân Tiễn</v>
          </cell>
        </row>
        <row r="2148">
          <cell r="P2148" t="str">
            <v>Mai Liễu Chân</v>
          </cell>
          <cell r="Q2148" t="str">
            <v>Xuyên Vân Tiễn</v>
          </cell>
        </row>
        <row r="2149">
          <cell r="P2149" t="str">
            <v>Mai Liễu Chân</v>
          </cell>
          <cell r="Q2149" t="str">
            <v>Xuyên Vân Tiễn</v>
          </cell>
        </row>
        <row r="2150">
          <cell r="P2150" t="str">
            <v>Mai Liễu Chân</v>
          </cell>
          <cell r="Q2150" t="str">
            <v>Tiêu Ký</v>
          </cell>
        </row>
        <row r="2151">
          <cell r="P2151" t="str">
            <v>Mai Liễu Chân</v>
          </cell>
          <cell r="Q2151" t="str">
            <v>Tiêu Ký</v>
          </cell>
        </row>
        <row r="2152">
          <cell r="P2152" t="str">
            <v>Mai Liễu Chân</v>
          </cell>
          <cell r="Q2152" t="str">
            <v>Tiêu Ký</v>
          </cell>
        </row>
        <row r="2153">
          <cell r="P2153" t="str">
            <v>Mai Liễu Chân</v>
          </cell>
          <cell r="Q2153" t="str">
            <v>Giác Tỉnh</v>
          </cell>
        </row>
        <row r="2154">
          <cell r="P2154" t="str">
            <v>Mai Liễu Chân</v>
          </cell>
          <cell r="Q2154" t="str">
            <v>Giác Tỉnh</v>
          </cell>
        </row>
        <row r="2155">
          <cell r="P2155" t="str">
            <v>Mai Liễu Chân</v>
          </cell>
          <cell r="Q2155" t="str">
            <v>Giác Tỉnh</v>
          </cell>
        </row>
        <row r="2156">
          <cell r="P2156" t="str">
            <v>Mai Liễu Chân</v>
          </cell>
          <cell r="Q2156" t="str">
            <v>Thần Lực Gia Trì</v>
          </cell>
        </row>
        <row r="2157">
          <cell r="P2157" t="str">
            <v>Mai Liễu Chân</v>
          </cell>
          <cell r="Q2157" t="str">
            <v>Thần Lực Gia Trì</v>
          </cell>
        </row>
        <row r="2158">
          <cell r="P2158" t="str">
            <v>Mai Liễu Chân</v>
          </cell>
          <cell r="Q2158" t="str">
            <v>Thần Lực Gia Trì</v>
          </cell>
        </row>
        <row r="2159">
          <cell r="P2159" t="str">
            <v>Mai Liễu Chân</v>
          </cell>
          <cell r="Q2159" t="str">
            <v>Xuyên Vân Tiễn</v>
          </cell>
        </row>
        <row r="2160">
          <cell r="P2160" t="str">
            <v>Mai Liễu Chân</v>
          </cell>
          <cell r="Q2160" t="str">
            <v>Xuyên Vân Tiễn</v>
          </cell>
        </row>
        <row r="2161">
          <cell r="P2161" t="str">
            <v>Mai Liễu Chân</v>
          </cell>
          <cell r="Q2161" t="str">
            <v>Xuyên Vân Tiễn</v>
          </cell>
        </row>
        <row r="2162">
          <cell r="P2162" t="str">
            <v>Mai Liễu Chân</v>
          </cell>
          <cell r="Q2162" t="str">
            <v>Xuyên Vân Tiễn</v>
          </cell>
        </row>
        <row r="2163">
          <cell r="P2163" t="str">
            <v>Mai Liễu Chân</v>
          </cell>
          <cell r="Q2163" t="str">
            <v>Xuyên Vân Tiễn</v>
          </cell>
        </row>
        <row r="2164">
          <cell r="P2164" t="str">
            <v>Mai Liễu Chân</v>
          </cell>
          <cell r="Q2164" t="str">
            <v>Xuyên Vân Tiễn</v>
          </cell>
        </row>
        <row r="2165">
          <cell r="P2165" t="str">
            <v>Mai Liễu Chân</v>
          </cell>
          <cell r="Q2165" t="str">
            <v>Xuyên Vân Tiễn</v>
          </cell>
        </row>
        <row r="2166">
          <cell r="P2166" t="str">
            <v>Mai Liễu Chân</v>
          </cell>
          <cell r="Q2166" t="str">
            <v>Xuyên Vân Tiễn</v>
          </cell>
        </row>
        <row r="2167">
          <cell r="P2167" t="str">
            <v>Mai Liễu Chân</v>
          </cell>
          <cell r="Q2167" t="str">
            <v>Xuyên Vân Tiễn</v>
          </cell>
        </row>
        <row r="2168">
          <cell r="P2168" t="str">
            <v>Hồng Quân</v>
          </cell>
          <cell r="Q2168" t="str">
            <v>Phổ Công</v>
          </cell>
        </row>
        <row r="2169">
          <cell r="P2169" t="str">
            <v>Hồng Quân</v>
          </cell>
          <cell r="Q2169" t="str">
            <v>Đại Nhân Quả Thuật</v>
          </cell>
        </row>
        <row r="2170">
          <cell r="P2170" t="str">
            <v>Hồng Quân</v>
          </cell>
          <cell r="Q2170" t="str">
            <v>Đại Nhân Quả Thuật</v>
          </cell>
        </row>
        <row r="2171">
          <cell r="P2171" t="str">
            <v>Hồng Quân</v>
          </cell>
          <cell r="Q2171" t="str">
            <v>Đại Nhân Quả Thuật</v>
          </cell>
        </row>
        <row r="2172">
          <cell r="P2172" t="str">
            <v>Hồng Quân</v>
          </cell>
          <cell r="Q2172" t="str">
            <v>Vạn Kiếp Thánh Thể</v>
          </cell>
        </row>
        <row r="2173">
          <cell r="P2173" t="str">
            <v>Hồng Quân</v>
          </cell>
          <cell r="Q2173" t="str">
            <v>Vạn Kiếp Thánh Thể</v>
          </cell>
        </row>
        <row r="2174">
          <cell r="P2174" t="str">
            <v>Hồng Quân</v>
          </cell>
          <cell r="Q2174" t="str">
            <v>Vạn Kiếp Thánh Thể</v>
          </cell>
        </row>
        <row r="2175">
          <cell r="P2175" t="str">
            <v>Hồng Quân</v>
          </cell>
          <cell r="Q2175" t="str">
            <v>Cực · Vạn Kiếp Thánh Thể</v>
          </cell>
        </row>
        <row r="2176">
          <cell r="P2176" t="str">
            <v>Hồng Quân</v>
          </cell>
          <cell r="Q2176" t="str">
            <v>Cực · Vạn Kiếp Thánh Thể</v>
          </cell>
        </row>
        <row r="2177">
          <cell r="P2177" t="str">
            <v>Hồng Quân</v>
          </cell>
          <cell r="Q2177" t="str">
            <v>Cực · Vạn Kiếp Thánh Thể</v>
          </cell>
        </row>
        <row r="2178">
          <cell r="P2178" t="str">
            <v>Hồng Quân</v>
          </cell>
          <cell r="Q2178" t="str">
            <v>Hỗn Nguyên Kiếm Trận</v>
          </cell>
        </row>
        <row r="2179">
          <cell r="P2179" t="str">
            <v>Hồng Quân</v>
          </cell>
          <cell r="Q2179" t="str">
            <v>Hỗn Nguyên Kiếm Trận</v>
          </cell>
        </row>
        <row r="2180">
          <cell r="P2180" t="str">
            <v>Hồng Quân</v>
          </cell>
          <cell r="Q2180" t="str">
            <v>Hỗn Nguyên Kiếm Trận</v>
          </cell>
        </row>
        <row r="2181">
          <cell r="P2181" t="str">
            <v>Hồng Quân</v>
          </cell>
          <cell r="Q2181" t="str">
            <v>Thiên Nộ Thần Phạt</v>
          </cell>
        </row>
        <row r="2182">
          <cell r="P2182" t="str">
            <v>Hồng Quân</v>
          </cell>
          <cell r="Q2182" t="str">
            <v>Thiên Nộ Thần Phạt</v>
          </cell>
        </row>
        <row r="2183">
          <cell r="P2183" t="str">
            <v>Hồng Quân</v>
          </cell>
          <cell r="Q2183" t="str">
            <v>Thiên Nộ Thần Phạt</v>
          </cell>
        </row>
        <row r="2184">
          <cell r="P2184" t="str">
            <v>Hồng Quân</v>
          </cell>
          <cell r="Q2184" t="str">
            <v>Tam Giới Bất Phược</v>
          </cell>
        </row>
        <row r="2185">
          <cell r="P2185" t="str">
            <v>Hồng Quân</v>
          </cell>
          <cell r="Q2185" t="str">
            <v>Tam Giới Bất Phược</v>
          </cell>
        </row>
        <row r="2186">
          <cell r="P2186" t="str">
            <v>Hồng Quân</v>
          </cell>
          <cell r="Q2186" t="str">
            <v>Tam Giới Bất Phược</v>
          </cell>
        </row>
        <row r="2187">
          <cell r="P2187" t="str">
            <v>Hồng Quân</v>
          </cell>
          <cell r="Q2187" t="str">
            <v>Đại Nhân Quả Thuật</v>
          </cell>
        </row>
        <row r="2188">
          <cell r="P2188" t="str">
            <v>Hồng Quân</v>
          </cell>
          <cell r="Q2188" t="str">
            <v>Đại Nhân Quả Thuật</v>
          </cell>
        </row>
        <row r="2189">
          <cell r="P2189" t="str">
            <v>Hồng Quân</v>
          </cell>
          <cell r="Q2189" t="str">
            <v>Công Tham Tạo Hóa</v>
          </cell>
        </row>
        <row r="2190">
          <cell r="P2190" t="str">
            <v>Hồng Quân</v>
          </cell>
          <cell r="Q2190" t="str">
            <v>Công Tham Tạo Hóa</v>
          </cell>
        </row>
        <row r="2191">
          <cell r="P2191" t="str">
            <v>Hồng Quân</v>
          </cell>
          <cell r="Q2191" t="str">
            <v>Công Tham Tạo Hóa</v>
          </cell>
        </row>
        <row r="2192">
          <cell r="P2192" t="str">
            <v>Giao Cơ</v>
          </cell>
          <cell r="Q2192" t="str">
            <v>Phổ Công</v>
          </cell>
        </row>
        <row r="2193">
          <cell r="P2193" t="str">
            <v>Giao Cơ</v>
          </cell>
          <cell r="Q2193" t="str">
            <v>Sinh Mệnh Chi Triều</v>
          </cell>
        </row>
        <row r="2194">
          <cell r="P2194" t="str">
            <v>Giao Cơ</v>
          </cell>
          <cell r="Q2194" t="str">
            <v>Ngự Thủy</v>
          </cell>
        </row>
        <row r="2195">
          <cell r="P2195" t="str">
            <v>Tham Lang</v>
          </cell>
          <cell r="Q2195" t="str">
            <v>Ngưu Đầu</v>
          </cell>
        </row>
        <row r="2196">
          <cell r="P2196" t="str">
            <v>Tham Lang</v>
          </cell>
          <cell r="Q2196" t="str">
            <v>Ngưu Đầu</v>
          </cell>
        </row>
        <row r="2197">
          <cell r="P2197" t="str">
            <v>Tham Lang</v>
          </cell>
          <cell r="Q2197" t="str">
            <v>Ngưu Đầu</v>
          </cell>
        </row>
        <row r="2198">
          <cell r="P2198" t="str">
            <v>Tham Lang</v>
          </cell>
          <cell r="Q2198" t="str">
            <v>Ngưu Đầu</v>
          </cell>
        </row>
        <row r="2199">
          <cell r="P2199" t="str">
            <v>Phá Quân</v>
          </cell>
          <cell r="Q2199" t="str">
            <v>Phổ Công</v>
          </cell>
        </row>
        <row r="2200">
          <cell r="P2200" t="str">
            <v>Phá Quân</v>
          </cell>
          <cell r="Q2200" t="str">
            <v>Cường Lực Thuẫn Kích</v>
          </cell>
        </row>
        <row r="2201">
          <cell r="P2201" t="str">
            <v>Phá Quân</v>
          </cell>
          <cell r="Q2201" t="str">
            <v>Phòng Ngự Đại Sư</v>
          </cell>
        </row>
        <row r="2202">
          <cell r="P2202" t="str">
            <v>Phá Quân</v>
          </cell>
          <cell r="Q2202" t="str">
            <v>Phòng Hộ Kết Giới</v>
          </cell>
        </row>
        <row r="2203">
          <cell r="P2203" t="str">
            <v>Hắc Vô Thường</v>
          </cell>
          <cell r="Q2203" t="str">
            <v>Phổ Công</v>
          </cell>
        </row>
        <row r="2204">
          <cell r="P2204" t="str">
            <v>Hắc Vô Thường</v>
          </cell>
          <cell r="Q2204" t="str">
            <v>Câu Hồn</v>
          </cell>
        </row>
        <row r="2205">
          <cell r="P2205" t="str">
            <v>Hắc Vô Thường</v>
          </cell>
          <cell r="Q2205" t="str">
            <v>Vô Cữu</v>
          </cell>
        </row>
        <row r="2206">
          <cell r="P2206" t="str">
            <v>Hắc Vô Thường</v>
          </cell>
          <cell r="Q2206" t="str">
            <v>Tiêu Cốt</v>
          </cell>
        </row>
        <row r="2207">
          <cell r="P2207" t="str">
            <v>Bạch Vô Thường</v>
          </cell>
          <cell r="Q2207" t="str">
            <v>Phổ Công</v>
          </cell>
        </row>
        <row r="2208">
          <cell r="P2208" t="str">
            <v>Bạch Vô Thường</v>
          </cell>
          <cell r="Q2208" t="str">
            <v>Đoạt Phách</v>
          </cell>
        </row>
        <row r="2209">
          <cell r="P2209" t="str">
            <v>Bạch Vô Thường</v>
          </cell>
          <cell r="Q2209" t="str">
            <v>Vô Cữu</v>
          </cell>
        </row>
        <row r="2210">
          <cell r="P2210" t="str">
            <v>Bạch Vô Thường</v>
          </cell>
          <cell r="Q2210" t="str">
            <v>Thực Cốt</v>
          </cell>
        </row>
        <row r="2211">
          <cell r="P2211" t="str">
            <v>Xi Vưu</v>
          </cell>
          <cell r="Q2211" t="str">
            <v>Phổ Công</v>
          </cell>
        </row>
        <row r="2212">
          <cell r="P2212" t="str">
            <v>Xi Vưu</v>
          </cell>
          <cell r="Q2212" t="str">
            <v>Ma Linh Thiên Hàng</v>
          </cell>
        </row>
        <row r="2213">
          <cell r="P2213" t="str">
            <v>Xi Vưu</v>
          </cell>
          <cell r="Q2213" t="str">
            <v>Ma Linh Thiên Hàng</v>
          </cell>
        </row>
        <row r="2214">
          <cell r="P2214" t="str">
            <v>Xi Vưu</v>
          </cell>
          <cell r="Q2214" t="str">
            <v>Ma Linh Thiên Hàng</v>
          </cell>
        </row>
        <row r="2215">
          <cell r="P2215" t="str">
            <v>Xi Vưu</v>
          </cell>
          <cell r="Q2215" t="str">
            <v>Ma Linh Thiên Hàng</v>
          </cell>
        </row>
        <row r="2216">
          <cell r="P2216" t="str">
            <v>Xi Vưu</v>
          </cell>
          <cell r="Q2216" t="str">
            <v>Ma Linh Thiên Hàng</v>
          </cell>
        </row>
        <row r="2217">
          <cell r="P2217" t="str">
            <v>Xi Vưu</v>
          </cell>
          <cell r="Q2217" t="str">
            <v>Chiến Thần Huyết Thống</v>
          </cell>
        </row>
        <row r="2218">
          <cell r="P2218" t="str">
            <v>Xi Vưu</v>
          </cell>
          <cell r="Q2218" t="str">
            <v>Chiến Thần Huyết Thống</v>
          </cell>
        </row>
        <row r="2219">
          <cell r="P2219" t="str">
            <v>Xi Vưu</v>
          </cell>
          <cell r="Q2219" t="str">
            <v>Chiến Thần Huyết Thống</v>
          </cell>
        </row>
        <row r="2220">
          <cell r="P2220" t="str">
            <v>Xi Vưu</v>
          </cell>
          <cell r="Q2220" t="str">
            <v>Cực · Chiến Thần Huyết Thống</v>
          </cell>
        </row>
        <row r="2221">
          <cell r="P2221" t="str">
            <v>Xi Vưu</v>
          </cell>
          <cell r="Q2221" t="str">
            <v>Cực · Chiến Thần Huyết Thống</v>
          </cell>
        </row>
        <row r="2222">
          <cell r="P2222" t="str">
            <v>Xi Vưu</v>
          </cell>
          <cell r="Q2222" t="str">
            <v>Cực · Chiến Thần Huyết Thống</v>
          </cell>
        </row>
        <row r="2223">
          <cell r="P2223" t="str">
            <v>Xi Vưu</v>
          </cell>
          <cell r="Q2223" t="str">
            <v>Huyễn Tượng Thần Quyền</v>
          </cell>
        </row>
        <row r="2224">
          <cell r="P2224" t="str">
            <v>Xi Vưu</v>
          </cell>
          <cell r="Q2224" t="str">
            <v>Huyễn Tượng Thần Quyền</v>
          </cell>
        </row>
        <row r="2225">
          <cell r="P2225" t="str">
            <v>Xi Vưu</v>
          </cell>
          <cell r="Q2225" t="str">
            <v>Huyễn Tượng Thần Quyền</v>
          </cell>
        </row>
        <row r="2226">
          <cell r="P2226" t="str">
            <v>Xi Vưu</v>
          </cell>
          <cell r="Q2226" t="str">
            <v>Cổ Độc</v>
          </cell>
        </row>
        <row r="2227">
          <cell r="P2227" t="str">
            <v>Xi Vưu</v>
          </cell>
          <cell r="Q2227" t="str">
            <v>Cổ Độc</v>
          </cell>
        </row>
        <row r="2228">
          <cell r="P2228" t="str">
            <v>Xi Vưu</v>
          </cell>
          <cell r="Q2228" t="str">
            <v>Cổ Độc</v>
          </cell>
        </row>
        <row r="2229">
          <cell r="P2229" t="str">
            <v>Xi Vưu</v>
          </cell>
          <cell r="Q2229" t="str">
            <v>Dã Tính Chi Hồn</v>
          </cell>
        </row>
        <row r="2230">
          <cell r="P2230" t="str">
            <v>Xi Vưu</v>
          </cell>
          <cell r="Q2230" t="str">
            <v>Dã Tính Chi Hồn</v>
          </cell>
        </row>
        <row r="2231">
          <cell r="P2231" t="str">
            <v>Xi Vưu</v>
          </cell>
          <cell r="Q2231" t="str">
            <v>Dã Tính Chi Hồn</v>
          </cell>
        </row>
        <row r="2232">
          <cell r="P2232" t="str">
            <v>Xi Vưu</v>
          </cell>
          <cell r="Q2232" t="str">
            <v>Nhược Điểm Cảm Tri</v>
          </cell>
        </row>
        <row r="2233">
          <cell r="P2233" t="str">
            <v>Xi Vưu</v>
          </cell>
          <cell r="Q2233" t="str">
            <v>Nhược Điểm Cảm Tri</v>
          </cell>
        </row>
        <row r="2234">
          <cell r="P2234" t="str">
            <v>Xi Vưu</v>
          </cell>
          <cell r="Q2234" t="str">
            <v>Nhược Điểm Cảm Tri</v>
          </cell>
        </row>
        <row r="2235">
          <cell r="P2235" t="str">
            <v>Mạnh Bà</v>
          </cell>
          <cell r="Q2235" t="str">
            <v>Phổ Công</v>
          </cell>
        </row>
        <row r="2236">
          <cell r="P2236" t="str">
            <v>Mạnh Bà</v>
          </cell>
          <cell r="Q2236" t="str">
            <v>Tâm Linh Trùng Kích</v>
          </cell>
        </row>
        <row r="2237">
          <cell r="P2237" t="str">
            <v>Mạnh Bà</v>
          </cell>
          <cell r="Q2237" t="str">
            <v>Tâm Linh Trùng Kích</v>
          </cell>
        </row>
        <row r="2238">
          <cell r="P2238" t="str">
            <v>Mạnh Bà</v>
          </cell>
          <cell r="Q2238" t="str">
            <v>Tâm Linh Trùng Kích</v>
          </cell>
        </row>
        <row r="2239">
          <cell r="P2239" t="str">
            <v>Mạnh Bà</v>
          </cell>
          <cell r="Q2239" t="str">
            <v>Tâm Linh Trùng Kích</v>
          </cell>
        </row>
        <row r="2240">
          <cell r="P2240" t="str">
            <v>Mạnh Bà</v>
          </cell>
          <cell r="Q2240" t="str">
            <v>Tâm Linh Trùng Kích</v>
          </cell>
        </row>
        <row r="2241">
          <cell r="P2241" t="str">
            <v>Mạnh Bà</v>
          </cell>
          <cell r="Q2241" t="str">
            <v>Tâm Linh Trùng Kích</v>
          </cell>
        </row>
        <row r="2242">
          <cell r="P2242" t="str">
            <v>Mạnh Bà</v>
          </cell>
          <cell r="Q2242" t="str">
            <v>Tâm Linh Trùng Kích</v>
          </cell>
        </row>
        <row r="2243">
          <cell r="P2243" t="str">
            <v>Mạnh Bà</v>
          </cell>
          <cell r="Q2243" t="str">
            <v>Tâm Linh Trùng Kích</v>
          </cell>
        </row>
        <row r="2244">
          <cell r="P2244" t="str">
            <v>Mạnh Bà</v>
          </cell>
          <cell r="Q2244" t="str">
            <v>Tâm Linh Trùng Kích</v>
          </cell>
        </row>
        <row r="2245">
          <cell r="P2245" t="str">
            <v>Mạnh Bà</v>
          </cell>
          <cell r="Q2245" t="str">
            <v>Vong Khước</v>
          </cell>
        </row>
        <row r="2246">
          <cell r="P2246" t="str">
            <v>Mạnh Bà</v>
          </cell>
          <cell r="Q2246" t="str">
            <v>Vong Khước</v>
          </cell>
        </row>
        <row r="2247">
          <cell r="P2247" t="str">
            <v>Mạnh Bà</v>
          </cell>
          <cell r="Q2247" t="str">
            <v>Vong Khước</v>
          </cell>
        </row>
        <row r="2248">
          <cell r="P2248" t="str">
            <v>Mạnh Bà</v>
          </cell>
          <cell r="Q2248" t="str">
            <v>Cực · Vong Khước</v>
          </cell>
        </row>
        <row r="2249">
          <cell r="P2249" t="str">
            <v>Mạnh Bà</v>
          </cell>
          <cell r="Q2249" t="str">
            <v>Cực · Vong Khước</v>
          </cell>
        </row>
        <row r="2250">
          <cell r="P2250" t="str">
            <v>Mạnh Bà</v>
          </cell>
          <cell r="Q2250" t="str">
            <v>Cực · Vong Khước</v>
          </cell>
        </row>
        <row r="2251">
          <cell r="P2251" t="str">
            <v>Mạnh Bà</v>
          </cell>
          <cell r="Q2251" t="str">
            <v>Tinh Thần Linh Dược</v>
          </cell>
        </row>
        <row r="2252">
          <cell r="P2252" t="str">
            <v>Mạnh Bà</v>
          </cell>
          <cell r="Q2252" t="str">
            <v>Tinh Thần Linh Dược</v>
          </cell>
        </row>
        <row r="2253">
          <cell r="P2253" t="str">
            <v>Mạnh Bà</v>
          </cell>
          <cell r="Q2253" t="str">
            <v>Tinh Thần Linh Dược</v>
          </cell>
        </row>
        <row r="2254">
          <cell r="P2254" t="str">
            <v>Mạnh Bà</v>
          </cell>
          <cell r="Q2254" t="str">
            <v>Tinh Thần Linh Dược</v>
          </cell>
        </row>
        <row r="2255">
          <cell r="P2255" t="str">
            <v>Mạnh Bà</v>
          </cell>
          <cell r="Q2255" t="str">
            <v>Tinh Thần Linh Dược</v>
          </cell>
        </row>
        <row r="2256">
          <cell r="P2256" t="str">
            <v>Mạnh Bà</v>
          </cell>
          <cell r="Q2256" t="str">
            <v>Tinh Thần Linh Dược</v>
          </cell>
        </row>
        <row r="2257">
          <cell r="P2257" t="str">
            <v>Mạnh Bà</v>
          </cell>
          <cell r="Q2257" t="str">
            <v>Tinh Thần Linh Dược</v>
          </cell>
        </row>
        <row r="2258">
          <cell r="P2258" t="str">
            <v>Mạnh Bà</v>
          </cell>
          <cell r="Q2258" t="str">
            <v>Tinh Thần Linh Dược</v>
          </cell>
        </row>
        <row r="2259">
          <cell r="P2259" t="str">
            <v>Mạnh Bà</v>
          </cell>
          <cell r="Q2259" t="str">
            <v>Tinh Thần Linh Dược</v>
          </cell>
        </row>
        <row r="2260">
          <cell r="P2260" t="str">
            <v>Mạnh Bà</v>
          </cell>
          <cell r="Q2260" t="str">
            <v>Ý Chí Ngõa Giải</v>
          </cell>
        </row>
        <row r="2261">
          <cell r="P2261" t="str">
            <v>Mạnh Bà</v>
          </cell>
          <cell r="Q2261" t="str">
            <v>Ý Chí Ngõa Giải</v>
          </cell>
        </row>
        <row r="2262">
          <cell r="P2262" t="str">
            <v>Mạnh Bà</v>
          </cell>
          <cell r="Q2262" t="str">
            <v>Ý Chí Ngõa Giải</v>
          </cell>
        </row>
        <row r="2263">
          <cell r="P2263" t="str">
            <v>Mạnh Bà</v>
          </cell>
          <cell r="Q2263" t="str">
            <v>Địch Hồn</v>
          </cell>
        </row>
        <row r="2264">
          <cell r="P2264" t="str">
            <v>Mạnh Bà</v>
          </cell>
          <cell r="Q2264" t="str">
            <v>Địch Hồn</v>
          </cell>
        </row>
        <row r="2265">
          <cell r="P2265" t="str">
            <v>Mạnh Bà</v>
          </cell>
          <cell r="Q2265" t="str">
            <v>Địch Hồn</v>
          </cell>
        </row>
        <row r="2266">
          <cell r="P2266" t="str">
            <v>Mạnh Bà</v>
          </cell>
          <cell r="Q2266" t="str">
            <v>Tinh Thần Linh Dược</v>
          </cell>
        </row>
        <row r="2267">
          <cell r="P2267" t="str">
            <v>Mạnh Bà</v>
          </cell>
          <cell r="Q2267" t="str">
            <v>Tinh Thần Linh Dược</v>
          </cell>
        </row>
        <row r="2268">
          <cell r="P2268" t="str">
            <v>Mạnh Bà</v>
          </cell>
          <cell r="Q2268" t="str">
            <v>Tinh Thần Linh Dược</v>
          </cell>
        </row>
        <row r="2269">
          <cell r="P2269" t="str">
            <v>Mạnh Bà</v>
          </cell>
          <cell r="Q2269" t="str">
            <v>Tinh Thần Linh Dược</v>
          </cell>
        </row>
        <row r="2270">
          <cell r="P2270" t="str">
            <v>Mạnh Bà</v>
          </cell>
          <cell r="Q2270" t="str">
            <v>Tinh Thần Linh Dược</v>
          </cell>
        </row>
        <row r="2271">
          <cell r="P2271" t="str">
            <v>Mạnh Bà</v>
          </cell>
          <cell r="Q2271" t="str">
            <v>Tinh Thần Linh Dược</v>
          </cell>
        </row>
        <row r="2272">
          <cell r="P2272" t="str">
            <v>Mạnh Bà</v>
          </cell>
          <cell r="Q2272" t="str">
            <v>Tinh Thần Linh Dược</v>
          </cell>
        </row>
        <row r="2273">
          <cell r="P2273" t="str">
            <v>Mạnh Bà</v>
          </cell>
          <cell r="Q2273" t="str">
            <v>Tinh Thần Linh Dược</v>
          </cell>
        </row>
        <row r="2274">
          <cell r="P2274" t="str">
            <v>Mạnh Bà</v>
          </cell>
          <cell r="Q2274" t="str">
            <v>Tinh Thần Linh Dược</v>
          </cell>
        </row>
        <row r="2275">
          <cell r="P2275" t="str">
            <v>Mạnh Bà</v>
          </cell>
          <cell r="Q2275" t="str">
            <v>Tinh Thần Linh Dược</v>
          </cell>
        </row>
        <row r="2276">
          <cell r="P2276" t="str">
            <v>Mạnh Bà</v>
          </cell>
          <cell r="Q2276" t="str">
            <v>Tinh Thần Linh Dược</v>
          </cell>
        </row>
        <row r="2277">
          <cell r="P2277" t="str">
            <v>Mạnh Bà</v>
          </cell>
          <cell r="Q2277" t="str">
            <v>Tinh Thần Linh Dược</v>
          </cell>
        </row>
        <row r="2278">
          <cell r="P2278" t="str">
            <v>Mạnh Bà</v>
          </cell>
          <cell r="Q2278" t="str">
            <v>Tinh Thần Linh Dược</v>
          </cell>
        </row>
        <row r="2279">
          <cell r="P2279" t="str">
            <v>Mạnh Bà</v>
          </cell>
          <cell r="Q2279" t="str">
            <v>Tinh Thần Linh Dược</v>
          </cell>
        </row>
        <row r="2280">
          <cell r="P2280" t="str">
            <v>Mạnh Bà</v>
          </cell>
          <cell r="Q2280" t="str">
            <v>Tinh Thần Linh Dược</v>
          </cell>
        </row>
        <row r="2281">
          <cell r="P2281" t="str">
            <v>Mạnh Bà</v>
          </cell>
          <cell r="Q2281" t="str">
            <v>Tinh Thần Linh Dược</v>
          </cell>
        </row>
        <row r="2282">
          <cell r="P2282" t="str">
            <v>Mạnh Bà</v>
          </cell>
          <cell r="Q2282" t="str">
            <v>Tinh Thần Linh Dược</v>
          </cell>
        </row>
        <row r="2283">
          <cell r="P2283" t="str">
            <v>Mạnh Bà</v>
          </cell>
          <cell r="Q2283" t="str">
            <v>Tinh Thần Linh Dược</v>
          </cell>
        </row>
        <row r="2284">
          <cell r="P2284" t="str">
            <v>Mạnh Bà</v>
          </cell>
          <cell r="Q2284" t="str">
            <v>Trí Mệnh Liên Tiếp</v>
          </cell>
        </row>
        <row r="2285">
          <cell r="P2285" t="str">
            <v>Mạnh Bà</v>
          </cell>
          <cell r="Q2285" t="str">
            <v>Trí Mệnh Liên Tiếp</v>
          </cell>
        </row>
        <row r="2286">
          <cell r="P2286" t="str">
            <v>Mạnh Bà</v>
          </cell>
          <cell r="Q2286" t="str">
            <v>Trí Mệnh Liên Tiếp</v>
          </cell>
        </row>
        <row r="2287">
          <cell r="P2287" t="str">
            <v>Mạnh Bà</v>
          </cell>
          <cell r="Q2287" t="str">
            <v>Ý Chí Ngõa Giải</v>
          </cell>
        </row>
        <row r="2288">
          <cell r="P2288" t="str">
            <v>Mạnh Bà</v>
          </cell>
          <cell r="Q2288" t="str">
            <v>Ý Chí Ngõa Giải</v>
          </cell>
        </row>
        <row r="2289">
          <cell r="P2289" t="str">
            <v>Mạnh Bà</v>
          </cell>
          <cell r="Q2289" t="str">
            <v>Tâm Linh Trùng Kích</v>
          </cell>
        </row>
        <row r="2290">
          <cell r="P2290" t="str">
            <v>Mạnh Bà</v>
          </cell>
          <cell r="Q2290" t="str">
            <v>Tâm Linh Trùng Kích</v>
          </cell>
        </row>
        <row r="2291">
          <cell r="P2291" t="str">
            <v>Mạnh Bà</v>
          </cell>
          <cell r="Q2291" t="str">
            <v>Tâm Linh Trùng Kích</v>
          </cell>
        </row>
        <row r="2292">
          <cell r="P2292" t="str">
            <v>Mạnh Bà</v>
          </cell>
          <cell r="Q2292" t="str">
            <v>Tâm Linh Trùng Kích</v>
          </cell>
        </row>
        <row r="2293">
          <cell r="P2293" t="str">
            <v>Mạnh Bà</v>
          </cell>
          <cell r="Q2293" t="str">
            <v>Tâm Linh Trùng Kích</v>
          </cell>
        </row>
        <row r="2294">
          <cell r="P2294" t="str">
            <v>Mạnh Bà</v>
          </cell>
          <cell r="Q2294" t="str">
            <v>Tâm Linh Trùng Kích</v>
          </cell>
        </row>
        <row r="2295">
          <cell r="P2295" t="str">
            <v>Hình Thiên</v>
          </cell>
          <cell r="Q2295" t="str">
            <v>Phổ Công</v>
          </cell>
        </row>
        <row r="2296">
          <cell r="P2296" t="str">
            <v>Hình Thiên</v>
          </cell>
          <cell r="Q2296" t="str">
            <v>Liệt Thiên</v>
          </cell>
        </row>
        <row r="2297">
          <cell r="P2297" t="str">
            <v>Hình Thiên</v>
          </cell>
          <cell r="Q2297" t="str">
            <v>Liệt Thiên</v>
          </cell>
        </row>
        <row r="2298">
          <cell r="P2298" t="str">
            <v>Hình Thiên</v>
          </cell>
          <cell r="Q2298" t="str">
            <v>Liệt Thiên</v>
          </cell>
        </row>
        <row r="2299">
          <cell r="P2299" t="str">
            <v>Hình Thiên</v>
          </cell>
          <cell r="Q2299" t="str">
            <v>Tàn Niệm</v>
          </cell>
        </row>
        <row r="2300">
          <cell r="P2300" t="str">
            <v>Hình Thiên</v>
          </cell>
          <cell r="Q2300" t="str">
            <v>Tàn Niệm</v>
          </cell>
        </row>
        <row r="2301">
          <cell r="P2301" t="str">
            <v>Hình Thiên</v>
          </cell>
          <cell r="Q2301" t="str">
            <v>Tàn Niệm</v>
          </cell>
        </row>
        <row r="2302">
          <cell r="P2302" t="str">
            <v>Hình Thiên</v>
          </cell>
          <cell r="Q2302" t="str">
            <v>Cực · Tàn Niệm</v>
          </cell>
        </row>
        <row r="2303">
          <cell r="P2303" t="str">
            <v>Hình Thiên</v>
          </cell>
          <cell r="Q2303" t="str">
            <v>Cực · Tàn Niệm</v>
          </cell>
        </row>
        <row r="2304">
          <cell r="P2304" t="str">
            <v>Hình Thiên</v>
          </cell>
          <cell r="Q2304" t="str">
            <v>Cực · Tàn Niệm</v>
          </cell>
        </row>
        <row r="2305">
          <cell r="P2305" t="str">
            <v>Hình Thiên</v>
          </cell>
          <cell r="Q2305" t="str">
            <v>Địa Đãng</v>
          </cell>
        </row>
        <row r="2306">
          <cell r="P2306" t="str">
            <v>Hình Thiên</v>
          </cell>
          <cell r="Q2306" t="str">
            <v>Địa Đãng</v>
          </cell>
        </row>
        <row r="2307">
          <cell r="P2307" t="str">
            <v>Hình Thiên</v>
          </cell>
          <cell r="Q2307" t="str">
            <v>Địa Đãng</v>
          </cell>
        </row>
        <row r="2308">
          <cell r="P2308" t="str">
            <v>Hình Thiên</v>
          </cell>
          <cell r="Q2308" t="str">
            <v>Địa Đãng</v>
          </cell>
        </row>
        <row r="2309">
          <cell r="P2309" t="str">
            <v>Hình Thiên</v>
          </cell>
          <cell r="Q2309" t="str">
            <v>Địa Đãng</v>
          </cell>
        </row>
        <row r="2310">
          <cell r="P2310" t="str">
            <v>Hình Thiên</v>
          </cell>
          <cell r="Q2310" t="str">
            <v>Địa Đãng</v>
          </cell>
        </row>
        <row r="2311">
          <cell r="P2311" t="str">
            <v>Hình Thiên</v>
          </cell>
          <cell r="Q2311" t="str">
            <v>Địa Đãng</v>
          </cell>
        </row>
        <row r="2312">
          <cell r="P2312" t="str">
            <v>Hình Thiên</v>
          </cell>
          <cell r="Q2312" t="str">
            <v>Địa Đãng</v>
          </cell>
        </row>
        <row r="2313">
          <cell r="P2313" t="str">
            <v>Hình Thiên</v>
          </cell>
          <cell r="Q2313" t="str">
            <v>Địa Đãng</v>
          </cell>
        </row>
        <row r="2314">
          <cell r="P2314" t="str">
            <v>Hình Thiên</v>
          </cell>
          <cell r="Q2314" t="str">
            <v>Cuồng Bạo</v>
          </cell>
        </row>
        <row r="2315">
          <cell r="P2315" t="str">
            <v>Hình Thiên</v>
          </cell>
          <cell r="Q2315" t="str">
            <v>Cuồng Bạo</v>
          </cell>
        </row>
        <row r="2316">
          <cell r="P2316" t="str">
            <v>Hình Thiên</v>
          </cell>
          <cell r="Q2316" t="str">
            <v>Cuồng Bạo</v>
          </cell>
        </row>
        <row r="2317">
          <cell r="P2317" t="str">
            <v>Hình Thiên</v>
          </cell>
          <cell r="Q2317" t="str">
            <v>Trí Tử Đả Kích</v>
          </cell>
        </row>
        <row r="2318">
          <cell r="P2318" t="str">
            <v>Hình Thiên</v>
          </cell>
          <cell r="Q2318" t="str">
            <v>Trí Tử Đả Kích</v>
          </cell>
        </row>
        <row r="2319">
          <cell r="P2319" t="str">
            <v>Hình Thiên</v>
          </cell>
          <cell r="Q2319" t="str">
            <v>Trí Tử Đả Kích</v>
          </cell>
        </row>
        <row r="2320">
          <cell r="P2320" t="str">
            <v>Hình Thiên</v>
          </cell>
          <cell r="Q2320" t="str">
            <v>Địa Đãng</v>
          </cell>
        </row>
        <row r="2321">
          <cell r="P2321" t="str">
            <v>Hình Thiên</v>
          </cell>
          <cell r="Q2321" t="str">
            <v>Địa Đãng</v>
          </cell>
        </row>
        <row r="2322">
          <cell r="P2322" t="str">
            <v>Hình Thiên</v>
          </cell>
          <cell r="Q2322" t="str">
            <v>Địa Đãng</v>
          </cell>
        </row>
        <row r="2323">
          <cell r="P2323" t="str">
            <v>Hình Thiên</v>
          </cell>
          <cell r="Q2323" t="str">
            <v>Địa Đãng</v>
          </cell>
        </row>
        <row r="2324">
          <cell r="P2324" t="str">
            <v>Hình Thiên</v>
          </cell>
          <cell r="Q2324" t="str">
            <v>Địa Đãng</v>
          </cell>
        </row>
        <row r="2325">
          <cell r="P2325" t="str">
            <v>Hình Thiên</v>
          </cell>
          <cell r="Q2325" t="str">
            <v>Địa Đãng</v>
          </cell>
        </row>
        <row r="2326">
          <cell r="P2326" t="str">
            <v>Hình Thiên</v>
          </cell>
          <cell r="Q2326" t="str">
            <v>Địa Đãng</v>
          </cell>
        </row>
        <row r="2327">
          <cell r="P2327" t="str">
            <v>Hình Thiên</v>
          </cell>
          <cell r="Q2327" t="str">
            <v>Địa Đãng</v>
          </cell>
        </row>
        <row r="2328">
          <cell r="P2328" t="str">
            <v>Hình Thiên</v>
          </cell>
          <cell r="Q2328" t="str">
            <v>Địa Đãng</v>
          </cell>
        </row>
        <row r="2329">
          <cell r="P2329" t="str">
            <v>Hình Thiên</v>
          </cell>
          <cell r="Q2329" t="str">
            <v>Thượng Cổ Chiến Thần</v>
          </cell>
        </row>
        <row r="2330">
          <cell r="P2330" t="str">
            <v>Hình Thiên</v>
          </cell>
          <cell r="Q2330" t="str">
            <v>Thượng Cổ Chiến Thần</v>
          </cell>
        </row>
        <row r="2331">
          <cell r="P2331" t="str">
            <v>Hình Thiên</v>
          </cell>
          <cell r="Q2331" t="str">
            <v>Thượng Cổ Chiến Thần</v>
          </cell>
        </row>
        <row r="2332">
          <cell r="P2332" t="str">
            <v>Hình Thiên</v>
          </cell>
          <cell r="Q2332" t="str">
            <v>Liệt Thiên</v>
          </cell>
        </row>
        <row r="2333">
          <cell r="P2333" t="str">
            <v>Hình Thiên</v>
          </cell>
          <cell r="Q2333" t="str">
            <v>Liệt Thiên</v>
          </cell>
        </row>
        <row r="2334">
          <cell r="P2334" t="str">
            <v>Hình Thiên</v>
          </cell>
          <cell r="Q2334" t="str">
            <v>Liệt Ba Trảm</v>
          </cell>
        </row>
        <row r="2335">
          <cell r="P2335" t="str">
            <v>Hình Thiên</v>
          </cell>
          <cell r="Q2335" t="str">
            <v>Tuyệt Đối Vũ Lực</v>
          </cell>
        </row>
        <row r="2336">
          <cell r="P2336" t="str">
            <v>Hình Thiên</v>
          </cell>
          <cell r="Q2336" t="str">
            <v>Tuyệt Đối Vũ Lực</v>
          </cell>
        </row>
        <row r="2337">
          <cell r="P2337" t="str">
            <v>Hình Thiên</v>
          </cell>
          <cell r="Q2337" t="str">
            <v>Tuyệt Đối Vũ Lực</v>
          </cell>
        </row>
        <row r="2338">
          <cell r="P2338" t="str">
            <v>Hình Thiên</v>
          </cell>
          <cell r="Q2338" t="str">
            <v>Tuyệt Đối Vũ Lực</v>
          </cell>
        </row>
        <row r="2339">
          <cell r="P2339" t="str">
            <v>Hình Thiên</v>
          </cell>
          <cell r="Q2339" t="str">
            <v>Tuyệt Đối Vũ Lực</v>
          </cell>
        </row>
        <row r="2340">
          <cell r="P2340" t="str">
            <v>Hình Thiên</v>
          </cell>
          <cell r="Q2340" t="str">
            <v>Tuyệt Đối Vũ Lực</v>
          </cell>
        </row>
        <row r="2341">
          <cell r="P2341" t="str">
            <v>Hình Thiên</v>
          </cell>
          <cell r="Q2341" t="str">
            <v>Tuyệt Đối Vũ Lực</v>
          </cell>
        </row>
        <row r="2342">
          <cell r="P2342" t="str">
            <v>Hình Thiên</v>
          </cell>
          <cell r="Q2342" t="str">
            <v>Tuyệt Đối Vũ Lực</v>
          </cell>
        </row>
        <row r="2343">
          <cell r="P2343" t="str">
            <v>Hình Thiên</v>
          </cell>
          <cell r="Q2343" t="str">
            <v>Tuyệt Đối Vũ Lực</v>
          </cell>
        </row>
        <row r="2344">
          <cell r="P2344" t="str">
            <v>Hình Thiên</v>
          </cell>
          <cell r="Q2344" t="str">
            <v>Tuyệt Đối Vũ Lực</v>
          </cell>
        </row>
        <row r="2345">
          <cell r="P2345" t="str">
            <v>Ma · Ngộ Không</v>
          </cell>
          <cell r="Q2345" t="str">
            <v>Phổ Công</v>
          </cell>
        </row>
        <row r="2346">
          <cell r="P2346" t="str">
            <v>Ma · Ngộ Không</v>
          </cell>
          <cell r="Q2346" t="str">
            <v>Hủy Thiên Diệt Địa</v>
          </cell>
        </row>
        <row r="2347">
          <cell r="P2347" t="str">
            <v>Ma · Ngộ Không</v>
          </cell>
          <cell r="Q2347" t="str">
            <v>Hủy Thiên Diệt Địa</v>
          </cell>
        </row>
        <row r="2348">
          <cell r="P2348" t="str">
            <v>Ma · Ngộ Không</v>
          </cell>
          <cell r="Q2348" t="str">
            <v>Hủy Thiên Diệt Địa</v>
          </cell>
        </row>
        <row r="2349">
          <cell r="P2349" t="str">
            <v>Ma · Ngộ Không</v>
          </cell>
          <cell r="Q2349" t="str">
            <v>Ma Hóa</v>
          </cell>
        </row>
        <row r="2350">
          <cell r="P2350" t="str">
            <v>Ma · Ngộ Không</v>
          </cell>
          <cell r="Q2350" t="str">
            <v>Ma Hóa</v>
          </cell>
        </row>
        <row r="2351">
          <cell r="P2351" t="str">
            <v>Ma · Ngộ Không</v>
          </cell>
          <cell r="Q2351" t="str">
            <v>Ma Hóa</v>
          </cell>
        </row>
        <row r="2352">
          <cell r="P2352" t="str">
            <v>Ma · Ngộ Không</v>
          </cell>
          <cell r="Q2352" t="str">
            <v>Cực · Ma Hóa</v>
          </cell>
        </row>
        <row r="2353">
          <cell r="P2353" t="str">
            <v>Ma · Ngộ Không</v>
          </cell>
          <cell r="Q2353" t="str">
            <v>Cực · Ma Hóa</v>
          </cell>
        </row>
        <row r="2354">
          <cell r="P2354" t="str">
            <v>Ma · Ngộ Không</v>
          </cell>
          <cell r="Q2354" t="str">
            <v>Cực · Ma Hóa</v>
          </cell>
        </row>
        <row r="2355">
          <cell r="P2355" t="str">
            <v>Ma · Ngộ Không</v>
          </cell>
          <cell r="Q2355" t="str">
            <v>Lăng Phong Đả Kích</v>
          </cell>
        </row>
        <row r="2356">
          <cell r="P2356" t="str">
            <v>Ma · Ngộ Không</v>
          </cell>
          <cell r="Q2356" t="str">
            <v>Lăng Phong Đả Kích</v>
          </cell>
        </row>
        <row r="2357">
          <cell r="P2357" t="str">
            <v>Ma · Ngộ Không</v>
          </cell>
          <cell r="Q2357" t="str">
            <v>Lăng Phong Đả Kích</v>
          </cell>
        </row>
        <row r="2358">
          <cell r="P2358" t="str">
            <v>Ma · Ngộ Không</v>
          </cell>
          <cell r="Q2358" t="str">
            <v>Lăng Phong Đả Kích</v>
          </cell>
        </row>
        <row r="2359">
          <cell r="P2359" t="str">
            <v>Ma · Ngộ Không</v>
          </cell>
          <cell r="Q2359" t="str">
            <v>Lăng Phong Đả Kích</v>
          </cell>
        </row>
        <row r="2360">
          <cell r="P2360" t="str">
            <v>Ma · Ngộ Không</v>
          </cell>
          <cell r="Q2360" t="str">
            <v>Lăng Phong Đả Kích</v>
          </cell>
        </row>
        <row r="2361">
          <cell r="P2361" t="str">
            <v>Ma · Ngộ Không</v>
          </cell>
          <cell r="Q2361" t="str">
            <v>Lăng Phong Đả Kích</v>
          </cell>
        </row>
        <row r="2362">
          <cell r="P2362" t="str">
            <v>Ma · Ngộ Không</v>
          </cell>
          <cell r="Q2362" t="str">
            <v>Lăng Phong Đả Kích</v>
          </cell>
        </row>
        <row r="2363">
          <cell r="P2363" t="str">
            <v>Ma · Ngộ Không</v>
          </cell>
          <cell r="Q2363" t="str">
            <v>Lăng Phong Đả Kích</v>
          </cell>
        </row>
        <row r="2364">
          <cell r="P2364" t="str">
            <v>Ma · Ngộ Không</v>
          </cell>
          <cell r="Q2364" t="str">
            <v>Lăng Phong Đả Kích</v>
          </cell>
        </row>
        <row r="2365">
          <cell r="P2365" t="str">
            <v>Ma · Ngộ Không</v>
          </cell>
          <cell r="Q2365" t="str">
            <v>Lăng Phong Đả Kích</v>
          </cell>
        </row>
        <row r="2366">
          <cell r="P2366" t="str">
            <v>Ma · Ngộ Không</v>
          </cell>
          <cell r="Q2366" t="str">
            <v>Lăng Phong Đả Kích</v>
          </cell>
        </row>
        <row r="2367">
          <cell r="P2367" t="str">
            <v>Ma · Ngộ Không</v>
          </cell>
          <cell r="Q2367" t="str">
            <v>Thị Huyết Tàn Bạo</v>
          </cell>
        </row>
        <row r="2368">
          <cell r="P2368" t="str">
            <v>Ma · Ngộ Không</v>
          </cell>
          <cell r="Q2368" t="str">
            <v>Thị Huyết Tàn Bạo</v>
          </cell>
        </row>
        <row r="2369">
          <cell r="P2369" t="str">
            <v>Ma · Ngộ Không</v>
          </cell>
          <cell r="Q2369" t="str">
            <v>Thị Huyết Tàn Bạo</v>
          </cell>
        </row>
        <row r="2370">
          <cell r="P2370" t="str">
            <v>Ma · Ngộ Không</v>
          </cell>
          <cell r="Q2370" t="str">
            <v>Điệp Huyết</v>
          </cell>
        </row>
        <row r="2371">
          <cell r="P2371" t="str">
            <v>Ma · Ngộ Không</v>
          </cell>
          <cell r="Q2371" t="str">
            <v>Điệp Huyết</v>
          </cell>
        </row>
        <row r="2372">
          <cell r="P2372" t="str">
            <v>Ma · Ngộ Không</v>
          </cell>
          <cell r="Q2372" t="str">
            <v>Điệp Huyết</v>
          </cell>
        </row>
        <row r="2373">
          <cell r="P2373" t="str">
            <v>Ma · Ngộ Không</v>
          </cell>
          <cell r="Q2373" t="str">
            <v>Hủy Thiên Diệt Địa</v>
          </cell>
        </row>
        <row r="2374">
          <cell r="P2374" t="str">
            <v>Ma · Ngộ Không</v>
          </cell>
          <cell r="Q2374" t="str">
            <v>Hủy Thiên Diệt Địa</v>
          </cell>
        </row>
        <row r="2375">
          <cell r="P2375" t="str">
            <v>Ma · Ngộ Không</v>
          </cell>
          <cell r="Q2375" t="str">
            <v>Hủy Thiên Diệt Địa</v>
          </cell>
        </row>
        <row r="2376">
          <cell r="P2376" t="str">
            <v>Ma · Ngộ Không</v>
          </cell>
          <cell r="Q2376" t="str">
            <v>Chung Cực Cuồng Bạo</v>
          </cell>
        </row>
        <row r="2377">
          <cell r="P2377" t="str">
            <v>Ma · Ngộ Không</v>
          </cell>
          <cell r="Q2377" t="str">
            <v>Chung Cực Cuồng Bạo</v>
          </cell>
        </row>
        <row r="2378">
          <cell r="P2378" t="str">
            <v>Ma · Ngộ Không</v>
          </cell>
          <cell r="Q2378" t="str">
            <v>Chung Cực Cuồng Bạo</v>
          </cell>
        </row>
        <row r="2379">
          <cell r="P2379" t="str">
            <v>Ma · Ngộ Không</v>
          </cell>
          <cell r="Q2379" t="str">
            <v>Lăng Phong Đả Kích</v>
          </cell>
        </row>
        <row r="2380">
          <cell r="P2380" t="str">
            <v>Ma · Ngộ Không</v>
          </cell>
          <cell r="Q2380" t="str">
            <v>Lăng Phong Đả Kích</v>
          </cell>
        </row>
        <row r="2381">
          <cell r="P2381" t="str">
            <v>Ma · Ngộ Không</v>
          </cell>
          <cell r="Q2381" t="str">
            <v>Lăng Phong Đả Kích</v>
          </cell>
        </row>
        <row r="2382">
          <cell r="P2382" t="str">
            <v>Ma · Ngộ Không</v>
          </cell>
          <cell r="Q2382" t="str">
            <v>Lăng Phong Đả Kích</v>
          </cell>
        </row>
        <row r="2383">
          <cell r="P2383" t="str">
            <v>Ma · Ngộ Không</v>
          </cell>
          <cell r="Q2383" t="str">
            <v>Lăng Phong Đả Kích</v>
          </cell>
        </row>
        <row r="2384">
          <cell r="P2384" t="str">
            <v>Ma · Ngộ Không</v>
          </cell>
          <cell r="Q2384" t="str">
            <v>Lăng Phong Đả Kích</v>
          </cell>
        </row>
        <row r="2385">
          <cell r="P2385" t="str">
            <v>Ma · Ngộ Không</v>
          </cell>
          <cell r="Q2385" t="str">
            <v>Lăng Phong Đả Kích</v>
          </cell>
        </row>
        <row r="2386">
          <cell r="P2386" t="str">
            <v>Ma · Ngộ Không</v>
          </cell>
          <cell r="Q2386" t="str">
            <v>Lăng Phong Đả Kích</v>
          </cell>
        </row>
        <row r="2387">
          <cell r="P2387" t="str">
            <v>Ma · Ngộ Không</v>
          </cell>
          <cell r="Q2387" t="str">
            <v>Lăng Phong Đả Kích</v>
          </cell>
        </row>
        <row r="2388">
          <cell r="P2388" t="str">
            <v>Ma · Ngộ Không</v>
          </cell>
          <cell r="Q2388" t="str">
            <v>Lăng Phong Đả Kích</v>
          </cell>
        </row>
        <row r="2389">
          <cell r="P2389" t="str">
            <v>Ma · Ngộ Không</v>
          </cell>
          <cell r="Q2389" t="str">
            <v>Lăng Phong Đả Kích</v>
          </cell>
        </row>
        <row r="2390">
          <cell r="P2390" t="str">
            <v>Ma · Ngộ Không</v>
          </cell>
          <cell r="Q2390" t="str">
            <v>Lăng Phong Đả Kích</v>
          </cell>
        </row>
        <row r="2391">
          <cell r="P2391" t="str">
            <v>Hoàng Tuyền</v>
          </cell>
          <cell r="Q2391" t="str">
            <v>Phổ Công</v>
          </cell>
        </row>
        <row r="2392">
          <cell r="P2392" t="str">
            <v>Hoàng Tuyền</v>
          </cell>
          <cell r="Q2392" t="str">
            <v>Lăng Ba Trảm</v>
          </cell>
        </row>
        <row r="2393">
          <cell r="P2393" t="str">
            <v>Hoàng Tuyền</v>
          </cell>
          <cell r="Q2393" t="str">
            <v>Lăng Ba Trảm</v>
          </cell>
        </row>
        <row r="2394">
          <cell r="P2394" t="str">
            <v>Hoàng Tuyền</v>
          </cell>
          <cell r="Q2394" t="str">
            <v>Lăng Ba Trảm</v>
          </cell>
        </row>
        <row r="2395">
          <cell r="P2395" t="str">
            <v>Hoàng Tuyền</v>
          </cell>
          <cell r="Q2395" t="str">
            <v>Cực Ý Kiếm Thuật</v>
          </cell>
        </row>
        <row r="2396">
          <cell r="P2396" t="str">
            <v>Hoàng Tuyền</v>
          </cell>
          <cell r="Q2396" t="str">
            <v>Cực Ý Kiếm Thuật</v>
          </cell>
        </row>
        <row r="2397">
          <cell r="P2397" t="str">
            <v>Hoàng Tuyền</v>
          </cell>
          <cell r="Q2397" t="str">
            <v>Cực Ý Kiếm Thuật</v>
          </cell>
        </row>
        <row r="2398">
          <cell r="P2398" t="str">
            <v>Hoàng Tuyền</v>
          </cell>
          <cell r="Q2398" t="str">
            <v>Cực · Cực Ý Kiếm Thuật</v>
          </cell>
        </row>
        <row r="2399">
          <cell r="P2399" t="str">
            <v>Hoàng Tuyền</v>
          </cell>
          <cell r="Q2399" t="str">
            <v>Cực · Cực Ý Kiếm Thuật</v>
          </cell>
        </row>
        <row r="2400">
          <cell r="P2400" t="str">
            <v>Hoàng Tuyền</v>
          </cell>
          <cell r="Q2400" t="str">
            <v>Cực · Cực Ý Kiếm Thuật</v>
          </cell>
        </row>
        <row r="2401">
          <cell r="P2401" t="str">
            <v>Hoàng Tuyền</v>
          </cell>
          <cell r="Q2401" t="str">
            <v>Nhất Thiểm</v>
          </cell>
        </row>
        <row r="2402">
          <cell r="P2402" t="str">
            <v>Hoàng Tuyền</v>
          </cell>
          <cell r="Q2402" t="str">
            <v>Nhất Thiểm</v>
          </cell>
        </row>
        <row r="2403">
          <cell r="P2403" t="str">
            <v>Hoàng Tuyền</v>
          </cell>
          <cell r="Q2403" t="str">
            <v>Nhất Thiểm</v>
          </cell>
        </row>
        <row r="2404">
          <cell r="P2404" t="str">
            <v>Hoàng Tuyền</v>
          </cell>
          <cell r="Q2404" t="str">
            <v>Nhất Thiểm</v>
          </cell>
        </row>
        <row r="2405">
          <cell r="P2405" t="str">
            <v>Hoàng Tuyền</v>
          </cell>
          <cell r="Q2405" t="str">
            <v>Nhất Thiểm</v>
          </cell>
        </row>
        <row r="2406">
          <cell r="P2406" t="str">
            <v>Hoàng Tuyền</v>
          </cell>
          <cell r="Q2406" t="str">
            <v>Nhất Thiểm</v>
          </cell>
        </row>
        <row r="2407">
          <cell r="P2407" t="str">
            <v>Hoàng Tuyền</v>
          </cell>
          <cell r="Q2407" t="str">
            <v>Nhất Thiểm</v>
          </cell>
        </row>
        <row r="2408">
          <cell r="P2408" t="str">
            <v>Hoàng Tuyền</v>
          </cell>
          <cell r="Q2408" t="str">
            <v>Nhất Thiểm</v>
          </cell>
        </row>
        <row r="2409">
          <cell r="P2409" t="str">
            <v>Hoàng Tuyền</v>
          </cell>
          <cell r="Q2409" t="str">
            <v>Nhất Thiểm</v>
          </cell>
        </row>
        <row r="2410">
          <cell r="P2410" t="str">
            <v>Hoàng Tuyền</v>
          </cell>
          <cell r="Q2410" t="str">
            <v>Huyết Nhận</v>
          </cell>
        </row>
        <row r="2411">
          <cell r="P2411" t="str">
            <v>Hoàng Tuyền</v>
          </cell>
          <cell r="Q2411" t="str">
            <v>Huyết Nhận</v>
          </cell>
        </row>
        <row r="2412">
          <cell r="P2412" t="str">
            <v>Hoàng Tuyền</v>
          </cell>
          <cell r="Q2412" t="str">
            <v>Huyết Nhận</v>
          </cell>
        </row>
        <row r="2413">
          <cell r="P2413" t="str">
            <v>Hoàng Tuyền</v>
          </cell>
          <cell r="Q2413" t="str">
            <v>Lăng Ba Trảm</v>
          </cell>
        </row>
        <row r="2414">
          <cell r="P2414" t="str">
            <v>Hoàng Tuyền</v>
          </cell>
          <cell r="Q2414" t="str">
            <v>Lăng Ba Trảm</v>
          </cell>
        </row>
        <row r="2415">
          <cell r="P2415" t="str">
            <v>Hoàng Tuyền</v>
          </cell>
          <cell r="Q2415" t="str">
            <v>Lăng Ba Trảm</v>
          </cell>
        </row>
        <row r="2416">
          <cell r="P2416" t="str">
            <v>Hoàng Tuyền</v>
          </cell>
          <cell r="Q2416" t="str">
            <v>Lăng Ba Trảm</v>
          </cell>
        </row>
        <row r="2417">
          <cell r="P2417" t="str">
            <v>Hoàng Tuyền</v>
          </cell>
          <cell r="Q2417" t="str">
            <v>Lăng Ba Trảm</v>
          </cell>
        </row>
        <row r="2418">
          <cell r="P2418" t="str">
            <v>Hoàng Tuyền</v>
          </cell>
          <cell r="Q2418" t="str">
            <v>Lăng Ba Trảm</v>
          </cell>
        </row>
        <row r="2419">
          <cell r="P2419" t="str">
            <v>Hoàng Tuyền</v>
          </cell>
          <cell r="Q2419" t="str">
            <v>Lăng Ba Trảm</v>
          </cell>
        </row>
        <row r="2420">
          <cell r="P2420" t="str">
            <v>Hoàng Tuyền</v>
          </cell>
          <cell r="Q2420" t="str">
            <v>Lăng Ba Trảm</v>
          </cell>
        </row>
        <row r="2421">
          <cell r="P2421" t="str">
            <v>Hoàng Tuyền</v>
          </cell>
          <cell r="Q2421" t="str">
            <v>Lăng Ba Trảm</v>
          </cell>
        </row>
        <row r="2422">
          <cell r="P2422" t="str">
            <v>Hoàng Tuyền</v>
          </cell>
          <cell r="Q2422" t="str">
            <v>Hồn Chi Ai Ca</v>
          </cell>
        </row>
        <row r="2423">
          <cell r="P2423" t="str">
            <v>Hoàng Tuyền</v>
          </cell>
          <cell r="Q2423" t="str">
            <v>Hồn Chi Ai Ca</v>
          </cell>
        </row>
        <row r="2424">
          <cell r="P2424" t="str">
            <v>Hoàng Tuyền</v>
          </cell>
          <cell r="Q2424" t="str">
            <v>Hồn Chi Ai Ca</v>
          </cell>
        </row>
        <row r="2425">
          <cell r="P2425" t="str">
            <v>Hoàng Tuyền</v>
          </cell>
          <cell r="Q2425" t="str">
            <v>Nhất Thiểm</v>
          </cell>
        </row>
        <row r="2426">
          <cell r="P2426" t="str">
            <v>Hoàng Tuyền</v>
          </cell>
          <cell r="Q2426" t="str">
            <v>Nhất Thiểm</v>
          </cell>
        </row>
        <row r="2427">
          <cell r="P2427" t="str">
            <v>Hoàng Tuyền</v>
          </cell>
          <cell r="Q2427" t="str">
            <v>Nhất Thiểm</v>
          </cell>
        </row>
        <row r="2428">
          <cell r="P2428" t="str">
            <v>Hoàng Tuyền</v>
          </cell>
          <cell r="Q2428" t="str">
            <v>Nhất Thiểm</v>
          </cell>
        </row>
        <row r="2429">
          <cell r="P2429" t="str">
            <v>Hoàng Tuyền</v>
          </cell>
          <cell r="Q2429" t="str">
            <v>Nhất Thiểm</v>
          </cell>
        </row>
        <row r="2430">
          <cell r="P2430" t="str">
            <v>Hoàng Tuyền</v>
          </cell>
          <cell r="Q2430" t="str">
            <v>Nhất Thiểm</v>
          </cell>
        </row>
        <row r="2431">
          <cell r="P2431" t="str">
            <v>Hoàng Tuyền</v>
          </cell>
          <cell r="Q2431" t="str">
            <v>Nhất Thiểm</v>
          </cell>
        </row>
        <row r="2432">
          <cell r="P2432" t="str">
            <v>Hoàng Tuyền</v>
          </cell>
          <cell r="Q2432" t="str">
            <v>Nhất Thiểm</v>
          </cell>
        </row>
        <row r="2433">
          <cell r="P2433" t="str">
            <v>Hoàng Tuyền</v>
          </cell>
          <cell r="Q2433" t="str">
            <v>Nhất Thiểm</v>
          </cell>
        </row>
        <row r="2434">
          <cell r="P2434" t="str">
            <v>Hoàng Tuyền</v>
          </cell>
          <cell r="Q2434" t="str">
            <v>Tử Vong Tín Tiêu</v>
          </cell>
        </row>
        <row r="2435">
          <cell r="P2435" t="str">
            <v>Hoàng Tuyền</v>
          </cell>
          <cell r="Q2435" t="str">
            <v>Tử Vong Tín Tiêu</v>
          </cell>
        </row>
        <row r="2436">
          <cell r="P2436" t="str">
            <v>Hoàng Tuyền</v>
          </cell>
          <cell r="Q2436" t="str">
            <v>Tử Vong Tín Tiêu</v>
          </cell>
        </row>
        <row r="2437">
          <cell r="P2437" t="str">
            <v>Diêm Quân</v>
          </cell>
          <cell r="Q2437" t="str">
            <v>Phổ Công</v>
          </cell>
        </row>
        <row r="2438">
          <cell r="P2438" t="str">
            <v>Diêm Quân</v>
          </cell>
          <cell r="Q2438" t="str">
            <v>Quỷ Diễn Phù Chú</v>
          </cell>
        </row>
        <row r="2439">
          <cell r="P2439" t="str">
            <v>Diêm Quân</v>
          </cell>
          <cell r="Q2439" t="str">
            <v>Quỷ Diễn Phù Chú</v>
          </cell>
        </row>
        <row r="2440">
          <cell r="P2440" t="str">
            <v>Diêm Quân</v>
          </cell>
          <cell r="Q2440" t="str">
            <v>Quỷ Diễn Phù Chú</v>
          </cell>
        </row>
        <row r="2441">
          <cell r="P2441" t="str">
            <v>Diêm Quân</v>
          </cell>
          <cell r="Q2441" t="str">
            <v>Vong Vực Chủ Tể</v>
          </cell>
        </row>
        <row r="2442">
          <cell r="P2442" t="str">
            <v>Diêm Quân</v>
          </cell>
          <cell r="Q2442" t="str">
            <v>Vong Vực Chủ Tể</v>
          </cell>
        </row>
        <row r="2443">
          <cell r="P2443" t="str">
            <v>Diêm Quân</v>
          </cell>
          <cell r="Q2443" t="str">
            <v>Vong Vực Chủ Tể</v>
          </cell>
        </row>
        <row r="2444">
          <cell r="P2444" t="str">
            <v>Diêm Quân</v>
          </cell>
          <cell r="Q2444" t="str">
            <v>Cực · Vong Vực Chủ Tể</v>
          </cell>
        </row>
        <row r="2445">
          <cell r="P2445" t="str">
            <v>Diêm Quân</v>
          </cell>
          <cell r="Q2445" t="str">
            <v>Cực · Vong Vực Chủ Tể</v>
          </cell>
        </row>
        <row r="2446">
          <cell r="P2446" t="str">
            <v>Diêm Quân</v>
          </cell>
          <cell r="Q2446" t="str">
            <v>Cực · Vong Vực Chủ Tể</v>
          </cell>
        </row>
        <row r="2447">
          <cell r="P2447" t="str">
            <v>Diêm Quân</v>
          </cell>
          <cell r="Q2447" t="str">
            <v>Tịch Diệt Chi Xúc</v>
          </cell>
        </row>
        <row r="2448">
          <cell r="P2448" t="str">
            <v>Diêm Quân</v>
          </cell>
          <cell r="Q2448" t="str">
            <v>Tịch Diệt Chi Xúc</v>
          </cell>
        </row>
        <row r="2449">
          <cell r="P2449" t="str">
            <v>Diêm Quân</v>
          </cell>
          <cell r="Q2449" t="str">
            <v>Tịch Diệt Chi Xúc</v>
          </cell>
        </row>
        <row r="2450">
          <cell r="P2450" t="str">
            <v>Đông Hoàng Thái Nhất</v>
          </cell>
          <cell r="Q2450" t="str">
            <v>Phổ Công</v>
          </cell>
        </row>
        <row r="2451">
          <cell r="P2451" t="str">
            <v>Đông Hoàng Thái Nhất</v>
          </cell>
          <cell r="Q2451" t="str">
            <v>Tai Ách Chi Triệu</v>
          </cell>
        </row>
        <row r="2452">
          <cell r="P2452" t="str">
            <v>Đông Hoàng Thái Nhất</v>
          </cell>
          <cell r="Q2452" t="str">
            <v>Tai Ách Chi Triệu</v>
          </cell>
        </row>
        <row r="2453">
          <cell r="P2453" t="str">
            <v>Đông Hoàng Thái Nhất</v>
          </cell>
          <cell r="Q2453" t="str">
            <v>Tai Ách Chi Triệu</v>
          </cell>
        </row>
        <row r="2454">
          <cell r="P2454" t="str">
            <v>Đông Hoàng Thái Nhất</v>
          </cell>
          <cell r="Q2454" t="str">
            <v>Hỗn Độn Chi Khu</v>
          </cell>
        </row>
        <row r="2455">
          <cell r="P2455" t="str">
            <v>Đông Hoàng Thái Nhất</v>
          </cell>
          <cell r="Q2455" t="str">
            <v>Hỗn Độn Chi Khu</v>
          </cell>
        </row>
        <row r="2456">
          <cell r="P2456" t="str">
            <v>Đông Hoàng Thái Nhất</v>
          </cell>
          <cell r="Q2456" t="str">
            <v>Hỗn Độn Chi Khu</v>
          </cell>
        </row>
        <row r="2457">
          <cell r="P2457" t="str">
            <v>Đông Hoàng Thái Nhất</v>
          </cell>
          <cell r="Q2457" t="str">
            <v>Cực · Hỗn Độn Chi Khu</v>
          </cell>
        </row>
        <row r="2458">
          <cell r="P2458" t="str">
            <v>Đông Hoàng Thái Nhất</v>
          </cell>
          <cell r="Q2458" t="str">
            <v>Cực · Hỗn Độn Chi Khu</v>
          </cell>
        </row>
        <row r="2459">
          <cell r="P2459" t="str">
            <v>Đông Hoàng Thái Nhất</v>
          </cell>
          <cell r="Q2459" t="str">
            <v>Cực · Hỗn Độn Chi Khu</v>
          </cell>
        </row>
        <row r="2460">
          <cell r="P2460" t="str">
            <v>Đông Hoàng Thái Nhất</v>
          </cell>
          <cell r="Q2460" t="str">
            <v>Vạn Tượng Khiên Dẫn</v>
          </cell>
        </row>
        <row r="2461">
          <cell r="P2461" t="str">
            <v>Đông Hoàng Thái Nhất</v>
          </cell>
          <cell r="Q2461" t="str">
            <v>Vạn Tượng Khiên Dẫn</v>
          </cell>
        </row>
        <row r="2462">
          <cell r="P2462" t="str">
            <v>Đông Hoàng Thái Nhất</v>
          </cell>
          <cell r="Q2462" t="str">
            <v>Vạn Tượng Khiên Dẫn</v>
          </cell>
        </row>
        <row r="2463">
          <cell r="P2463" t="str">
            <v>Đông Hoàng Thái Nhất</v>
          </cell>
          <cell r="Q2463" t="str">
            <v>Kiệt Tâm</v>
          </cell>
        </row>
        <row r="2464">
          <cell r="P2464" t="str">
            <v>Đông Hoàng Thái Nhất</v>
          </cell>
          <cell r="Q2464" t="str">
            <v>Kiệt Tâm</v>
          </cell>
        </row>
        <row r="2465">
          <cell r="P2465" t="str">
            <v>Đông Hoàng Thái Nhất</v>
          </cell>
          <cell r="Q2465" t="str">
            <v>Kiệt Tâm</v>
          </cell>
        </row>
        <row r="2466">
          <cell r="P2466" t="str">
            <v>Đông Hoàng Thái Nhất</v>
          </cell>
          <cell r="Q2466" t="str">
            <v>Ma Âm Oanh Nhiễu</v>
          </cell>
        </row>
        <row r="2467">
          <cell r="P2467" t="str">
            <v>Đông Hoàng Thái Nhất</v>
          </cell>
          <cell r="Q2467" t="str">
            <v>Ma Âm Oanh Nhiễu</v>
          </cell>
        </row>
        <row r="2468">
          <cell r="P2468" t="str">
            <v>Đông Hoàng Thái Nhất</v>
          </cell>
          <cell r="Q2468" t="str">
            <v>Ma Âm Oanh Nhiễu</v>
          </cell>
        </row>
        <row r="2469">
          <cell r="P2469" t="str">
            <v>Chúc Long</v>
          </cell>
          <cell r="Q2469" t="str">
            <v>Phổ Công</v>
          </cell>
        </row>
        <row r="2470">
          <cell r="P2470" t="str">
            <v>Chúc Long</v>
          </cell>
          <cell r="Q2470" t="str">
            <v>Phổ Công</v>
          </cell>
        </row>
        <row r="2471">
          <cell r="P2471" t="str">
            <v>Chúc Long</v>
          </cell>
          <cell r="Q2471" t="str">
            <v>Phẫn Nộ Chi Trảo</v>
          </cell>
        </row>
        <row r="2472">
          <cell r="P2472" t="str">
            <v>Chúc Long</v>
          </cell>
          <cell r="Q2472" t="str">
            <v>Phẫn Nộ Chi Trảo</v>
          </cell>
        </row>
        <row r="2473">
          <cell r="P2473" t="str">
            <v>Chúc Long</v>
          </cell>
          <cell r="Q2473" t="str">
            <v>Phẫn Nộ Chi Trảo</v>
          </cell>
        </row>
        <row r="2474">
          <cell r="P2474" t="str">
            <v>Chúc Long</v>
          </cell>
          <cell r="Q2474" t="str">
            <v>Phẫn Nộ Chi Trảo</v>
          </cell>
        </row>
        <row r="2475">
          <cell r="P2475" t="str">
            <v>Chúc Long</v>
          </cell>
          <cell r="Q2475" t="str">
            <v>Phẫn Nộ Chi Trảo</v>
          </cell>
        </row>
        <row r="2476">
          <cell r="P2476" t="str">
            <v>Chúc Long</v>
          </cell>
          <cell r="Q2476" t="str">
            <v>Phẫn Nộ Chi Trảo</v>
          </cell>
        </row>
        <row r="2477">
          <cell r="P2477" t="str">
            <v>Chúc Long</v>
          </cell>
          <cell r="Q2477" t="str">
            <v>Phẫn Nộ Chi Trảo</v>
          </cell>
        </row>
        <row r="2478">
          <cell r="P2478" t="str">
            <v>Chúc Long</v>
          </cell>
          <cell r="Q2478" t="str">
            <v>Phẫn Nộ Chi Trảo</v>
          </cell>
        </row>
        <row r="2479">
          <cell r="P2479" t="str">
            <v>Chúc Long</v>
          </cell>
          <cell r="Q2479" t="str">
            <v>Phẫn Nộ Chi Trảo</v>
          </cell>
        </row>
        <row r="2480">
          <cell r="P2480" t="str">
            <v>Chúc Long</v>
          </cell>
          <cell r="Q2480" t="str">
            <v>Phẫn Nộ Chi Trảo</v>
          </cell>
        </row>
        <row r="2481">
          <cell r="P2481" t="str">
            <v>Chúc Long</v>
          </cell>
          <cell r="Q2481" t="str">
            <v>Phẫn Nộ Chi Trảo</v>
          </cell>
        </row>
        <row r="2482">
          <cell r="P2482" t="str">
            <v>Chúc Long</v>
          </cell>
          <cell r="Q2482" t="str">
            <v>Phẫn Nộ Chi Trảo</v>
          </cell>
        </row>
        <row r="2483">
          <cell r="P2483" t="str">
            <v>Chúc Long</v>
          </cell>
          <cell r="Q2483" t="str">
            <v>Long Tức</v>
          </cell>
        </row>
        <row r="2484">
          <cell r="P2484" t="str">
            <v>Chúc Long</v>
          </cell>
          <cell r="Q2484" t="str">
            <v>Long Tức</v>
          </cell>
        </row>
        <row r="2485">
          <cell r="P2485" t="str">
            <v>Chúc Long</v>
          </cell>
          <cell r="Q2485" t="str">
            <v>Long Tức</v>
          </cell>
        </row>
        <row r="2486">
          <cell r="P2486" t="str">
            <v>Chúc Long</v>
          </cell>
          <cell r="Q2486" t="str">
            <v>Long Tức</v>
          </cell>
        </row>
        <row r="2487">
          <cell r="P2487" t="str">
            <v>Chúc Long</v>
          </cell>
          <cell r="Q2487" t="str">
            <v>Long Tức</v>
          </cell>
        </row>
        <row r="2488">
          <cell r="P2488" t="str">
            <v>Chúc Long</v>
          </cell>
          <cell r="Q2488" t="str">
            <v>Long Tức</v>
          </cell>
        </row>
        <row r="2489">
          <cell r="P2489" t="str">
            <v>Chúc Long</v>
          </cell>
          <cell r="Q2489" t="str">
            <v>Long Tức</v>
          </cell>
        </row>
        <row r="2490">
          <cell r="P2490" t="str">
            <v>Chúc Long</v>
          </cell>
          <cell r="Q2490" t="str">
            <v>Long Tức</v>
          </cell>
        </row>
        <row r="2491">
          <cell r="P2491" t="str">
            <v>Chúc Long</v>
          </cell>
          <cell r="Q2491" t="str">
            <v>Long Tức</v>
          </cell>
        </row>
        <row r="2492">
          <cell r="P2492" t="str">
            <v>Chúc Long</v>
          </cell>
          <cell r="Q2492" t="str">
            <v>Long Tức</v>
          </cell>
        </row>
        <row r="2493">
          <cell r="P2493" t="str">
            <v>Chúc Long</v>
          </cell>
          <cell r="Q2493" t="str">
            <v>Long Tức</v>
          </cell>
        </row>
        <row r="2494">
          <cell r="P2494" t="str">
            <v>Chúc Long</v>
          </cell>
          <cell r="Q2494" t="str">
            <v>Long Tức</v>
          </cell>
        </row>
        <row r="2495">
          <cell r="P2495" t="str">
            <v>Chúc Long</v>
          </cell>
          <cell r="Q2495" t="str">
            <v>Viêm Linh Hộ Thể</v>
          </cell>
        </row>
        <row r="2496">
          <cell r="P2496" t="str">
            <v>Chúc Long</v>
          </cell>
          <cell r="Q2496" t="str">
            <v>Viêm Linh Hộ Thể</v>
          </cell>
        </row>
        <row r="2497">
          <cell r="P2497" t="str">
            <v>Chúc Long</v>
          </cell>
          <cell r="Q2497" t="str">
            <v>Viêm Linh Hộ Thể</v>
          </cell>
        </row>
        <row r="2498">
          <cell r="P2498" t="str">
            <v>Chúc Long</v>
          </cell>
          <cell r="Q2498" t="str">
            <v>Cực · Viêm Linh Hộ Thể</v>
          </cell>
        </row>
        <row r="2499">
          <cell r="P2499" t="str">
            <v>Chúc Long</v>
          </cell>
          <cell r="Q2499" t="str">
            <v>Cực · Viêm Linh Hộ Thể</v>
          </cell>
        </row>
        <row r="2500">
          <cell r="P2500" t="str">
            <v>Chúc Long</v>
          </cell>
          <cell r="Q2500" t="str">
            <v>Cực · Viêm Linh Hộ Thể</v>
          </cell>
        </row>
        <row r="2501">
          <cell r="P2501" t="str">
            <v>Chúc Long</v>
          </cell>
          <cell r="Q2501" t="str">
            <v>Chúc Long Chân Cảnh</v>
          </cell>
        </row>
        <row r="2502">
          <cell r="P2502" t="str">
            <v>Chúc Long</v>
          </cell>
          <cell r="Q2502" t="str">
            <v>Chúc Long Chân Cảnh</v>
          </cell>
        </row>
        <row r="2503">
          <cell r="P2503" t="str">
            <v>Chúc Long</v>
          </cell>
          <cell r="Q2503" t="str">
            <v>Chúc Long Chân Cảnh</v>
          </cell>
        </row>
        <row r="2504">
          <cell r="P2504" t="str">
            <v>Chúc Long</v>
          </cell>
          <cell r="Q2504" t="str">
            <v>Chúc Âm Chú</v>
          </cell>
        </row>
        <row r="2505">
          <cell r="P2505" t="str">
            <v>Chúc Long</v>
          </cell>
          <cell r="Q2505" t="str">
            <v>Chúc Âm Chú</v>
          </cell>
        </row>
        <row r="2506">
          <cell r="P2506" t="str">
            <v>Chúc Long</v>
          </cell>
          <cell r="Q2506" t="str">
            <v>Chúc Âm Chú</v>
          </cell>
        </row>
        <row r="2507">
          <cell r="P2507" t="str">
            <v>Chúc Long</v>
          </cell>
          <cell r="Q2507" t="str">
            <v>Vĩnh Dạ Chi Tứ</v>
          </cell>
        </row>
        <row r="2508">
          <cell r="P2508" t="str">
            <v>Chúc Long</v>
          </cell>
          <cell r="Q2508" t="str">
            <v>Vĩnh Dạ Chi Tứ</v>
          </cell>
        </row>
        <row r="2509">
          <cell r="P2509" t="str">
            <v>Chúc Long</v>
          </cell>
          <cell r="Q2509" t="str">
            <v>Vĩnh Dạ Chi Tứ</v>
          </cell>
        </row>
        <row r="2510">
          <cell r="P2510" t="str">
            <v>Chúc Long</v>
          </cell>
          <cell r="Q2510" t="str">
            <v>Phẫn Nộ Chi Trảo</v>
          </cell>
        </row>
        <row r="2511">
          <cell r="P2511" t="str">
            <v>Chúc Long</v>
          </cell>
          <cell r="Q2511" t="str">
            <v>Phẫn Nộ Chi Trảo</v>
          </cell>
        </row>
        <row r="2512">
          <cell r="P2512" t="str">
            <v>Chúc Long</v>
          </cell>
          <cell r="Q2512" t="str">
            <v>Phẫn Nộ Chi Trảo</v>
          </cell>
        </row>
        <row r="2513">
          <cell r="P2513" t="str">
            <v>Chúc Long</v>
          </cell>
          <cell r="Q2513" t="str">
            <v>Long Tức</v>
          </cell>
        </row>
        <row r="2514">
          <cell r="P2514" t="str">
            <v>Chúc Long</v>
          </cell>
          <cell r="Q2514" t="str">
            <v>Long Tức</v>
          </cell>
        </row>
        <row r="2515">
          <cell r="P2515" t="str">
            <v>Chúc Long</v>
          </cell>
          <cell r="Q2515" t="str">
            <v>Long Tức</v>
          </cell>
        </row>
        <row r="2516">
          <cell r="P2516" t="str">
            <v>Chúc Long</v>
          </cell>
          <cell r="Q2516" t="str">
            <v>Long Huyết Chú Ấn</v>
          </cell>
        </row>
        <row r="2517">
          <cell r="P2517" t="str">
            <v>Chúc Long</v>
          </cell>
          <cell r="Q2517" t="str">
            <v>Long Huyết Chú Ấn</v>
          </cell>
        </row>
        <row r="2518">
          <cell r="P2518" t="str">
            <v>Chúc Long</v>
          </cell>
          <cell r="Q2518" t="str">
            <v>Long Huyết Chú Ấn</v>
          </cell>
        </row>
        <row r="2519">
          <cell r="P2519" t="str">
            <v>Chúc Long</v>
          </cell>
          <cell r="Q2519" t="str">
            <v>Chúc Long Chân Cảnh</v>
          </cell>
        </row>
        <row r="2520">
          <cell r="P2520" t="str">
            <v>Chúc Long</v>
          </cell>
          <cell r="Q2520" t="str">
            <v>Long Tức Xuyên Thấu</v>
          </cell>
        </row>
        <row r="2521">
          <cell r="P2521" t="str">
            <v>Chúc Long</v>
          </cell>
          <cell r="Q2521" t="str">
            <v>Long Tức Xuyên Thấu</v>
          </cell>
        </row>
        <row r="2522">
          <cell r="P2522" t="str">
            <v>Chúc Long</v>
          </cell>
          <cell r="Q2522" t="str">
            <v>Long Tức Xuyên Thấu</v>
          </cell>
        </row>
        <row r="2523">
          <cell r="P2523" t="str">
            <v>Chúc Long</v>
          </cell>
          <cell r="Q2523" t="str">
            <v>Long Tức Xuyên Thấu</v>
          </cell>
        </row>
        <row r="2524">
          <cell r="P2524" t="str">
            <v>Chúc Long</v>
          </cell>
          <cell r="Q2524" t="str">
            <v>Long Tức Xuyên Thấu</v>
          </cell>
        </row>
        <row r="2525">
          <cell r="P2525" t="str">
            <v>Chúc Long</v>
          </cell>
          <cell r="Q2525" t="str">
            <v>Long Tức Xuyên Thấu</v>
          </cell>
        </row>
        <row r="2526">
          <cell r="P2526" t="str">
            <v>Chúc Long</v>
          </cell>
          <cell r="Q2526" t="str">
            <v>Long Tức Xuyên Thấu</v>
          </cell>
        </row>
        <row r="2527">
          <cell r="P2527" t="str">
            <v>Chúc Long</v>
          </cell>
          <cell r="Q2527" t="str">
            <v>Long Tức Xuyên Thấu</v>
          </cell>
        </row>
        <row r="2528">
          <cell r="P2528" t="str">
            <v>Chúc Long</v>
          </cell>
          <cell r="Q2528" t="str">
            <v>Long Tức Xuyên Thấu</v>
          </cell>
        </row>
        <row r="2529">
          <cell r="P2529" t="str">
            <v>Chúc Long</v>
          </cell>
          <cell r="Q2529" t="str">
            <v>Long Tức Xuyên Thấu</v>
          </cell>
        </row>
        <row r="2530">
          <cell r="P2530" t="str">
            <v>Dạ Mị</v>
          </cell>
          <cell r="Q2530" t="str">
            <v>Phổ Công</v>
          </cell>
        </row>
        <row r="2531">
          <cell r="P2531" t="str">
            <v>Dạ Mị</v>
          </cell>
          <cell r="Q2531" t="str">
            <v>Dạ Mạc Ân Trạch</v>
          </cell>
        </row>
        <row r="2532">
          <cell r="P2532" t="str">
            <v>Dạ Mị</v>
          </cell>
          <cell r="Q2532" t="str">
            <v>Dạ Mạc Ân Trạch</v>
          </cell>
        </row>
        <row r="2533">
          <cell r="P2533" t="str">
            <v>Dạ Mị</v>
          </cell>
          <cell r="Q2533" t="str">
            <v>Dạ Mạc Ân Trạch</v>
          </cell>
        </row>
        <row r="2534">
          <cell r="P2534" t="str">
            <v>Dạ Mị</v>
          </cell>
          <cell r="Q2534" t="str">
            <v>Mị Ảnh</v>
          </cell>
        </row>
        <row r="2535">
          <cell r="P2535" t="str">
            <v>Dạ Mị</v>
          </cell>
          <cell r="Q2535" t="str">
            <v>Mị Ảnh</v>
          </cell>
        </row>
        <row r="2536">
          <cell r="P2536" t="str">
            <v>Dạ Mị</v>
          </cell>
          <cell r="Q2536" t="str">
            <v>Mị Ảnh</v>
          </cell>
        </row>
        <row r="2537">
          <cell r="P2537" t="str">
            <v>Dạ Mị</v>
          </cell>
          <cell r="Q2537" t="str">
            <v>Cực · Mị Ảnh</v>
          </cell>
        </row>
        <row r="2538">
          <cell r="P2538" t="str">
            <v>Dạ Mị</v>
          </cell>
          <cell r="Q2538" t="str">
            <v>Cực · Mị Ảnh</v>
          </cell>
        </row>
        <row r="2539">
          <cell r="P2539" t="str">
            <v>Dạ Mị</v>
          </cell>
          <cell r="Q2539" t="str">
            <v>Cực · Mị Ảnh</v>
          </cell>
        </row>
        <row r="2540">
          <cell r="P2540" t="str">
            <v>Dạ Mị</v>
          </cell>
          <cell r="Q2540" t="str">
            <v>Đoạn Cát Hung</v>
          </cell>
        </row>
        <row r="2541">
          <cell r="P2541" t="str">
            <v>Dạ Mị</v>
          </cell>
          <cell r="Q2541" t="str">
            <v>Đoạn Cát Hung</v>
          </cell>
        </row>
        <row r="2542">
          <cell r="P2542" t="str">
            <v>Dạ Mị</v>
          </cell>
          <cell r="Q2542" t="str">
            <v>Đoạn Cát Hung</v>
          </cell>
        </row>
        <row r="2543">
          <cell r="P2543" t="str">
            <v>Dạ Mị</v>
          </cell>
          <cell r="Q2543" t="str">
            <v>Đoạn Cát Hung</v>
          </cell>
        </row>
        <row r="2544">
          <cell r="P2544" t="str">
            <v>Dạ Mị</v>
          </cell>
          <cell r="Q2544" t="str">
            <v>Đoạn Cát Hung</v>
          </cell>
        </row>
        <row r="2545">
          <cell r="P2545" t="str">
            <v>Dạ Mị</v>
          </cell>
          <cell r="Q2545" t="str">
            <v>Đoạn Cát Hung</v>
          </cell>
        </row>
        <row r="2546">
          <cell r="P2546" t="str">
            <v>Dạ Mị</v>
          </cell>
          <cell r="Q2546" t="str">
            <v>Đoạn Cát Hung</v>
          </cell>
        </row>
        <row r="2547">
          <cell r="P2547" t="str">
            <v>Dạ Mị</v>
          </cell>
          <cell r="Q2547" t="str">
            <v>Đoạn Cát Hung</v>
          </cell>
        </row>
        <row r="2548">
          <cell r="P2548" t="str">
            <v>Dạ Mị</v>
          </cell>
          <cell r="Q2548" t="str">
            <v>Đoạn Cát Hung</v>
          </cell>
        </row>
        <row r="2549">
          <cell r="P2549" t="str">
            <v>Dạ Mị</v>
          </cell>
          <cell r="Q2549" t="str">
            <v>Ám Độ</v>
          </cell>
        </row>
        <row r="2550">
          <cell r="P2550" t="str">
            <v>Dạ Mị</v>
          </cell>
          <cell r="Q2550" t="str">
            <v>Ám Độ</v>
          </cell>
        </row>
        <row r="2551">
          <cell r="P2551" t="str">
            <v>Dạ Mị</v>
          </cell>
          <cell r="Q2551" t="str">
            <v>Ám Độ</v>
          </cell>
        </row>
        <row r="2552">
          <cell r="P2552" t="str">
            <v>Dạ Mị</v>
          </cell>
          <cell r="Q2552" t="str">
            <v>Mộ Sắc Hàng Lâm</v>
          </cell>
        </row>
        <row r="2553">
          <cell r="P2553" t="str">
            <v>Dạ Mị</v>
          </cell>
          <cell r="Q2553" t="str">
            <v>Mộ Sắc Hàng Lâm</v>
          </cell>
        </row>
        <row r="2554">
          <cell r="P2554" t="str">
            <v>Dạ Mị</v>
          </cell>
          <cell r="Q2554" t="str">
            <v>Mộ Sắc Hàng Lâm</v>
          </cell>
        </row>
        <row r="2555">
          <cell r="P2555" t="str">
            <v>Dạ Mị</v>
          </cell>
          <cell r="Q2555" t="str">
            <v>Dạ Mạc Ân Trạch</v>
          </cell>
        </row>
        <row r="2556">
          <cell r="P2556" t="str">
            <v>Dạ Mị</v>
          </cell>
          <cell r="Q2556" t="str">
            <v>Dạ Mạc Ân Trạch</v>
          </cell>
        </row>
        <row r="2557">
          <cell r="P2557" t="str">
            <v>Dạ Mị</v>
          </cell>
          <cell r="Q2557" t="str">
            <v>Dạ Mạc Ân Trạch</v>
          </cell>
        </row>
        <row r="2558">
          <cell r="P2558" t="str">
            <v>Dạ Mị</v>
          </cell>
          <cell r="Q2558" t="str">
            <v>Mộng Nghệ Ni Nam</v>
          </cell>
        </row>
        <row r="2559">
          <cell r="P2559" t="str">
            <v>Dạ Mị</v>
          </cell>
          <cell r="Q2559" t="str">
            <v>Mộng Nghệ Ni Nam</v>
          </cell>
        </row>
        <row r="2560">
          <cell r="P2560" t="str">
            <v>Dạ Mị</v>
          </cell>
          <cell r="Q2560" t="str">
            <v>Mộng Nghệ Ni Nam</v>
          </cell>
        </row>
        <row r="2561">
          <cell r="P2561" t="str">
            <v>Dạ Mị</v>
          </cell>
          <cell r="Q2561" t="str">
            <v>Mộng Nghệ Ni Nam</v>
          </cell>
        </row>
        <row r="2562">
          <cell r="P2562" t="str">
            <v>Dạ Mị</v>
          </cell>
          <cell r="Q2562" t="str">
            <v>Mộng Nghệ Ni Nam</v>
          </cell>
        </row>
        <row r="2563">
          <cell r="P2563" t="str">
            <v>Dạ Mị</v>
          </cell>
          <cell r="Q2563" t="str">
            <v>Mộng Nghệ Ni Nam</v>
          </cell>
        </row>
        <row r="2564">
          <cell r="P2564" t="str">
            <v>Dạ Mị</v>
          </cell>
          <cell r="Q2564" t="str">
            <v>Mộng Nghệ Ni Nam</v>
          </cell>
        </row>
        <row r="2565">
          <cell r="P2565" t="str">
            <v>Dạ Mị</v>
          </cell>
          <cell r="Q2565" t="str">
            <v>Mộng Nghệ Ni Nam</v>
          </cell>
        </row>
        <row r="2566">
          <cell r="P2566" t="str">
            <v>Dạ Mị</v>
          </cell>
          <cell r="Q2566" t="str">
            <v>Mộng Nghệ Ni Nam</v>
          </cell>
        </row>
        <row r="2567">
          <cell r="P2567" t="str">
            <v>Dạ Mị</v>
          </cell>
          <cell r="Q2567" t="str">
            <v>Mị Dạ Tùng Tùng</v>
          </cell>
        </row>
        <row r="2568">
          <cell r="P2568" t="str">
            <v>Dạ Mị</v>
          </cell>
          <cell r="Q2568" t="str">
            <v>Mị Dạ Tùng Tùng</v>
          </cell>
        </row>
        <row r="2569">
          <cell r="P2569" t="str">
            <v>Dạ Mị</v>
          </cell>
          <cell r="Q2569" t="str">
            <v>Mị Dạ Tùng Tùng</v>
          </cell>
        </row>
        <row r="2570">
          <cell r="P2570" t="str">
            <v>Dạ Mị</v>
          </cell>
          <cell r="Q2570" t="str">
            <v>Mị Dạ Tùng Tùng</v>
          </cell>
        </row>
        <row r="2571">
          <cell r="P2571" t="str">
            <v>Dạ Mị</v>
          </cell>
          <cell r="Q2571" t="str">
            <v>Mị Dạ Tùng Tùng</v>
          </cell>
        </row>
        <row r="2572">
          <cell r="P2572" t="str">
            <v>Dạ Mị</v>
          </cell>
          <cell r="Q2572" t="str">
            <v>Mị Dạ Tùng Tùng</v>
          </cell>
        </row>
        <row r="2573">
          <cell r="P2573" t="str">
            <v>Dạ Mị</v>
          </cell>
          <cell r="Q2573" t="str">
            <v>Mị Dạ Tùng Tùng</v>
          </cell>
        </row>
        <row r="2574">
          <cell r="P2574" t="str">
            <v>Dạ Mị</v>
          </cell>
          <cell r="Q2574" t="str">
            <v>Mị Dạ Tùng Tùng</v>
          </cell>
        </row>
        <row r="2575">
          <cell r="P2575" t="str">
            <v>Dạ Mị</v>
          </cell>
          <cell r="Q2575" t="str">
            <v>Mị Dạ Tùng Tùng</v>
          </cell>
        </row>
        <row r="2576">
          <cell r="P2576" t="str">
            <v>Dạ Mị</v>
          </cell>
          <cell r="Q2576" t="str">
            <v>Mị Dạ Tùng Tùng</v>
          </cell>
        </row>
        <row r="2577">
          <cell r="P2577" t="str">
            <v>Linh Môi Ma Nữ</v>
          </cell>
          <cell r="Q2577" t="str">
            <v>Phổ Công</v>
          </cell>
        </row>
        <row r="2578">
          <cell r="P2578" t="str">
            <v>Linh Môi Ma Nữ</v>
          </cell>
          <cell r="Q2578" t="str">
            <v>Độc Tâm Thuật</v>
          </cell>
        </row>
        <row r="2579">
          <cell r="P2579" t="str">
            <v>Linh Môi Ma Nữ</v>
          </cell>
          <cell r="Q2579" t="str">
            <v>Độc Tâm Thuật</v>
          </cell>
        </row>
        <row r="2580">
          <cell r="P2580" t="str">
            <v>Linh Môi Ma Nữ</v>
          </cell>
          <cell r="Q2580" t="str">
            <v>Độc Tâm Thuật</v>
          </cell>
        </row>
        <row r="2581">
          <cell r="P2581" t="str">
            <v>Linh Môi Ma Nữ</v>
          </cell>
          <cell r="Q2581" t="str">
            <v>Thông Linh</v>
          </cell>
        </row>
        <row r="2582">
          <cell r="P2582" t="str">
            <v>Linh Môi Ma Nữ</v>
          </cell>
          <cell r="Q2582" t="str">
            <v>Thông Linh</v>
          </cell>
        </row>
        <row r="2583">
          <cell r="P2583" t="str">
            <v>Linh Môi Ma Nữ</v>
          </cell>
          <cell r="Q2583" t="str">
            <v>Thông Linh</v>
          </cell>
        </row>
        <row r="2584">
          <cell r="P2584" t="str">
            <v>Linh Môi Ma Nữ</v>
          </cell>
          <cell r="Q2584" t="str">
            <v>Cực · Thông Linh</v>
          </cell>
        </row>
        <row r="2585">
          <cell r="P2585" t="str">
            <v>Linh Môi Ma Nữ</v>
          </cell>
          <cell r="Q2585" t="str">
            <v>Cực · Thông Linh</v>
          </cell>
        </row>
        <row r="2586">
          <cell r="P2586" t="str">
            <v>Linh Môi Ma Nữ</v>
          </cell>
          <cell r="Q2586" t="str">
            <v>Cực · Thông Linh</v>
          </cell>
        </row>
        <row r="2587">
          <cell r="P2587" t="str">
            <v>Linh Môi Ma Nữ</v>
          </cell>
          <cell r="Q2587" t="str">
            <v>Họa Loạn</v>
          </cell>
        </row>
        <row r="2588">
          <cell r="P2588" t="str">
            <v>Linh Môi Ma Nữ</v>
          </cell>
          <cell r="Q2588" t="str">
            <v>Họa Loạn</v>
          </cell>
        </row>
        <row r="2589">
          <cell r="P2589" t="str">
            <v>Linh Môi Ma Nữ</v>
          </cell>
          <cell r="Q2589" t="str">
            <v>Họa Loạn</v>
          </cell>
        </row>
        <row r="2590">
          <cell r="P2590" t="str">
            <v>Linh Môi Ma Nữ</v>
          </cell>
          <cell r="Q2590" t="str">
            <v>Họa Loạn</v>
          </cell>
        </row>
        <row r="2591">
          <cell r="P2591" t="str">
            <v>Linh Môi Ma Nữ</v>
          </cell>
          <cell r="Q2591" t="str">
            <v>Họa Loạn</v>
          </cell>
        </row>
        <row r="2592">
          <cell r="P2592" t="str">
            <v>Linh Môi Ma Nữ</v>
          </cell>
          <cell r="Q2592" t="str">
            <v>Linh Năng · Họa Loạn</v>
          </cell>
        </row>
        <row r="2593">
          <cell r="P2593" t="str">
            <v>Linh Môi Ma Nữ</v>
          </cell>
          <cell r="Q2593" t="str">
            <v>Họa Loạn</v>
          </cell>
        </row>
        <row r="2594">
          <cell r="P2594" t="str">
            <v>Linh Môi Ma Nữ</v>
          </cell>
          <cell r="Q2594" t="str">
            <v>Họa Loạn</v>
          </cell>
        </row>
        <row r="2595">
          <cell r="P2595" t="str">
            <v>Linh Môi Ma Nữ</v>
          </cell>
          <cell r="Q2595" t="str">
            <v>Linh Năng · Họa Loạn</v>
          </cell>
        </row>
        <row r="2596">
          <cell r="P2596" t="str">
            <v>Linh Môi Ma Nữ</v>
          </cell>
          <cell r="Q2596" t="str">
            <v>Trớ Chú Chi Nguyên</v>
          </cell>
        </row>
        <row r="2597">
          <cell r="P2597" t="str">
            <v>Linh Môi Ma Nữ</v>
          </cell>
          <cell r="Q2597" t="str">
            <v>Trớ Chú Chi Nguyên</v>
          </cell>
        </row>
        <row r="2598">
          <cell r="P2598" t="str">
            <v>Linh Môi Ma Nữ</v>
          </cell>
          <cell r="Q2598" t="str">
            <v>Trớ Chú Chi Nguyên</v>
          </cell>
        </row>
        <row r="2599">
          <cell r="P2599" t="str">
            <v>Linh Môi Ma Nữ</v>
          </cell>
          <cell r="Q2599" t="str">
            <v>Mộc Ngẫu Hí</v>
          </cell>
        </row>
        <row r="2600">
          <cell r="P2600" t="str">
            <v>Linh Môi Ma Nữ</v>
          </cell>
          <cell r="Q2600" t="str">
            <v>Mộc Ngẫu Hí</v>
          </cell>
        </row>
        <row r="2601">
          <cell r="P2601" t="str">
            <v>Linh Môi Ma Nữ</v>
          </cell>
          <cell r="Q2601" t="str">
            <v>Mộc Ngẫu Hí</v>
          </cell>
        </row>
        <row r="2602">
          <cell r="P2602" t="str">
            <v>Linh Môi Ma Nữ</v>
          </cell>
          <cell r="Q2602" t="str">
            <v>Họa Loạn</v>
          </cell>
        </row>
        <row r="2603">
          <cell r="P2603" t="str">
            <v>Linh Môi Ma Nữ</v>
          </cell>
          <cell r="Q2603" t="str">
            <v>Họa Loạn</v>
          </cell>
        </row>
        <row r="2604">
          <cell r="P2604" t="str">
            <v>Linh Môi Ma Nữ</v>
          </cell>
          <cell r="Q2604" t="str">
            <v>Linh Năng · Họa Loạn</v>
          </cell>
        </row>
        <row r="2605">
          <cell r="P2605" t="str">
            <v>Linh Môi Ma Nữ</v>
          </cell>
          <cell r="Q2605" t="str">
            <v>Họa Loạn</v>
          </cell>
        </row>
        <row r="2606">
          <cell r="P2606" t="str">
            <v>Linh Môi Ma Nữ</v>
          </cell>
          <cell r="Q2606" t="str">
            <v>Họa Loạn</v>
          </cell>
        </row>
        <row r="2607">
          <cell r="P2607" t="str">
            <v>Linh Môi Ma Nữ</v>
          </cell>
          <cell r="Q2607" t="str">
            <v>Linh Năng · Họa Loạn</v>
          </cell>
        </row>
        <row r="2608">
          <cell r="P2608" t="str">
            <v>Linh Môi Ma Nữ</v>
          </cell>
          <cell r="Q2608" t="str">
            <v>Họa Loạn</v>
          </cell>
        </row>
        <row r="2609">
          <cell r="P2609" t="str">
            <v>Linh Môi Ma Nữ</v>
          </cell>
          <cell r="Q2609" t="str">
            <v>Họa Loạn</v>
          </cell>
        </row>
        <row r="2610">
          <cell r="P2610" t="str">
            <v>Linh Môi Ma Nữ</v>
          </cell>
          <cell r="Q2610" t="str">
            <v>Linh Năng · Họa Loạn</v>
          </cell>
        </row>
        <row r="2611">
          <cell r="P2611" t="str">
            <v>Linh Môi Ma Nữ</v>
          </cell>
          <cell r="Q2611" t="str">
            <v>Tà Năng Chuyển Sinh</v>
          </cell>
        </row>
        <row r="2612">
          <cell r="P2612" t="str">
            <v>Linh Môi Ma Nữ</v>
          </cell>
          <cell r="Q2612" t="str">
            <v>Tà Năng Chuyển Sinh</v>
          </cell>
        </row>
        <row r="2613">
          <cell r="P2613" t="str">
            <v>Linh Môi Ma Nữ</v>
          </cell>
          <cell r="Q2613" t="str">
            <v>Tà Năng Chuyển Sinh</v>
          </cell>
        </row>
        <row r="2614">
          <cell r="P2614" t="str">
            <v>Linh Môi Ma Nữ</v>
          </cell>
          <cell r="Q2614" t="str">
            <v>Cường Hóa Trớ Chú</v>
          </cell>
        </row>
        <row r="2615">
          <cell r="P2615" t="str">
            <v>Linh Môi Ma Nữ</v>
          </cell>
          <cell r="Q2615" t="str">
            <v>Cường Hóa Trớ Chú</v>
          </cell>
        </row>
        <row r="2616">
          <cell r="P2616" t="str">
            <v>Linh Môi Ma Nữ</v>
          </cell>
          <cell r="Q2616" t="str">
            <v>Cường Hóa Trớ Chú</v>
          </cell>
        </row>
        <row r="2617">
          <cell r="P2617" t="str">
            <v>Linh Môi Ma Nữ</v>
          </cell>
          <cell r="Q2617" t="str">
            <v>Cường Hóa Trớ Chú</v>
          </cell>
        </row>
        <row r="2618">
          <cell r="P2618" t="str">
            <v>Linh Môi Ma Nữ</v>
          </cell>
          <cell r="Q2618" t="str">
            <v>Cường Hóa Trớ Chú</v>
          </cell>
        </row>
        <row r="2619">
          <cell r="P2619" t="str">
            <v>Linh Môi Ma Nữ</v>
          </cell>
          <cell r="Q2619" t="str">
            <v>Cường Hóa Trớ Chú</v>
          </cell>
        </row>
        <row r="2620">
          <cell r="P2620" t="str">
            <v>Linh Môi Ma Nữ</v>
          </cell>
          <cell r="Q2620" t="str">
            <v>Cường Hóa Trớ Chú</v>
          </cell>
        </row>
        <row r="2621">
          <cell r="P2621" t="str">
            <v>Linh Môi Ma Nữ</v>
          </cell>
          <cell r="Q2621" t="str">
            <v>Cường Hóa Trớ Chú</v>
          </cell>
        </row>
        <row r="2622">
          <cell r="P2622" t="str">
            <v>Linh Môi Ma Nữ</v>
          </cell>
          <cell r="Q2622" t="str">
            <v>Cường Hóa Trớ Chú</v>
          </cell>
        </row>
        <row r="2623">
          <cell r="P2623" t="str">
            <v>Linh Môi Ma Nữ</v>
          </cell>
          <cell r="Q2623" t="str">
            <v>Cường Hóa Trớ Chú</v>
          </cell>
        </row>
        <row r="2624">
          <cell r="P2624" t="str">
            <v>Linh Môi Ma Nữ</v>
          </cell>
          <cell r="Q2624" t="str">
            <v>Trớ Chú Chi Nguyên</v>
          </cell>
        </row>
        <row r="2625">
          <cell r="P2625" t="str">
            <v>Linh Môi Ma Nữ</v>
          </cell>
          <cell r="Q2625" t="str">
            <v>Trớ Chú Chi Nguyên</v>
          </cell>
        </row>
        <row r="2626">
          <cell r="P2626" t="str">
            <v>Linh Môi Ma Nữ</v>
          </cell>
          <cell r="Q2626" t="str">
            <v>Trớ Chú Chi Nguyên</v>
          </cell>
        </row>
        <row r="2627">
          <cell r="P2627" t="str">
            <v>Linh Môi Ma Nữ</v>
          </cell>
          <cell r="Q2627" t="str">
            <v>Trớ Chú Chi Nguyên</v>
          </cell>
        </row>
        <row r="2628">
          <cell r="P2628" t="str">
            <v>Linh Môi Ma Nữ</v>
          </cell>
          <cell r="Q2628" t="str">
            <v>Trớ Chú Chi Nguyên</v>
          </cell>
        </row>
        <row r="2629">
          <cell r="P2629" t="str">
            <v>Linh Môi Ma Nữ</v>
          </cell>
          <cell r="Q2629" t="str">
            <v>Trớ Chú Chi Nguyên</v>
          </cell>
        </row>
        <row r="2630">
          <cell r="P2630" t="str">
            <v>Linh Môi Ma Nữ</v>
          </cell>
          <cell r="Q2630" t="str">
            <v>Trớ Chú Chi Nguyên</v>
          </cell>
        </row>
        <row r="2631">
          <cell r="P2631" t="str">
            <v>Linh Môi Ma Nữ</v>
          </cell>
          <cell r="Q2631" t="str">
            <v>Trớ Chú Chi Nguyên</v>
          </cell>
        </row>
        <row r="2632">
          <cell r="P2632" t="str">
            <v>Linh Môi Ma Nữ</v>
          </cell>
          <cell r="Q2632" t="str">
            <v>Trớ Chú Chi Nguyên</v>
          </cell>
        </row>
        <row r="2633">
          <cell r="P2633" t="str">
            <v>Linh Môi Ma Nữ</v>
          </cell>
          <cell r="Q2633" t="str">
            <v>Trớ Chú Chi Nguyên</v>
          </cell>
        </row>
        <row r="2634">
          <cell r="P2634" t="str">
            <v>Minh Hà</v>
          </cell>
          <cell r="Q2634" t="str">
            <v>Phổ Công</v>
          </cell>
        </row>
        <row r="2635">
          <cell r="P2635" t="str">
            <v>Minh Hà</v>
          </cell>
          <cell r="Q2635" t="str">
            <v>Bại Huyết Chi Thương</v>
          </cell>
        </row>
        <row r="2636">
          <cell r="P2636" t="str">
            <v>Minh Hà</v>
          </cell>
          <cell r="Q2636" t="str">
            <v>Bại Huyết Chi Thương</v>
          </cell>
        </row>
        <row r="2637">
          <cell r="P2637" t="str">
            <v>Minh Hà</v>
          </cell>
          <cell r="Q2637" t="str">
            <v>Bại Huyết Chi Thương</v>
          </cell>
        </row>
        <row r="2638">
          <cell r="P2638" t="str">
            <v>Minh Hà</v>
          </cell>
          <cell r="Q2638" t="str">
            <v>Bất Triêm Nhân Quả</v>
          </cell>
        </row>
        <row r="2639">
          <cell r="P2639" t="str">
            <v>Minh Hà</v>
          </cell>
          <cell r="Q2639" t="str">
            <v>Bất Triêm Nhân Quả</v>
          </cell>
        </row>
        <row r="2640">
          <cell r="P2640" t="str">
            <v>Minh Hà</v>
          </cell>
          <cell r="Q2640" t="str">
            <v>Bất Triêm Nhân Quả</v>
          </cell>
        </row>
        <row r="2641">
          <cell r="P2641" t="str">
            <v>Minh Hà</v>
          </cell>
          <cell r="Q2641" t="str">
            <v>Cực · Bất Triêm Nhân Quả</v>
          </cell>
        </row>
        <row r="2642">
          <cell r="P2642" t="str">
            <v>Minh Hà</v>
          </cell>
          <cell r="Q2642" t="str">
            <v>Cực · Bất Triêm Nhân Quả</v>
          </cell>
        </row>
        <row r="2643">
          <cell r="P2643" t="str">
            <v>Minh Hà</v>
          </cell>
          <cell r="Q2643" t="str">
            <v>Cực · Bất Triêm Nhân Quả</v>
          </cell>
        </row>
        <row r="2644">
          <cell r="P2644" t="str">
            <v>Minh Hà</v>
          </cell>
          <cell r="Q2644" t="str">
            <v>Tiên Huyết Oanh Bạo</v>
          </cell>
        </row>
        <row r="2645">
          <cell r="P2645" t="str">
            <v>Minh Hà</v>
          </cell>
          <cell r="Q2645" t="str">
            <v>Tiên Huyết Oanh Bạo</v>
          </cell>
        </row>
        <row r="2646">
          <cell r="P2646" t="str">
            <v>Minh Hà</v>
          </cell>
          <cell r="Q2646" t="str">
            <v>Tiên Huyết Oanh Bạo</v>
          </cell>
        </row>
        <row r="2647">
          <cell r="P2647" t="str">
            <v>Minh Hà</v>
          </cell>
          <cell r="Q2647" t="str">
            <v>Dục Huyết Trọng Sinh</v>
          </cell>
        </row>
        <row r="2648">
          <cell r="P2648" t="str">
            <v>Minh Hà</v>
          </cell>
          <cell r="Q2648" t="str">
            <v>Dục Huyết Trọng Sinh</v>
          </cell>
        </row>
        <row r="2649">
          <cell r="P2649" t="str">
            <v>Minh Hà</v>
          </cell>
          <cell r="Q2649" t="str">
            <v>Dục Huyết Trọng Sinh</v>
          </cell>
        </row>
        <row r="2650">
          <cell r="P2650" t="str">
            <v>Minh Hà</v>
          </cell>
          <cell r="Q2650" t="str">
            <v>Huyết Tế Chi Vũ</v>
          </cell>
        </row>
        <row r="2651">
          <cell r="P2651" t="str">
            <v>Minh Hà</v>
          </cell>
          <cell r="Q2651" t="str">
            <v>Huyết Tế Chi Vũ</v>
          </cell>
        </row>
        <row r="2652">
          <cell r="P2652" t="str">
            <v>Minh Hà</v>
          </cell>
          <cell r="Q2652" t="str">
            <v>Huyết Tế Chi Vũ</v>
          </cell>
        </row>
        <row r="2653">
          <cell r="P2653" t="str">
            <v>Minh Hà</v>
          </cell>
          <cell r="Q2653" t="str">
            <v>Tiên Huyết Oanh Bạo</v>
          </cell>
        </row>
        <row r="2654">
          <cell r="P2654" t="str">
            <v>Minh Hà</v>
          </cell>
          <cell r="Q2654" t="str">
            <v>Tiên Huyết Oanh Bạo</v>
          </cell>
        </row>
        <row r="2655">
          <cell r="P2655" t="str">
            <v>Minh Hà</v>
          </cell>
          <cell r="Q2655" t="str">
            <v>Tiên Huyết Oanh Bạo</v>
          </cell>
        </row>
        <row r="2656">
          <cell r="P2656" t="str">
            <v>Minh Hà</v>
          </cell>
          <cell r="Q2656" t="str">
            <v>U Minh Huyết Hải</v>
          </cell>
        </row>
        <row r="2657">
          <cell r="P2657" t="str">
            <v>Minh Hà</v>
          </cell>
          <cell r="Q2657" t="str">
            <v>U Minh Huyết Hải</v>
          </cell>
        </row>
        <row r="2658">
          <cell r="P2658" t="str">
            <v>Minh Hà</v>
          </cell>
          <cell r="Q2658" t="str">
            <v>U Minh Huyết Hải</v>
          </cell>
        </row>
        <row r="2659">
          <cell r="P2659" t="str">
            <v>Minh Hà</v>
          </cell>
          <cell r="Q2659" t="str">
            <v>Bại Huyết Chi Thương</v>
          </cell>
        </row>
        <row r="2660">
          <cell r="P2660" t="str">
            <v>Minh Hà</v>
          </cell>
          <cell r="Q2660" t="str">
            <v>Bại Huyết Chi Thương</v>
          </cell>
        </row>
        <row r="2661">
          <cell r="P2661" t="str">
            <v>Minh Hà</v>
          </cell>
          <cell r="Q2661" t="str">
            <v>Bại Huyết Chi Thương</v>
          </cell>
        </row>
        <row r="2662">
          <cell r="P2662" t="str">
            <v>Minh Hà</v>
          </cell>
          <cell r="Q2662" t="str">
            <v>Dục Huyết Trọng Sinh</v>
          </cell>
        </row>
        <row r="2663">
          <cell r="P2663" t="str">
            <v>Minh Hà</v>
          </cell>
          <cell r="Q2663" t="str">
            <v>Dục Huyết Trọng Sinh</v>
          </cell>
        </row>
        <row r="2664">
          <cell r="P2664" t="str">
            <v>Minh Hà</v>
          </cell>
          <cell r="Q2664" t="str">
            <v>Huyết Hà Bí Pháp</v>
          </cell>
        </row>
        <row r="2665">
          <cell r="P2665" t="str">
            <v>Minh Hà</v>
          </cell>
          <cell r="Q2665" t="str">
            <v>Huyết Hà Bí Pháp</v>
          </cell>
        </row>
        <row r="2666">
          <cell r="P2666" t="str">
            <v>Minh Hà</v>
          </cell>
          <cell r="Q2666" t="str">
            <v>Huyết Hà Bí Pháp</v>
          </cell>
        </row>
        <row r="2667">
          <cell r="P2667" t="str">
            <v>Minh Hà</v>
          </cell>
          <cell r="Q2667" t="str">
            <v>Huyết Hà Bí Pháp</v>
          </cell>
        </row>
        <row r="2668">
          <cell r="P2668" t="str">
            <v>Minh Hà</v>
          </cell>
          <cell r="Q2668" t="str">
            <v>Huyết Hà Bí Pháp</v>
          </cell>
        </row>
        <row r="2669">
          <cell r="P2669" t="str">
            <v>Minh Hà</v>
          </cell>
          <cell r="Q2669" t="str">
            <v>Huyết Hà Bí Pháp</v>
          </cell>
        </row>
        <row r="2670">
          <cell r="P2670" t="str">
            <v>Minh Hà</v>
          </cell>
          <cell r="Q2670" t="str">
            <v>Huyết Hà Bí Pháp</v>
          </cell>
        </row>
        <row r="2671">
          <cell r="P2671" t="str">
            <v>Minh Hà</v>
          </cell>
          <cell r="Q2671" t="str">
            <v>Huyết Hà Bí Pháp</v>
          </cell>
        </row>
        <row r="2672">
          <cell r="P2672" t="str">
            <v>Minh Hà</v>
          </cell>
          <cell r="Q2672" t="str">
            <v>Huyết Hà Bí Pháp</v>
          </cell>
        </row>
        <row r="2673">
          <cell r="P2673" t="str">
            <v>Minh Hà</v>
          </cell>
          <cell r="Q2673" t="str">
            <v>Huyết Hà Bí Pháp</v>
          </cell>
        </row>
        <row r="2674">
          <cell r="P2674" t="str">
            <v>Vô Thiên</v>
          </cell>
          <cell r="Q2674" t="str">
            <v>Phổ Công</v>
          </cell>
        </row>
        <row r="2675">
          <cell r="P2675" t="str">
            <v>Vô Thiên</v>
          </cell>
          <cell r="Q2675" t="str">
            <v>Đoạt Mệnh Huyết Liêm</v>
          </cell>
        </row>
        <row r="2676">
          <cell r="P2676" t="str">
            <v>Vô Thiên</v>
          </cell>
          <cell r="Q2676" t="str">
            <v>Đoạt Mệnh Huyết Liêm</v>
          </cell>
        </row>
        <row r="2677">
          <cell r="P2677" t="str">
            <v>Vô Thiên</v>
          </cell>
          <cell r="Q2677" t="str">
            <v>Đoạt Mệnh Huyết Liêm</v>
          </cell>
        </row>
        <row r="2678">
          <cell r="P2678" t="str">
            <v>Vô Thiên</v>
          </cell>
          <cell r="Q2678" t="str">
            <v>Hư Vô Chi Khu</v>
          </cell>
        </row>
        <row r="2679">
          <cell r="P2679" t="str">
            <v>Vô Thiên</v>
          </cell>
          <cell r="Q2679" t="str">
            <v>Hư Vô Chi Khu</v>
          </cell>
        </row>
        <row r="2680">
          <cell r="P2680" t="str">
            <v>Vô Thiên</v>
          </cell>
          <cell r="Q2680" t="str">
            <v>Hư Vô Chi Khu</v>
          </cell>
        </row>
        <row r="2681">
          <cell r="P2681" t="str">
            <v>Vô Thiên</v>
          </cell>
          <cell r="Q2681" t="str">
            <v>Cực · Hư Vô Chi Khu</v>
          </cell>
        </row>
        <row r="2682">
          <cell r="P2682" t="str">
            <v>Vô Thiên</v>
          </cell>
          <cell r="Q2682" t="str">
            <v>Cực · Hư Vô Chi Khu</v>
          </cell>
        </row>
        <row r="2683">
          <cell r="P2683" t="str">
            <v>Vô Thiên</v>
          </cell>
          <cell r="Q2683" t="str">
            <v>Cực · Hư Vô Chi Khu</v>
          </cell>
        </row>
        <row r="2684">
          <cell r="P2684" t="str">
            <v>Vô Thiên</v>
          </cell>
          <cell r="Q2684" t="str">
            <v>Chung Cực Ách Vận</v>
          </cell>
        </row>
        <row r="2685">
          <cell r="P2685" t="str">
            <v>Vô Thiên</v>
          </cell>
          <cell r="Q2685" t="str">
            <v>Chung Cực Ách Vận</v>
          </cell>
        </row>
        <row r="2686">
          <cell r="P2686" t="str">
            <v>Vô Thiên</v>
          </cell>
          <cell r="Q2686" t="str">
            <v>Chung Cực Ách Vận</v>
          </cell>
        </row>
        <row r="2687">
          <cell r="P2687" t="str">
            <v>Vô Thiên</v>
          </cell>
          <cell r="Q2687" t="str">
            <v>Khi Lăng</v>
          </cell>
        </row>
        <row r="2688">
          <cell r="P2688" t="str">
            <v>Vô Thiên</v>
          </cell>
          <cell r="Q2688" t="str">
            <v>Khi Lăng</v>
          </cell>
        </row>
        <row r="2689">
          <cell r="P2689" t="str">
            <v>Vô Thiên</v>
          </cell>
          <cell r="Q2689" t="str">
            <v>Khi Lăng</v>
          </cell>
        </row>
        <row r="2690">
          <cell r="P2690" t="str">
            <v>Vô Thiên</v>
          </cell>
          <cell r="Q2690" t="str">
            <v>Bạo Nộ</v>
          </cell>
        </row>
        <row r="2691">
          <cell r="P2691" t="str">
            <v>Vô Thiên</v>
          </cell>
          <cell r="Q2691" t="str">
            <v>Bạo Nộ</v>
          </cell>
        </row>
        <row r="2692">
          <cell r="P2692" t="str">
            <v>Vô Thiên</v>
          </cell>
          <cell r="Q2692" t="str">
            <v>Bạo Nộ</v>
          </cell>
        </row>
        <row r="2693">
          <cell r="P2693" t="str">
            <v>Vô Thiên</v>
          </cell>
          <cell r="Q2693" t="str">
            <v>Đoạt Mệnh Huyết Liêm</v>
          </cell>
        </row>
        <row r="2694">
          <cell r="P2694" t="str">
            <v>Vô Thiên</v>
          </cell>
          <cell r="Q2694" t="str">
            <v>Đoạt Mệnh Huyết Liêm</v>
          </cell>
        </row>
        <row r="2695">
          <cell r="P2695" t="str">
            <v>Vô Thiên</v>
          </cell>
          <cell r="Q2695" t="str">
            <v>Chuyển Thế Luân Hồi</v>
          </cell>
        </row>
        <row r="2696">
          <cell r="P2696" t="str">
            <v>Vô Thiên</v>
          </cell>
          <cell r="Q2696" t="str">
            <v>Chuyển Thế Luân Hồi</v>
          </cell>
        </row>
        <row r="2697">
          <cell r="P2697" t="str">
            <v>Vô Thiên</v>
          </cell>
          <cell r="Q2697" t="str">
            <v>Chuyển Thế Luân Hồi</v>
          </cell>
        </row>
        <row r="2698">
          <cell r="P2698" t="str">
            <v>Vô Thiên</v>
          </cell>
          <cell r="Q2698" t="str">
            <v>Chuyển Thế Luân Hồi</v>
          </cell>
        </row>
        <row r="2699">
          <cell r="P2699" t="str">
            <v>Vô Thiên</v>
          </cell>
          <cell r="Q2699" t="str">
            <v>Chung Cực Ách Vận</v>
          </cell>
        </row>
        <row r="2700">
          <cell r="P2700" t="str">
            <v>Vô Thiên</v>
          </cell>
          <cell r="Q2700" t="str">
            <v>Chung Cực Ách Vận</v>
          </cell>
        </row>
        <row r="2701">
          <cell r="P2701" t="str">
            <v>Tu La</v>
          </cell>
          <cell r="Q2701" t="str">
            <v>Phổ Công</v>
          </cell>
        </row>
        <row r="2702">
          <cell r="P2702" t="str">
            <v>Tu La</v>
          </cell>
          <cell r="Q2702" t="str">
            <v>Giá Họa</v>
          </cell>
        </row>
        <row r="2703">
          <cell r="P2703" t="str">
            <v>Tu La</v>
          </cell>
          <cell r="Q2703" t="str">
            <v>Giá Họa</v>
          </cell>
        </row>
        <row r="2704">
          <cell r="P2704" t="str">
            <v>Tu La</v>
          </cell>
          <cell r="Q2704" t="str">
            <v>Giá Họa</v>
          </cell>
        </row>
        <row r="2705">
          <cell r="P2705" t="str">
            <v>Tu La</v>
          </cell>
          <cell r="Q2705" t="str">
            <v>Giá Họa</v>
          </cell>
        </row>
        <row r="2706">
          <cell r="P2706" t="str">
            <v>Tu La</v>
          </cell>
          <cell r="Q2706" t="str">
            <v>Giá Họa</v>
          </cell>
        </row>
        <row r="2707">
          <cell r="P2707" t="str">
            <v>Tu La</v>
          </cell>
          <cell r="Q2707" t="str">
            <v>Giá Họa</v>
          </cell>
        </row>
        <row r="2708">
          <cell r="P2708" t="str">
            <v>Tu La</v>
          </cell>
          <cell r="Q2708" t="str">
            <v>Giá Họa</v>
          </cell>
        </row>
        <row r="2709">
          <cell r="P2709" t="str">
            <v>Tu La</v>
          </cell>
          <cell r="Q2709" t="str">
            <v>Giá Họa</v>
          </cell>
        </row>
        <row r="2710">
          <cell r="P2710" t="str">
            <v>Tu La</v>
          </cell>
          <cell r="Q2710" t="str">
            <v>Giá Họa</v>
          </cell>
        </row>
        <row r="2711">
          <cell r="P2711" t="str">
            <v>Tu La</v>
          </cell>
          <cell r="Q2711" t="str">
            <v>Giá Họa</v>
          </cell>
        </row>
        <row r="2712">
          <cell r="P2712" t="str">
            <v>Tu La</v>
          </cell>
          <cell r="Q2712" t="str">
            <v>Giá Họa</v>
          </cell>
        </row>
        <row r="2713">
          <cell r="P2713" t="str">
            <v>Tu La</v>
          </cell>
          <cell r="Q2713" t="str">
            <v>Giá Họa</v>
          </cell>
        </row>
        <row r="2714">
          <cell r="P2714" t="str">
            <v>Tu La</v>
          </cell>
          <cell r="Q2714" t="str">
            <v>Giá Họa</v>
          </cell>
        </row>
        <row r="2715">
          <cell r="P2715" t="str">
            <v>Tu La</v>
          </cell>
          <cell r="Q2715" t="str">
            <v>Giá Họa</v>
          </cell>
        </row>
        <row r="2716">
          <cell r="P2716" t="str">
            <v>Tu La</v>
          </cell>
          <cell r="Q2716" t="str">
            <v>Cuồng Dã Nộ Hỏa</v>
          </cell>
        </row>
        <row r="2717">
          <cell r="P2717" t="str">
            <v>Tu La</v>
          </cell>
          <cell r="Q2717" t="str">
            <v>Cuồng Dã Nộ Hỏa</v>
          </cell>
        </row>
        <row r="2718">
          <cell r="P2718" t="str">
            <v>Tu La</v>
          </cell>
          <cell r="Q2718" t="str">
            <v>Cuồng Dã Nộ Hỏa</v>
          </cell>
        </row>
        <row r="2719">
          <cell r="P2719" t="str">
            <v>Tu La</v>
          </cell>
          <cell r="Q2719" t="str">
            <v>Cực · Cuồng Dã Nộ Hỏa</v>
          </cell>
        </row>
        <row r="2720">
          <cell r="P2720" t="str">
            <v>Tu La</v>
          </cell>
          <cell r="Q2720" t="str">
            <v>Cực · Cuồng Dã Nộ Hỏa</v>
          </cell>
        </row>
        <row r="2721">
          <cell r="P2721" t="str">
            <v>Tu La</v>
          </cell>
          <cell r="Q2721" t="str">
            <v>Cực · Cuồng Dã Nộ Hỏa</v>
          </cell>
        </row>
        <row r="2722">
          <cell r="P2722" t="str">
            <v>Tu La</v>
          </cell>
          <cell r="Q2722" t="str">
            <v>Long Ảnh Bôn Tập</v>
          </cell>
        </row>
        <row r="2723">
          <cell r="P2723" t="str">
            <v>Tu La</v>
          </cell>
          <cell r="Q2723" t="str">
            <v>Long Ảnh Bôn Tập</v>
          </cell>
        </row>
        <row r="2724">
          <cell r="P2724" t="str">
            <v>Tu La</v>
          </cell>
          <cell r="Q2724" t="str">
            <v>Long Ảnh Bôn Tập</v>
          </cell>
        </row>
        <row r="2725">
          <cell r="P2725" t="str">
            <v>Tu La</v>
          </cell>
          <cell r="Q2725" t="str">
            <v>Hộ Hoa Ý Chí</v>
          </cell>
        </row>
        <row r="2726">
          <cell r="P2726" t="str">
            <v>Tu La</v>
          </cell>
          <cell r="Q2726" t="str">
            <v>Hộ Hoa Ý Chí</v>
          </cell>
        </row>
        <row r="2727">
          <cell r="P2727" t="str">
            <v>Tu La</v>
          </cell>
          <cell r="Q2727" t="str">
            <v>Hộ Hoa Ý Chí</v>
          </cell>
        </row>
        <row r="2728">
          <cell r="P2728" t="str">
            <v>Tu La</v>
          </cell>
          <cell r="Q2728" t="str">
            <v>Hỏa Long Cuồng Nộ</v>
          </cell>
        </row>
        <row r="2729">
          <cell r="P2729" t="str">
            <v>Tu La</v>
          </cell>
          <cell r="Q2729" t="str">
            <v>Hỏa Long Cuồng Nộ</v>
          </cell>
        </row>
        <row r="2730">
          <cell r="P2730" t="str">
            <v>Tu La</v>
          </cell>
          <cell r="Q2730" t="str">
            <v>Hỏa Long Cuồng Nộ</v>
          </cell>
        </row>
        <row r="2731">
          <cell r="P2731" t="str">
            <v>Tu La</v>
          </cell>
          <cell r="Q2731" t="str">
            <v>Cuồng Dã Nộ Hỏa</v>
          </cell>
        </row>
        <row r="2732">
          <cell r="P2732" t="str">
            <v>Tu La</v>
          </cell>
          <cell r="Q2732" t="str">
            <v>Cuồng Dã Nộ Hỏa</v>
          </cell>
        </row>
        <row r="2733">
          <cell r="P2733" t="str">
            <v>Tu La</v>
          </cell>
          <cell r="Q2733" t="str">
            <v>Cuồng Dã Nộ Hỏa</v>
          </cell>
        </row>
        <row r="2734">
          <cell r="P2734" t="str">
            <v>Tu La</v>
          </cell>
          <cell r="Q2734" t="str">
            <v>Nộ Hỏa Trung Thiêu</v>
          </cell>
        </row>
        <row r="2735">
          <cell r="P2735" t="str">
            <v>Tu La</v>
          </cell>
          <cell r="Q2735" t="str">
            <v>Nộ Hỏa Trung Thiêu</v>
          </cell>
        </row>
        <row r="2736">
          <cell r="P2736" t="str">
            <v>Tu La</v>
          </cell>
          <cell r="Q2736" t="str">
            <v>Nộ Hỏa Trung Thiêu</v>
          </cell>
        </row>
        <row r="2737">
          <cell r="P2737" t="str">
            <v>Tu La</v>
          </cell>
          <cell r="Q2737" t="str">
            <v>Hộ Hoa Ý Chí</v>
          </cell>
        </row>
        <row r="2738">
          <cell r="P2738" t="str">
            <v>Tu La</v>
          </cell>
          <cell r="Q2738" t="str">
            <v>Hộ Hoa Ý Chí</v>
          </cell>
        </row>
        <row r="2739">
          <cell r="P2739" t="str">
            <v>Ảnh</v>
          </cell>
          <cell r="Q2739" t="str">
            <v>Phổ Công</v>
          </cell>
        </row>
        <row r="2740">
          <cell r="P2740" t="str">
            <v>Ảnh</v>
          </cell>
          <cell r="Q2740" t="str">
            <v>Quỷ Ảnh Thiểm</v>
          </cell>
        </row>
        <row r="2741">
          <cell r="P2741" t="str">
            <v>Ảnh</v>
          </cell>
          <cell r="Q2741" t="str">
            <v>Quỷ Ảnh Thiểm</v>
          </cell>
        </row>
        <row r="2742">
          <cell r="P2742" t="str">
            <v>Ảnh</v>
          </cell>
          <cell r="Q2742" t="str">
            <v>Quỷ Ảnh Thiểm</v>
          </cell>
        </row>
        <row r="2743">
          <cell r="P2743" t="str">
            <v>Ảnh</v>
          </cell>
          <cell r="Q2743" t="str">
            <v>Bối Khí Quang Minh</v>
          </cell>
        </row>
        <row r="2744">
          <cell r="P2744" t="str">
            <v>Ảnh</v>
          </cell>
          <cell r="Q2744" t="str">
            <v>Bối Khí Quang Minh</v>
          </cell>
        </row>
        <row r="2745">
          <cell r="P2745" t="str">
            <v>Ảnh</v>
          </cell>
          <cell r="Q2745" t="str">
            <v>Bối Khí Quang Minh</v>
          </cell>
        </row>
        <row r="2746">
          <cell r="P2746" t="str">
            <v>Ảnh</v>
          </cell>
          <cell r="Q2746" t="str">
            <v>Cực · Bối Khí Quang Minh</v>
          </cell>
        </row>
        <row r="2747">
          <cell r="P2747" t="str">
            <v>Ảnh</v>
          </cell>
          <cell r="Q2747" t="str">
            <v>Cực · Bối Khí Quang Minh</v>
          </cell>
        </row>
        <row r="2748">
          <cell r="P2748" t="str">
            <v>Ảnh</v>
          </cell>
          <cell r="Q2748" t="str">
            <v>Cực · Bối Khí Quang Minh</v>
          </cell>
        </row>
        <row r="2749">
          <cell r="P2749" t="str">
            <v>Ảnh</v>
          </cell>
          <cell r="Q2749" t="str">
            <v>Huyễn Ảnh</v>
          </cell>
        </row>
        <row r="2750">
          <cell r="P2750" t="str">
            <v>Ảnh</v>
          </cell>
          <cell r="Q2750" t="str">
            <v>Huyễn Ảnh</v>
          </cell>
        </row>
        <row r="2751">
          <cell r="P2751" t="str">
            <v>Ảnh</v>
          </cell>
          <cell r="Q2751" t="str">
            <v>Huyễn Ảnh</v>
          </cell>
        </row>
        <row r="2752">
          <cell r="P2752" t="str">
            <v>Ảnh</v>
          </cell>
          <cell r="Q2752" t="str">
            <v>Huyễn Ảnh</v>
          </cell>
        </row>
        <row r="2753">
          <cell r="P2753" t="str">
            <v>Ảnh</v>
          </cell>
          <cell r="Q2753" t="str">
            <v>Huyễn Ảnh</v>
          </cell>
        </row>
        <row r="2754">
          <cell r="P2754" t="str">
            <v>Ảnh</v>
          </cell>
          <cell r="Q2754" t="str">
            <v>Huyễn Ảnh</v>
          </cell>
        </row>
        <row r="2755">
          <cell r="P2755" t="str">
            <v>Ảnh</v>
          </cell>
          <cell r="Q2755" t="str">
            <v>Huyễn Ảnh</v>
          </cell>
        </row>
        <row r="2756">
          <cell r="P2756" t="str">
            <v>Ảnh</v>
          </cell>
          <cell r="Q2756" t="str">
            <v>Huyễn Ảnh</v>
          </cell>
        </row>
        <row r="2757">
          <cell r="P2757" t="str">
            <v>Ảnh</v>
          </cell>
          <cell r="Q2757" t="str">
            <v>Huyễn Ảnh</v>
          </cell>
        </row>
        <row r="2758">
          <cell r="P2758" t="str">
            <v>Ảnh</v>
          </cell>
          <cell r="Q2758" t="str">
            <v>Huyễn Ảnh</v>
          </cell>
        </row>
        <row r="2759">
          <cell r="P2759" t="str">
            <v>Ảnh</v>
          </cell>
          <cell r="Q2759" t="str">
            <v>Huyễn Ảnh</v>
          </cell>
        </row>
        <row r="2760">
          <cell r="P2760" t="str">
            <v>Ảnh</v>
          </cell>
          <cell r="Q2760" t="str">
            <v>Huyễn Ảnh</v>
          </cell>
        </row>
        <row r="2761">
          <cell r="P2761" t="str">
            <v>Ảnh</v>
          </cell>
          <cell r="Q2761" t="str">
            <v>Huyễn Ảnh</v>
          </cell>
        </row>
        <row r="2762">
          <cell r="P2762" t="str">
            <v>Ảnh</v>
          </cell>
          <cell r="Q2762" t="str">
            <v>Huyễn Ảnh</v>
          </cell>
        </row>
        <row r="2763">
          <cell r="P2763" t="str">
            <v>Ảnh</v>
          </cell>
          <cell r="Q2763" t="str">
            <v>Huyễn Ảnh</v>
          </cell>
        </row>
        <row r="2764">
          <cell r="P2764" t="str">
            <v>Ảnh</v>
          </cell>
          <cell r="Q2764" t="str">
            <v>Huyễn Ảnh</v>
          </cell>
        </row>
        <row r="2765">
          <cell r="P2765" t="str">
            <v>Ảnh</v>
          </cell>
          <cell r="Q2765" t="str">
            <v>Huyễn Ảnh</v>
          </cell>
        </row>
        <row r="2766">
          <cell r="P2766" t="str">
            <v>Ảnh</v>
          </cell>
          <cell r="Q2766" t="str">
            <v>Huyễn Ảnh</v>
          </cell>
        </row>
        <row r="2767">
          <cell r="P2767" t="str">
            <v>Ảnh</v>
          </cell>
          <cell r="Q2767" t="str">
            <v>Huyễn Ảnh</v>
          </cell>
        </row>
        <row r="2768">
          <cell r="P2768" t="str">
            <v>Ảnh</v>
          </cell>
          <cell r="Q2768" t="str">
            <v>Huyễn Ảnh</v>
          </cell>
        </row>
        <row r="2769">
          <cell r="P2769" t="str">
            <v>Ảnh</v>
          </cell>
          <cell r="Q2769" t="str">
            <v>Huyễn Ảnh</v>
          </cell>
        </row>
        <row r="2770">
          <cell r="P2770" t="str">
            <v>Ảnh</v>
          </cell>
          <cell r="Q2770" t="str">
            <v>Huyễn Ảnh</v>
          </cell>
        </row>
        <row r="2771">
          <cell r="P2771" t="str">
            <v>Ảnh</v>
          </cell>
          <cell r="Q2771" t="str">
            <v>Huyễn Ảnh</v>
          </cell>
        </row>
        <row r="2772">
          <cell r="P2772" t="str">
            <v>Ảnh</v>
          </cell>
          <cell r="Q2772" t="str">
            <v>Huyễn Ảnh</v>
          </cell>
        </row>
        <row r="2773">
          <cell r="P2773" t="str">
            <v>Ảnh</v>
          </cell>
          <cell r="Q2773" t="str">
            <v>Huyễn Ảnh</v>
          </cell>
        </row>
        <row r="2774">
          <cell r="P2774" t="str">
            <v>Ảnh</v>
          </cell>
          <cell r="Q2774" t="str">
            <v>Huyễn Ảnh</v>
          </cell>
        </row>
        <row r="2775">
          <cell r="P2775" t="str">
            <v>Ảnh</v>
          </cell>
          <cell r="Q2775" t="str">
            <v>Huyễn Ảnh</v>
          </cell>
        </row>
        <row r="2776">
          <cell r="P2776" t="str">
            <v>Ảnh</v>
          </cell>
          <cell r="Q2776" t="str">
            <v>Huyễn Ảnh</v>
          </cell>
        </row>
        <row r="2777">
          <cell r="P2777" t="str">
            <v>Ảnh</v>
          </cell>
          <cell r="Q2777" t="str">
            <v>Huyễn Ảnh</v>
          </cell>
        </row>
        <row r="2778">
          <cell r="P2778" t="str">
            <v>Ảnh</v>
          </cell>
          <cell r="Q2778" t="str">
            <v>Huyễn Ảnh</v>
          </cell>
        </row>
        <row r="2779">
          <cell r="P2779" t="str">
            <v>Ảnh</v>
          </cell>
          <cell r="Q2779" t="str">
            <v>Huyễn Nha</v>
          </cell>
        </row>
        <row r="2780">
          <cell r="P2780" t="str">
            <v>Ảnh</v>
          </cell>
          <cell r="Q2780" t="str">
            <v>Huyễn Nha</v>
          </cell>
        </row>
        <row r="2781">
          <cell r="P2781" t="str">
            <v>Ảnh</v>
          </cell>
          <cell r="Q2781" t="str">
            <v>Huyễn Nha</v>
          </cell>
        </row>
        <row r="2782">
          <cell r="P2782" t="str">
            <v>Ảnh</v>
          </cell>
          <cell r="Q2782" t="str">
            <v>Huyễn Ảnh</v>
          </cell>
        </row>
        <row r="2783">
          <cell r="P2783" t="str">
            <v>Ảnh</v>
          </cell>
          <cell r="Q2783" t="str">
            <v>Huyễn Ảnh</v>
          </cell>
        </row>
        <row r="2784">
          <cell r="P2784" t="str">
            <v>Ảnh</v>
          </cell>
          <cell r="Q2784" t="str">
            <v>Huyễn Ảnh</v>
          </cell>
        </row>
        <row r="2785">
          <cell r="P2785" t="str">
            <v>Ảnh</v>
          </cell>
          <cell r="Q2785" t="str">
            <v>Huyễn Ảnh</v>
          </cell>
        </row>
        <row r="2786">
          <cell r="P2786" t="str">
            <v>Ảnh</v>
          </cell>
          <cell r="Q2786" t="str">
            <v>Huyễn Ảnh</v>
          </cell>
        </row>
        <row r="2787">
          <cell r="P2787" t="str">
            <v>Ảnh</v>
          </cell>
          <cell r="Q2787" t="str">
            <v>Huyễn Ảnh</v>
          </cell>
        </row>
        <row r="2788">
          <cell r="P2788" t="str">
            <v>Ảnh</v>
          </cell>
          <cell r="Q2788" t="str">
            <v>Huyễn Ảnh</v>
          </cell>
        </row>
        <row r="2789">
          <cell r="P2789" t="str">
            <v>Ảnh</v>
          </cell>
          <cell r="Q2789" t="str">
            <v>Huyễn Ảnh</v>
          </cell>
        </row>
        <row r="2790">
          <cell r="P2790" t="str">
            <v>Ảnh</v>
          </cell>
          <cell r="Q2790" t="str">
            <v>Huyễn Ảnh</v>
          </cell>
        </row>
        <row r="2791">
          <cell r="P2791" t="str">
            <v>Ảnh</v>
          </cell>
          <cell r="Q2791" t="str">
            <v>Huyễn Ảnh</v>
          </cell>
        </row>
        <row r="2792">
          <cell r="P2792" t="str">
            <v>Ảnh</v>
          </cell>
          <cell r="Q2792" t="str">
            <v>Huyễn Ảnh</v>
          </cell>
        </row>
        <row r="2793">
          <cell r="P2793" t="str">
            <v>Ảnh</v>
          </cell>
          <cell r="Q2793" t="str">
            <v>Huyễn Ảnh</v>
          </cell>
        </row>
        <row r="2794">
          <cell r="P2794" t="str">
            <v>Ảnh</v>
          </cell>
          <cell r="Q2794" t="str">
            <v>Huyễn Ảnh</v>
          </cell>
        </row>
        <row r="2795">
          <cell r="P2795" t="str">
            <v>Ảnh</v>
          </cell>
          <cell r="Q2795" t="str">
            <v>Huyễn Ảnh</v>
          </cell>
        </row>
        <row r="2796">
          <cell r="P2796" t="str">
            <v>Ảnh</v>
          </cell>
          <cell r="Q2796" t="str">
            <v>Huyễn Ảnh</v>
          </cell>
        </row>
        <row r="2797">
          <cell r="P2797" t="str">
            <v>Ảnh</v>
          </cell>
          <cell r="Q2797" t="str">
            <v>Huyễn Ảnh</v>
          </cell>
        </row>
        <row r="2798">
          <cell r="P2798" t="str">
            <v>Ảnh</v>
          </cell>
          <cell r="Q2798" t="str">
            <v>Huyễn Ảnh</v>
          </cell>
        </row>
        <row r="2799">
          <cell r="P2799" t="str">
            <v>Ảnh</v>
          </cell>
          <cell r="Q2799" t="str">
            <v>Huyễn Ảnh</v>
          </cell>
        </row>
        <row r="2800">
          <cell r="P2800" t="str">
            <v>Ảnh</v>
          </cell>
          <cell r="Q2800" t="str">
            <v>Huyễn Ảnh</v>
          </cell>
        </row>
        <row r="2801">
          <cell r="P2801" t="str">
            <v>Ảnh</v>
          </cell>
          <cell r="Q2801" t="str">
            <v>Huyễn Ảnh</v>
          </cell>
        </row>
        <row r="2802">
          <cell r="P2802" t="str">
            <v>Ảnh</v>
          </cell>
          <cell r="Q2802" t="str">
            <v>Hỗn Độn Chi Lực</v>
          </cell>
        </row>
        <row r="2803">
          <cell r="P2803" t="str">
            <v>Ảnh</v>
          </cell>
          <cell r="Q2803" t="str">
            <v>Hỗn Độn Chi Lực</v>
          </cell>
        </row>
        <row r="2804">
          <cell r="P2804" t="str">
            <v>Ảnh</v>
          </cell>
          <cell r="Q2804" t="str">
            <v>Hỗn Độn Chi Lực</v>
          </cell>
        </row>
        <row r="2805">
          <cell r="P2805" t="str">
            <v>Ảnh</v>
          </cell>
          <cell r="Q2805" t="str">
            <v>Quỷ Ảnh Thiểm</v>
          </cell>
        </row>
        <row r="2806">
          <cell r="P2806" t="str">
            <v>Ảnh</v>
          </cell>
          <cell r="Q2806" t="str">
            <v>Quỷ Ảnh Thiểm</v>
          </cell>
        </row>
        <row r="2807">
          <cell r="P2807" t="str">
            <v>Ảnh</v>
          </cell>
          <cell r="Q2807" t="str">
            <v>Quỷ Ảnh Thiểm</v>
          </cell>
        </row>
        <row r="2808">
          <cell r="P2808" t="str">
            <v>Ảnh</v>
          </cell>
          <cell r="Q2808" t="str">
            <v>Ám Ảnh Chi Ủng</v>
          </cell>
        </row>
        <row r="2809">
          <cell r="P2809" t="str">
            <v>Ảnh</v>
          </cell>
          <cell r="Q2809" t="str">
            <v>Ám Ảnh Chi Ủng</v>
          </cell>
        </row>
        <row r="2810">
          <cell r="P2810" t="str">
            <v>Ảnh</v>
          </cell>
          <cell r="Q2810" t="str">
            <v>Ám Ảnh Chi Ủng</v>
          </cell>
        </row>
        <row r="2811">
          <cell r="P2811" t="str">
            <v>Ảnh</v>
          </cell>
          <cell r="Q2811" t="str">
            <v>Huyễn Nha</v>
          </cell>
        </row>
        <row r="2812">
          <cell r="P2812" t="str">
            <v>Ảnh</v>
          </cell>
          <cell r="Q2812" t="str">
            <v>Huyễn Nha</v>
          </cell>
        </row>
        <row r="2813">
          <cell r="P2813" t="str">
            <v>Ảnh</v>
          </cell>
          <cell r="Q2813" t="str">
            <v>Huyễn Nha</v>
          </cell>
        </row>
        <row r="2814">
          <cell r="P2814" t="str">
            <v>Ảnh</v>
          </cell>
          <cell r="Q2814" t="str">
            <v>Quỷ Ảnh Táp</v>
          </cell>
        </row>
        <row r="2815">
          <cell r="P2815" t="str">
            <v>Ảnh</v>
          </cell>
          <cell r="Q2815" t="str">
            <v>Quỷ Ảnh Táp</v>
          </cell>
        </row>
        <row r="2816">
          <cell r="P2816" t="str">
            <v>Ảnh</v>
          </cell>
          <cell r="Q2816" t="str">
            <v>Quỷ Ảnh Táp</v>
          </cell>
        </row>
        <row r="2817">
          <cell r="P2817" t="str">
            <v>Ảnh</v>
          </cell>
          <cell r="Q2817" t="str">
            <v>Quỷ Ảnh Táp</v>
          </cell>
        </row>
        <row r="2818">
          <cell r="P2818" t="str">
            <v>Ảnh</v>
          </cell>
          <cell r="Q2818" t="str">
            <v>Quỷ Ảnh Táp</v>
          </cell>
        </row>
        <row r="2819">
          <cell r="P2819" t="str">
            <v>Ảnh</v>
          </cell>
          <cell r="Q2819" t="str">
            <v>Quỷ Ảnh Táp</v>
          </cell>
        </row>
        <row r="2820">
          <cell r="P2820" t="str">
            <v>Ảnh</v>
          </cell>
          <cell r="Q2820" t="str">
            <v>Quỷ Ảnh Táp</v>
          </cell>
        </row>
        <row r="2821">
          <cell r="P2821" t="str">
            <v>Ảnh</v>
          </cell>
          <cell r="Q2821" t="str">
            <v>Quỷ Ảnh Táp</v>
          </cell>
        </row>
        <row r="2822">
          <cell r="P2822" t="str">
            <v>Ảnh</v>
          </cell>
          <cell r="Q2822" t="str">
            <v>Quỷ Ảnh Táp</v>
          </cell>
        </row>
        <row r="2823">
          <cell r="P2823" t="str">
            <v>Ảnh</v>
          </cell>
          <cell r="Q2823" t="str">
            <v>Quỷ Ảnh Táp</v>
          </cell>
        </row>
        <row r="2824">
          <cell r="P2824" t="str">
            <v>Viêm</v>
          </cell>
          <cell r="Q2824" t="str">
            <v>Phổ Công</v>
          </cell>
        </row>
        <row r="2825">
          <cell r="P2825" t="str">
            <v>Viêm</v>
          </cell>
          <cell r="Q2825" t="str">
            <v>Long Viêm Loạn Vũ</v>
          </cell>
        </row>
        <row r="2826">
          <cell r="P2826" t="str">
            <v>Viêm</v>
          </cell>
          <cell r="Q2826" t="str">
            <v>Long Viêm Loạn Vũ</v>
          </cell>
        </row>
        <row r="2827">
          <cell r="P2827" t="str">
            <v>Viêm</v>
          </cell>
          <cell r="Q2827" t="str">
            <v>Long Viêm Loạn Vũ</v>
          </cell>
        </row>
        <row r="2828">
          <cell r="P2828" t="str">
            <v>Viêm</v>
          </cell>
          <cell r="Q2828" t="str">
            <v>Long Viêm Loạn Vũ</v>
          </cell>
        </row>
        <row r="2829">
          <cell r="P2829" t="str">
            <v>Viêm</v>
          </cell>
          <cell r="Q2829" t="str">
            <v>Long Viêm Loạn Vũ</v>
          </cell>
        </row>
        <row r="2830">
          <cell r="P2830" t="str">
            <v>Viêm</v>
          </cell>
          <cell r="Q2830" t="str">
            <v>Long Viêm Loạn Vũ</v>
          </cell>
        </row>
        <row r="2831">
          <cell r="P2831" t="str">
            <v>Viêm</v>
          </cell>
          <cell r="Q2831" t="str">
            <v>Long Viêm Loạn Vũ</v>
          </cell>
        </row>
        <row r="2832">
          <cell r="P2832" t="str">
            <v>Viêm</v>
          </cell>
          <cell r="Q2832" t="str">
            <v>Long Viêm Loạn Vũ</v>
          </cell>
        </row>
        <row r="2833">
          <cell r="P2833" t="str">
            <v>Viêm</v>
          </cell>
          <cell r="Q2833" t="str">
            <v>Long Viêm Loạn Vũ</v>
          </cell>
        </row>
        <row r="2834">
          <cell r="P2834" t="str">
            <v>Viêm</v>
          </cell>
          <cell r="Q2834" t="str">
            <v>Long Viêm Loạn Vũ</v>
          </cell>
        </row>
        <row r="2835">
          <cell r="P2835" t="str">
            <v>Viêm</v>
          </cell>
          <cell r="Q2835" t="str">
            <v>Long Viêm Loạn Vũ</v>
          </cell>
        </row>
        <row r="2836">
          <cell r="P2836" t="str">
            <v>Viêm</v>
          </cell>
          <cell r="Q2836" t="str">
            <v>Long Viêm Loạn Vũ</v>
          </cell>
        </row>
        <row r="2837">
          <cell r="P2837" t="str">
            <v>Viêm</v>
          </cell>
          <cell r="Q2837" t="str">
            <v>Long Viêm Loạn Vũ</v>
          </cell>
        </row>
        <row r="2838">
          <cell r="P2838" t="str">
            <v>Viêm</v>
          </cell>
          <cell r="Q2838" t="str">
            <v>Long Viêm Loạn Vũ</v>
          </cell>
        </row>
        <row r="2839">
          <cell r="P2839" t="str">
            <v>Viêm</v>
          </cell>
          <cell r="Q2839" t="str">
            <v>Long Viêm Loạn Vũ</v>
          </cell>
        </row>
        <row r="2840">
          <cell r="P2840" t="str">
            <v>Viêm</v>
          </cell>
          <cell r="Q2840" t="str">
            <v>Long Viêm Loạn Vũ</v>
          </cell>
        </row>
        <row r="2841">
          <cell r="P2841" t="str">
            <v>Viêm</v>
          </cell>
          <cell r="Q2841" t="str">
            <v>Long Viêm Loạn Vũ</v>
          </cell>
        </row>
        <row r="2842">
          <cell r="P2842" t="str">
            <v>Viêm</v>
          </cell>
          <cell r="Q2842" t="str">
            <v>Long Viêm Loạn Vũ</v>
          </cell>
        </row>
        <row r="2843">
          <cell r="P2843" t="str">
            <v>Viêm</v>
          </cell>
          <cell r="Q2843" t="str">
            <v>Long Viêm Loạn Vũ</v>
          </cell>
        </row>
        <row r="2844">
          <cell r="P2844" t="str">
            <v>Viêm</v>
          </cell>
          <cell r="Q2844" t="str">
            <v>Long Viêm Loạn Vũ</v>
          </cell>
        </row>
        <row r="2845">
          <cell r="P2845" t="str">
            <v>Viêm</v>
          </cell>
          <cell r="Q2845" t="str">
            <v>Long Viêm Loạn Vũ</v>
          </cell>
        </row>
        <row r="2846">
          <cell r="P2846" t="str">
            <v>Viêm</v>
          </cell>
          <cell r="Q2846" t="str">
            <v>Viêm Ma Chi Vương</v>
          </cell>
        </row>
        <row r="2847">
          <cell r="P2847" t="str">
            <v>Viêm</v>
          </cell>
          <cell r="Q2847" t="str">
            <v>Viêm Ma Chi Vương</v>
          </cell>
        </row>
        <row r="2848">
          <cell r="P2848" t="str">
            <v>Viêm</v>
          </cell>
          <cell r="Q2848" t="str">
            <v>Viêm Ma Chi Vương</v>
          </cell>
        </row>
        <row r="2849">
          <cell r="P2849" t="str">
            <v>Viêm</v>
          </cell>
          <cell r="Q2849" t="str">
            <v>Cực · Viêm Ma Chi Vương</v>
          </cell>
        </row>
        <row r="2850">
          <cell r="P2850" t="str">
            <v>Viêm</v>
          </cell>
          <cell r="Q2850" t="str">
            <v>Cực · Viêm Ma Chi Vương</v>
          </cell>
        </row>
        <row r="2851">
          <cell r="P2851" t="str">
            <v>Viêm</v>
          </cell>
          <cell r="Q2851" t="str">
            <v>Cực · Viêm Ma Chi Vương</v>
          </cell>
        </row>
        <row r="2852">
          <cell r="P2852" t="str">
            <v>Viêm</v>
          </cell>
          <cell r="Q2852" t="str">
            <v>Bàng Bạc Liệt Diễm</v>
          </cell>
        </row>
        <row r="2853">
          <cell r="P2853" t="str">
            <v>Viêm</v>
          </cell>
          <cell r="Q2853" t="str">
            <v>Bàng Bạc Liệt Diễm</v>
          </cell>
        </row>
        <row r="2854">
          <cell r="P2854" t="str">
            <v>Viêm</v>
          </cell>
          <cell r="Q2854" t="str">
            <v>Bàng Bạc Liệt Diễm</v>
          </cell>
        </row>
        <row r="2855">
          <cell r="P2855" t="str">
            <v>Viêm</v>
          </cell>
          <cell r="Q2855" t="str">
            <v>Bàng Bạc Liệt Diễm</v>
          </cell>
        </row>
        <row r="2856">
          <cell r="P2856" t="str">
            <v>Viêm</v>
          </cell>
          <cell r="Q2856" t="str">
            <v>Bàng Bạc Liệt Diễm</v>
          </cell>
        </row>
        <row r="2857">
          <cell r="P2857" t="str">
            <v>Viêm</v>
          </cell>
          <cell r="Q2857" t="str">
            <v>Bàng Bạc Liệt Diễm</v>
          </cell>
        </row>
        <row r="2858">
          <cell r="P2858" t="str">
            <v>Viêm</v>
          </cell>
          <cell r="Q2858" t="str">
            <v>Bàng Bạc Liệt Diễm</v>
          </cell>
        </row>
        <row r="2859">
          <cell r="P2859" t="str">
            <v>Viêm</v>
          </cell>
          <cell r="Q2859" t="str">
            <v>Bàng Bạc Liệt Diễm</v>
          </cell>
        </row>
        <row r="2860">
          <cell r="P2860" t="str">
            <v>Viêm</v>
          </cell>
          <cell r="Q2860" t="str">
            <v>Bàng Bạc Liệt Diễm</v>
          </cell>
        </row>
        <row r="2861">
          <cell r="P2861" t="str">
            <v>Viêm</v>
          </cell>
          <cell r="Q2861" t="str">
            <v>Bàng Bạc Liệt Diễm</v>
          </cell>
        </row>
        <row r="2862">
          <cell r="P2862" t="str">
            <v>Viêm</v>
          </cell>
          <cell r="Q2862" t="str">
            <v>Bàng Bạc Liệt Diễm</v>
          </cell>
        </row>
        <row r="2863">
          <cell r="P2863" t="str">
            <v>Viêm</v>
          </cell>
          <cell r="Q2863" t="str">
            <v>Bàng Bạc Liệt Diễm</v>
          </cell>
        </row>
        <row r="2864">
          <cell r="P2864" t="str">
            <v>Viêm</v>
          </cell>
          <cell r="Q2864" t="str">
            <v>Động Thái Ma Năng</v>
          </cell>
        </row>
        <row r="2865">
          <cell r="P2865" t="str">
            <v>Viêm</v>
          </cell>
          <cell r="Q2865" t="str">
            <v>Động Thái Ma Năng</v>
          </cell>
        </row>
        <row r="2866">
          <cell r="P2866" t="str">
            <v>Viêm</v>
          </cell>
          <cell r="Q2866" t="str">
            <v>Động Thái Ma Năng</v>
          </cell>
        </row>
        <row r="2867">
          <cell r="P2867" t="str">
            <v>Viêm</v>
          </cell>
          <cell r="Q2867" t="str">
            <v>Gia Miện Vi Vương</v>
          </cell>
        </row>
        <row r="2868">
          <cell r="P2868" t="str">
            <v>Viêm</v>
          </cell>
          <cell r="Q2868" t="str">
            <v>Gia Miện Vi Vương</v>
          </cell>
        </row>
        <row r="2869">
          <cell r="P2869" t="str">
            <v>Viêm</v>
          </cell>
          <cell r="Q2869" t="str">
            <v>Gia Miện Vi Vương</v>
          </cell>
        </row>
        <row r="2870">
          <cell r="P2870" t="str">
            <v>Viêm</v>
          </cell>
          <cell r="Q2870" t="str">
            <v>Long Viêm Loạn Vũ</v>
          </cell>
        </row>
        <row r="2871">
          <cell r="P2871" t="str">
            <v>Viêm</v>
          </cell>
          <cell r="Q2871" t="str">
            <v>Long Viêm Loạn Vũ</v>
          </cell>
        </row>
        <row r="2872">
          <cell r="P2872" t="str">
            <v>Viêm</v>
          </cell>
          <cell r="Q2872" t="str">
            <v>Long Viêm Loạn Vũ</v>
          </cell>
        </row>
        <row r="2873">
          <cell r="P2873" t="str">
            <v>Viêm</v>
          </cell>
          <cell r="Q2873" t="str">
            <v>Long Viêm Loạn Vũ</v>
          </cell>
        </row>
        <row r="2874">
          <cell r="P2874" t="str">
            <v>Viêm</v>
          </cell>
          <cell r="Q2874" t="str">
            <v>Long Viêm Loạn Vũ</v>
          </cell>
        </row>
        <row r="2875">
          <cell r="P2875" t="str">
            <v>Viêm</v>
          </cell>
          <cell r="Q2875" t="str">
            <v>Long Viêm Loạn Vũ</v>
          </cell>
        </row>
        <row r="2876">
          <cell r="P2876" t="str">
            <v>Viêm</v>
          </cell>
          <cell r="Q2876" t="str">
            <v>Long Viêm Loạn Vũ</v>
          </cell>
        </row>
        <row r="2877">
          <cell r="P2877" t="str">
            <v>Viêm</v>
          </cell>
          <cell r="Q2877" t="str">
            <v>Long Viêm Loạn Vũ</v>
          </cell>
        </row>
        <row r="2878">
          <cell r="P2878" t="str">
            <v>Viêm</v>
          </cell>
          <cell r="Q2878" t="str">
            <v>Long Viêm Loạn Vũ</v>
          </cell>
        </row>
        <row r="2879">
          <cell r="P2879" t="str">
            <v>Viêm</v>
          </cell>
          <cell r="Q2879" t="str">
            <v>Long Viêm Loạn Vũ</v>
          </cell>
        </row>
        <row r="2880">
          <cell r="P2880" t="str">
            <v>Viêm</v>
          </cell>
          <cell r="Q2880" t="str">
            <v>Long Viêm Loạn Vũ</v>
          </cell>
        </row>
        <row r="2881">
          <cell r="P2881" t="str">
            <v>Viêm</v>
          </cell>
          <cell r="Q2881" t="str">
            <v>Long Viêm Loạn Vũ</v>
          </cell>
        </row>
        <row r="2882">
          <cell r="P2882" t="str">
            <v>Viêm</v>
          </cell>
          <cell r="Q2882" t="str">
            <v>Long Viêm Loạn Vũ</v>
          </cell>
        </row>
        <row r="2883">
          <cell r="P2883" t="str">
            <v>Viêm</v>
          </cell>
          <cell r="Q2883" t="str">
            <v>Long Viêm Loạn Vũ</v>
          </cell>
        </row>
        <row r="2884">
          <cell r="P2884" t="str">
            <v>Viêm</v>
          </cell>
          <cell r="Q2884" t="str">
            <v>Long Viêm Loạn Vũ</v>
          </cell>
        </row>
        <row r="2885">
          <cell r="P2885" t="str">
            <v>Viêm</v>
          </cell>
          <cell r="Q2885" t="str">
            <v>Long Viêm Loạn Vũ</v>
          </cell>
        </row>
        <row r="2886">
          <cell r="P2886" t="str">
            <v>Viêm</v>
          </cell>
          <cell r="Q2886" t="str">
            <v>Long Viêm Loạn Vũ</v>
          </cell>
        </row>
        <row r="2887">
          <cell r="P2887" t="str">
            <v>Viêm</v>
          </cell>
          <cell r="Q2887" t="str">
            <v>Long Viêm Loạn Vũ</v>
          </cell>
        </row>
        <row r="2888">
          <cell r="P2888" t="str">
            <v>Viêm</v>
          </cell>
          <cell r="Q2888" t="str">
            <v>Long Viêm Loạn Vũ</v>
          </cell>
        </row>
        <row r="2889">
          <cell r="P2889" t="str">
            <v>Viêm</v>
          </cell>
          <cell r="Q2889" t="str">
            <v>Long Viêm Loạn Vũ</v>
          </cell>
        </row>
        <row r="2890">
          <cell r="P2890" t="str">
            <v>Viêm</v>
          </cell>
          <cell r="Q2890" t="str">
            <v>Long Viêm Loạn Vũ</v>
          </cell>
        </row>
        <row r="2891">
          <cell r="P2891" t="str">
            <v>Viêm</v>
          </cell>
          <cell r="Q2891" t="str">
            <v>Dung Nham Xạ Tuyến</v>
          </cell>
        </row>
        <row r="2892">
          <cell r="P2892" t="str">
            <v>Viêm</v>
          </cell>
          <cell r="Q2892" t="str">
            <v>Dung Nham Xạ Tuyến</v>
          </cell>
        </row>
        <row r="2893">
          <cell r="P2893" t="str">
            <v>Viêm</v>
          </cell>
          <cell r="Q2893" t="str">
            <v>Dung Nham Xạ Tuyến</v>
          </cell>
        </row>
        <row r="2894">
          <cell r="P2894" t="str">
            <v>Viêm</v>
          </cell>
          <cell r="Q2894" t="str">
            <v>Dung Nham Xạ Tuyến</v>
          </cell>
        </row>
        <row r="2895">
          <cell r="P2895" t="str">
            <v>Viêm</v>
          </cell>
          <cell r="Q2895" t="str">
            <v>Dung Nham Xạ Tuyến</v>
          </cell>
        </row>
        <row r="2896">
          <cell r="P2896" t="str">
            <v>Viêm</v>
          </cell>
          <cell r="Q2896" t="str">
            <v>Dung Nham Xạ Tuyến</v>
          </cell>
        </row>
        <row r="2897">
          <cell r="P2897" t="str">
            <v>Viêm</v>
          </cell>
          <cell r="Q2897" t="str">
            <v>Liệt Diễm Gia Trì</v>
          </cell>
        </row>
        <row r="2898">
          <cell r="P2898" t="str">
            <v>Viêm</v>
          </cell>
          <cell r="Q2898" t="str">
            <v>Liệt Diễm Gia Trì</v>
          </cell>
        </row>
        <row r="2899">
          <cell r="P2899" t="str">
            <v>Viêm</v>
          </cell>
          <cell r="Q2899" t="str">
            <v>Liệt Diễm Gia Trì</v>
          </cell>
        </row>
        <row r="2900">
          <cell r="P2900" t="str">
            <v>Viêm</v>
          </cell>
          <cell r="Q2900" t="str">
            <v>Liệt Diễm Gia Trì</v>
          </cell>
        </row>
        <row r="2901">
          <cell r="P2901" t="str">
            <v>Viêm</v>
          </cell>
          <cell r="Q2901" t="str">
            <v>Liệt Diễm Gia Trì</v>
          </cell>
        </row>
        <row r="2902">
          <cell r="P2902" t="str">
            <v>Viêm</v>
          </cell>
          <cell r="Q2902" t="str">
            <v>Liệt Diễm Gia Trì</v>
          </cell>
        </row>
        <row r="2903">
          <cell r="P2903" t="str">
            <v>Viêm</v>
          </cell>
          <cell r="Q2903" t="str">
            <v>Liệt Diễm Gia Trì</v>
          </cell>
        </row>
        <row r="2904">
          <cell r="P2904" t="str">
            <v>Viêm</v>
          </cell>
          <cell r="Q2904" t="str">
            <v>Liệt Diễm Gia Trì</v>
          </cell>
        </row>
        <row r="2905">
          <cell r="P2905" t="str">
            <v>Viêm</v>
          </cell>
          <cell r="Q2905" t="str">
            <v>Liệt Diễm Gia Trì</v>
          </cell>
        </row>
        <row r="2906">
          <cell r="P2906" t="str">
            <v>Viêm</v>
          </cell>
          <cell r="Q2906" t="str">
            <v>Liệt Diễm Gia Trì</v>
          </cell>
        </row>
        <row r="2907">
          <cell r="P2907" t="str">
            <v>Quang</v>
          </cell>
          <cell r="Q2907" t="str">
            <v>Phổ Công</v>
          </cell>
        </row>
        <row r="2908">
          <cell r="P2908" t="str">
            <v>Quang</v>
          </cell>
          <cell r="Q2908" t="str">
            <v>Thần Thánh Chấn Kích</v>
          </cell>
        </row>
        <row r="2909">
          <cell r="P2909" t="str">
            <v>Quang</v>
          </cell>
          <cell r="Q2909" t="str">
            <v>Thần Thánh Chấn Kích</v>
          </cell>
        </row>
        <row r="2910">
          <cell r="P2910" t="str">
            <v>Quang</v>
          </cell>
          <cell r="Q2910" t="str">
            <v>Thần Thánh Chấn Kích</v>
          </cell>
        </row>
        <row r="2911">
          <cell r="P2911" t="str">
            <v>Quang</v>
          </cell>
          <cell r="Q2911" t="str">
            <v>Thần Thánh Chấn Kích</v>
          </cell>
        </row>
        <row r="2912">
          <cell r="P2912" t="str">
            <v>Quang</v>
          </cell>
          <cell r="Q2912" t="str">
            <v>Thần Thánh Chấn Kích</v>
          </cell>
        </row>
        <row r="2913">
          <cell r="P2913" t="str">
            <v>Quang</v>
          </cell>
          <cell r="Q2913" t="str">
            <v>Thần Thánh Chấn Kích</v>
          </cell>
        </row>
        <row r="2914">
          <cell r="P2914" t="str">
            <v>Quang</v>
          </cell>
          <cell r="Q2914" t="str">
            <v>Thánh Quang Tí Hộ</v>
          </cell>
        </row>
        <row r="2915">
          <cell r="P2915" t="str">
            <v>Quang</v>
          </cell>
          <cell r="Q2915" t="str">
            <v>Thánh Quang Tí Hộ</v>
          </cell>
        </row>
        <row r="2916">
          <cell r="P2916" t="str">
            <v>Quang</v>
          </cell>
          <cell r="Q2916" t="str">
            <v>Thánh Quang Tí Hộ</v>
          </cell>
        </row>
        <row r="2917">
          <cell r="P2917" t="str">
            <v>Quang</v>
          </cell>
          <cell r="Q2917" t="str">
            <v>Cực · Thánh Quang Tí Hộ</v>
          </cell>
        </row>
        <row r="2918">
          <cell r="P2918" t="str">
            <v>Quang</v>
          </cell>
          <cell r="Q2918" t="str">
            <v>Cực · Thánh Quang Tí Hộ</v>
          </cell>
        </row>
        <row r="2919">
          <cell r="P2919" t="str">
            <v>Quang</v>
          </cell>
          <cell r="Q2919" t="str">
            <v>Cực · Thánh Quang Tí Hộ</v>
          </cell>
        </row>
        <row r="2920">
          <cell r="P2920" t="str">
            <v>Quang</v>
          </cell>
          <cell r="Q2920" t="str">
            <v>Thánh Quang Thuật</v>
          </cell>
        </row>
        <row r="2921">
          <cell r="P2921" t="str">
            <v>Quang</v>
          </cell>
          <cell r="Q2921" t="str">
            <v>Thánh Quang Thuật</v>
          </cell>
        </row>
        <row r="2922">
          <cell r="P2922" t="str">
            <v>Quang</v>
          </cell>
          <cell r="Q2922" t="str">
            <v>Thánh Quang Thuật</v>
          </cell>
        </row>
        <row r="2923">
          <cell r="P2923" t="str">
            <v>Quang</v>
          </cell>
          <cell r="Q2923" t="str">
            <v>Thánh Quang Thuật</v>
          </cell>
        </row>
        <row r="2924">
          <cell r="P2924" t="str">
            <v>Quang</v>
          </cell>
          <cell r="Q2924" t="str">
            <v>Thánh Quang Thuật</v>
          </cell>
        </row>
        <row r="2925">
          <cell r="P2925" t="str">
            <v>Quang</v>
          </cell>
          <cell r="Q2925" t="str">
            <v>Thánh Quang Thuật</v>
          </cell>
        </row>
        <row r="2926">
          <cell r="P2926" t="str">
            <v>Quang</v>
          </cell>
          <cell r="Q2926" t="str">
            <v>Thần Thánh Đạo Tiêu</v>
          </cell>
        </row>
        <row r="2927">
          <cell r="P2927" t="str">
            <v>Quang</v>
          </cell>
          <cell r="Q2927" t="str">
            <v>Thần Thánh Đạo Tiêu</v>
          </cell>
        </row>
        <row r="2928">
          <cell r="P2928" t="str">
            <v>Quang</v>
          </cell>
          <cell r="Q2928" t="str">
            <v>Thần Thánh Đạo Tiêu</v>
          </cell>
        </row>
        <row r="2929">
          <cell r="P2929" t="str">
            <v>Quang</v>
          </cell>
          <cell r="Q2929" t="str">
            <v>Quang Minh Cường Hóa</v>
          </cell>
        </row>
        <row r="2930">
          <cell r="P2930" t="str">
            <v>Quang</v>
          </cell>
          <cell r="Q2930" t="str">
            <v>Quang Minh Cường Hóa</v>
          </cell>
        </row>
        <row r="2931">
          <cell r="P2931" t="str">
            <v>Quang</v>
          </cell>
          <cell r="Q2931" t="str">
            <v>Quang Minh Cường Hóa</v>
          </cell>
        </row>
        <row r="2932">
          <cell r="P2932" t="str">
            <v>Quang</v>
          </cell>
          <cell r="Q2932" t="str">
            <v>Phổ Công</v>
          </cell>
        </row>
        <row r="2933">
          <cell r="P2933" t="str">
            <v>Quang</v>
          </cell>
          <cell r="Q2933" t="str">
            <v>Phổ Công</v>
          </cell>
        </row>
        <row r="2934">
          <cell r="P2934" t="str">
            <v>Quang</v>
          </cell>
          <cell r="Q2934" t="str">
            <v>Phổ Công</v>
          </cell>
        </row>
        <row r="2935">
          <cell r="P2935" t="str">
            <v>Quang</v>
          </cell>
          <cell r="Q2935" t="str">
            <v>Thần Thánh Chấn Kích</v>
          </cell>
        </row>
        <row r="2936">
          <cell r="P2936" t="str">
            <v>Quang</v>
          </cell>
          <cell r="Q2936" t="str">
            <v>Thần Thánh Chấn Kích</v>
          </cell>
        </row>
        <row r="2937">
          <cell r="P2937" t="str">
            <v>Quang</v>
          </cell>
          <cell r="Q2937" t="str">
            <v>Thần Thánh Chấn Kích</v>
          </cell>
        </row>
        <row r="2938">
          <cell r="P2938" t="str">
            <v>Quang</v>
          </cell>
          <cell r="Q2938" t="str">
            <v>Thần Thánh Chấn Kích</v>
          </cell>
        </row>
        <row r="2939">
          <cell r="P2939" t="str">
            <v>Quang</v>
          </cell>
          <cell r="Q2939" t="str">
            <v>Thần Thánh Chấn Kích</v>
          </cell>
        </row>
        <row r="2940">
          <cell r="P2940" t="str">
            <v>Quang</v>
          </cell>
          <cell r="Q2940" t="str">
            <v>Thần Thánh Chấn Kích</v>
          </cell>
        </row>
        <row r="2941">
          <cell r="P2941" t="str">
            <v>Quang</v>
          </cell>
          <cell r="Q2941" t="str">
            <v>Thần Thánh Đạo Tiêu</v>
          </cell>
        </row>
        <row r="2942">
          <cell r="P2942" t="str">
            <v>Quang</v>
          </cell>
          <cell r="Q2942" t="str">
            <v>Thần Thánh Đạo Tiêu</v>
          </cell>
        </row>
        <row r="2943">
          <cell r="P2943" t="str">
            <v>Quang</v>
          </cell>
          <cell r="Q2943" t="str">
            <v>Hi Sinh Chúc Phúc</v>
          </cell>
        </row>
        <row r="2944">
          <cell r="P2944" t="str">
            <v>Quang</v>
          </cell>
          <cell r="Q2944" t="str">
            <v>Hi Sinh Chúc Phúc</v>
          </cell>
        </row>
        <row r="2945">
          <cell r="P2945" t="str">
            <v>Quang</v>
          </cell>
          <cell r="Q2945" t="str">
            <v>Hi Sinh Chúc Phúc</v>
          </cell>
        </row>
        <row r="2946">
          <cell r="P2946" t="str">
            <v>Quang</v>
          </cell>
          <cell r="Q2946" t="str">
            <v>Thánh Quang Thuật</v>
          </cell>
        </row>
        <row r="2947">
          <cell r="P2947" t="str">
            <v>Quang</v>
          </cell>
          <cell r="Q2947" t="str">
            <v>Thánh Quang Thuật</v>
          </cell>
        </row>
        <row r="2948">
          <cell r="P2948" t="str">
            <v>Quang</v>
          </cell>
          <cell r="Q2948" t="str">
            <v>Thánh Quang Thuật</v>
          </cell>
        </row>
        <row r="2949">
          <cell r="P2949" t="str">
            <v>Quang</v>
          </cell>
          <cell r="Q2949" t="str">
            <v>Thánh Quang Thuật</v>
          </cell>
        </row>
        <row r="2950">
          <cell r="P2950" t="str">
            <v>Quang</v>
          </cell>
          <cell r="Q2950" t="str">
            <v>Thánh Quang Thuật</v>
          </cell>
        </row>
        <row r="2951">
          <cell r="P2951" t="str">
            <v>Quang</v>
          </cell>
          <cell r="Q2951" t="str">
            <v>Thánh Quang Thuật</v>
          </cell>
        </row>
        <row r="2952">
          <cell r="P2952" t="str">
            <v>Quang</v>
          </cell>
          <cell r="Q2952" t="str">
            <v>Thánh Quang Thuật</v>
          </cell>
        </row>
        <row r="2953">
          <cell r="P2953" t="str">
            <v>Quang</v>
          </cell>
          <cell r="Q2953" t="str">
            <v>Thánh Quang Dũng Động</v>
          </cell>
        </row>
        <row r="2954">
          <cell r="P2954" t="str">
            <v>Quang</v>
          </cell>
          <cell r="Q2954" t="str">
            <v>Thánh Quang Dũng Động</v>
          </cell>
        </row>
        <row r="2955">
          <cell r="P2955" t="str">
            <v>Quang</v>
          </cell>
          <cell r="Q2955" t="str">
            <v>Thánh Quang Dũng Động</v>
          </cell>
        </row>
        <row r="2956">
          <cell r="P2956" t="str">
            <v>Quang</v>
          </cell>
          <cell r="Q2956" t="str">
            <v>Thánh Quang Dũng Động</v>
          </cell>
        </row>
        <row r="2957">
          <cell r="P2957" t="str">
            <v>Quang</v>
          </cell>
          <cell r="Q2957" t="str">
            <v>Thánh Quang Dũng Động</v>
          </cell>
        </row>
        <row r="2958">
          <cell r="P2958" t="str">
            <v>Quang</v>
          </cell>
          <cell r="Q2958" t="str">
            <v>Thánh Quang Dũng Động</v>
          </cell>
        </row>
        <row r="2959">
          <cell r="P2959" t="str">
            <v>Quang</v>
          </cell>
          <cell r="Q2959" t="str">
            <v>Thánh Quang Dũng Động</v>
          </cell>
        </row>
        <row r="2960">
          <cell r="P2960" t="str">
            <v>Quang</v>
          </cell>
          <cell r="Q2960" t="str">
            <v>Thánh Quang Dũng Động</v>
          </cell>
        </row>
        <row r="2961">
          <cell r="P2961" t="str">
            <v>Quang</v>
          </cell>
          <cell r="Q2961" t="str">
            <v>Thánh Quang Dũng Động</v>
          </cell>
        </row>
        <row r="2962">
          <cell r="P2962" t="str">
            <v>Quang</v>
          </cell>
          <cell r="Q2962" t="str">
            <v>Thánh Quang Dũng Động</v>
          </cell>
        </row>
        <row r="2963">
          <cell r="P2963" t="str">
            <v>Ngự</v>
          </cell>
          <cell r="Q2963" t="str">
            <v>Phổ Công</v>
          </cell>
        </row>
        <row r="2964">
          <cell r="P2964" t="str">
            <v>Ngự</v>
          </cell>
          <cell r="Q2964" t="str">
            <v>Phổ Công</v>
          </cell>
        </row>
        <row r="2965">
          <cell r="P2965" t="str">
            <v>Ngự</v>
          </cell>
          <cell r="Q2965" t="str">
            <v>Kiên Nghị Thủ Hộ</v>
          </cell>
        </row>
        <row r="2966">
          <cell r="P2966" t="str">
            <v>Ngự</v>
          </cell>
          <cell r="Q2966" t="str">
            <v>Kiên Nghị Thủ Hộ</v>
          </cell>
        </row>
        <row r="2967">
          <cell r="P2967" t="str">
            <v>Ngự</v>
          </cell>
          <cell r="Q2967" t="str">
            <v>Kiên Nghị Thủ Hộ</v>
          </cell>
        </row>
        <row r="2968">
          <cell r="P2968" t="str">
            <v>Ngự</v>
          </cell>
          <cell r="Q2968" t="str">
            <v>Kiên Nghị Thủ Hộ</v>
          </cell>
        </row>
        <row r="2969">
          <cell r="P2969" t="str">
            <v>Ngự</v>
          </cell>
          <cell r="Q2969" t="str">
            <v>Kiên Nghị Thủ Hộ</v>
          </cell>
        </row>
        <row r="2970">
          <cell r="P2970" t="str">
            <v>Ngự</v>
          </cell>
          <cell r="Q2970" t="str">
            <v>Kiên Nghị Thủ Hộ</v>
          </cell>
        </row>
        <row r="2971">
          <cell r="P2971" t="str">
            <v>Ngự</v>
          </cell>
          <cell r="Q2971" t="str">
            <v>Kiên Nghị Thủ Hộ</v>
          </cell>
        </row>
        <row r="2972">
          <cell r="P2972" t="str">
            <v>Ngự</v>
          </cell>
          <cell r="Q2972" t="str">
            <v>Kiên Nghị Thủ Hộ</v>
          </cell>
        </row>
        <row r="2973">
          <cell r="P2973" t="str">
            <v>Ngự</v>
          </cell>
          <cell r="Q2973" t="str">
            <v>Kiên Nghị Thủ Hộ</v>
          </cell>
        </row>
        <row r="2974">
          <cell r="P2974" t="str">
            <v>Ngự</v>
          </cell>
          <cell r="Q2974" t="str">
            <v>Kiên Nghị Thủ Hộ</v>
          </cell>
        </row>
        <row r="2975">
          <cell r="P2975" t="str">
            <v>Ngự</v>
          </cell>
          <cell r="Q2975" t="str">
            <v>Kiên Nghị Thủ Hộ</v>
          </cell>
        </row>
        <row r="2976">
          <cell r="P2976" t="str">
            <v>Ngự</v>
          </cell>
          <cell r="Q2976" t="str">
            <v>Kiên Nghị Thủ Hộ</v>
          </cell>
        </row>
        <row r="2977">
          <cell r="P2977" t="str">
            <v>Ngự</v>
          </cell>
          <cell r="Q2977" t="str">
            <v>Cuồng Loạn</v>
          </cell>
        </row>
        <row r="2978">
          <cell r="P2978" t="str">
            <v>Ngự</v>
          </cell>
          <cell r="Q2978" t="str">
            <v>Cuồng Loạn</v>
          </cell>
        </row>
        <row r="2979">
          <cell r="P2979" t="str">
            <v>Ngự</v>
          </cell>
          <cell r="Q2979" t="str">
            <v>Cuồng Loạn</v>
          </cell>
        </row>
        <row r="2980">
          <cell r="P2980" t="str">
            <v>Ngự</v>
          </cell>
          <cell r="Q2980" t="str">
            <v>Cuồng Loạn</v>
          </cell>
        </row>
        <row r="2981">
          <cell r="P2981" t="str">
            <v>Ngự</v>
          </cell>
          <cell r="Q2981" t="str">
            <v>Cuồng Loạn</v>
          </cell>
        </row>
        <row r="2982">
          <cell r="P2982" t="str">
            <v>Ngự</v>
          </cell>
          <cell r="Q2982" t="str">
            <v>Cuồng Loạn</v>
          </cell>
        </row>
        <row r="2983">
          <cell r="P2983" t="str">
            <v>Ngự</v>
          </cell>
          <cell r="Q2983" t="str">
            <v>Cuồng Loạn</v>
          </cell>
        </row>
        <row r="2984">
          <cell r="P2984" t="str">
            <v>Ngự</v>
          </cell>
          <cell r="Q2984" t="str">
            <v>Cuồng Loạn</v>
          </cell>
        </row>
        <row r="2985">
          <cell r="P2985" t="str">
            <v>Ngự</v>
          </cell>
          <cell r="Q2985" t="str">
            <v>Cuồng Loạn</v>
          </cell>
        </row>
        <row r="2986">
          <cell r="P2986" t="str">
            <v>Ngự</v>
          </cell>
          <cell r="Q2986" t="str">
            <v>Cuồng Loạn</v>
          </cell>
        </row>
        <row r="2987">
          <cell r="P2987" t="str">
            <v>Ngự</v>
          </cell>
          <cell r="Q2987" t="str">
            <v>Cuồng Loạn</v>
          </cell>
        </row>
        <row r="2988">
          <cell r="P2988" t="str">
            <v>Ngự</v>
          </cell>
          <cell r="Q2988" t="str">
            <v>Cuồng Loạn</v>
          </cell>
        </row>
        <row r="2989">
          <cell r="P2989" t="str">
            <v>Ngự</v>
          </cell>
          <cell r="Q2989" t="str">
            <v>Hỗn Độn Mãnh Thú</v>
          </cell>
        </row>
        <row r="2990">
          <cell r="P2990" t="str">
            <v>Ngự</v>
          </cell>
          <cell r="Q2990" t="str">
            <v>Hỗn Độn Mãnh Thú</v>
          </cell>
        </row>
        <row r="2991">
          <cell r="P2991" t="str">
            <v>Ngự</v>
          </cell>
          <cell r="Q2991" t="str">
            <v>Hỗn Độn Mãnh Thú</v>
          </cell>
        </row>
        <row r="2992">
          <cell r="P2992" t="str">
            <v>Ngự</v>
          </cell>
          <cell r="Q2992" t="str">
            <v>Cực · Hỗn Độn Mãnh Thú</v>
          </cell>
        </row>
        <row r="2993">
          <cell r="P2993" t="str">
            <v>Ngự</v>
          </cell>
          <cell r="Q2993" t="str">
            <v>Cực · Hỗn Độn Mãnh Thú</v>
          </cell>
        </row>
        <row r="2994">
          <cell r="P2994" t="str">
            <v>Ngự</v>
          </cell>
          <cell r="Q2994" t="str">
            <v>Cực · Hỗn Độn Mãnh Thú</v>
          </cell>
        </row>
        <row r="2995">
          <cell r="P2995" t="str">
            <v>Ngự</v>
          </cell>
          <cell r="Q2995" t="str">
            <v>Bạo Lực Trấn Áp</v>
          </cell>
        </row>
        <row r="2996">
          <cell r="P2996" t="str">
            <v>Ngự</v>
          </cell>
          <cell r="Q2996" t="str">
            <v>Bạo Lực Trấn Áp</v>
          </cell>
        </row>
        <row r="2997">
          <cell r="P2997" t="str">
            <v>Ngự</v>
          </cell>
          <cell r="Q2997" t="str">
            <v>Bạo Lực Trấn Áp</v>
          </cell>
        </row>
        <row r="2998">
          <cell r="P2998" t="str">
            <v>Ngự</v>
          </cell>
          <cell r="Q2998" t="str">
            <v>Hình Thái Chuyển Hoán</v>
          </cell>
        </row>
        <row r="2999">
          <cell r="P2999" t="str">
            <v>Ngự</v>
          </cell>
          <cell r="Q2999" t="str">
            <v>Hình Thái Chuyển Hoán</v>
          </cell>
        </row>
        <row r="3000">
          <cell r="P3000" t="str">
            <v>Ngự</v>
          </cell>
          <cell r="Q3000" t="str">
            <v>Hình Thái Chuyển Hoán</v>
          </cell>
        </row>
        <row r="3001">
          <cell r="P3001" t="str">
            <v>Ngự</v>
          </cell>
          <cell r="Q3001" t="str">
            <v>Trí Mệnh Hàm Tiếp</v>
          </cell>
        </row>
        <row r="3002">
          <cell r="P3002" t="str">
            <v>Ngự</v>
          </cell>
          <cell r="Q3002" t="str">
            <v>Trí Mệnh Hàm Tiếp</v>
          </cell>
        </row>
        <row r="3003">
          <cell r="P3003" t="str">
            <v>Ngự</v>
          </cell>
          <cell r="Q3003" t="str">
            <v>Trí Mệnh Hàm Tiếp</v>
          </cell>
        </row>
        <row r="3004">
          <cell r="P3004" t="str">
            <v>Ngự</v>
          </cell>
          <cell r="Q3004" t="str">
            <v>Kiên Nghị Thủ Hộ</v>
          </cell>
        </row>
        <row r="3005">
          <cell r="P3005" t="str">
            <v>Ngự</v>
          </cell>
          <cell r="Q3005" t="str">
            <v>Kiên Nghị Thủ Hộ</v>
          </cell>
        </row>
        <row r="3006">
          <cell r="P3006" t="str">
            <v>Ngự</v>
          </cell>
          <cell r="Q3006" t="str">
            <v>Kiên Nghị Thủ Hộ</v>
          </cell>
        </row>
        <row r="3007">
          <cell r="P3007" t="str">
            <v>Ngự</v>
          </cell>
          <cell r="Q3007" t="str">
            <v>Kiên Nghị Thủ Hộ</v>
          </cell>
        </row>
        <row r="3008">
          <cell r="P3008" t="str">
            <v>Ngự</v>
          </cell>
          <cell r="Q3008" t="str">
            <v>Kiên Nghị Thủ Hộ</v>
          </cell>
        </row>
        <row r="3009">
          <cell r="P3009" t="str">
            <v>Ngự</v>
          </cell>
          <cell r="Q3009" t="str">
            <v>Kiên Nghị Thủ Hộ</v>
          </cell>
        </row>
        <row r="3010">
          <cell r="P3010" t="str">
            <v>Ngự</v>
          </cell>
          <cell r="Q3010" t="str">
            <v>Kiên Nghị Thủ Hộ</v>
          </cell>
        </row>
        <row r="3011">
          <cell r="P3011" t="str">
            <v>Ngự</v>
          </cell>
          <cell r="Q3011" t="str">
            <v>Kiên Nghị Thủ Hộ</v>
          </cell>
        </row>
        <row r="3012">
          <cell r="P3012" t="str">
            <v>Ngự</v>
          </cell>
          <cell r="Q3012" t="str">
            <v>Kiên Nghị Thủ Hộ</v>
          </cell>
        </row>
        <row r="3013">
          <cell r="P3013" t="str">
            <v>Ngự</v>
          </cell>
          <cell r="Q3013" t="str">
            <v>Kiên Nghị Thủ Hộ</v>
          </cell>
        </row>
        <row r="3014">
          <cell r="P3014" t="str">
            <v>Ngự</v>
          </cell>
          <cell r="Q3014" t="str">
            <v>Kiên Nghị Thủ Hộ</v>
          </cell>
        </row>
        <row r="3015">
          <cell r="P3015" t="str">
            <v>Ngự</v>
          </cell>
          <cell r="Q3015" t="str">
            <v>Kiên Nghị Thủ Hộ</v>
          </cell>
        </row>
        <row r="3016">
          <cell r="P3016" t="str">
            <v>Ngự</v>
          </cell>
          <cell r="Q3016" t="str">
            <v>Kiên Nghị Thủ Hộ</v>
          </cell>
        </row>
        <row r="3017">
          <cell r="P3017" t="str">
            <v>Ngự</v>
          </cell>
          <cell r="Q3017" t="str">
            <v>Kiên Nghị Thủ Hộ</v>
          </cell>
        </row>
        <row r="3018">
          <cell r="P3018" t="str">
            <v>Ngự</v>
          </cell>
          <cell r="Q3018" t="str">
            <v>Kiên Nghị Thủ Hộ</v>
          </cell>
        </row>
        <row r="3019">
          <cell r="P3019" t="str">
            <v>Ngự</v>
          </cell>
          <cell r="Q3019" t="str">
            <v>Cuồng Loạn</v>
          </cell>
        </row>
        <row r="3020">
          <cell r="P3020" t="str">
            <v>Ngự</v>
          </cell>
          <cell r="Q3020" t="str">
            <v>Cuồng Loạn</v>
          </cell>
        </row>
        <row r="3021">
          <cell r="P3021" t="str">
            <v>Ngự</v>
          </cell>
          <cell r="Q3021" t="str">
            <v>Cuồng Loạn</v>
          </cell>
        </row>
        <row r="3022">
          <cell r="P3022" t="str">
            <v>Ngự</v>
          </cell>
          <cell r="Q3022" t="str">
            <v>Cuồng Loạn</v>
          </cell>
        </row>
        <row r="3023">
          <cell r="P3023" t="str">
            <v>Ngự</v>
          </cell>
          <cell r="Q3023" t="str">
            <v>Cuồng Loạn</v>
          </cell>
        </row>
        <row r="3024">
          <cell r="P3024" t="str">
            <v>Ngự</v>
          </cell>
          <cell r="Q3024" t="str">
            <v>Cuồng Loạn</v>
          </cell>
        </row>
        <row r="3025">
          <cell r="P3025" t="str">
            <v>Ngự</v>
          </cell>
          <cell r="Q3025" t="str">
            <v>Cuồng Loạn</v>
          </cell>
        </row>
        <row r="3026">
          <cell r="P3026" t="str">
            <v>Ngự</v>
          </cell>
          <cell r="Q3026" t="str">
            <v>Phòng Thủ Phản Kích</v>
          </cell>
        </row>
        <row r="3027">
          <cell r="P3027" t="str">
            <v>Ngự</v>
          </cell>
          <cell r="Q3027" t="str">
            <v>Phòng Thủ Phản Kích</v>
          </cell>
        </row>
        <row r="3028">
          <cell r="P3028" t="str">
            <v>Ngự</v>
          </cell>
          <cell r="Q3028" t="str">
            <v>Phòng Thủ Phản Kích</v>
          </cell>
        </row>
        <row r="3029">
          <cell r="P3029" t="str">
            <v>Ngự</v>
          </cell>
          <cell r="Q3029" t="str">
            <v>Mãnh Phác ( Phản Kích )</v>
          </cell>
        </row>
        <row r="3030">
          <cell r="P3030" t="str">
            <v>Ngự</v>
          </cell>
          <cell r="Q3030" t="str">
            <v>Mãnh Phác ( Phản Kích )</v>
          </cell>
        </row>
        <row r="3031">
          <cell r="P3031" t="str">
            <v>Ngự</v>
          </cell>
          <cell r="Q3031" t="str">
            <v>Mãnh Phác ( Phản Kích )</v>
          </cell>
        </row>
        <row r="3032">
          <cell r="P3032" t="str">
            <v>Ngự</v>
          </cell>
          <cell r="Q3032" t="str">
            <v>Mãnh Phác ( Phản Kích )</v>
          </cell>
        </row>
        <row r="3033">
          <cell r="P3033" t="str">
            <v>Ngự</v>
          </cell>
          <cell r="Q3033" t="str">
            <v>Mãnh Phác ( Phản Kích )</v>
          </cell>
        </row>
        <row r="3034">
          <cell r="P3034" t="str">
            <v>Ngự</v>
          </cell>
          <cell r="Q3034" t="str">
            <v>Mãnh Phác ( Phản Kích )</v>
          </cell>
        </row>
        <row r="3035">
          <cell r="P3035" t="str">
            <v>Ngự</v>
          </cell>
          <cell r="Q3035" t="str">
            <v>Mãnh Phác ( Phản Kích )</v>
          </cell>
        </row>
        <row r="3036">
          <cell r="P3036" t="str">
            <v>Ngự</v>
          </cell>
          <cell r="Q3036" t="str">
            <v>Bạo Lực Trấn Áp ( Phản Kích )</v>
          </cell>
        </row>
        <row r="3037">
          <cell r="P3037" t="str">
            <v>Ngự</v>
          </cell>
          <cell r="Q3037" t="str">
            <v>Bạo Lực Trấn Áp ( Phản Kích )</v>
          </cell>
        </row>
        <row r="3038">
          <cell r="P3038" t="str">
            <v>Ngự</v>
          </cell>
          <cell r="Q3038" t="str">
            <v>Bạo Lực Trấn Áp ( Phản Kích )</v>
          </cell>
        </row>
        <row r="3039">
          <cell r="P3039" t="str">
            <v>Huyết</v>
          </cell>
          <cell r="Q3039" t="str">
            <v>Phổ Công</v>
          </cell>
        </row>
        <row r="3040">
          <cell r="P3040" t="str">
            <v>Huyết</v>
          </cell>
          <cell r="Q3040" t="str">
            <v>Huyết Tinh Thứ Sát</v>
          </cell>
        </row>
        <row r="3041">
          <cell r="P3041" t="str">
            <v>Huyết</v>
          </cell>
          <cell r="Q3041" t="str">
            <v>Huyết Tinh Thứ Sát</v>
          </cell>
        </row>
        <row r="3042">
          <cell r="P3042" t="str">
            <v>Huyết</v>
          </cell>
          <cell r="Q3042" t="str">
            <v>Huyết Tinh Thứ Sát</v>
          </cell>
        </row>
        <row r="3043">
          <cell r="P3043" t="str">
            <v>Huyết</v>
          </cell>
          <cell r="Q3043" t="str">
            <v>Huyết Tinh Thứ Sát</v>
          </cell>
        </row>
        <row r="3044">
          <cell r="P3044" t="str">
            <v>Huyết</v>
          </cell>
          <cell r="Q3044" t="str">
            <v>Huyết Tinh Thứ Sát</v>
          </cell>
        </row>
        <row r="3045">
          <cell r="P3045" t="str">
            <v>Huyết</v>
          </cell>
          <cell r="Q3045" t="str">
            <v>Huyết Tinh Thứ Sát</v>
          </cell>
        </row>
        <row r="3046">
          <cell r="P3046" t="str">
            <v>Huyết</v>
          </cell>
          <cell r="Q3046" t="str">
            <v>Huyết Tinh Thứ Sát</v>
          </cell>
        </row>
        <row r="3047">
          <cell r="P3047" t="str">
            <v>Huyết</v>
          </cell>
          <cell r="Q3047" t="str">
            <v>Huyết Tinh Thứ Sát</v>
          </cell>
        </row>
        <row r="3048">
          <cell r="P3048" t="str">
            <v>Huyết</v>
          </cell>
          <cell r="Q3048" t="str">
            <v>Huyết Tinh Thứ Sát</v>
          </cell>
        </row>
        <row r="3049">
          <cell r="P3049" t="str">
            <v>Huyết</v>
          </cell>
          <cell r="Q3049" t="str">
            <v>Hỗn Độn Thể Phách</v>
          </cell>
        </row>
        <row r="3050">
          <cell r="P3050" t="str">
            <v>Huyết</v>
          </cell>
          <cell r="Q3050" t="str">
            <v>Hỗn Độn Thể Phách</v>
          </cell>
        </row>
        <row r="3051">
          <cell r="P3051" t="str">
            <v>Huyết</v>
          </cell>
          <cell r="Q3051" t="str">
            <v>Hỗn Độn Thể Phách</v>
          </cell>
        </row>
        <row r="3052">
          <cell r="P3052" t="str">
            <v>Huyết</v>
          </cell>
          <cell r="Q3052" t="str">
            <v>Cực · Hỗn Độn Thể Phách</v>
          </cell>
        </row>
        <row r="3053">
          <cell r="P3053" t="str">
            <v>Huyết</v>
          </cell>
          <cell r="Q3053" t="str">
            <v>Cực · Hỗn Độn Thể Phách</v>
          </cell>
        </row>
        <row r="3054">
          <cell r="P3054" t="str">
            <v>Huyết</v>
          </cell>
          <cell r="Q3054" t="str">
            <v>Cực · Hỗn Độn Thể Phách</v>
          </cell>
        </row>
        <row r="3055">
          <cell r="P3055" t="str">
            <v>Huyết</v>
          </cell>
          <cell r="Q3055" t="str">
            <v>Thiết Huyết Tác Mệnh</v>
          </cell>
        </row>
        <row r="3056">
          <cell r="P3056" t="str">
            <v>Huyết</v>
          </cell>
          <cell r="Q3056" t="str">
            <v>Thiết Huyết Tác Mệnh</v>
          </cell>
        </row>
        <row r="3057">
          <cell r="P3057" t="str">
            <v>Huyết</v>
          </cell>
          <cell r="Q3057" t="str">
            <v>Thiết Huyết Tác Mệnh</v>
          </cell>
        </row>
        <row r="3058">
          <cell r="P3058" t="str">
            <v>Huyết</v>
          </cell>
          <cell r="Q3058" t="str">
            <v>Thiết Huyết Tác Mệnh</v>
          </cell>
        </row>
        <row r="3059">
          <cell r="P3059" t="str">
            <v>Huyết</v>
          </cell>
          <cell r="Q3059" t="str">
            <v>Thiết Huyết Tác Mệnh</v>
          </cell>
        </row>
        <row r="3060">
          <cell r="P3060" t="str">
            <v>Huyết</v>
          </cell>
          <cell r="Q3060" t="str">
            <v>Thiết Huyết Tác Mệnh</v>
          </cell>
        </row>
        <row r="3061">
          <cell r="P3061" t="str">
            <v>Huyết</v>
          </cell>
          <cell r="Q3061" t="str">
            <v>Thiết Huyết Tác Mệnh</v>
          </cell>
        </row>
        <row r="3062">
          <cell r="P3062" t="str">
            <v>Huyết</v>
          </cell>
          <cell r="Q3062" t="str">
            <v>Thiết Huyết Tác Mệnh</v>
          </cell>
        </row>
        <row r="3063">
          <cell r="P3063" t="str">
            <v>Huyết</v>
          </cell>
          <cell r="Q3063" t="str">
            <v>Thiết Huyết Tác Mệnh</v>
          </cell>
        </row>
        <row r="3064">
          <cell r="P3064" t="str">
            <v>Huyết</v>
          </cell>
          <cell r="Q3064" t="str">
            <v>Thiết Huyết Tác Mệnh</v>
          </cell>
        </row>
        <row r="3065">
          <cell r="P3065" t="str">
            <v>Huyết</v>
          </cell>
          <cell r="Q3065" t="str">
            <v>Thiết Huyết Tác Mệnh</v>
          </cell>
        </row>
        <row r="3066">
          <cell r="P3066" t="str">
            <v>Huyết</v>
          </cell>
          <cell r="Q3066" t="str">
            <v>Thiết Huyết Tác Mệnh</v>
          </cell>
        </row>
        <row r="3067">
          <cell r="P3067" t="str">
            <v>Huyết</v>
          </cell>
          <cell r="Q3067" t="str">
            <v>Thiết Huyết Tác Mệnh</v>
          </cell>
        </row>
        <row r="3068">
          <cell r="P3068" t="str">
            <v>Huyết</v>
          </cell>
          <cell r="Q3068" t="str">
            <v>Thiết Huyết Tác Mệnh</v>
          </cell>
        </row>
        <row r="3069">
          <cell r="P3069" t="str">
            <v>Huyết</v>
          </cell>
          <cell r="Q3069" t="str">
            <v>Thiết Huyết Tác Mệnh</v>
          </cell>
        </row>
        <row r="3070">
          <cell r="P3070" t="str">
            <v>Huyết</v>
          </cell>
          <cell r="Q3070" t="str">
            <v>Thiết Huyết Tác Mệnh</v>
          </cell>
        </row>
        <row r="3071">
          <cell r="P3071" t="str">
            <v>Huyết</v>
          </cell>
          <cell r="Q3071" t="str">
            <v>Thiết Huyết Tác Mệnh</v>
          </cell>
        </row>
        <row r="3072">
          <cell r="P3072" t="str">
            <v>Huyết</v>
          </cell>
          <cell r="Q3072" t="str">
            <v>Thiết Huyết Tác Mệnh</v>
          </cell>
        </row>
        <row r="3073">
          <cell r="P3073" t="str">
            <v>Huyết</v>
          </cell>
          <cell r="Q3073" t="str">
            <v>Huyết Khí Hộ Thuẫn</v>
          </cell>
        </row>
        <row r="3074">
          <cell r="P3074" t="str">
            <v>Huyết</v>
          </cell>
          <cell r="Q3074" t="str">
            <v>Huyết Khí Hộ Thuẫn</v>
          </cell>
        </row>
        <row r="3075">
          <cell r="P3075" t="str">
            <v>Huyết</v>
          </cell>
          <cell r="Q3075" t="str">
            <v>Huyết Khí Hộ Thuẫn</v>
          </cell>
        </row>
        <row r="3076">
          <cell r="P3076" t="str">
            <v>Huyết</v>
          </cell>
          <cell r="Q3076" t="str">
            <v>Thị Huyết</v>
          </cell>
        </row>
        <row r="3077">
          <cell r="P3077" t="str">
            <v>Huyết</v>
          </cell>
          <cell r="Q3077" t="str">
            <v>Thị Huyết</v>
          </cell>
        </row>
        <row r="3078">
          <cell r="P3078" t="str">
            <v>Huyết</v>
          </cell>
          <cell r="Q3078" t="str">
            <v>Thị Huyết</v>
          </cell>
        </row>
        <row r="3079">
          <cell r="P3079" t="str">
            <v>Huyết</v>
          </cell>
          <cell r="Q3079" t="str">
            <v>Huyết Khí Hoán Tỉnh</v>
          </cell>
        </row>
        <row r="3080">
          <cell r="P3080" t="str">
            <v>Huyết</v>
          </cell>
          <cell r="Q3080" t="str">
            <v>Huyết Khí Hoán Tỉnh</v>
          </cell>
        </row>
        <row r="3081">
          <cell r="P3081" t="str">
            <v>Huyết</v>
          </cell>
          <cell r="Q3081" t="str">
            <v>Huyết Khí Hoán Tỉnh</v>
          </cell>
        </row>
        <row r="3082">
          <cell r="P3082" t="str">
            <v>Huyết</v>
          </cell>
          <cell r="Q3082" t="str">
            <v>Thiết Huyết Tác Mệnh</v>
          </cell>
        </row>
        <row r="3083">
          <cell r="P3083" t="str">
            <v>Huyết</v>
          </cell>
          <cell r="Q3083" t="str">
            <v>Thiết Huyết Tác Mệnh</v>
          </cell>
        </row>
        <row r="3084">
          <cell r="P3084" t="str">
            <v>Huyết</v>
          </cell>
          <cell r="Q3084" t="str">
            <v>Thiết Huyết Tác Mệnh</v>
          </cell>
        </row>
        <row r="3085">
          <cell r="P3085" t="str">
            <v>Huyết</v>
          </cell>
          <cell r="Q3085" t="str">
            <v>Thiết Huyết Tác Mệnh</v>
          </cell>
        </row>
        <row r="3086">
          <cell r="P3086" t="str">
            <v>Huyết</v>
          </cell>
          <cell r="Q3086" t="str">
            <v>Thiết Huyết Tác Mệnh</v>
          </cell>
        </row>
        <row r="3087">
          <cell r="P3087" t="str">
            <v>Huyết</v>
          </cell>
          <cell r="Q3087" t="str">
            <v>Thiết Huyết Tác Mệnh</v>
          </cell>
        </row>
        <row r="3088">
          <cell r="P3088" t="str">
            <v>Huyết</v>
          </cell>
          <cell r="Q3088" t="str">
            <v>Huyết Khí Bạo Phát</v>
          </cell>
        </row>
        <row r="3089">
          <cell r="P3089" t="str">
            <v>Huyết</v>
          </cell>
          <cell r="Q3089" t="str">
            <v>Huyết Khí Bạo Phát</v>
          </cell>
        </row>
        <row r="3090">
          <cell r="P3090" t="str">
            <v>Pvp Thiên Bình Hệ Thống Bị Động</v>
          </cell>
          <cell r="Q3090" t="str">
            <v>Pvp Thiên Bình Hệ Thống Bị Động</v>
          </cell>
        </row>
        <row r="3091">
          <cell r="P3091" t="str">
            <v>Chân · Vũ Thần</v>
          </cell>
          <cell r="Q3091" t="str">
            <v>Phổ Công</v>
          </cell>
        </row>
        <row r="3092">
          <cell r="P3092" t="str">
            <v>Chân · Vũ Thần Nhược</v>
          </cell>
          <cell r="Q3092" t="str">
            <v>Thẩm Phán</v>
          </cell>
        </row>
        <row r="3093">
          <cell r="P3093" t="str">
            <v>Chân · Vũ Thần Nhược</v>
          </cell>
          <cell r="Q3093" t="str">
            <v>Thẩm Phán</v>
          </cell>
        </row>
        <row r="3094">
          <cell r="P3094" t="str">
            <v>Chân · Vũ Thần Nhược</v>
          </cell>
          <cell r="Q3094" t="str">
            <v>Thẩm Phán</v>
          </cell>
        </row>
        <row r="3095">
          <cell r="P3095" t="str">
            <v>Chân · Vũ Thần Trung</v>
          </cell>
          <cell r="Q3095" t="str">
            <v>Thẩm Phán</v>
          </cell>
        </row>
        <row r="3096">
          <cell r="P3096" t="str">
            <v>Chân · Vũ Thần Trung</v>
          </cell>
          <cell r="Q3096" t="str">
            <v>Thẩm Phán</v>
          </cell>
        </row>
        <row r="3097">
          <cell r="P3097" t="str">
            <v>Chân · Vũ Thần Trung</v>
          </cell>
          <cell r="Q3097" t="str">
            <v>Thẩm Phán</v>
          </cell>
        </row>
        <row r="3098">
          <cell r="P3098" t="str">
            <v>Chân · Vũ Thần Cường</v>
          </cell>
          <cell r="Q3098" t="str">
            <v>Thẩm Phán</v>
          </cell>
        </row>
        <row r="3099">
          <cell r="P3099" t="str">
            <v>Chân · Vũ Thần Cường</v>
          </cell>
          <cell r="Q3099" t="str">
            <v>Thẩm Phán</v>
          </cell>
        </row>
        <row r="3100">
          <cell r="P3100" t="str">
            <v>Chân · Vũ Thần Cường</v>
          </cell>
          <cell r="Q3100" t="str">
            <v>Thẩm Phán</v>
          </cell>
        </row>
        <row r="3101">
          <cell r="P3101" t="str">
            <v>Vũ Thần Nhược</v>
          </cell>
          <cell r="Q3101" t="str">
            <v>Thẩm Phán</v>
          </cell>
        </row>
        <row r="3102">
          <cell r="P3102" t="str">
            <v>Vũ Thần Nhược</v>
          </cell>
          <cell r="Q3102" t="str">
            <v>Thẩm Phán</v>
          </cell>
        </row>
        <row r="3103">
          <cell r="P3103" t="str">
            <v>Vũ Thần Nhược</v>
          </cell>
          <cell r="Q3103" t="str">
            <v>Thẩm Phán</v>
          </cell>
        </row>
        <row r="3104">
          <cell r="P3104" t="str">
            <v>Vũ Thần Trung</v>
          </cell>
          <cell r="Q3104" t="str">
            <v>Thẩm Phán</v>
          </cell>
        </row>
        <row r="3105">
          <cell r="P3105" t="str">
            <v>Vũ Thần Trung</v>
          </cell>
          <cell r="Q3105" t="str">
            <v>Thẩm Phán</v>
          </cell>
        </row>
        <row r="3106">
          <cell r="P3106" t="str">
            <v>Vũ Thần Trung</v>
          </cell>
          <cell r="Q3106" t="str">
            <v>Thẩm Phán</v>
          </cell>
        </row>
        <row r="3107">
          <cell r="P3107" t="str">
            <v>Vũ Thần Cường</v>
          </cell>
          <cell r="Q3107" t="str">
            <v>Thẩm Phán</v>
          </cell>
        </row>
        <row r="3108">
          <cell r="P3108" t="str">
            <v>Vũ Thần Cường</v>
          </cell>
          <cell r="Q3108" t="str">
            <v>Thẩm Phán</v>
          </cell>
        </row>
        <row r="3109">
          <cell r="P3109" t="str">
            <v>Vũ Thần Cường</v>
          </cell>
          <cell r="Q3109" t="str">
            <v>Thẩm Phán</v>
          </cell>
        </row>
        <row r="3110">
          <cell r="P3110" t="str">
            <v>Chân · Vũ Thần Nhược</v>
          </cell>
          <cell r="Q3110" t="str">
            <v>Thiên Phạt</v>
          </cell>
        </row>
        <row r="3111">
          <cell r="P3111" t="str">
            <v>Chân · Vũ Thần Trung</v>
          </cell>
          <cell r="Q3111" t="str">
            <v>Thiên Phạt</v>
          </cell>
        </row>
        <row r="3112">
          <cell r="P3112" t="str">
            <v>Chân · Vũ Thần Cường</v>
          </cell>
          <cell r="Q3112" t="str">
            <v>Thiên Phạt</v>
          </cell>
        </row>
        <row r="3113">
          <cell r="P3113" t="str">
            <v>Vũ Thần Nhược</v>
          </cell>
          <cell r="Q3113" t="str">
            <v>Thiên Phạt</v>
          </cell>
        </row>
        <row r="3114">
          <cell r="P3114" t="str">
            <v>Vũ Thần Nhược</v>
          </cell>
          <cell r="Q3114" t="str">
            <v>Thiên Phạt</v>
          </cell>
        </row>
        <row r="3115">
          <cell r="P3115" t="str">
            <v>Vũ Thần Nhược</v>
          </cell>
          <cell r="Q3115" t="str">
            <v>Thiên Phạt</v>
          </cell>
        </row>
        <row r="3116">
          <cell r="P3116" t="str">
            <v>Chân · Vũ Thần Nhược</v>
          </cell>
          <cell r="Q3116" t="str">
            <v>Ảnh Sát</v>
          </cell>
        </row>
        <row r="3117">
          <cell r="P3117" t="str">
            <v>Chân · Vũ Thần Nhược</v>
          </cell>
          <cell r="Q3117" t="str">
            <v>Ảnh Sát</v>
          </cell>
        </row>
        <row r="3118">
          <cell r="P3118" t="str">
            <v>Chân · Vũ Thần Nhược</v>
          </cell>
          <cell r="Q3118" t="str">
            <v>Ảnh Sát</v>
          </cell>
        </row>
        <row r="3119">
          <cell r="P3119" t="str">
            <v>Chân · Vũ Thần Trung</v>
          </cell>
          <cell r="Q3119" t="str">
            <v>Ảnh Sát</v>
          </cell>
        </row>
        <row r="3120">
          <cell r="P3120" t="str">
            <v>Chân · Vũ Thần Trung</v>
          </cell>
          <cell r="Q3120" t="str">
            <v>Ảnh Sát</v>
          </cell>
        </row>
        <row r="3121">
          <cell r="P3121" t="str">
            <v>Chân · Vũ Thần Trung</v>
          </cell>
          <cell r="Q3121" t="str">
            <v>Ảnh Sát</v>
          </cell>
        </row>
        <row r="3122">
          <cell r="P3122" t="str">
            <v>Chân · Vũ Thần Cường</v>
          </cell>
          <cell r="Q3122" t="str">
            <v>Ảnh Sát</v>
          </cell>
        </row>
        <row r="3123">
          <cell r="P3123" t="str">
            <v>Chân · Vũ Thần Cường</v>
          </cell>
          <cell r="Q3123" t="str">
            <v>Ảnh Sát</v>
          </cell>
        </row>
        <row r="3124">
          <cell r="P3124" t="str">
            <v>Chân · Vũ Thần Cường</v>
          </cell>
          <cell r="Q3124" t="str">
            <v>Ảnh Sát</v>
          </cell>
        </row>
        <row r="3125">
          <cell r="P3125" t="str">
            <v>Vũ Thần Nhược</v>
          </cell>
          <cell r="Q3125" t="str">
            <v>Ảnh Sát</v>
          </cell>
        </row>
        <row r="3126">
          <cell r="P3126" t="str">
            <v>Vũ Thần Nhược</v>
          </cell>
          <cell r="Q3126" t="str">
            <v>Ảnh Sát</v>
          </cell>
        </row>
        <row r="3127">
          <cell r="P3127" t="str">
            <v>Vũ Thần Nhược</v>
          </cell>
          <cell r="Q3127" t="str">
            <v>Ảnh Sát</v>
          </cell>
        </row>
        <row r="3128">
          <cell r="P3128" t="str">
            <v>Vũ Thần Trung</v>
          </cell>
          <cell r="Q3128" t="str">
            <v>Ảnh Sát</v>
          </cell>
        </row>
        <row r="3129">
          <cell r="P3129" t="str">
            <v>Vũ Thần Trung</v>
          </cell>
          <cell r="Q3129" t="str">
            <v>Ảnh Sát</v>
          </cell>
        </row>
        <row r="3130">
          <cell r="P3130" t="str">
            <v>Vũ Thần Trung</v>
          </cell>
          <cell r="Q3130" t="str">
            <v>Ảnh Sát</v>
          </cell>
        </row>
        <row r="3131">
          <cell r="P3131" t="str">
            <v>Vũ Thần Cường</v>
          </cell>
          <cell r="Q3131" t="str">
            <v>Ảnh Sát</v>
          </cell>
        </row>
        <row r="3132">
          <cell r="P3132" t="str">
            <v>Vũ Thần Cường</v>
          </cell>
          <cell r="Q3132" t="str">
            <v>Ảnh Sát</v>
          </cell>
        </row>
        <row r="3133">
          <cell r="P3133" t="str">
            <v>Vũ Thần Cường</v>
          </cell>
          <cell r="Q3133" t="str">
            <v>Ảnh Sát</v>
          </cell>
        </row>
        <row r="3134">
          <cell r="P3134" t="str">
            <v>Chân · Vũ Thần Nhược</v>
          </cell>
          <cell r="Q3134" t="str">
            <v>Thần Tín</v>
          </cell>
        </row>
        <row r="3135">
          <cell r="P3135" t="str">
            <v>Chân · Vũ Thần Trung</v>
          </cell>
          <cell r="Q3135" t="str">
            <v>Thần Tín</v>
          </cell>
        </row>
        <row r="3136">
          <cell r="P3136" t="str">
            <v>Chân · Vũ Thần Cường</v>
          </cell>
          <cell r="Q3136" t="str">
            <v>Thần Tín</v>
          </cell>
        </row>
        <row r="3137">
          <cell r="P3137" t="str">
            <v>Vũ Thần Nhược</v>
          </cell>
          <cell r="Q3137" t="str">
            <v>Thần Tín</v>
          </cell>
        </row>
        <row r="3138">
          <cell r="P3138" t="str">
            <v>Vũ Thần Nhược</v>
          </cell>
          <cell r="Q3138" t="str">
            <v>Thần Tín</v>
          </cell>
        </row>
        <row r="3139">
          <cell r="P3139" t="str">
            <v>Vũ Thần Nhược</v>
          </cell>
          <cell r="Q3139" t="str">
            <v>Thần Tín</v>
          </cell>
        </row>
        <row r="3140">
          <cell r="P3140" t="str">
            <v>Quyển Liêm Đại Tương</v>
          </cell>
          <cell r="Q3140" t="str">
            <v>Chân * Hưng Phong Tác Lãng</v>
          </cell>
        </row>
        <row r="3141">
          <cell r="P3141" t="str">
            <v>Quyển Liêm Đại Tương</v>
          </cell>
          <cell r="Q3141" t="str">
            <v>Chân * Thủy Chi Thủ Hộ</v>
          </cell>
        </row>
        <row r="3142">
          <cell r="P3142" t="str">
            <v>Quyển Liêm Đại Tương</v>
          </cell>
          <cell r="Q3142" t="str">
            <v>Chân * Thủy Chi Thủ Hộ</v>
          </cell>
        </row>
        <row r="3143">
          <cell r="P3143" t="str">
            <v>Quyển Liêm Đại Tương</v>
          </cell>
          <cell r="Q3143" t="str">
            <v>Chân * Thủy Chi Thủ Hộ</v>
          </cell>
        </row>
        <row r="3144">
          <cell r="P3144" t="str">
            <v>Nguyên Thủy Thiên Tôn</v>
          </cell>
          <cell r="Q3144" t="str">
            <v>Chân * Nhân Uân Chi Quang</v>
          </cell>
        </row>
        <row r="3145">
          <cell r="P3145" t="str">
            <v>Nguyên Thủy Thiên Tôn</v>
          </cell>
          <cell r="Q3145" t="str">
            <v>Nguyên Thủy Đạo Tràng</v>
          </cell>
        </row>
        <row r="3146">
          <cell r="P3146" t="str">
            <v>Thạch Ki</v>
          </cell>
          <cell r="Q3146" t="str">
            <v>Chân * Năng Lượng Chỉ Dẫn</v>
          </cell>
        </row>
        <row r="3147">
          <cell r="P3147" t="str">
            <v>Thạch Ki</v>
          </cell>
          <cell r="Q3147" t="str">
            <v>Minh Tưởng Cường Hóa</v>
          </cell>
        </row>
        <row r="3148">
          <cell r="P3148" t="str">
            <v>Hồng Hài Nhi</v>
          </cell>
          <cell r="Q3148" t="str">
            <v>Chân * Chiến Địa Tu Phục</v>
          </cell>
        </row>
        <row r="3149">
          <cell r="P3149" t="str">
            <v>Hồng Hài Nhi</v>
          </cell>
          <cell r="Q3149" t="str">
            <v>Quá Tái Cường Hóa</v>
          </cell>
        </row>
        <row r="3150">
          <cell r="P3150" t="str">
            <v>Lý Tĩnh</v>
          </cell>
          <cell r="Q3150" t="str">
            <v>Chân * Trấn Yêu Tháp</v>
          </cell>
        </row>
        <row r="3151">
          <cell r="P3151" t="str">
            <v>Lý Tĩnh</v>
          </cell>
          <cell r="Q3151" t="str">
            <v>Uy Hách Cường Hóa</v>
          </cell>
        </row>
        <row r="3152">
          <cell r="P3152" t="str">
            <v>Na Trá</v>
          </cell>
          <cell r="Q3152" t="str">
            <v>Chân * Liệt Diễm Hoàn Nhiễu</v>
          </cell>
        </row>
        <row r="3153">
          <cell r="P3153" t="str">
            <v>Na Trá</v>
          </cell>
          <cell r="Q3153" t="str">
            <v>Hỗn Thiên Lăng Gia Hộ</v>
          </cell>
        </row>
        <row r="3154">
          <cell r="P3154" t="str">
            <v>Xi Vưu</v>
          </cell>
          <cell r="Q3154" t="str">
            <v>Cổ Độc Cường Hóa</v>
          </cell>
        </row>
        <row r="3155">
          <cell r="P3155" t="str">
            <v>Xi Vưu</v>
          </cell>
          <cell r="Q3155" t="str">
            <v>Chân * Ma Linh Thiên Hàng</v>
          </cell>
        </row>
        <row r="3156">
          <cell r="P3156" t="str">
            <v>Xi Vưu</v>
          </cell>
          <cell r="Q3156" t="str">
            <v>Chân * Ma Linh Thiên Hàng</v>
          </cell>
        </row>
        <row r="3157">
          <cell r="P3157" t="str">
            <v>Xi Vưu</v>
          </cell>
          <cell r="Q3157" t="str">
            <v>Chân * Ma Linh Thiên Hàng</v>
          </cell>
        </row>
        <row r="3158">
          <cell r="P3158" t="str">
            <v>Mạnh Bà</v>
          </cell>
          <cell r="Q3158" t="str">
            <v>Vong Khước Cường Hóa</v>
          </cell>
        </row>
        <row r="3159">
          <cell r="P3159" t="str">
            <v>Mạnh Bà</v>
          </cell>
          <cell r="Q3159" t="str">
            <v>Ý Chí Ngõa Giải</v>
          </cell>
        </row>
        <row r="3160">
          <cell r="P3160" t="str">
            <v>Cộng Công</v>
          </cell>
          <cell r="Q3160" t="str">
            <v>Chân * Thương Long Xuất Hải</v>
          </cell>
        </row>
        <row r="3161">
          <cell r="P3161" t="str">
            <v>Cộng Công</v>
          </cell>
          <cell r="Q3161" t="str">
            <v>Tịch Thủy Châu Cường Hóa</v>
          </cell>
        </row>
        <row r="3162">
          <cell r="P3162" t="str">
            <v>Nữ Oa</v>
          </cell>
          <cell r="Q3162" t="str">
            <v>Chân * Tam Sinh Quyết</v>
          </cell>
        </row>
        <row r="3163">
          <cell r="P3163" t="str">
            <v>Nữ Oa</v>
          </cell>
          <cell r="Q3163" t="str">
            <v>Chân * Cam Lâm</v>
          </cell>
        </row>
        <row r="3164">
          <cell r="P3164" t="str">
            <v>Phổ Công</v>
          </cell>
          <cell r="Q3164" t="str">
            <v>Phổ Công</v>
          </cell>
        </row>
        <row r="3165">
          <cell r="P3165" t="str">
            <v>Nguyên Thủy Thiên Tôn</v>
          </cell>
          <cell r="Q3165" t="str">
            <v>Nhân Uân Chi Quang</v>
          </cell>
        </row>
        <row r="3166">
          <cell r="P3166" t="str">
            <v>Nguyên Thủy Thiên Tôn</v>
          </cell>
          <cell r="Q3166" t="str">
            <v>Thần Hình Hỗ Hóa</v>
          </cell>
        </row>
        <row r="3167">
          <cell r="P3167" t="str">
            <v>Nguyên Thủy Thiên Tôn</v>
          </cell>
          <cell r="Q3167" t="str">
            <v>Vạn Vật Tiêu Dung</v>
          </cell>
        </row>
        <row r="3168">
          <cell r="P3168" t="str">
            <v>Nguyên Thủy Thiên Tôn</v>
          </cell>
          <cell r="Q3168" t="str">
            <v>Tru Tâm</v>
          </cell>
        </row>
        <row r="3169">
          <cell r="P3169" t="str">
            <v>Đấu Chiến Thắng Phật</v>
          </cell>
          <cell r="Q3169" t="str">
            <v>Kình Thiên Nhất Côn</v>
          </cell>
        </row>
        <row r="3170">
          <cell r="P3170" t="str">
            <v>Đấu Chiến Thắng Phật</v>
          </cell>
          <cell r="Q3170" t="str">
            <v>Kình Thiên Nhất Côn</v>
          </cell>
        </row>
        <row r="3171">
          <cell r="P3171" t="str">
            <v>Đấu Chiến Thắng Phật</v>
          </cell>
          <cell r="Q3171" t="str">
            <v>Cân Đấu Vân</v>
          </cell>
        </row>
        <row r="3172">
          <cell r="P3172" t="str">
            <v>Đấu Chiến Thắng Phật</v>
          </cell>
          <cell r="Q3172" t="str">
            <v>Hoành Tảo Tứ Phương</v>
          </cell>
        </row>
        <row r="3173">
          <cell r="P3173" t="str">
            <v>Đấu Chiến Thắng Phật</v>
          </cell>
          <cell r="Q3173" t="str">
            <v>Hoành Tảo Tứ Phương</v>
          </cell>
        </row>
        <row r="3174">
          <cell r="P3174" t="str">
            <v>Đấu Chiến Thắng Phật</v>
          </cell>
          <cell r="Q3174" t="str">
            <v>Hoành Tảo Tứ Phương</v>
          </cell>
        </row>
        <row r="3175">
          <cell r="P3175" t="str">
            <v>Đấu Chiến Thắng Phật</v>
          </cell>
          <cell r="Q3175" t="str">
            <v>Hảo Đấu</v>
          </cell>
        </row>
        <row r="3176">
          <cell r="P3176" t="str">
            <v>Na Trá</v>
          </cell>
          <cell r="Q3176" t="str">
            <v>Chước Nhiệt Chi Mâu</v>
          </cell>
        </row>
        <row r="3177">
          <cell r="P3177" t="str">
            <v>Na Trá</v>
          </cell>
          <cell r="Q3177" t="str">
            <v>Liệt Diễm Hoàn Nhiễu</v>
          </cell>
        </row>
        <row r="3178">
          <cell r="P3178" t="str">
            <v>Na Trá</v>
          </cell>
          <cell r="Q3178" t="str">
            <v>Hỏa Diễm Tam Tiêm Thương</v>
          </cell>
        </row>
        <row r="3179">
          <cell r="P3179" t="str">
            <v>Na Trá</v>
          </cell>
          <cell r="Q3179" t="str">
            <v>Hỏa Diễm Tam Tiêm Thương</v>
          </cell>
        </row>
        <row r="3180">
          <cell r="P3180" t="str">
            <v>Na Trá</v>
          </cell>
          <cell r="Q3180" t="str">
            <v>Hỏa Diễm Tam Tiêm Thương</v>
          </cell>
        </row>
        <row r="3181">
          <cell r="P3181" t="str">
            <v>Na Trá</v>
          </cell>
          <cell r="Q3181" t="str">
            <v>Tam Đầu Lục Tí</v>
          </cell>
        </row>
        <row r="3182">
          <cell r="P3182" t="str">
            <v>Cơ Phát</v>
          </cell>
          <cell r="Q3182" t="str">
            <v>Chính Nghĩa Thẩm Phán</v>
          </cell>
        </row>
        <row r="3183">
          <cell r="P3183" t="str">
            <v>Cơ Phát</v>
          </cell>
          <cell r="Q3183" t="str">
            <v>Chính Nghĩa Thẩm Phán</v>
          </cell>
        </row>
        <row r="3184">
          <cell r="P3184" t="str">
            <v>Cơ Phát</v>
          </cell>
          <cell r="Q3184" t="str">
            <v>Chính Nghĩa Thẩm Phán</v>
          </cell>
        </row>
        <row r="3185">
          <cell r="P3185" t="str">
            <v>Cơ Phát</v>
          </cell>
          <cell r="Q3185" t="str">
            <v>Chân Mệnh Thiên Tử</v>
          </cell>
        </row>
        <row r="3186">
          <cell r="P3186" t="str">
            <v>Cơ Phát</v>
          </cell>
          <cell r="Q3186" t="str">
            <v>Kinh Hồng Nhất Kích</v>
          </cell>
        </row>
        <row r="3187">
          <cell r="P3187" t="str">
            <v>Cơ Phát</v>
          </cell>
          <cell r="Q3187" t="str">
            <v>Thệ Uy</v>
          </cell>
        </row>
        <row r="3188">
          <cell r="P3188" t="str">
            <v>Nữ Oa</v>
          </cell>
          <cell r="Q3188" t="str">
            <v>Tam Sinh Quyết</v>
          </cell>
        </row>
        <row r="3189">
          <cell r="P3189" t="str">
            <v>Nữ Oa</v>
          </cell>
          <cell r="Q3189" t="str">
            <v>Tạo Vật</v>
          </cell>
        </row>
        <row r="3190">
          <cell r="P3190" t="str">
            <v>Nữ Oa</v>
          </cell>
          <cell r="Q3190" t="str">
            <v>Cam Lâm</v>
          </cell>
        </row>
        <row r="3191">
          <cell r="P3191" t="str">
            <v>Nữ Oa</v>
          </cell>
          <cell r="Q3191" t="str">
            <v>Nhiếp Hồn</v>
          </cell>
        </row>
        <row r="3192">
          <cell r="P3192" t="str">
            <v>Xi Vưu</v>
          </cell>
          <cell r="Q3192" t="str">
            <v>Ma Linh Thiên Hàng</v>
          </cell>
        </row>
        <row r="3193">
          <cell r="P3193" t="str">
            <v>Xi Vưu</v>
          </cell>
          <cell r="Q3193" t="str">
            <v>Ma Linh Thiên Hàng</v>
          </cell>
        </row>
        <row r="3194">
          <cell r="P3194" t="str">
            <v>Xi Vưu</v>
          </cell>
          <cell r="Q3194" t="str">
            <v>Ma Linh Thiên Hàng</v>
          </cell>
        </row>
        <row r="3195">
          <cell r="P3195" t="str">
            <v>Xi Vưu</v>
          </cell>
          <cell r="Q3195" t="str">
            <v>Chiến Thần Huyết Thống</v>
          </cell>
        </row>
        <row r="3196">
          <cell r="P3196" t="str">
            <v>Xi Vưu</v>
          </cell>
          <cell r="Q3196" t="str">
            <v>Huyễn Tượng Thần Quyền</v>
          </cell>
        </row>
        <row r="3197">
          <cell r="P3197" t="str">
            <v>Xi Vưu</v>
          </cell>
          <cell r="Q3197" t="str">
            <v>Cổ Độc</v>
          </cell>
        </row>
        <row r="3198">
          <cell r="P3198" t="str">
            <v>Đông Hoàng Thái Nhất</v>
          </cell>
          <cell r="Q3198" t="str">
            <v>Tai Ách Chi Triệu</v>
          </cell>
        </row>
        <row r="3199">
          <cell r="P3199" t="str">
            <v>Đông Hoàng Thái Nhất</v>
          </cell>
          <cell r="Q3199" t="str">
            <v>Hỗn Độn Chi Khu</v>
          </cell>
        </row>
        <row r="3200">
          <cell r="P3200" t="str">
            <v>Đông Hoàng Thái Nhất</v>
          </cell>
          <cell r="Q3200" t="str">
            <v>Vạn Tượng Khiên Dẫn</v>
          </cell>
        </row>
        <row r="3201">
          <cell r="P3201" t="str">
            <v>Đông Hoàng Thái Nhất</v>
          </cell>
          <cell r="Q3201" t="str">
            <v>Kiệt Tâm</v>
          </cell>
        </row>
        <row r="3202">
          <cell r="P3202" t="str">
            <v>Đát Kỷ</v>
          </cell>
          <cell r="Q3202" t="str">
            <v>Hồng Liên Tán</v>
          </cell>
        </row>
        <row r="3203">
          <cell r="P3203" t="str">
            <v>Đát Kỷ</v>
          </cell>
          <cell r="Q3203" t="str">
            <v>Hồng Liên Tán</v>
          </cell>
        </row>
        <row r="3204">
          <cell r="P3204" t="str">
            <v>Đát Kỷ</v>
          </cell>
          <cell r="Q3204" t="str">
            <v>Hồng Liên Tán</v>
          </cell>
        </row>
        <row r="3205">
          <cell r="P3205" t="str">
            <v>Đát Kỷ</v>
          </cell>
          <cell r="Q3205" t="str">
            <v>Hồng Liên Tán</v>
          </cell>
        </row>
        <row r="3206">
          <cell r="P3206" t="str">
            <v>Đát Kỷ</v>
          </cell>
          <cell r="Q3206" t="str">
            <v>Hồng Liên Tán</v>
          </cell>
        </row>
        <row r="3207">
          <cell r="P3207" t="str">
            <v>Đát Kỷ</v>
          </cell>
          <cell r="Q3207" t="str">
            <v>Huyễn Hình</v>
          </cell>
        </row>
        <row r="3208">
          <cell r="P3208" t="str">
            <v>Đát Kỷ</v>
          </cell>
          <cell r="Q3208" t="str">
            <v>Mị Hoặc</v>
          </cell>
        </row>
        <row r="3209">
          <cell r="P3209" t="str">
            <v>Đát Kỷ</v>
          </cell>
          <cell r="Q3209" t="str">
            <v>Lạc Tâm</v>
          </cell>
        </row>
        <row r="3210">
          <cell r="P3210" t="str">
            <v>Hỗn Thiên Đại Thánh</v>
          </cell>
          <cell r="Q3210" t="str">
            <v>Thị Huyết Trảm</v>
          </cell>
        </row>
        <row r="3211">
          <cell r="P3211" t="str">
            <v>Hỗn Thiên Đại Thánh</v>
          </cell>
          <cell r="Q3211" t="str">
            <v>Sát Ý Ba Động</v>
          </cell>
        </row>
        <row r="3212">
          <cell r="P3212" t="str">
            <v>Hỗn Thiên Đại Thánh</v>
          </cell>
          <cell r="Q3212" t="str">
            <v>Huyết Cức Phủ Luân</v>
          </cell>
        </row>
        <row r="3213">
          <cell r="P3213" t="str">
            <v>Hỗn Thiên Đại Thánh</v>
          </cell>
          <cell r="Q3213" t="str">
            <v>Khuy Tý</v>
          </cell>
        </row>
        <row r="3214">
          <cell r="P3214" t="str">
            <v>Thạch Ki</v>
          </cell>
          <cell r="Q3214" t="str">
            <v>Tinh Vẫn Lạc</v>
          </cell>
        </row>
        <row r="3215">
          <cell r="P3215" t="str">
            <v>Thạch Ki</v>
          </cell>
          <cell r="Q3215" t="str">
            <v>Minh Tưởng</v>
          </cell>
        </row>
        <row r="3216">
          <cell r="P3216" t="str">
            <v>Thạch Ki</v>
          </cell>
          <cell r="Q3216" t="str">
            <v>Tiêm Nhuệ Chi Thứ</v>
          </cell>
        </row>
        <row r="3217">
          <cell r="P3217" t="str">
            <v>Thạch Ki</v>
          </cell>
          <cell r="Q3217" t="str">
            <v>Năng Lượng Chỉ Dẫn</v>
          </cell>
        </row>
        <row r="3218">
          <cell r="P3218" t="str">
            <v>Khương Tử Nha</v>
          </cell>
          <cell r="Q3218" t="str">
            <v>Phổ Công</v>
          </cell>
        </row>
        <row r="3219">
          <cell r="P3219" t="str">
            <v>Khương Tử Nha</v>
          </cell>
          <cell r="Q3219" t="str">
            <v>Phúc Thủy</v>
          </cell>
        </row>
        <row r="3220">
          <cell r="P3220" t="str">
            <v>Khương Tử Nha</v>
          </cell>
          <cell r="Q3220" t="str">
            <v>Ngư Dược Long Môn</v>
          </cell>
        </row>
        <row r="3221">
          <cell r="P3221" t="str">
            <v>Lý Tĩnh</v>
          </cell>
          <cell r="Q3221" t="str">
            <v>Phổ Công</v>
          </cell>
        </row>
        <row r="3222">
          <cell r="P3222" t="str">
            <v>Lý Tĩnh</v>
          </cell>
          <cell r="Q3222" t="str">
            <v>Trấn Yêu Tháp</v>
          </cell>
        </row>
        <row r="3223">
          <cell r="P3223" t="str">
            <v>Lý Tĩnh</v>
          </cell>
          <cell r="Q3223" t="str">
            <v>Chấn Địa Quyết</v>
          </cell>
        </row>
        <row r="3224">
          <cell r="P3224" t="str">
            <v>Lý Tĩnh</v>
          </cell>
          <cell r="Q3224" t="str">
            <v>Chấn Địa Quyết</v>
          </cell>
        </row>
        <row r="3225">
          <cell r="P3225" t="str">
            <v>Lý Tĩnh</v>
          </cell>
          <cell r="Q3225" t="str">
            <v>Chấn Địa Quyết</v>
          </cell>
        </row>
        <row r="3226">
          <cell r="P3226" t="str">
            <v>Trụ Vương</v>
          </cell>
          <cell r="Q3226" t="str">
            <v>Phổ Công</v>
          </cell>
        </row>
        <row r="3227">
          <cell r="P3227" t="str">
            <v>Trụ Vương</v>
          </cell>
          <cell r="Q3227" t="str">
            <v>Bạo Ngược</v>
          </cell>
        </row>
        <row r="3228">
          <cell r="P3228" t="str">
            <v>Trụ Vương</v>
          </cell>
          <cell r="Q3228" t="str">
            <v>Oan Hình</v>
          </cell>
        </row>
        <row r="3229">
          <cell r="P3229" t="str">
            <v>Trụ Vương</v>
          </cell>
          <cell r="Q3229" t="str">
            <v>Oan Hình</v>
          </cell>
        </row>
        <row r="3230">
          <cell r="P3230" t="str">
            <v>Trụ Vương</v>
          </cell>
          <cell r="Q3230" t="str">
            <v>Oan Hình</v>
          </cell>
        </row>
        <row r="3231">
          <cell r="P3231" t="str">
            <v>Thông Thiên Giáo Chủ</v>
          </cell>
          <cell r="Q3231" t="str">
            <v>Phổ Công</v>
          </cell>
        </row>
        <row r="3232">
          <cell r="P3232" t="str">
            <v>Thông Thiên Giáo Chủ</v>
          </cell>
          <cell r="Q3232" t="str">
            <v>Xuyên Tâm Thương</v>
          </cell>
        </row>
        <row r="3233">
          <cell r="P3233" t="str">
            <v>Thông Thiên Giáo Chủ</v>
          </cell>
          <cell r="Q3233" t="str">
            <v>Khai Thiên Trảm</v>
          </cell>
        </row>
        <row r="3234">
          <cell r="P3234" t="str">
            <v>Hiên Viên Kiếm</v>
          </cell>
          <cell r="Q3234" t="str">
            <v>Hiên Viên Kiếm Khí</v>
          </cell>
        </row>
        <row r="3235">
          <cell r="P3235" t="str">
            <v>Hiên Viên Kiếm</v>
          </cell>
          <cell r="Q3235" t="str">
            <v>Hiên Viên Kiếm Khí</v>
          </cell>
        </row>
        <row r="3236">
          <cell r="P3236" t="str">
            <v>Hiên Viên Kiếm</v>
          </cell>
          <cell r="Q3236" t="str">
            <v>Hiên Viên Kiếm Khí</v>
          </cell>
        </row>
        <row r="3237">
          <cell r="P3237" t="str">
            <v>Hiên Viên Kiếm</v>
          </cell>
          <cell r="Q3237" t="str">
            <v>Hiên Viên Kiếm Khí</v>
          </cell>
        </row>
        <row r="3238">
          <cell r="P3238" t="str">
            <v>Hiên Viên Kiếm</v>
          </cell>
          <cell r="Q3238" t="str">
            <v>Hiên Viên Kiếm Khí</v>
          </cell>
        </row>
        <row r="3239">
          <cell r="P3239" t="str">
            <v>Hiên Viên Kiếm</v>
          </cell>
          <cell r="Q3239" t="str">
            <v>Hiên Viên Kiếm Khí</v>
          </cell>
        </row>
        <row r="3240">
          <cell r="P3240" t="str">
            <v>Hiên Viên Kiếm</v>
          </cell>
          <cell r="Q3240" t="str">
            <v>Hiên Viên Kiếm Khí</v>
          </cell>
        </row>
        <row r="3241">
          <cell r="P3241" t="str">
            <v>Hiên Viên Kiếm</v>
          </cell>
          <cell r="Q3241" t="str">
            <v>Hiên Viên Kiếm Khí</v>
          </cell>
        </row>
        <row r="3242">
          <cell r="P3242" t="str">
            <v>Hiên Viên Kiếm</v>
          </cell>
          <cell r="Q3242" t="str">
            <v>Hiên Viên Kiếm Khí</v>
          </cell>
        </row>
        <row r="3243">
          <cell r="P3243" t="str">
            <v>Hiên Viên Kiếm</v>
          </cell>
          <cell r="Q3243" t="str">
            <v>Hiên Viên Kiếm Khí</v>
          </cell>
        </row>
        <row r="3244">
          <cell r="P3244" t="str">
            <v>Hiên Viên Kiếm</v>
          </cell>
          <cell r="Q3244" t="str">
            <v>Hiên Viên Kiếm Khí</v>
          </cell>
        </row>
        <row r="3245">
          <cell r="P3245" t="str">
            <v>Hiên Viên Kiếm</v>
          </cell>
          <cell r="Q3245" t="str">
            <v>Hiên Viên Kiếm Khí</v>
          </cell>
        </row>
        <row r="3246">
          <cell r="P3246" t="str">
            <v>Hiên Viên Kiếm</v>
          </cell>
          <cell r="Q3246" t="str">
            <v>Hiên Viên Kiếm Khí</v>
          </cell>
        </row>
        <row r="3247">
          <cell r="P3247" t="str">
            <v>Hiên Viên Kiếm</v>
          </cell>
          <cell r="Q3247" t="str">
            <v>Hiên Viên Kiếm Khí</v>
          </cell>
        </row>
        <row r="3248">
          <cell r="P3248" t="str">
            <v>Hiên Viên Kiếm</v>
          </cell>
          <cell r="Q3248" t="str">
            <v>Hiên Viên Kiếm Khí</v>
          </cell>
        </row>
        <row r="3249">
          <cell r="P3249" t="str">
            <v>Hiên Viên Kiếm</v>
          </cell>
          <cell r="Q3249" t="str">
            <v>Hiên Viên Kiếm Khí</v>
          </cell>
        </row>
        <row r="3250">
          <cell r="P3250" t="str">
            <v>Hiên Viên Kiếm</v>
          </cell>
          <cell r="Q3250" t="str">
            <v>Hiên Viên Kiếm Khí</v>
          </cell>
        </row>
        <row r="3251">
          <cell r="P3251" t="str">
            <v>Hiên Viên Kiếm</v>
          </cell>
          <cell r="Q3251" t="str">
            <v>Hiên Viên Kiếm Khí</v>
          </cell>
        </row>
        <row r="3252">
          <cell r="P3252" t="str">
            <v>Hiên Viên Kiếm</v>
          </cell>
          <cell r="Q3252" t="str">
            <v>Hiên Viên Kiếm Khí</v>
          </cell>
        </row>
        <row r="3253">
          <cell r="P3253" t="str">
            <v>Hiên Viên Kiếm</v>
          </cell>
          <cell r="Q3253" t="str">
            <v>Hiên Viên Kiếm Khí</v>
          </cell>
        </row>
        <row r="3254">
          <cell r="P3254" t="str">
            <v>Hiên Viên Kiếm</v>
          </cell>
          <cell r="Q3254" t="str">
            <v>Hiên Viên Kiếm Khí</v>
          </cell>
        </row>
        <row r="3255">
          <cell r="P3255" t="str">
            <v>Hiên Viên Kiếm</v>
          </cell>
          <cell r="Q3255" t="str">
            <v>Hiên Viên Kiếm Khí</v>
          </cell>
        </row>
        <row r="3256">
          <cell r="P3256" t="str">
            <v>Hiên Viên Kiếm</v>
          </cell>
          <cell r="Q3256" t="str">
            <v>Hiên Viên Kiếm Khí</v>
          </cell>
        </row>
        <row r="3257">
          <cell r="P3257" t="str">
            <v>Hiên Viên Kiếm</v>
          </cell>
          <cell r="Q3257" t="str">
            <v>Hiên Viên Kiếm Khí</v>
          </cell>
        </row>
        <row r="3258">
          <cell r="P3258" t="str">
            <v>Hiên Viên Kiếm</v>
          </cell>
          <cell r="Q3258" t="str">
            <v>Hiên Viên Kiếm Khí</v>
          </cell>
        </row>
        <row r="3259">
          <cell r="P3259" t="str">
            <v>Hiên Viên Kiếm</v>
          </cell>
          <cell r="Q3259" t="str">
            <v>Hiên Viên Kiếm Khí</v>
          </cell>
        </row>
        <row r="3260">
          <cell r="P3260" t="str">
            <v>Hiên Viên Kiếm</v>
          </cell>
          <cell r="Q3260" t="str">
            <v>Hiên Viên Kiếm Khí</v>
          </cell>
        </row>
        <row r="3261">
          <cell r="P3261" t="str">
            <v>Hiên Viên Kiếm</v>
          </cell>
          <cell r="Q3261" t="str">
            <v>Hiên Viên Kiếm Khí</v>
          </cell>
        </row>
        <row r="3262">
          <cell r="P3262" t="str">
            <v>Hiên Viên Kiếm</v>
          </cell>
          <cell r="Q3262" t="str">
            <v>Hiên Viên Kiếm Khí</v>
          </cell>
        </row>
        <row r="3263">
          <cell r="P3263" t="str">
            <v>Hiên Viên Kiếm</v>
          </cell>
          <cell r="Q3263" t="str">
            <v>Hiên Viên Kiếm Khí</v>
          </cell>
        </row>
        <row r="3264">
          <cell r="P3264" t="str">
            <v>Hiên Viên Kiếm</v>
          </cell>
          <cell r="Q3264" t="str">
            <v>Hiên Viên Kiếm Khí</v>
          </cell>
        </row>
        <row r="3265">
          <cell r="P3265" t="str">
            <v>Hiên Viên Kiếm</v>
          </cell>
          <cell r="Q3265" t="str">
            <v>Hiên Viên Kiếm Khí</v>
          </cell>
        </row>
        <row r="3266">
          <cell r="P3266" t="str">
            <v>Bàn Cổ Phủ</v>
          </cell>
          <cell r="Q3266" t="str">
            <v>Khai Thiên Tịch Địa</v>
          </cell>
        </row>
        <row r="3267">
          <cell r="P3267" t="str">
            <v>Bàn Cổ Phủ</v>
          </cell>
          <cell r="Q3267" t="str">
            <v>Khai Thiên Tịch Địa</v>
          </cell>
        </row>
        <row r="3268">
          <cell r="P3268" t="str">
            <v>Bàn Cổ Phủ</v>
          </cell>
          <cell r="Q3268" t="str">
            <v>Khai Thiên Tịch Địa</v>
          </cell>
        </row>
        <row r="3269">
          <cell r="P3269" t="str">
            <v>Bàn Cổ Phủ</v>
          </cell>
          <cell r="Q3269" t="str">
            <v>Khai Thiên Tịch Địa</v>
          </cell>
        </row>
        <row r="3270">
          <cell r="P3270" t="str">
            <v>Bàn Cổ Phủ</v>
          </cell>
          <cell r="Q3270" t="str">
            <v>Khai Thiên Tịch Địa</v>
          </cell>
        </row>
        <row r="3271">
          <cell r="P3271" t="str">
            <v>Bàn Cổ Phủ</v>
          </cell>
          <cell r="Q3271" t="str">
            <v>Khai Thiên Tịch Địa</v>
          </cell>
        </row>
        <row r="3272">
          <cell r="P3272" t="str">
            <v>Bàn Cổ Phủ</v>
          </cell>
          <cell r="Q3272" t="str">
            <v>Khai Thiên Tịch Địa</v>
          </cell>
        </row>
        <row r="3273">
          <cell r="P3273" t="str">
            <v>Bàn Cổ Phủ</v>
          </cell>
          <cell r="Q3273" t="str">
            <v>Khai Thiên Tịch Địa</v>
          </cell>
        </row>
        <row r="3274">
          <cell r="P3274" t="str">
            <v>Bàn Cổ Phủ</v>
          </cell>
          <cell r="Q3274" t="str">
            <v>Khai Thiên Tịch Địa</v>
          </cell>
        </row>
        <row r="3275">
          <cell r="P3275" t="str">
            <v>Bàn Cổ Phủ</v>
          </cell>
          <cell r="Q3275" t="str">
            <v>Khai Thiên Tịch Địa</v>
          </cell>
        </row>
        <row r="3276">
          <cell r="P3276" t="str">
            <v>Bàn Cổ Phủ</v>
          </cell>
          <cell r="Q3276" t="str">
            <v>Khai Thiên Tịch Địa</v>
          </cell>
        </row>
        <row r="3277">
          <cell r="P3277" t="str">
            <v>Bàn Cổ Phủ</v>
          </cell>
          <cell r="Q3277" t="str">
            <v>Khai Thiên Tịch Địa</v>
          </cell>
        </row>
        <row r="3278">
          <cell r="P3278" t="str">
            <v>Bàn Cổ Phủ</v>
          </cell>
          <cell r="Q3278" t="str">
            <v>Khai Thiên Tịch Địa</v>
          </cell>
        </row>
        <row r="3279">
          <cell r="P3279" t="str">
            <v>Bàn Cổ Phủ</v>
          </cell>
          <cell r="Q3279" t="str">
            <v>Khai Thiên Tịch Địa</v>
          </cell>
        </row>
        <row r="3280">
          <cell r="P3280" t="str">
            <v>Bàn Cổ Phủ</v>
          </cell>
          <cell r="Q3280" t="str">
            <v>Khai Thiên Tịch Địa</v>
          </cell>
        </row>
        <row r="3281">
          <cell r="P3281" t="str">
            <v>Bàn Cổ Phủ</v>
          </cell>
          <cell r="Q3281" t="str">
            <v>Khai Thiên Tịch Địa</v>
          </cell>
        </row>
        <row r="3282">
          <cell r="P3282" t="str">
            <v>Bàn Cổ Phủ</v>
          </cell>
          <cell r="Q3282" t="str">
            <v>Khai Thiên Tịch Địa</v>
          </cell>
        </row>
        <row r="3283">
          <cell r="P3283" t="str">
            <v>Bàn Cổ Phủ</v>
          </cell>
          <cell r="Q3283" t="str">
            <v>Khai Thiên Tịch Địa</v>
          </cell>
        </row>
        <row r="3284">
          <cell r="P3284" t="str">
            <v>Bàn Cổ Phủ</v>
          </cell>
          <cell r="Q3284" t="str">
            <v>Khai Thiên Tịch Địa</v>
          </cell>
        </row>
        <row r="3285">
          <cell r="P3285" t="str">
            <v>Bàn Cổ Phủ</v>
          </cell>
          <cell r="Q3285" t="str">
            <v>Khai Thiên Tịch Địa</v>
          </cell>
        </row>
        <row r="3286">
          <cell r="P3286" t="str">
            <v>Bàn Cổ Phủ</v>
          </cell>
          <cell r="Q3286" t="str">
            <v>Khai Thiên Tịch Địa</v>
          </cell>
        </row>
        <row r="3287">
          <cell r="P3287" t="str">
            <v>Bàn Cổ Phủ</v>
          </cell>
          <cell r="Q3287" t="str">
            <v>Khai Thiên Tịch Địa</v>
          </cell>
        </row>
        <row r="3288">
          <cell r="P3288" t="str">
            <v>Bàn Cổ Phủ</v>
          </cell>
          <cell r="Q3288" t="str">
            <v>Khai Thiên Tịch Địa</v>
          </cell>
        </row>
        <row r="3289">
          <cell r="P3289" t="str">
            <v>Bàn Cổ Phủ</v>
          </cell>
          <cell r="Q3289" t="str">
            <v>Khai Thiên Tịch Địa</v>
          </cell>
        </row>
        <row r="3290">
          <cell r="P3290" t="str">
            <v>Bàn Cổ Phủ</v>
          </cell>
          <cell r="Q3290" t="str">
            <v>Khai Thiên Tịch Địa</v>
          </cell>
        </row>
        <row r="3291">
          <cell r="P3291" t="str">
            <v>Bàn Cổ Phủ</v>
          </cell>
          <cell r="Q3291" t="str">
            <v>Khai Thiên Tịch Địa</v>
          </cell>
        </row>
        <row r="3292">
          <cell r="P3292" t="str">
            <v>Bàn Cổ Phủ</v>
          </cell>
          <cell r="Q3292" t="str">
            <v>Khai Thiên Tịch Địa</v>
          </cell>
        </row>
        <row r="3293">
          <cell r="P3293" t="str">
            <v>Bàn Cổ Phủ</v>
          </cell>
          <cell r="Q3293" t="str">
            <v>Khai Thiên Tịch Địa</v>
          </cell>
        </row>
        <row r="3294">
          <cell r="P3294" t="str">
            <v>Bàn Cổ Phủ</v>
          </cell>
          <cell r="Q3294" t="str">
            <v>Khai Thiên Tịch Địa</v>
          </cell>
        </row>
        <row r="3295">
          <cell r="P3295" t="str">
            <v>Bàn Cổ Phủ</v>
          </cell>
          <cell r="Q3295" t="str">
            <v>Khai Thiên Tịch Địa</v>
          </cell>
        </row>
        <row r="3296">
          <cell r="P3296" t="str">
            <v>Bàn Cổ Phủ</v>
          </cell>
          <cell r="Q3296" t="str">
            <v>Khai Thiên Tịch Địa</v>
          </cell>
        </row>
        <row r="3297">
          <cell r="P3297" t="str">
            <v>Bàn Cổ Phủ</v>
          </cell>
          <cell r="Q3297" t="str">
            <v>Khai Thiên Tịch Địa</v>
          </cell>
        </row>
        <row r="3298">
          <cell r="P3298" t="str">
            <v>Bỉ Ngạn Hoa</v>
          </cell>
          <cell r="Q3298" t="str">
            <v>Hoa Khai Bỉ Ngạn</v>
          </cell>
        </row>
        <row r="3299">
          <cell r="P3299" t="str">
            <v>Bỉ Ngạn Hoa</v>
          </cell>
          <cell r="Q3299" t="str">
            <v>Hoa Khai Bỉ Ngạn</v>
          </cell>
        </row>
        <row r="3300">
          <cell r="P3300" t="str">
            <v>Bỉ Ngạn Hoa</v>
          </cell>
          <cell r="Q3300" t="str">
            <v>Hoa Khai Bỉ Ngạn</v>
          </cell>
        </row>
        <row r="3301">
          <cell r="P3301" t="str">
            <v>Bỉ Ngạn Hoa</v>
          </cell>
          <cell r="Q3301" t="str">
            <v>Hoa Khai Bỉ Ngạn</v>
          </cell>
        </row>
        <row r="3302">
          <cell r="P3302" t="str">
            <v>Bỉ Ngạn Hoa</v>
          </cell>
          <cell r="Q3302" t="str">
            <v>Hoa Khai Bỉ Ngạn</v>
          </cell>
        </row>
        <row r="3303">
          <cell r="P3303" t="str">
            <v>Bỉ Ngạn Hoa</v>
          </cell>
          <cell r="Q3303" t="str">
            <v>Hoa Khai Bỉ Ngạn</v>
          </cell>
        </row>
        <row r="3304">
          <cell r="P3304" t="str">
            <v>Bỉ Ngạn Hoa</v>
          </cell>
          <cell r="Q3304" t="str">
            <v>Hoa Khai Bỉ Ngạn</v>
          </cell>
        </row>
        <row r="3305">
          <cell r="P3305" t="str">
            <v>Bỉ Ngạn Hoa</v>
          </cell>
          <cell r="Q3305" t="str">
            <v>Hoa Khai Bỉ Ngạn</v>
          </cell>
        </row>
        <row r="3306">
          <cell r="P3306" t="str">
            <v>Bỉ Ngạn Hoa</v>
          </cell>
          <cell r="Q3306" t="str">
            <v>Hoa Khai Bỉ Ngạn</v>
          </cell>
        </row>
        <row r="3307">
          <cell r="P3307" t="str">
            <v>Bỉ Ngạn Hoa</v>
          </cell>
          <cell r="Q3307" t="str">
            <v>Hoa Khai Bỉ Ngạn</v>
          </cell>
        </row>
        <row r="3308">
          <cell r="P3308" t="str">
            <v>Bỉ Ngạn Hoa</v>
          </cell>
          <cell r="Q3308" t="str">
            <v>Hoa Khai Bỉ Ngạn</v>
          </cell>
        </row>
        <row r="3309">
          <cell r="P3309" t="str">
            <v>Bỉ Ngạn Hoa</v>
          </cell>
          <cell r="Q3309" t="str">
            <v>Hoa Khai Bỉ Ngạn</v>
          </cell>
        </row>
        <row r="3310">
          <cell r="P3310" t="str">
            <v>Bỉ Ngạn Hoa</v>
          </cell>
          <cell r="Q3310" t="str">
            <v>Hoa Khai Bỉ Ngạn</v>
          </cell>
        </row>
        <row r="3311">
          <cell r="P3311" t="str">
            <v>Bỉ Ngạn Hoa</v>
          </cell>
          <cell r="Q3311" t="str">
            <v>Hoa Khai Bỉ Ngạn</v>
          </cell>
        </row>
        <row r="3312">
          <cell r="P3312" t="str">
            <v>Bỉ Ngạn Hoa</v>
          </cell>
          <cell r="Q3312" t="str">
            <v>Hoa Khai Bỉ Ngạn</v>
          </cell>
        </row>
        <row r="3313">
          <cell r="P3313" t="str">
            <v>Bỉ Ngạn Hoa</v>
          </cell>
          <cell r="Q3313" t="str">
            <v>Hoa Khai Bỉ Ngạn</v>
          </cell>
        </row>
        <row r="3314">
          <cell r="P3314" t="str">
            <v>Bỉ Ngạn Hoa</v>
          </cell>
          <cell r="Q3314" t="str">
            <v>Hoa Khai Bỉ Ngạn</v>
          </cell>
        </row>
        <row r="3315">
          <cell r="P3315" t="str">
            <v>Bỉ Ngạn Hoa</v>
          </cell>
          <cell r="Q3315" t="str">
            <v>Hoa Khai Bỉ Ngạn</v>
          </cell>
        </row>
        <row r="3316">
          <cell r="P3316" t="str">
            <v>Bỉ Ngạn Hoa</v>
          </cell>
          <cell r="Q3316" t="str">
            <v>Hoa Khai Bỉ Ngạn</v>
          </cell>
        </row>
        <row r="3317">
          <cell r="P3317" t="str">
            <v>Bỉ Ngạn Hoa</v>
          </cell>
          <cell r="Q3317" t="str">
            <v>Hoa Khai Bỉ Ngạn</v>
          </cell>
        </row>
        <row r="3318">
          <cell r="P3318" t="str">
            <v>Bỉ Ngạn Hoa</v>
          </cell>
          <cell r="Q3318" t="str">
            <v>Hoa Khai Bỉ Ngạn</v>
          </cell>
        </row>
        <row r="3319">
          <cell r="P3319" t="str">
            <v>Bỉ Ngạn Hoa</v>
          </cell>
          <cell r="Q3319" t="str">
            <v>Hoa Khai Bỉ Ngạn</v>
          </cell>
        </row>
        <row r="3320">
          <cell r="P3320" t="str">
            <v>Bỉ Ngạn Hoa</v>
          </cell>
          <cell r="Q3320" t="str">
            <v>Hoa Khai Bỉ Ngạn</v>
          </cell>
        </row>
        <row r="3321">
          <cell r="P3321" t="str">
            <v>Bỉ Ngạn Hoa</v>
          </cell>
          <cell r="Q3321" t="str">
            <v>Hoa Khai Bỉ Ngạn</v>
          </cell>
        </row>
        <row r="3322">
          <cell r="P3322" t="str">
            <v>Bỉ Ngạn Hoa</v>
          </cell>
          <cell r="Q3322" t="str">
            <v>Hoa Khai Bỉ Ngạn</v>
          </cell>
        </row>
        <row r="3323">
          <cell r="P3323" t="str">
            <v>Bỉ Ngạn Hoa</v>
          </cell>
          <cell r="Q3323" t="str">
            <v>Hoa Khai Bỉ Ngạn</v>
          </cell>
        </row>
        <row r="3324">
          <cell r="P3324" t="str">
            <v>Bỉ Ngạn Hoa</v>
          </cell>
          <cell r="Q3324" t="str">
            <v>Hoa Khai Bỉ Ngạn</v>
          </cell>
        </row>
        <row r="3325">
          <cell r="P3325" t="str">
            <v>Bỉ Ngạn Hoa</v>
          </cell>
          <cell r="Q3325" t="str">
            <v>Hoa Khai Bỉ Ngạn</v>
          </cell>
        </row>
        <row r="3326">
          <cell r="P3326" t="str">
            <v>Bỉ Ngạn Hoa</v>
          </cell>
          <cell r="Q3326" t="str">
            <v>Hoa Khai Bỉ Ngạn</v>
          </cell>
        </row>
        <row r="3327">
          <cell r="P3327" t="str">
            <v>Bỉ Ngạn Hoa</v>
          </cell>
          <cell r="Q3327" t="str">
            <v>Hoa Khai Bỉ Ngạn</v>
          </cell>
        </row>
        <row r="3328">
          <cell r="P3328" t="str">
            <v>Bỉ Ngạn Hoa</v>
          </cell>
          <cell r="Q3328" t="str">
            <v>Hoa Khai Bỉ Ngạn</v>
          </cell>
        </row>
        <row r="3329">
          <cell r="P3329" t="str">
            <v>Bỉ Ngạn Hoa</v>
          </cell>
          <cell r="Q3329" t="str">
            <v>Hoa Khai Bỉ Ngạn</v>
          </cell>
        </row>
        <row r="3330">
          <cell r="P3330" t="str">
            <v>Bỉ Ngạn Hoa</v>
          </cell>
          <cell r="Q3330" t="str">
            <v>Hoa Khai Bỉ Ngạn</v>
          </cell>
        </row>
        <row r="3331">
          <cell r="P3331" t="str">
            <v>Bỉ Ngạn Hoa</v>
          </cell>
          <cell r="Q3331" t="str">
            <v>Hoa Khai Bỉ Ngạn</v>
          </cell>
        </row>
        <row r="3332">
          <cell r="P3332" t="str">
            <v>Bỉ Ngạn Hoa</v>
          </cell>
          <cell r="Q3332" t="str">
            <v>Hoa Khai Bỉ Ngạn</v>
          </cell>
        </row>
        <row r="3333">
          <cell r="P3333" t="str">
            <v>Bỉ Ngạn Hoa</v>
          </cell>
          <cell r="Q3333" t="str">
            <v>Hoa Khai Bỉ Ngạn</v>
          </cell>
        </row>
        <row r="3334">
          <cell r="P3334" t="str">
            <v>Bỉ Ngạn Hoa</v>
          </cell>
          <cell r="Q3334" t="str">
            <v>Hoa Khai Bỉ Ngạn</v>
          </cell>
        </row>
        <row r="3335">
          <cell r="P3335" t="str">
            <v>Bỉ Ngạn Hoa</v>
          </cell>
          <cell r="Q3335" t="str">
            <v>Hoa Khai Bỉ Ngạn</v>
          </cell>
        </row>
        <row r="3336">
          <cell r="P3336" t="str">
            <v>Bỉ Ngạn Hoa</v>
          </cell>
          <cell r="Q3336" t="str">
            <v>Hoa Khai Bỉ Ngạn</v>
          </cell>
        </row>
        <row r="3337">
          <cell r="P3337" t="str">
            <v>Bỉ Ngạn Hoa</v>
          </cell>
          <cell r="Q3337" t="str">
            <v>Hoa Khai Bỉ Ngạn</v>
          </cell>
        </row>
        <row r="3338">
          <cell r="P3338" t="str">
            <v>Bỉ Ngạn Hoa</v>
          </cell>
          <cell r="Q3338" t="str">
            <v>Hoa Khai Bỉ Ngạn</v>
          </cell>
        </row>
        <row r="3339">
          <cell r="P3339" t="str">
            <v>Bỉ Ngạn Hoa</v>
          </cell>
          <cell r="Q3339" t="str">
            <v>Hoa Khai Bỉ Ngạn</v>
          </cell>
        </row>
        <row r="3340">
          <cell r="P3340" t="str">
            <v>Bỉ Ngạn Hoa</v>
          </cell>
          <cell r="Q3340" t="str">
            <v>Hoa Khai Bỉ Ngạn</v>
          </cell>
        </row>
        <row r="3341">
          <cell r="P3341" t="str">
            <v>Bỉ Ngạn Hoa</v>
          </cell>
          <cell r="Q3341" t="str">
            <v>Hoa Khai Bỉ Ngạn</v>
          </cell>
        </row>
        <row r="3342">
          <cell r="P3342" t="str">
            <v>Bỉ Ngạn Hoa</v>
          </cell>
          <cell r="Q3342" t="str">
            <v>Hoa Khai Bỉ Ngạn</v>
          </cell>
        </row>
        <row r="3343">
          <cell r="P3343" t="str">
            <v>Bỉ Ngạn Hoa</v>
          </cell>
          <cell r="Q3343" t="str">
            <v>Hoa Khai Bỉ Ngạn</v>
          </cell>
        </row>
        <row r="3344">
          <cell r="P3344" t="str">
            <v>Bỉ Ngạn Hoa</v>
          </cell>
          <cell r="Q3344" t="str">
            <v>Hoa Khai Bỉ Ngạn</v>
          </cell>
        </row>
        <row r="3345">
          <cell r="P3345" t="str">
            <v>Bỉ Ngạn Hoa</v>
          </cell>
          <cell r="Q3345" t="str">
            <v>Hoa Khai Bỉ Ngạn</v>
          </cell>
        </row>
        <row r="3346">
          <cell r="P3346" t="str">
            <v>Bỉ Ngạn Hoa</v>
          </cell>
          <cell r="Q3346" t="str">
            <v>Hoa Khai Bỉ Ngạn</v>
          </cell>
        </row>
        <row r="3347">
          <cell r="P3347" t="str">
            <v>Bỉ Ngạn Hoa</v>
          </cell>
          <cell r="Q3347" t="str">
            <v>Hoa Khai Bỉ Ngạn</v>
          </cell>
        </row>
        <row r="3348">
          <cell r="P3348" t="str">
            <v>Bỉ Ngạn Hoa</v>
          </cell>
          <cell r="Q3348" t="str">
            <v>Hoa Khai Bỉ Ngạn</v>
          </cell>
        </row>
        <row r="3349">
          <cell r="P3349" t="str">
            <v>Bỉ Ngạn Hoa</v>
          </cell>
          <cell r="Q3349" t="str">
            <v>Hoa Khai Bỉ Ngạn</v>
          </cell>
        </row>
        <row r="3350">
          <cell r="P3350" t="str">
            <v>Bỉ Ngạn Hoa</v>
          </cell>
          <cell r="Q3350" t="str">
            <v>Hoa Khai Bỉ Ngạn</v>
          </cell>
        </row>
        <row r="3351">
          <cell r="P3351" t="str">
            <v>Bỉ Ngạn Hoa</v>
          </cell>
          <cell r="Q3351" t="str">
            <v>Hoa Khai Bỉ Ngạn</v>
          </cell>
        </row>
        <row r="3352">
          <cell r="P3352" t="str">
            <v>Bỉ Ngạn Hoa</v>
          </cell>
          <cell r="Q3352" t="str">
            <v>Hoa Khai Bỉ Ngạn</v>
          </cell>
        </row>
        <row r="3353">
          <cell r="P3353" t="str">
            <v>Bỉ Ngạn Hoa</v>
          </cell>
          <cell r="Q3353" t="str">
            <v>Hoa Khai Bỉ Ngạn</v>
          </cell>
        </row>
        <row r="3354">
          <cell r="P3354" t="str">
            <v>Bỉ Ngạn Hoa</v>
          </cell>
          <cell r="Q3354" t="str">
            <v>Hoa Khai Bỉ Ngạn</v>
          </cell>
        </row>
        <row r="3355">
          <cell r="P3355" t="str">
            <v>Bỉ Ngạn Hoa</v>
          </cell>
          <cell r="Q3355" t="str">
            <v>Hoa Khai Bỉ Ngạn</v>
          </cell>
        </row>
        <row r="3356">
          <cell r="P3356" t="str">
            <v>Bỉ Ngạn Hoa</v>
          </cell>
          <cell r="Q3356" t="str">
            <v>Hoa Khai Bỉ Ngạn</v>
          </cell>
        </row>
        <row r="3357">
          <cell r="P3357" t="str">
            <v>Bỉ Ngạn Hoa</v>
          </cell>
          <cell r="Q3357" t="str">
            <v>Hoa Khai Bỉ Ngạn</v>
          </cell>
        </row>
        <row r="3358">
          <cell r="P3358" t="str">
            <v>Bỉ Ngạn Hoa</v>
          </cell>
          <cell r="Q3358" t="str">
            <v>Hoa Khai Bỉ Ngạn</v>
          </cell>
        </row>
        <row r="3359">
          <cell r="P3359" t="str">
            <v>Bỉ Ngạn Hoa</v>
          </cell>
          <cell r="Q3359" t="str">
            <v>Hoa Khai Bỉ Ngạn</v>
          </cell>
        </row>
        <row r="3360">
          <cell r="P3360" t="str">
            <v>Bỉ Ngạn Hoa</v>
          </cell>
          <cell r="Q3360" t="str">
            <v>Hoa Khai Bỉ Ngạn</v>
          </cell>
        </row>
        <row r="3361">
          <cell r="P3361" t="str">
            <v>Bỉ Ngạn Hoa</v>
          </cell>
          <cell r="Q3361" t="str">
            <v>Hoa Khai Bỉ Ngạn</v>
          </cell>
        </row>
        <row r="3362">
          <cell r="P3362" t="str">
            <v>Bỉ Ngạn Hoa</v>
          </cell>
          <cell r="Q3362" t="str">
            <v>Hoa Khai Bỉ Ngạn</v>
          </cell>
        </row>
        <row r="3363">
          <cell r="P3363" t="str">
            <v>Bỉ Ngạn Hoa</v>
          </cell>
          <cell r="Q3363" t="str">
            <v>Hoa Khai Bỉ Ngạn</v>
          </cell>
        </row>
        <row r="3364">
          <cell r="P3364" t="str">
            <v>Bỉ Ngạn Hoa</v>
          </cell>
          <cell r="Q3364" t="str">
            <v>Hoa Khai Bỉ Ngạn</v>
          </cell>
        </row>
        <row r="3365">
          <cell r="P3365" t="str">
            <v>Bỉ Ngạn Hoa</v>
          </cell>
          <cell r="Q3365" t="str">
            <v>Hoa Khai Bỉ Ngạn</v>
          </cell>
        </row>
        <row r="3366">
          <cell r="P3366" t="str">
            <v>Bỉ Ngạn Hoa</v>
          </cell>
          <cell r="Q3366" t="str">
            <v>Hoa Khai Bỉ Ngạn</v>
          </cell>
        </row>
        <row r="3367">
          <cell r="P3367" t="str">
            <v>Bỉ Ngạn Hoa</v>
          </cell>
          <cell r="Q3367" t="str">
            <v>Hoa Khai Bỉ Ngạn</v>
          </cell>
        </row>
        <row r="3368">
          <cell r="P3368" t="str">
            <v>Bỉ Ngạn Hoa</v>
          </cell>
          <cell r="Q3368" t="str">
            <v>Hoa Khai Bỉ Ngạn</v>
          </cell>
        </row>
        <row r="3369">
          <cell r="P3369" t="str">
            <v>Bỉ Ngạn Hoa</v>
          </cell>
          <cell r="Q3369" t="str">
            <v>Hoa Khai Bỉ Ngạn</v>
          </cell>
        </row>
        <row r="3370">
          <cell r="P3370" t="str">
            <v>Bỉ Ngạn Hoa</v>
          </cell>
          <cell r="Q3370" t="str">
            <v>Hoa Khai Bỉ Ngạn</v>
          </cell>
        </row>
        <row r="3371">
          <cell r="P3371" t="str">
            <v>Bỉ Ngạn Hoa</v>
          </cell>
          <cell r="Q3371" t="str">
            <v>Hoa Khai Bỉ Ngạn</v>
          </cell>
        </row>
        <row r="3372">
          <cell r="P3372" t="str">
            <v>Bỉ Ngạn Hoa</v>
          </cell>
          <cell r="Q3372" t="str">
            <v>Hoa Khai Bỉ Ngạn</v>
          </cell>
        </row>
        <row r="3373">
          <cell r="P3373" t="str">
            <v>Bỉ Ngạn Hoa</v>
          </cell>
          <cell r="Q3373" t="str">
            <v>Hoa Khai Bỉ Ngạn</v>
          </cell>
        </row>
        <row r="3374">
          <cell r="P3374" t="str">
            <v>Bỉ Ngạn Hoa</v>
          </cell>
          <cell r="Q3374" t="str">
            <v>Hoa Khai Bỉ Ngạn</v>
          </cell>
        </row>
        <row r="3375">
          <cell r="P3375" t="str">
            <v>Bỉ Ngạn Hoa</v>
          </cell>
          <cell r="Q3375" t="str">
            <v>Hoa Khai Bỉ Ngạn</v>
          </cell>
        </row>
        <row r="3376">
          <cell r="P3376" t="str">
            <v>Bỉ Ngạn Hoa</v>
          </cell>
          <cell r="Q3376" t="str">
            <v>Hoa Khai Bỉ Ngạn</v>
          </cell>
        </row>
        <row r="3377">
          <cell r="P3377" t="str">
            <v>Bỉ Ngạn Hoa</v>
          </cell>
          <cell r="Q3377" t="str">
            <v>Hoa Khai Bỉ Ngạn</v>
          </cell>
        </row>
        <row r="3378">
          <cell r="P3378" t="str">
            <v>Bỉ Ngạn Hoa</v>
          </cell>
          <cell r="Q3378" t="str">
            <v>Hoa Khai Bỉ Ngạn</v>
          </cell>
        </row>
        <row r="3379">
          <cell r="P3379" t="str">
            <v>Bỉ Ngạn Hoa</v>
          </cell>
          <cell r="Q3379" t="str">
            <v>Hoa Khai Bỉ Ngạn</v>
          </cell>
        </row>
        <row r="3380">
          <cell r="P3380" t="str">
            <v>Bỉ Ngạn Hoa</v>
          </cell>
          <cell r="Q3380" t="str">
            <v>Hoa Khai Bỉ Ngạn</v>
          </cell>
        </row>
        <row r="3381">
          <cell r="P3381" t="str">
            <v>Bỉ Ngạn Hoa</v>
          </cell>
          <cell r="Q3381" t="str">
            <v>Hoa Khai Bỉ Ngạn</v>
          </cell>
        </row>
        <row r="3382">
          <cell r="P3382" t="str">
            <v>Bỉ Ngạn Hoa</v>
          </cell>
          <cell r="Q3382" t="str">
            <v>Hoa Khai Bỉ Ngạn</v>
          </cell>
        </row>
        <row r="3383">
          <cell r="P3383" t="str">
            <v>Bỉ Ngạn Hoa</v>
          </cell>
          <cell r="Q3383" t="str">
            <v>Hoa Khai Bỉ Ngạn</v>
          </cell>
        </row>
        <row r="3384">
          <cell r="P3384" t="str">
            <v>Bỉ Ngạn Hoa</v>
          </cell>
          <cell r="Q3384" t="str">
            <v>Hoa Khai Bỉ Ngạn</v>
          </cell>
        </row>
        <row r="3385">
          <cell r="P3385" t="str">
            <v>Bỉ Ngạn Hoa</v>
          </cell>
          <cell r="Q3385" t="str">
            <v>Hoa Khai Bỉ Ngạn</v>
          </cell>
        </row>
        <row r="3386">
          <cell r="P3386" t="str">
            <v>Bỉ Ngạn Hoa</v>
          </cell>
          <cell r="Q3386" t="str">
            <v>Hoa Khai Bỉ Ngạn</v>
          </cell>
        </row>
        <row r="3387">
          <cell r="P3387" t="str">
            <v>Bỉ Ngạn Hoa</v>
          </cell>
          <cell r="Q3387" t="str">
            <v>Hoa Khai Bỉ Ngạn</v>
          </cell>
        </row>
        <row r="3388">
          <cell r="P3388" t="str">
            <v>Bỉ Ngạn Hoa</v>
          </cell>
          <cell r="Q3388" t="str">
            <v>Hoa Khai Bỉ Ngạn</v>
          </cell>
        </row>
        <row r="3389">
          <cell r="P3389" t="str">
            <v>Bỉ Ngạn Hoa</v>
          </cell>
          <cell r="Q3389" t="str">
            <v>Hoa Khai Bỉ Ngạn</v>
          </cell>
        </row>
        <row r="3390">
          <cell r="P3390" t="str">
            <v>Bỉ Ngạn Hoa</v>
          </cell>
          <cell r="Q3390" t="str">
            <v>Hoa Khai Bỉ Ngạn</v>
          </cell>
        </row>
        <row r="3391">
          <cell r="P3391" t="str">
            <v>Bỉ Ngạn Hoa</v>
          </cell>
          <cell r="Q3391" t="str">
            <v>Hoa Khai Bỉ Ngạn</v>
          </cell>
        </row>
        <row r="3392">
          <cell r="P3392" t="str">
            <v>Bỉ Ngạn Hoa</v>
          </cell>
          <cell r="Q3392" t="str">
            <v>Hoa Khai Bỉ Ngạn</v>
          </cell>
        </row>
        <row r="3393">
          <cell r="P3393" t="str">
            <v>Bỉ Ngạn Hoa</v>
          </cell>
          <cell r="Q3393" t="str">
            <v>Hoa Khai Bỉ Ngạn</v>
          </cell>
        </row>
        <row r="3394">
          <cell r="P3394" t="str">
            <v>Trục Nhật Cung</v>
          </cell>
          <cell r="Q3394" t="str">
            <v>Xuyên Vân Quán Nhật</v>
          </cell>
        </row>
        <row r="3395">
          <cell r="P3395" t="str">
            <v>Trục Nhật Cung</v>
          </cell>
          <cell r="Q3395" t="str">
            <v>Xuyên Vân Quán Nhật</v>
          </cell>
        </row>
        <row r="3396">
          <cell r="P3396" t="str">
            <v>Trục Nhật Cung</v>
          </cell>
          <cell r="Q3396" t="str">
            <v>Xuyên Vân Quán Nhật</v>
          </cell>
        </row>
        <row r="3397">
          <cell r="P3397" t="str">
            <v>Trục Nhật Cung</v>
          </cell>
          <cell r="Q3397" t="str">
            <v>Xuyên Vân Quán Nhật</v>
          </cell>
        </row>
        <row r="3398">
          <cell r="P3398" t="str">
            <v>Trục Nhật Cung</v>
          </cell>
          <cell r="Q3398" t="str">
            <v>Xuyên Vân Quán Nhật</v>
          </cell>
        </row>
        <row r="3399">
          <cell r="P3399" t="str">
            <v>Trục Nhật Cung</v>
          </cell>
          <cell r="Q3399" t="str">
            <v>Xuyên Vân Quán Nhật</v>
          </cell>
        </row>
        <row r="3400">
          <cell r="P3400" t="str">
            <v>Trục Nhật Cung</v>
          </cell>
          <cell r="Q3400" t="str">
            <v>Xuyên Vân Quán Nhật</v>
          </cell>
        </row>
        <row r="3401">
          <cell r="P3401" t="str">
            <v>Trục Nhật Cung</v>
          </cell>
          <cell r="Q3401" t="str">
            <v>Xuyên Vân Quán Nhật</v>
          </cell>
        </row>
        <row r="3402">
          <cell r="P3402" t="str">
            <v>Trục Nhật Cung</v>
          </cell>
          <cell r="Q3402" t="str">
            <v>Xuyên Vân Quán Nhật</v>
          </cell>
        </row>
        <row r="3403">
          <cell r="P3403" t="str">
            <v>Trục Nhật Cung</v>
          </cell>
          <cell r="Q3403" t="str">
            <v>Xuyên Vân Quán Nhật</v>
          </cell>
        </row>
        <row r="3404">
          <cell r="P3404" t="str">
            <v>Trục Nhật Cung</v>
          </cell>
          <cell r="Q3404" t="str">
            <v>Xuyên Vân Quán Nhật</v>
          </cell>
        </row>
        <row r="3405">
          <cell r="P3405" t="str">
            <v>Trục Nhật Cung</v>
          </cell>
          <cell r="Q3405" t="str">
            <v>Xuyên Vân Quán Nhật</v>
          </cell>
        </row>
        <row r="3406">
          <cell r="P3406" t="str">
            <v>Trục Nhật Cung</v>
          </cell>
          <cell r="Q3406" t="str">
            <v>Xuyên Vân Quán Nhật</v>
          </cell>
        </row>
        <row r="3407">
          <cell r="P3407" t="str">
            <v>Trục Nhật Cung</v>
          </cell>
          <cell r="Q3407" t="str">
            <v>Xuyên Vân Quán Nhật</v>
          </cell>
        </row>
        <row r="3408">
          <cell r="P3408" t="str">
            <v>Trục Nhật Cung</v>
          </cell>
          <cell r="Q3408" t="str">
            <v>Xuyên Vân Quán Nhật</v>
          </cell>
        </row>
        <row r="3409">
          <cell r="P3409" t="str">
            <v>Trục Nhật Cung</v>
          </cell>
          <cell r="Q3409" t="str">
            <v>Xuyên Vân Quán Nhật</v>
          </cell>
        </row>
        <row r="3410">
          <cell r="P3410" t="str">
            <v>Trục Nhật Cung</v>
          </cell>
          <cell r="Q3410" t="str">
            <v>Xuyên Vân Quán Nhật</v>
          </cell>
        </row>
        <row r="3411">
          <cell r="P3411" t="str">
            <v>Trục Nhật Cung</v>
          </cell>
          <cell r="Q3411" t="str">
            <v>Xuyên Vân Quán Nhật</v>
          </cell>
        </row>
        <row r="3412">
          <cell r="P3412" t="str">
            <v>Trục Nhật Cung</v>
          </cell>
          <cell r="Q3412" t="str">
            <v>Xuyên Vân Quán Nhật</v>
          </cell>
        </row>
        <row r="3413">
          <cell r="P3413" t="str">
            <v>Trục Nhật Cung</v>
          </cell>
          <cell r="Q3413" t="str">
            <v>Xuyên Vân Quán Nhật</v>
          </cell>
        </row>
        <row r="3414">
          <cell r="P3414" t="str">
            <v>Trục Nhật Cung</v>
          </cell>
          <cell r="Q3414" t="str">
            <v>Xuyên Vân Quán Nhật</v>
          </cell>
        </row>
        <row r="3415">
          <cell r="P3415" t="str">
            <v>Trục Nhật Cung</v>
          </cell>
          <cell r="Q3415" t="str">
            <v>Xuyên Vân Quán Nhật</v>
          </cell>
        </row>
        <row r="3416">
          <cell r="P3416" t="str">
            <v>Trục Nhật Cung</v>
          </cell>
          <cell r="Q3416" t="str">
            <v>Xuyên Vân Quán Nhật</v>
          </cell>
        </row>
        <row r="3417">
          <cell r="P3417" t="str">
            <v>Trục Nhật Cung</v>
          </cell>
          <cell r="Q3417" t="str">
            <v>Xuyên Vân Quán Nhật</v>
          </cell>
        </row>
        <row r="3418">
          <cell r="P3418" t="str">
            <v>Trục Nhật Cung</v>
          </cell>
          <cell r="Q3418" t="str">
            <v>Xuyên Vân Quán Nhật</v>
          </cell>
        </row>
        <row r="3419">
          <cell r="P3419" t="str">
            <v>Trục Nhật Cung</v>
          </cell>
          <cell r="Q3419" t="str">
            <v>Xuyên Vân Quán Nhật</v>
          </cell>
        </row>
        <row r="3420">
          <cell r="P3420" t="str">
            <v>Trục Nhật Cung</v>
          </cell>
          <cell r="Q3420" t="str">
            <v>Xuyên Vân Quán Nhật</v>
          </cell>
        </row>
        <row r="3421">
          <cell r="P3421" t="str">
            <v>Trục Nhật Cung</v>
          </cell>
          <cell r="Q3421" t="str">
            <v>Xuyên Vân Quán Nhật</v>
          </cell>
        </row>
        <row r="3422">
          <cell r="P3422" t="str">
            <v>Trục Nhật Cung</v>
          </cell>
          <cell r="Q3422" t="str">
            <v>Xuyên Vân Quán Nhật</v>
          </cell>
        </row>
        <row r="3423">
          <cell r="P3423" t="str">
            <v>Trục Nhật Cung</v>
          </cell>
          <cell r="Q3423" t="str">
            <v>Xuyên Vân Quán Nhật</v>
          </cell>
        </row>
        <row r="3424">
          <cell r="P3424" t="str">
            <v>Trục Nhật Cung</v>
          </cell>
          <cell r="Q3424" t="str">
            <v>Xuyên Vân Quán Nhật</v>
          </cell>
        </row>
        <row r="3425">
          <cell r="P3425" t="str">
            <v>Trục Nhật Cung</v>
          </cell>
          <cell r="Q3425" t="str">
            <v>Xuyên Vân Quán Nhật</v>
          </cell>
        </row>
        <row r="3426">
          <cell r="P3426" t="str">
            <v>Hạo Thiên Chùy</v>
          </cell>
          <cell r="Q3426" t="str">
            <v>Hạo Thiên Quang Huy</v>
          </cell>
        </row>
        <row r="3427">
          <cell r="P3427" t="str">
            <v>Hạo Thiên Chùy</v>
          </cell>
          <cell r="Q3427" t="str">
            <v>Hạo Thiên Quang Huy</v>
          </cell>
        </row>
        <row r="3428">
          <cell r="P3428" t="str">
            <v>Hạo Thiên Chùy</v>
          </cell>
          <cell r="Q3428" t="str">
            <v>Hạo Thiên Quang Huy</v>
          </cell>
        </row>
        <row r="3429">
          <cell r="P3429" t="str">
            <v>Hạo Thiên Chùy</v>
          </cell>
          <cell r="Q3429" t="str">
            <v>Hạo Thiên Quang Huy</v>
          </cell>
        </row>
        <row r="3430">
          <cell r="P3430" t="str">
            <v>Hạo Thiên Chùy</v>
          </cell>
          <cell r="Q3430" t="str">
            <v>Hạo Thiên Quang Huy</v>
          </cell>
        </row>
        <row r="3431">
          <cell r="P3431" t="str">
            <v>Hạo Thiên Chùy</v>
          </cell>
          <cell r="Q3431" t="str">
            <v>Hạo Thiên Quang Huy</v>
          </cell>
        </row>
        <row r="3432">
          <cell r="P3432" t="str">
            <v>Hạo Thiên Chùy</v>
          </cell>
          <cell r="Q3432" t="str">
            <v>Hạo Thiên Quang Huy</v>
          </cell>
        </row>
        <row r="3433">
          <cell r="P3433" t="str">
            <v>Hạo Thiên Chùy</v>
          </cell>
          <cell r="Q3433" t="str">
            <v>Hạo Thiên Quang Huy</v>
          </cell>
        </row>
        <row r="3434">
          <cell r="P3434" t="str">
            <v>Hạo Thiên Chùy</v>
          </cell>
          <cell r="Q3434" t="str">
            <v>Hạo Thiên Quang Huy</v>
          </cell>
        </row>
        <row r="3435">
          <cell r="P3435" t="str">
            <v>Hạo Thiên Chùy</v>
          </cell>
          <cell r="Q3435" t="str">
            <v>Hạo Thiên Quang Huy</v>
          </cell>
        </row>
        <row r="3436">
          <cell r="P3436" t="str">
            <v>Hạo Thiên Chùy</v>
          </cell>
          <cell r="Q3436" t="str">
            <v>Hạo Thiên Quang Huy</v>
          </cell>
        </row>
        <row r="3437">
          <cell r="P3437" t="str">
            <v>Hạo Thiên Chùy</v>
          </cell>
          <cell r="Q3437" t="str">
            <v>Hạo Thiên Quang Huy</v>
          </cell>
        </row>
        <row r="3438">
          <cell r="P3438" t="str">
            <v>Hạo Thiên Chùy</v>
          </cell>
          <cell r="Q3438" t="str">
            <v>Hạo Thiên Quang Huy</v>
          </cell>
        </row>
        <row r="3439">
          <cell r="P3439" t="str">
            <v>Hạo Thiên Chùy</v>
          </cell>
          <cell r="Q3439" t="str">
            <v>Hạo Thiên Quang Huy</v>
          </cell>
        </row>
        <row r="3440">
          <cell r="P3440" t="str">
            <v>Hạo Thiên Chùy</v>
          </cell>
          <cell r="Q3440" t="str">
            <v>Hạo Thiên Quang Huy</v>
          </cell>
        </row>
        <row r="3441">
          <cell r="P3441" t="str">
            <v>Hạo Thiên Chùy</v>
          </cell>
          <cell r="Q3441" t="str">
            <v>Hạo Thiên Quang Huy</v>
          </cell>
        </row>
        <row r="3442">
          <cell r="P3442" t="str">
            <v>Hạo Thiên Chùy</v>
          </cell>
          <cell r="Q3442" t="str">
            <v>Hạo Thiên Quang Huy</v>
          </cell>
        </row>
        <row r="3443">
          <cell r="P3443" t="str">
            <v>Hạo Thiên Chùy</v>
          </cell>
          <cell r="Q3443" t="str">
            <v>Hạo Thiên Quang Huy</v>
          </cell>
        </row>
        <row r="3444">
          <cell r="P3444" t="str">
            <v>Hạo Thiên Chùy</v>
          </cell>
          <cell r="Q3444" t="str">
            <v>Hạo Thiên Quang Huy</v>
          </cell>
        </row>
        <row r="3445">
          <cell r="P3445" t="str">
            <v>Hạo Thiên Chùy</v>
          </cell>
          <cell r="Q3445" t="str">
            <v>Hạo Thiên Quang Huy</v>
          </cell>
        </row>
        <row r="3446">
          <cell r="P3446" t="str">
            <v>Hạo Thiên Chùy</v>
          </cell>
          <cell r="Q3446" t="str">
            <v>Hạo Thiên Quang Huy</v>
          </cell>
        </row>
        <row r="3447">
          <cell r="P3447" t="str">
            <v>Hạo Thiên Chùy</v>
          </cell>
          <cell r="Q3447" t="str">
            <v>Hạo Thiên Quang Huy</v>
          </cell>
        </row>
        <row r="3448">
          <cell r="P3448" t="str">
            <v>Hạo Thiên Chùy</v>
          </cell>
          <cell r="Q3448" t="str">
            <v>Hạo Thiên Quang Huy</v>
          </cell>
        </row>
        <row r="3449">
          <cell r="P3449" t="str">
            <v>Hạo Thiên Chùy</v>
          </cell>
          <cell r="Q3449" t="str">
            <v>Hạo Thiên Quang Huy</v>
          </cell>
        </row>
        <row r="3450">
          <cell r="P3450" t="str">
            <v>Hạo Thiên Chùy</v>
          </cell>
          <cell r="Q3450" t="str">
            <v>Hạo Thiên Quang Huy</v>
          </cell>
        </row>
        <row r="3451">
          <cell r="P3451" t="str">
            <v>Hạo Thiên Chùy</v>
          </cell>
          <cell r="Q3451" t="str">
            <v>Hạo Thiên Quang Huy</v>
          </cell>
        </row>
        <row r="3452">
          <cell r="P3452" t="str">
            <v>Hạo Thiên Chùy</v>
          </cell>
          <cell r="Q3452" t="str">
            <v>Hạo Thiên Quang Huy</v>
          </cell>
        </row>
        <row r="3453">
          <cell r="P3453" t="str">
            <v>Hạo Thiên Chùy</v>
          </cell>
          <cell r="Q3453" t="str">
            <v>Hạo Thiên Quang Huy</v>
          </cell>
        </row>
        <row r="3454">
          <cell r="P3454" t="str">
            <v>Hạo Thiên Chùy</v>
          </cell>
          <cell r="Q3454" t="str">
            <v>Hạo Thiên Quang Huy</v>
          </cell>
        </row>
        <row r="3455">
          <cell r="P3455" t="str">
            <v>Hạo Thiên Chùy</v>
          </cell>
          <cell r="Q3455" t="str">
            <v>Hạo Thiên Quang Huy</v>
          </cell>
        </row>
        <row r="3456">
          <cell r="P3456" t="str">
            <v>Hạo Thiên Chùy</v>
          </cell>
          <cell r="Q3456" t="str">
            <v>Hạo Thiên Quang Huy</v>
          </cell>
        </row>
        <row r="3457">
          <cell r="P3457" t="str">
            <v>Hạo Thiên Chùy</v>
          </cell>
          <cell r="Q3457" t="str">
            <v>Hạo Thiên Quang Huy</v>
          </cell>
        </row>
        <row r="3458">
          <cell r="P3458" t="str">
            <v>Mão Thỏ</v>
          </cell>
          <cell r="Q3458" t="str">
            <v>Động Nhược Thoát Thỏ</v>
          </cell>
        </row>
        <row r="3459">
          <cell r="P3459" t="str">
            <v>Mão Thỏ</v>
          </cell>
          <cell r="Q3459" t="str">
            <v>Động Nhược Thoát Thỏ</v>
          </cell>
        </row>
        <row r="3460">
          <cell r="P3460" t="str">
            <v>Mão Thỏ</v>
          </cell>
          <cell r="Q3460" t="str">
            <v>Động Nhược Thoát Thỏ</v>
          </cell>
        </row>
        <row r="3461">
          <cell r="P3461" t="str">
            <v>Mão Thỏ</v>
          </cell>
          <cell r="Q3461" t="str">
            <v>Động Nhược Thoát Thỏ</v>
          </cell>
        </row>
        <row r="3462">
          <cell r="P3462" t="str">
            <v>Mão Thỏ</v>
          </cell>
          <cell r="Q3462" t="str">
            <v>Động Nhược Thoát Thỏ</v>
          </cell>
        </row>
        <row r="3463">
          <cell r="P3463" t="str">
            <v>Mão Thỏ</v>
          </cell>
          <cell r="Q3463" t="str">
            <v>Động Nhược Thoát Thỏ</v>
          </cell>
        </row>
        <row r="3464">
          <cell r="P3464" t="str">
            <v>Mão Thỏ</v>
          </cell>
          <cell r="Q3464" t="str">
            <v>Động Nhược Thoát Thỏ</v>
          </cell>
        </row>
        <row r="3465">
          <cell r="P3465" t="str">
            <v>Mão Thỏ</v>
          </cell>
          <cell r="Q3465" t="str">
            <v>Động Nhược Thoát Thỏ</v>
          </cell>
        </row>
        <row r="3466">
          <cell r="P3466" t="str">
            <v>Mão Thỏ</v>
          </cell>
          <cell r="Q3466" t="str">
            <v>Động Nhược Thoát Thỏ</v>
          </cell>
        </row>
        <row r="3467">
          <cell r="P3467" t="str">
            <v>Mão Thỏ</v>
          </cell>
          <cell r="Q3467" t="str">
            <v>Động Nhược Thoát Thỏ</v>
          </cell>
        </row>
        <row r="3468">
          <cell r="P3468" t="str">
            <v>Thần Long</v>
          </cell>
          <cell r="Q3468" t="str">
            <v>Khí Quán Trường Hồng</v>
          </cell>
        </row>
        <row r="3469">
          <cell r="P3469" t="str">
            <v>Thần Long</v>
          </cell>
          <cell r="Q3469" t="str">
            <v>Khí Quán Trường Hồng</v>
          </cell>
        </row>
        <row r="3470">
          <cell r="P3470" t="str">
            <v>Thần Long</v>
          </cell>
          <cell r="Q3470" t="str">
            <v>Khí Quán Trường Hồng</v>
          </cell>
        </row>
        <row r="3471">
          <cell r="P3471" t="str">
            <v>Thần Long</v>
          </cell>
          <cell r="Q3471" t="str">
            <v>Khí Quán Trường Hồng</v>
          </cell>
        </row>
        <row r="3472">
          <cell r="P3472" t="str">
            <v>Thần Long</v>
          </cell>
          <cell r="Q3472" t="str">
            <v>Khí Quán Trường Hồng</v>
          </cell>
        </row>
        <row r="3473">
          <cell r="P3473" t="str">
            <v>Thần Long</v>
          </cell>
          <cell r="Q3473" t="str">
            <v>Khí Quán Trường Hồng</v>
          </cell>
        </row>
        <row r="3474">
          <cell r="P3474" t="str">
            <v>Thần Long</v>
          </cell>
          <cell r="Q3474" t="str">
            <v>Khí Quán Trường Hồng</v>
          </cell>
        </row>
        <row r="3475">
          <cell r="P3475" t="str">
            <v>Thần Long</v>
          </cell>
          <cell r="Q3475" t="str">
            <v>Khí Quán Trường Hồng</v>
          </cell>
        </row>
        <row r="3476">
          <cell r="P3476" t="str">
            <v>Thần Long</v>
          </cell>
          <cell r="Q3476" t="str">
            <v>Khí Quán Trường Hồng</v>
          </cell>
        </row>
        <row r="3477">
          <cell r="P3477" t="str">
            <v>Thần Long</v>
          </cell>
          <cell r="Q3477" t="str">
            <v>Khí Quán Trường Hồng</v>
          </cell>
        </row>
        <row r="3478">
          <cell r="P3478" t="str">
            <v>Dần Hổ</v>
          </cell>
          <cell r="Q3478" t="str">
            <v>Phá Đảm Hổ Khiếu</v>
          </cell>
        </row>
        <row r="3479">
          <cell r="P3479" t="str">
            <v>Dần Hổ</v>
          </cell>
          <cell r="Q3479" t="str">
            <v>Phá Đảm Hổ Khiếu</v>
          </cell>
        </row>
        <row r="3480">
          <cell r="P3480" t="str">
            <v>Dần Hổ</v>
          </cell>
          <cell r="Q3480" t="str">
            <v>Phá Đảm Hổ Khiếu</v>
          </cell>
        </row>
        <row r="3481">
          <cell r="P3481" t="str">
            <v>Dần Hổ</v>
          </cell>
          <cell r="Q3481" t="str">
            <v>Phá Đảm Hổ Khiếu</v>
          </cell>
        </row>
        <row r="3482">
          <cell r="P3482" t="str">
            <v>Dần Hổ</v>
          </cell>
          <cell r="Q3482" t="str">
            <v>Phá Đảm Hổ Khiếu</v>
          </cell>
        </row>
        <row r="3483">
          <cell r="P3483" t="str">
            <v>Dần Hổ</v>
          </cell>
          <cell r="Q3483" t="str">
            <v>Phá Đảm Hổ Khiếu</v>
          </cell>
        </row>
        <row r="3484">
          <cell r="P3484" t="str">
            <v>Dần Hổ</v>
          </cell>
          <cell r="Q3484" t="str">
            <v>Phá Đảm Hổ Khiếu</v>
          </cell>
        </row>
        <row r="3485">
          <cell r="P3485" t="str">
            <v>Dần Hổ</v>
          </cell>
          <cell r="Q3485" t="str">
            <v>Phá Đảm Hổ Khiếu</v>
          </cell>
        </row>
        <row r="3486">
          <cell r="P3486" t="str">
            <v>Dần Hổ</v>
          </cell>
          <cell r="Q3486" t="str">
            <v>Phá Đảm Hổ Khiếu</v>
          </cell>
        </row>
        <row r="3487">
          <cell r="P3487" t="str">
            <v>Dần Hổ</v>
          </cell>
          <cell r="Q3487" t="str">
            <v>Phá Đảm Hổ Khiếu</v>
          </cell>
        </row>
        <row r="3488">
          <cell r="P3488" t="str">
            <v>Thân Hầu</v>
          </cell>
          <cell r="Q3488" t="str">
            <v>Cứu Mệnh Hào Mao</v>
          </cell>
        </row>
        <row r="3489">
          <cell r="P3489" t="str">
            <v>Thân Hầu</v>
          </cell>
          <cell r="Q3489" t="str">
            <v>Cứu Mệnh Hào Mao</v>
          </cell>
        </row>
        <row r="3490">
          <cell r="P3490" t="str">
            <v>Thân Hầu</v>
          </cell>
          <cell r="Q3490" t="str">
            <v>Cứu Mệnh Hào Mao</v>
          </cell>
        </row>
        <row r="3491">
          <cell r="P3491" t="str">
            <v>Thân Hầu</v>
          </cell>
          <cell r="Q3491" t="str">
            <v>Cứu Mệnh Hào Mao</v>
          </cell>
        </row>
        <row r="3492">
          <cell r="P3492" t="str">
            <v>Thân Hầu</v>
          </cell>
          <cell r="Q3492" t="str">
            <v>Cứu Mệnh Hào Mao</v>
          </cell>
        </row>
        <row r="3493">
          <cell r="P3493" t="str">
            <v>Thân Hầu</v>
          </cell>
          <cell r="Q3493" t="str">
            <v>Cứu Mệnh Hào Mao</v>
          </cell>
        </row>
        <row r="3494">
          <cell r="P3494" t="str">
            <v>Thân Hầu</v>
          </cell>
          <cell r="Q3494" t="str">
            <v>Cứu Mệnh Hào Mao</v>
          </cell>
        </row>
        <row r="3495">
          <cell r="P3495" t="str">
            <v>Thân Hầu</v>
          </cell>
          <cell r="Q3495" t="str">
            <v>Cứu Mệnh Hào Mao</v>
          </cell>
        </row>
        <row r="3496">
          <cell r="P3496" t="str">
            <v>Thân Hầu</v>
          </cell>
          <cell r="Q3496" t="str">
            <v>Cứu Mệnh Hào Mao</v>
          </cell>
        </row>
        <row r="3497">
          <cell r="P3497" t="str">
            <v>Thân Hầu</v>
          </cell>
          <cell r="Q3497" t="str">
            <v>Cứu Mệnh Hào Mao</v>
          </cell>
        </row>
        <row r="3498">
          <cell r="P3498" t="str">
            <v>Sửu Ngưu</v>
          </cell>
          <cell r="Q3498" t="str">
            <v>Khí Trùng Đấu Ngưu</v>
          </cell>
        </row>
        <row r="3499">
          <cell r="P3499" t="str">
            <v>Sửu Ngưu</v>
          </cell>
          <cell r="Q3499" t="str">
            <v>Khí Trùng Đấu Ngưu</v>
          </cell>
        </row>
        <row r="3500">
          <cell r="P3500" t="str">
            <v>Sửu Ngưu</v>
          </cell>
          <cell r="Q3500" t="str">
            <v>Khí Trùng Đấu Ngưu</v>
          </cell>
        </row>
        <row r="3501">
          <cell r="P3501" t="str">
            <v>Sửu Ngưu</v>
          </cell>
          <cell r="Q3501" t="str">
            <v>Khí Trùng Đấu Ngưu</v>
          </cell>
        </row>
        <row r="3502">
          <cell r="P3502" t="str">
            <v>Sửu Ngưu</v>
          </cell>
          <cell r="Q3502" t="str">
            <v>Khí Trùng Đấu Ngưu</v>
          </cell>
        </row>
        <row r="3503">
          <cell r="P3503" t="str">
            <v>Sửu Ngưu</v>
          </cell>
          <cell r="Q3503" t="str">
            <v>Khí Trùng Đấu Ngưu</v>
          </cell>
        </row>
        <row r="3504">
          <cell r="P3504" t="str">
            <v>Sửu Ngưu</v>
          </cell>
          <cell r="Q3504" t="str">
            <v>Khí Trùng Đấu Ngưu</v>
          </cell>
        </row>
        <row r="3505">
          <cell r="P3505" t="str">
            <v>Sửu Ngưu</v>
          </cell>
          <cell r="Q3505" t="str">
            <v>Khí Trùng Đấu Ngưu</v>
          </cell>
        </row>
        <row r="3506">
          <cell r="P3506" t="str">
            <v>Sửu Ngưu</v>
          </cell>
          <cell r="Q3506" t="str">
            <v>Khí Trùng Đấu Ngưu</v>
          </cell>
        </row>
        <row r="3507">
          <cell r="P3507" t="str">
            <v>Sửu Ngưu</v>
          </cell>
          <cell r="Q3507" t="str">
            <v>Khí Trùng Đấu Ngưu</v>
          </cell>
        </row>
        <row r="3508">
          <cell r="P3508" t="str">
            <v>Dậu Kê</v>
          </cell>
          <cell r="Q3508" t="str">
            <v>Văn Kê Khởi Vũ</v>
          </cell>
        </row>
        <row r="3509">
          <cell r="P3509" t="str">
            <v>Dậu Kê</v>
          </cell>
          <cell r="Q3509" t="str">
            <v>Văn Kê Khởi Vũ</v>
          </cell>
        </row>
        <row r="3510">
          <cell r="P3510" t="str">
            <v>Dậu Kê</v>
          </cell>
          <cell r="Q3510" t="str">
            <v>Văn Kê Khởi Vũ</v>
          </cell>
        </row>
        <row r="3511">
          <cell r="P3511" t="str">
            <v>Dậu Kê</v>
          </cell>
          <cell r="Q3511" t="str">
            <v>Văn Kê Khởi Vũ</v>
          </cell>
        </row>
        <row r="3512">
          <cell r="P3512" t="str">
            <v>Dậu Kê</v>
          </cell>
          <cell r="Q3512" t="str">
            <v>Văn Kê Khởi Vũ</v>
          </cell>
        </row>
        <row r="3513">
          <cell r="P3513" t="str">
            <v>Dậu Kê</v>
          </cell>
          <cell r="Q3513" t="str">
            <v>Văn Kê Khởi Vũ</v>
          </cell>
        </row>
        <row r="3514">
          <cell r="P3514" t="str">
            <v>Dậu Kê</v>
          </cell>
          <cell r="Q3514" t="str">
            <v>Văn Kê Khởi Vũ</v>
          </cell>
        </row>
        <row r="3515">
          <cell r="P3515" t="str">
            <v>Dậu Kê</v>
          </cell>
          <cell r="Q3515" t="str">
            <v>Văn Kê Khởi Vũ</v>
          </cell>
        </row>
        <row r="3516">
          <cell r="P3516" t="str">
            <v>Dậu Kê</v>
          </cell>
          <cell r="Q3516" t="str">
            <v>Văn Kê Khởi Vũ</v>
          </cell>
        </row>
        <row r="3517">
          <cell r="P3517" t="str">
            <v>Dậu Kê</v>
          </cell>
          <cell r="Q3517" t="str">
            <v>Văn Kê Khởi Vũ</v>
          </cell>
        </row>
        <row r="3518">
          <cell r="P3518" t="str">
            <v>Tị Xà</v>
          </cell>
          <cell r="Q3518" t="str">
            <v>Du Nhận Hữu Dư</v>
          </cell>
        </row>
        <row r="3519">
          <cell r="P3519" t="str">
            <v>Tị Xà</v>
          </cell>
          <cell r="Q3519" t="str">
            <v>Du Nhận Hữu Dư</v>
          </cell>
        </row>
        <row r="3520">
          <cell r="P3520" t="str">
            <v>Tị Xà</v>
          </cell>
          <cell r="Q3520" t="str">
            <v>Du Nhận Hữu Dư</v>
          </cell>
        </row>
        <row r="3521">
          <cell r="P3521" t="str">
            <v>Tị Xà</v>
          </cell>
          <cell r="Q3521" t="str">
            <v>Du Nhận Hữu Dư</v>
          </cell>
        </row>
        <row r="3522">
          <cell r="P3522" t="str">
            <v>Tị Xà</v>
          </cell>
          <cell r="Q3522" t="str">
            <v>Du Nhận Hữu Dư</v>
          </cell>
        </row>
        <row r="3523">
          <cell r="P3523" t="str">
            <v>Tị Xà</v>
          </cell>
          <cell r="Q3523" t="str">
            <v>Du Nhận Hữu Dư</v>
          </cell>
        </row>
        <row r="3524">
          <cell r="P3524" t="str">
            <v>Tị Xà</v>
          </cell>
          <cell r="Q3524" t="str">
            <v>Du Nhận Hữu Dư</v>
          </cell>
        </row>
        <row r="3525">
          <cell r="P3525" t="str">
            <v>Tị Xà</v>
          </cell>
          <cell r="Q3525" t="str">
            <v>Du Nhận Hữu Dư</v>
          </cell>
        </row>
        <row r="3526">
          <cell r="P3526" t="str">
            <v>Tị Xà</v>
          </cell>
          <cell r="Q3526" t="str">
            <v>Du Nhận Hữu Dư</v>
          </cell>
        </row>
        <row r="3527">
          <cell r="P3527" t="str">
            <v>Tị Xà</v>
          </cell>
          <cell r="Q3527" t="str">
            <v>Du Nhận Hữu Dư</v>
          </cell>
        </row>
        <row r="3528">
          <cell r="P3528" t="str">
            <v>Ngọ Mã</v>
          </cell>
          <cell r="Q3528" t="str">
            <v>Kim Qua Thiết Mã</v>
          </cell>
        </row>
        <row r="3529">
          <cell r="P3529" t="str">
            <v>Ngọ Mã</v>
          </cell>
          <cell r="Q3529" t="str">
            <v>Kim Qua Thiết Mã</v>
          </cell>
        </row>
        <row r="3530">
          <cell r="P3530" t="str">
            <v>Ngọ Mã</v>
          </cell>
          <cell r="Q3530" t="str">
            <v>Kim Qua Thiết Mã</v>
          </cell>
        </row>
        <row r="3531">
          <cell r="P3531" t="str">
            <v>Ngọ Mã</v>
          </cell>
          <cell r="Q3531" t="str">
            <v>Kim Qua Thiết Mã</v>
          </cell>
        </row>
        <row r="3532">
          <cell r="P3532" t="str">
            <v>Ngọ Mã</v>
          </cell>
          <cell r="Q3532" t="str">
            <v>Kim Qua Thiết Mã</v>
          </cell>
        </row>
        <row r="3533">
          <cell r="P3533" t="str">
            <v>Ngọ Mã</v>
          </cell>
          <cell r="Q3533" t="str">
            <v>Kim Qua Thiết Mã</v>
          </cell>
        </row>
        <row r="3534">
          <cell r="P3534" t="str">
            <v>Ngọ Mã</v>
          </cell>
          <cell r="Q3534" t="str">
            <v>Kim Qua Thiết Mã</v>
          </cell>
        </row>
        <row r="3535">
          <cell r="P3535" t="str">
            <v>Ngọ Mã</v>
          </cell>
          <cell r="Q3535" t="str">
            <v>Kim Qua Thiết Mã</v>
          </cell>
        </row>
        <row r="3536">
          <cell r="P3536" t="str">
            <v>Ngọ Mã</v>
          </cell>
          <cell r="Q3536" t="str">
            <v>Kim Qua Thiết Mã</v>
          </cell>
        </row>
        <row r="3537">
          <cell r="P3537" t="str">
            <v>Ngọ Mã</v>
          </cell>
          <cell r="Q3537" t="str">
            <v>Kim Qua Thiết Mã</v>
          </cell>
        </row>
        <row r="3538">
          <cell r="P3538" t="str">
            <v>Vị Dương</v>
          </cell>
          <cell r="Q3538" t="str">
            <v>Linh Dương Quải Giác</v>
          </cell>
        </row>
        <row r="3539">
          <cell r="P3539" t="str">
            <v>Vị Dương</v>
          </cell>
          <cell r="Q3539" t="str">
            <v>Linh Dương Quải Giác</v>
          </cell>
        </row>
        <row r="3540">
          <cell r="P3540" t="str">
            <v>Vị Dương</v>
          </cell>
          <cell r="Q3540" t="str">
            <v>Linh Dương Quải Giác</v>
          </cell>
        </row>
        <row r="3541">
          <cell r="P3541" t="str">
            <v>Vị Dương</v>
          </cell>
          <cell r="Q3541" t="str">
            <v>Linh Dương Quải Giác</v>
          </cell>
        </row>
        <row r="3542">
          <cell r="P3542" t="str">
            <v>Vị Dương</v>
          </cell>
          <cell r="Q3542" t="str">
            <v>Linh Dương Quải Giác</v>
          </cell>
        </row>
        <row r="3543">
          <cell r="P3543" t="str">
            <v>Vị Dương</v>
          </cell>
          <cell r="Q3543" t="str">
            <v>Linh Dương Quải Giác</v>
          </cell>
        </row>
        <row r="3544">
          <cell r="P3544" t="str">
            <v>Vị Dương</v>
          </cell>
          <cell r="Q3544" t="str">
            <v>Linh Dương Quải Giác</v>
          </cell>
        </row>
        <row r="3545">
          <cell r="P3545" t="str">
            <v>Vị Dương</v>
          </cell>
          <cell r="Q3545" t="str">
            <v>Linh Dương Quải Giác</v>
          </cell>
        </row>
        <row r="3546">
          <cell r="P3546" t="str">
            <v>Vị Dương</v>
          </cell>
          <cell r="Q3546" t="str">
            <v>Linh Dương Quải Giác</v>
          </cell>
        </row>
        <row r="3547">
          <cell r="P3547" t="str">
            <v>Vị Dương</v>
          </cell>
          <cell r="Q3547" t="str">
            <v>Linh Dương Quải Giác</v>
          </cell>
        </row>
        <row r="3548">
          <cell r="P3548" t="str">
            <v>Tử Thử</v>
          </cell>
          <cell r="Q3548" t="str">
            <v>Linh Nha Lỵ Xỉ</v>
          </cell>
        </row>
        <row r="3549">
          <cell r="P3549" t="str">
            <v>Tử Thử</v>
          </cell>
          <cell r="Q3549" t="str">
            <v>Linh Nha Lỵ Xỉ</v>
          </cell>
        </row>
        <row r="3550">
          <cell r="P3550" t="str">
            <v>Tử Thử</v>
          </cell>
          <cell r="Q3550" t="str">
            <v>Linh Nha Lỵ Xỉ</v>
          </cell>
        </row>
        <row r="3551">
          <cell r="P3551" t="str">
            <v>Tử Thử</v>
          </cell>
          <cell r="Q3551" t="str">
            <v>Linh Nha Lỵ Xỉ</v>
          </cell>
        </row>
        <row r="3552">
          <cell r="P3552" t="str">
            <v>Tử Thử</v>
          </cell>
          <cell r="Q3552" t="str">
            <v>Linh Nha Lỵ Xỉ</v>
          </cell>
        </row>
        <row r="3553">
          <cell r="P3553" t="str">
            <v>Tử Thử</v>
          </cell>
          <cell r="Q3553" t="str">
            <v>Linh Nha Lỵ Xỉ</v>
          </cell>
        </row>
        <row r="3554">
          <cell r="P3554" t="str">
            <v>Tử Thử</v>
          </cell>
          <cell r="Q3554" t="str">
            <v>Linh Nha Lỵ Xỉ</v>
          </cell>
        </row>
        <row r="3555">
          <cell r="P3555" t="str">
            <v>Tử Thử</v>
          </cell>
          <cell r="Q3555" t="str">
            <v>Linh Nha Lỵ Xỉ</v>
          </cell>
        </row>
        <row r="3556">
          <cell r="P3556" t="str">
            <v>Tử Thử</v>
          </cell>
          <cell r="Q3556" t="str">
            <v>Linh Nha Lỵ Xỉ</v>
          </cell>
        </row>
        <row r="3557">
          <cell r="P3557" t="str">
            <v>Tử Thử</v>
          </cell>
          <cell r="Q3557" t="str">
            <v>Linh Nha Lỵ Xỉ</v>
          </cell>
        </row>
        <row r="3558">
          <cell r="P3558" t="str">
            <v>Hợi Trư</v>
          </cell>
          <cell r="Q3558" t="str">
            <v>Kinh Cức Chi Cốt</v>
          </cell>
        </row>
        <row r="3559">
          <cell r="P3559" t="str">
            <v>Hợi Trư</v>
          </cell>
          <cell r="Q3559" t="str">
            <v>Kinh Cức Chi Cốt</v>
          </cell>
        </row>
        <row r="3560">
          <cell r="P3560" t="str">
            <v>Hợi Trư</v>
          </cell>
          <cell r="Q3560" t="str">
            <v>Kinh Cức Chi Cốt</v>
          </cell>
        </row>
        <row r="3561">
          <cell r="P3561" t="str">
            <v>Hợi Trư</v>
          </cell>
          <cell r="Q3561" t="str">
            <v>Kinh Cức Chi Cốt</v>
          </cell>
        </row>
        <row r="3562">
          <cell r="P3562" t="str">
            <v>Hợi Trư</v>
          </cell>
          <cell r="Q3562" t="str">
            <v>Kinh Cức Chi Cốt</v>
          </cell>
        </row>
        <row r="3563">
          <cell r="P3563" t="str">
            <v>Hợi Trư</v>
          </cell>
          <cell r="Q3563" t="str">
            <v>Kinh Cức Chi Cốt</v>
          </cell>
        </row>
        <row r="3564">
          <cell r="P3564" t="str">
            <v>Hợi Trư</v>
          </cell>
          <cell r="Q3564" t="str">
            <v>Kinh Cức Chi Cốt</v>
          </cell>
        </row>
        <row r="3565">
          <cell r="P3565" t="str">
            <v>Hợi Trư</v>
          </cell>
          <cell r="Q3565" t="str">
            <v>Kinh Cức Chi Cốt</v>
          </cell>
        </row>
        <row r="3566">
          <cell r="P3566" t="str">
            <v>Hợi Trư</v>
          </cell>
          <cell r="Q3566" t="str">
            <v>Kinh Cức Chi Cốt</v>
          </cell>
        </row>
        <row r="3567">
          <cell r="P3567" t="str">
            <v>Hợi Trư</v>
          </cell>
          <cell r="Q3567" t="str">
            <v>Kinh Cức Chi Cốt</v>
          </cell>
        </row>
        <row r="3568">
          <cell r="P3568" t="str">
            <v>Thú Cẩu</v>
          </cell>
          <cell r="Q3568" t="str">
            <v>Ổn Như Lão Cẩu</v>
          </cell>
        </row>
        <row r="3569">
          <cell r="P3569" t="str">
            <v>Thú Cẩu</v>
          </cell>
          <cell r="Q3569" t="str">
            <v>Ổn Như Lão Cẩu</v>
          </cell>
        </row>
        <row r="3570">
          <cell r="P3570" t="str">
            <v>Thú Cẩu</v>
          </cell>
          <cell r="Q3570" t="str">
            <v>Ổn Như Lão Cẩu</v>
          </cell>
        </row>
        <row r="3571">
          <cell r="P3571" t="str">
            <v>Thú Cẩu</v>
          </cell>
          <cell r="Q3571" t="str">
            <v>Ổn Như Lão Cẩu</v>
          </cell>
        </row>
        <row r="3572">
          <cell r="P3572" t="str">
            <v>Thú Cẩu</v>
          </cell>
          <cell r="Q3572" t="str">
            <v>Ổn Như Lão Cẩu</v>
          </cell>
        </row>
        <row r="3573">
          <cell r="P3573" t="str">
            <v>Thú Cẩu</v>
          </cell>
          <cell r="Q3573" t="str">
            <v>Ổn Như Lão Cẩu</v>
          </cell>
        </row>
        <row r="3574">
          <cell r="P3574" t="str">
            <v>Thú Cẩu</v>
          </cell>
          <cell r="Q3574" t="str">
            <v>Ổn Như Lão Cẩu</v>
          </cell>
        </row>
        <row r="3575">
          <cell r="P3575" t="str">
            <v>Thú Cẩu</v>
          </cell>
          <cell r="Q3575" t="str">
            <v>Ổn Như Lão Cẩu</v>
          </cell>
        </row>
        <row r="3576">
          <cell r="P3576" t="str">
            <v>Thú Cẩu</v>
          </cell>
          <cell r="Q3576" t="str">
            <v>Ổn Như Lão Cẩu</v>
          </cell>
        </row>
        <row r="3577">
          <cell r="P3577" t="str">
            <v>Thú Cẩu</v>
          </cell>
          <cell r="Q3577" t="str">
            <v>Ổn Như Lão Cẩu</v>
          </cell>
        </row>
        <row r="3578">
          <cell r="P3578" t="str">
            <v>Chiến Sĩ</v>
          </cell>
          <cell r="Q3578" t="str">
            <v>Cuồng Khuyển Tê Giảo</v>
          </cell>
        </row>
        <row r="3579">
          <cell r="P3579" t="str">
            <v>Chiến Sĩ</v>
          </cell>
          <cell r="Q3579" t="str">
            <v>Cuồng Khuyển Tê Giảo</v>
          </cell>
        </row>
        <row r="3580">
          <cell r="P3580" t="str">
            <v>Chiến Sĩ</v>
          </cell>
          <cell r="Q3580" t="str">
            <v>Cuồng Khuyển Tê Giảo</v>
          </cell>
        </row>
        <row r="3581">
          <cell r="P3581" t="str">
            <v>Pháp Sư</v>
          </cell>
          <cell r="Q3581" t="str">
            <v>Ưng Nhãn Chuyên Chú</v>
          </cell>
        </row>
        <row r="3582">
          <cell r="P3582" t="str">
            <v>Pháp Sư</v>
          </cell>
          <cell r="Q3582" t="str">
            <v>Ưng Nhãn Chuyên Chú</v>
          </cell>
        </row>
        <row r="3583">
          <cell r="P3583" t="str">
            <v>Pháp Sư</v>
          </cell>
          <cell r="Q3583" t="str">
            <v>Ưng Nhãn Chuyên Chú</v>
          </cell>
        </row>
        <row r="3584">
          <cell r="P3584" t="str">
            <v>Thản Khắc</v>
          </cell>
          <cell r="Q3584" t="str">
            <v>Chấn Nộ Hổ Khiếu</v>
          </cell>
        </row>
        <row r="3585">
          <cell r="P3585" t="str">
            <v>Thản Khắc</v>
          </cell>
          <cell r="Q3585" t="str">
            <v>Chấn Nộ Hổ Khiếu</v>
          </cell>
        </row>
        <row r="3586">
          <cell r="P3586" t="str">
            <v>Thản Khắc</v>
          </cell>
          <cell r="Q3586" t="str">
            <v>Chấn Nộ Hổ Khiếu</v>
          </cell>
        </row>
        <row r="3587">
          <cell r="P3587" t="str">
            <v>Phụ Trợ</v>
          </cell>
          <cell r="Q3587" t="str">
            <v>Thư Kinh Hoạt Lạc</v>
          </cell>
        </row>
        <row r="3588">
          <cell r="P3588" t="str">
            <v>Phụ Trợ</v>
          </cell>
          <cell r="Q3588" t="str">
            <v>Thư Kinh Hoạt Lạc</v>
          </cell>
        </row>
        <row r="3589">
          <cell r="P3589" t="str">
            <v>Phụ Trợ</v>
          </cell>
          <cell r="Q3589" t="str">
            <v>Thư Kinh Hoạt Lạc</v>
          </cell>
        </row>
        <row r="3590">
          <cell r="P3590" t="str">
            <v>Ứng Long</v>
          </cell>
          <cell r="Q3590" t="str">
            <v>Ứng Long Phá Giáp</v>
          </cell>
        </row>
        <row r="3591">
          <cell r="P3591" t="str">
            <v>Ứng Long</v>
          </cell>
          <cell r="Q3591" t="str">
            <v>Ứng Long Phá Giáp</v>
          </cell>
        </row>
        <row r="3592">
          <cell r="P3592" t="str">
            <v>Ứng Long</v>
          </cell>
          <cell r="Q3592" t="str">
            <v>Ứng Long Phá Giáp</v>
          </cell>
        </row>
        <row r="3593">
          <cell r="P3593" t="str">
            <v>Ứng Long</v>
          </cell>
          <cell r="Q3593" t="str">
            <v>Ứng Long Phá Giáp</v>
          </cell>
        </row>
        <row r="3594">
          <cell r="P3594" t="str">
            <v>Ứng Long</v>
          </cell>
          <cell r="Q3594" t="str">
            <v>Ứng Long Phá Giáp</v>
          </cell>
        </row>
        <row r="3595">
          <cell r="P3595" t="str">
            <v>Ứng Long</v>
          </cell>
          <cell r="Q3595" t="str">
            <v>Ứng Long Phá Giáp</v>
          </cell>
        </row>
        <row r="3596">
          <cell r="P3596" t="str">
            <v>Ứng Long</v>
          </cell>
          <cell r="Q3596" t="str">
            <v>Ứng Long Phá Giáp</v>
          </cell>
        </row>
        <row r="3597">
          <cell r="P3597" t="str">
            <v>Ứng Long</v>
          </cell>
          <cell r="Q3597" t="str">
            <v>Ứng Long Phá Giáp</v>
          </cell>
        </row>
        <row r="3598">
          <cell r="P3598" t="str">
            <v>Ứng Long</v>
          </cell>
          <cell r="Q3598" t="str">
            <v>Ứng Long Phá Giáp</v>
          </cell>
        </row>
        <row r="3599">
          <cell r="P3599" t="str">
            <v>Ứng Long</v>
          </cell>
          <cell r="Q3599" t="str">
            <v>Ứng Long Phá Giáp</v>
          </cell>
        </row>
        <row r="3600">
          <cell r="P3600" t="str">
            <v>Ứng Long</v>
          </cell>
          <cell r="Q3600" t="str">
            <v>Ứng Long Phá Giáp</v>
          </cell>
        </row>
        <row r="3601">
          <cell r="P3601" t="str">
            <v>Ứng Long</v>
          </cell>
          <cell r="Q3601" t="str">
            <v>Ứng Long Phá Giáp</v>
          </cell>
        </row>
        <row r="3602">
          <cell r="P3602" t="str">
            <v>Ứng Long</v>
          </cell>
          <cell r="Q3602" t="str">
            <v>Ứng Long Phá Giáp</v>
          </cell>
        </row>
        <row r="3603">
          <cell r="P3603" t="str">
            <v>Thương Long</v>
          </cell>
          <cell r="Q3603" t="str">
            <v>Thương Long Trấn Nhạc</v>
          </cell>
        </row>
        <row r="3604">
          <cell r="P3604" t="str">
            <v>Thương Long</v>
          </cell>
          <cell r="Q3604" t="str">
            <v>Thương Long Trấn Nhạc</v>
          </cell>
        </row>
        <row r="3605">
          <cell r="P3605" t="str">
            <v>Thương Long</v>
          </cell>
          <cell r="Q3605" t="str">
            <v>Thương Long Trấn Nhạc</v>
          </cell>
        </row>
        <row r="3606">
          <cell r="P3606" t="str">
            <v>Thương Long</v>
          </cell>
          <cell r="Q3606" t="str">
            <v>Thương Long Trấn Nhạc</v>
          </cell>
        </row>
        <row r="3607">
          <cell r="P3607" t="str">
            <v>Thương Long</v>
          </cell>
          <cell r="Q3607" t="str">
            <v>Thương Long Trấn Nhạc</v>
          </cell>
        </row>
        <row r="3608">
          <cell r="P3608" t="str">
            <v>Thương Long</v>
          </cell>
          <cell r="Q3608" t="str">
            <v>Thương Long Trấn Nhạc</v>
          </cell>
        </row>
        <row r="3609">
          <cell r="P3609" t="str">
            <v>Thương Long</v>
          </cell>
          <cell r="Q3609" t="str">
            <v>Thương Long Trấn Nhạc</v>
          </cell>
        </row>
        <row r="3610">
          <cell r="P3610" t="str">
            <v>Thương Long</v>
          </cell>
          <cell r="Q3610" t="str">
            <v>Thương Long Trấn Nhạc</v>
          </cell>
        </row>
        <row r="3611">
          <cell r="P3611" t="str">
            <v>Thương Long</v>
          </cell>
          <cell r="Q3611" t="str">
            <v>Thương Long Trấn Nhạc</v>
          </cell>
        </row>
        <row r="3612">
          <cell r="P3612" t="str">
            <v>Thương Long</v>
          </cell>
          <cell r="Q3612" t="str">
            <v>Thương Long Trấn Nhạc</v>
          </cell>
        </row>
        <row r="3613">
          <cell r="P3613" t="str">
            <v>Thương Long</v>
          </cell>
          <cell r="Q3613" t="str">
            <v>Thương Long Trấn Nhạc</v>
          </cell>
        </row>
        <row r="3614">
          <cell r="P3614" t="str">
            <v>Thương Long</v>
          </cell>
          <cell r="Q3614" t="str">
            <v>Thương Long Trấn Nhạc</v>
          </cell>
        </row>
        <row r="3615">
          <cell r="P3615" t="str">
            <v>Thương Long</v>
          </cell>
          <cell r="Q3615" t="str">
            <v>Thương Long Trấn Nhạc</v>
          </cell>
        </row>
        <row r="3616">
          <cell r="P3616" t="str">
            <v>Cầu Long</v>
          </cell>
          <cell r="Q3616" t="str">
            <v>Cầu Long Bố Vũ</v>
          </cell>
        </row>
        <row r="3617">
          <cell r="P3617" t="str">
            <v>Cầu Long</v>
          </cell>
          <cell r="Q3617" t="str">
            <v>Cầu Long Bố Vũ</v>
          </cell>
        </row>
        <row r="3618">
          <cell r="P3618" t="str">
            <v>Cầu Long</v>
          </cell>
          <cell r="Q3618" t="str">
            <v>Cầu Long Bố Vũ</v>
          </cell>
        </row>
        <row r="3619">
          <cell r="P3619" t="str">
            <v>Cầu Long</v>
          </cell>
          <cell r="Q3619" t="str">
            <v>Cầu Long Bố Vũ</v>
          </cell>
        </row>
        <row r="3620">
          <cell r="P3620" t="str">
            <v>Cầu Long</v>
          </cell>
          <cell r="Q3620" t="str">
            <v>Cầu Long Bố Vũ</v>
          </cell>
        </row>
        <row r="3621">
          <cell r="P3621" t="str">
            <v>Cầu Long</v>
          </cell>
          <cell r="Q3621" t="str">
            <v>Cầu Long Bố Vũ</v>
          </cell>
        </row>
        <row r="3622">
          <cell r="P3622" t="str">
            <v>Cầu Long</v>
          </cell>
          <cell r="Q3622" t="str">
            <v>Cầu Long Bố Vũ</v>
          </cell>
        </row>
        <row r="3623">
          <cell r="P3623" t="str">
            <v>Cầu Long</v>
          </cell>
          <cell r="Q3623" t="str">
            <v>Cầu Long Bố Vũ</v>
          </cell>
        </row>
        <row r="3624">
          <cell r="P3624" t="str">
            <v>Cầu Long</v>
          </cell>
          <cell r="Q3624" t="str">
            <v>Cầu Long Bố Vũ</v>
          </cell>
        </row>
        <row r="3625">
          <cell r="P3625" t="str">
            <v>Cầu Long</v>
          </cell>
          <cell r="Q3625" t="str">
            <v>Cầu Long Bố Vũ</v>
          </cell>
        </row>
        <row r="3626">
          <cell r="P3626" t="str">
            <v>Cầu Long</v>
          </cell>
          <cell r="Q3626" t="str">
            <v>Cầu Long Bố Vũ</v>
          </cell>
        </row>
        <row r="3627">
          <cell r="P3627" t="str">
            <v>Cầu Long</v>
          </cell>
          <cell r="Q3627" t="str">
            <v>Cầu Long Bố Vũ</v>
          </cell>
        </row>
        <row r="3628">
          <cell r="P3628" t="str">
            <v>Cầu Long</v>
          </cell>
          <cell r="Q3628" t="str">
            <v>Cầu Long Bố Vũ</v>
          </cell>
        </row>
        <row r="3629">
          <cell r="P3629" t="str">
            <v>Cầu Long</v>
          </cell>
          <cell r="Q3629" t="str">
            <v>Cầu Long Bố Vũ</v>
          </cell>
        </row>
        <row r="3630">
          <cell r="P3630" t="str">
            <v>Cầu Long</v>
          </cell>
          <cell r="Q3630" t="str">
            <v>Cầu Long Bố Vũ</v>
          </cell>
        </row>
        <row r="3631">
          <cell r="P3631" t="str">
            <v>Cầu Long</v>
          </cell>
          <cell r="Q3631" t="str">
            <v>Cầu Long Bố Vũ</v>
          </cell>
        </row>
        <row r="3632">
          <cell r="P3632" t="str">
            <v>Cầu Long</v>
          </cell>
          <cell r="Q3632" t="str">
            <v>Cầu Long Bố Vũ</v>
          </cell>
        </row>
        <row r="3633">
          <cell r="P3633" t="str">
            <v>Cầu Long</v>
          </cell>
          <cell r="Q3633" t="str">
            <v>Cầu Long Bố Vũ</v>
          </cell>
        </row>
        <row r="3634">
          <cell r="P3634" t="str">
            <v>Cầu Long</v>
          </cell>
          <cell r="Q3634" t="str">
            <v>Cầu Long Bố Vũ</v>
          </cell>
        </row>
        <row r="3635">
          <cell r="P3635" t="str">
            <v>Cầu Long</v>
          </cell>
          <cell r="Q3635" t="str">
            <v>Cầu Long Bố Vũ</v>
          </cell>
        </row>
        <row r="3636">
          <cell r="P3636" t="str">
            <v>Cầu Long</v>
          </cell>
          <cell r="Q3636" t="str">
            <v>Cầu Long Bố Vũ</v>
          </cell>
        </row>
        <row r="3637">
          <cell r="P3637" t="str">
            <v>Cầu Long</v>
          </cell>
          <cell r="Q3637" t="str">
            <v>Cầu Long Bố Vũ</v>
          </cell>
        </row>
        <row r="3638">
          <cell r="P3638" t="str">
            <v>Cầu Long</v>
          </cell>
          <cell r="Q3638" t="str">
            <v>Cầu Long Bố Vũ</v>
          </cell>
        </row>
        <row r="3639">
          <cell r="P3639" t="str">
            <v>Cầu Long</v>
          </cell>
          <cell r="Q3639" t="str">
            <v>Cầu Long Bố Vũ</v>
          </cell>
        </row>
        <row r="3640">
          <cell r="P3640" t="str">
            <v>Cầu Long</v>
          </cell>
          <cell r="Q3640" t="str">
            <v>Cầu Long Bố Vũ</v>
          </cell>
        </row>
        <row r="3641">
          <cell r="P3641" t="str">
            <v>Cầu Long</v>
          </cell>
          <cell r="Q3641" t="str">
            <v>Cầu Long Bố Vũ</v>
          </cell>
        </row>
        <row r="3642">
          <cell r="P3642" t="str">
            <v>Vân Long</v>
          </cell>
          <cell r="Q3642" t="str">
            <v>Vân Long Hộ Pháp</v>
          </cell>
        </row>
        <row r="3643">
          <cell r="P3643" t="str">
            <v>Vân Long</v>
          </cell>
          <cell r="Q3643" t="str">
            <v>Vân Long Hộ Pháp</v>
          </cell>
        </row>
        <row r="3644">
          <cell r="P3644" t="str">
            <v>Vân Long</v>
          </cell>
          <cell r="Q3644" t="str">
            <v>Vân Long Hộ Pháp</v>
          </cell>
        </row>
        <row r="3645">
          <cell r="P3645" t="str">
            <v>Vân Long</v>
          </cell>
          <cell r="Q3645" t="str">
            <v>Vân Long Hộ Pháp</v>
          </cell>
        </row>
        <row r="3646">
          <cell r="P3646" t="str">
            <v>Vân Long</v>
          </cell>
          <cell r="Q3646" t="str">
            <v>Vân Long Hộ Pháp</v>
          </cell>
        </row>
        <row r="3647">
          <cell r="P3647" t="str">
            <v>Vân Long</v>
          </cell>
          <cell r="Q3647" t="str">
            <v>Vân Long Hộ Pháp</v>
          </cell>
        </row>
        <row r="3648">
          <cell r="P3648" t="str">
            <v>Vân Long</v>
          </cell>
          <cell r="Q3648" t="str">
            <v>Vân Long Hộ Pháp</v>
          </cell>
        </row>
        <row r="3649">
          <cell r="P3649" t="str">
            <v>Vân Long</v>
          </cell>
          <cell r="Q3649" t="str">
            <v>Vân Long Hộ Pháp</v>
          </cell>
        </row>
        <row r="3650">
          <cell r="P3650" t="str">
            <v>Vân Long</v>
          </cell>
          <cell r="Q3650" t="str">
            <v>Vân Long Hộ Pháp</v>
          </cell>
        </row>
        <row r="3651">
          <cell r="P3651" t="str">
            <v>Vân Long</v>
          </cell>
          <cell r="Q3651" t="str">
            <v>Vân Long Hộ Pháp</v>
          </cell>
        </row>
        <row r="3652">
          <cell r="P3652" t="str">
            <v>Vân Long</v>
          </cell>
          <cell r="Q3652" t="str">
            <v>Vân Long Hộ Pháp</v>
          </cell>
        </row>
        <row r="3653">
          <cell r="P3653" t="str">
            <v>Vân Long</v>
          </cell>
          <cell r="Q3653" t="str">
            <v>Vân Long Hộ Pháp</v>
          </cell>
        </row>
        <row r="3654">
          <cell r="P3654" t="str">
            <v>Vân Long</v>
          </cell>
          <cell r="Q3654" t="str">
            <v>Vân Long Hộ Pháp</v>
          </cell>
        </row>
        <row r="3655">
          <cell r="Q3655" t="str">
            <v>Sơ Cấp Thần Tốc</v>
          </cell>
        </row>
        <row r="3656">
          <cell r="Q3656" t="str">
            <v>Trung Cấp Thần Tốc</v>
          </cell>
        </row>
        <row r="3657">
          <cell r="Q3657" t="str">
            <v>Cao Cấp Thần Tốc</v>
          </cell>
        </row>
        <row r="3658">
          <cell r="Q3658" t="str">
            <v>Siêu Cấp Thần Tốc</v>
          </cell>
        </row>
        <row r="3659">
          <cell r="Q3659" t="str">
            <v>Sơ Cấp Vật Liên</v>
          </cell>
        </row>
        <row r="3660">
          <cell r="Q3660" t="str">
            <v>Trung Cấp Vật Liên</v>
          </cell>
        </row>
        <row r="3661">
          <cell r="Q3661" t="str">
            <v>Cao Cấp Vật Liên</v>
          </cell>
        </row>
        <row r="3662">
          <cell r="Q3662" t="str">
            <v>Siêu Cấp Vật Liên</v>
          </cell>
        </row>
        <row r="3663">
          <cell r="Q3663" t="str">
            <v>Sơ Cấp Pháp Liên</v>
          </cell>
        </row>
        <row r="3664">
          <cell r="Q3664" t="str">
            <v>Trung Cấp Pháp Liên</v>
          </cell>
        </row>
        <row r="3665">
          <cell r="Q3665" t="str">
            <v>Cao Cấp Pháp Liên</v>
          </cell>
        </row>
        <row r="3666">
          <cell r="Q3666" t="str">
            <v>Siêu Cấp Pháp Liên</v>
          </cell>
        </row>
        <row r="3667">
          <cell r="Q3667" t="str">
            <v>Sơ Cấp Trí Tuệ</v>
          </cell>
        </row>
        <row r="3668">
          <cell r="Q3668" t="str">
            <v>Trung Cấp Trí Tuệ</v>
          </cell>
        </row>
        <row r="3669">
          <cell r="Q3669" t="str">
            <v>Cao Cấp Trí Tuệ</v>
          </cell>
        </row>
        <row r="3670">
          <cell r="Q3670" t="str">
            <v>Siêu Cấp Trí Tuệ</v>
          </cell>
        </row>
        <row r="3671">
          <cell r="Q3671" t="str">
            <v>Sơ Cấp Thần Vũ</v>
          </cell>
        </row>
        <row r="3672">
          <cell r="Q3672" t="str">
            <v>Trung Cấp Thần Vũ</v>
          </cell>
        </row>
        <row r="3673">
          <cell r="Q3673" t="str">
            <v>Cao Cấp Thần Vũ</v>
          </cell>
        </row>
        <row r="3674">
          <cell r="Q3674" t="str">
            <v>Siêu Cấp Thần Vũ</v>
          </cell>
        </row>
        <row r="3675">
          <cell r="Q3675" t="str">
            <v>Sơ Cấp Truy Kích</v>
          </cell>
        </row>
        <row r="3676">
          <cell r="Q3676" t="str">
            <v>Trung Cấp Truy Kích</v>
          </cell>
        </row>
        <row r="3677">
          <cell r="Q3677" t="str">
            <v>Cao Cấp Truy Kích</v>
          </cell>
        </row>
        <row r="3678">
          <cell r="Q3678" t="str">
            <v>Siêu Cấp Truy Kích</v>
          </cell>
        </row>
        <row r="3679">
          <cell r="Q3679" t="str">
            <v>Sơ Cấp Bạo Tập</v>
          </cell>
        </row>
        <row r="3680">
          <cell r="Q3680" t="str">
            <v>Trung Cấp Bạo Tập</v>
          </cell>
        </row>
        <row r="3681">
          <cell r="Q3681" t="str">
            <v>Cao Cấp Bạo Tập</v>
          </cell>
        </row>
        <row r="3682">
          <cell r="Q3682" t="str">
            <v>Siêu Cấp Bạo Tập</v>
          </cell>
        </row>
        <row r="3683">
          <cell r="Q3683" t="str">
            <v>Sơ Cấp Bạo Nộ</v>
          </cell>
        </row>
        <row r="3684">
          <cell r="Q3684" t="str">
            <v>Trung Cấp Bạo Nộ</v>
          </cell>
        </row>
        <row r="3685">
          <cell r="Q3685" t="str">
            <v>Cao Cấp Bạo Nộ</v>
          </cell>
        </row>
        <row r="3686">
          <cell r="Q3686" t="str">
            <v>Siêu Cấp Bạo Nộ</v>
          </cell>
        </row>
        <row r="3687">
          <cell r="Q3687" t="str">
            <v>Sơ Cấp Cuồng Bạo</v>
          </cell>
        </row>
        <row r="3688">
          <cell r="Q3688" t="str">
            <v>Trung Cấp Cuồng Bạo</v>
          </cell>
        </row>
        <row r="3689">
          <cell r="Q3689" t="str">
            <v>Cao Cấp Cuồng Bạo</v>
          </cell>
        </row>
        <row r="3690">
          <cell r="Q3690" t="str">
            <v>Siêu Cấp Cuồng Bạo</v>
          </cell>
        </row>
        <row r="3691">
          <cell r="Q3691" t="str">
            <v>Sơ Cấp Huyết Nộ</v>
          </cell>
        </row>
        <row r="3692">
          <cell r="Q3692" t="str">
            <v>Trung Cấp Huyết Nộ</v>
          </cell>
        </row>
        <row r="3693">
          <cell r="Q3693" t="str">
            <v>Cao Cấp Huyết Nộ</v>
          </cell>
        </row>
        <row r="3694">
          <cell r="Q3694" t="str">
            <v>Siêu Cấp Huyết Nộ</v>
          </cell>
        </row>
        <row r="3695">
          <cell r="Q3695" t="str">
            <v>Sơ Cấp Tí Hộ</v>
          </cell>
        </row>
        <row r="3696">
          <cell r="Q3696" t="str">
            <v>Trung Cấp Tí Hộ</v>
          </cell>
        </row>
        <row r="3697">
          <cell r="Q3697" t="str">
            <v>Cao Cấp Tí Hộ</v>
          </cell>
        </row>
        <row r="3698">
          <cell r="Q3698" t="str">
            <v>Siêu Cấp Tí Hộ</v>
          </cell>
        </row>
        <row r="3699">
          <cell r="Q3699" t="str">
            <v>Sơ Cấp Chiến Hống</v>
          </cell>
        </row>
        <row r="3700">
          <cell r="Q3700" t="str">
            <v>Trung Cấp Chiến Hống</v>
          </cell>
        </row>
        <row r="3701">
          <cell r="Q3701" t="str">
            <v>Cao Cấp Chiến Hống</v>
          </cell>
        </row>
        <row r="3702">
          <cell r="Q3702" t="str">
            <v>Siêu Cấp Chiến Hống</v>
          </cell>
        </row>
        <row r="3703">
          <cell r="Q3703" t="str">
            <v>Sơ Cấp Dịch Bệnh</v>
          </cell>
        </row>
        <row r="3704">
          <cell r="Q3704" t="str">
            <v>Trung Cấp Dịch Bệnh</v>
          </cell>
        </row>
        <row r="3705">
          <cell r="Q3705" t="str">
            <v>Cao Cấp Dịch Bệnh</v>
          </cell>
        </row>
        <row r="3706">
          <cell r="Q3706" t="str">
            <v>Siêu Cấp Dịch Bệnh</v>
          </cell>
        </row>
        <row r="3707">
          <cell r="Q3707" t="str">
            <v>Sơ Cấp Câu Hồn</v>
          </cell>
        </row>
        <row r="3708">
          <cell r="Q3708" t="str">
            <v>Trung Cấp Câu Hồn</v>
          </cell>
        </row>
        <row r="3709">
          <cell r="Q3709" t="str">
            <v>Cao Cấp Câu Hồn</v>
          </cell>
        </row>
        <row r="3710">
          <cell r="Q3710" t="str">
            <v>Siêu Cấp Câu Hồn</v>
          </cell>
        </row>
        <row r="3711">
          <cell r="Q3711" t="str">
            <v>Sơ Cấp Khu Tán</v>
          </cell>
        </row>
        <row r="3712">
          <cell r="Q3712" t="str">
            <v>Trung Cấp Khu Tán</v>
          </cell>
        </row>
        <row r="3713">
          <cell r="Q3713" t="str">
            <v>Cao Cấp Khu Tán</v>
          </cell>
        </row>
        <row r="3714">
          <cell r="Q3714" t="str">
            <v>Siêu Cấp Khu Tán</v>
          </cell>
        </row>
        <row r="3715">
          <cell r="Q3715" t="str">
            <v>Sơ Cấp Mãnh Kích</v>
          </cell>
        </row>
        <row r="3716">
          <cell r="Q3716" t="str">
            <v>Trung Cấp Mãnh Kích</v>
          </cell>
        </row>
        <row r="3717">
          <cell r="Q3717" t="str">
            <v>Cao Cấp Mãnh Kích</v>
          </cell>
        </row>
        <row r="3718">
          <cell r="Q3718" t="str">
            <v>Siêu Cấp Mãnh Kích</v>
          </cell>
        </row>
        <row r="3719">
          <cell r="Q3719" t="str">
            <v>Sơ Cấp Trào Phúng</v>
          </cell>
        </row>
        <row r="3720">
          <cell r="Q3720" t="str">
            <v>Trung Cấp Trào Phúng</v>
          </cell>
        </row>
        <row r="3721">
          <cell r="Q3721" t="str">
            <v>Cao Cấp Trào Phúng</v>
          </cell>
        </row>
        <row r="3722">
          <cell r="Q3722" t="str">
            <v>Siêu Cấp Trào Phúng</v>
          </cell>
        </row>
        <row r="3723">
          <cell r="Q3723" t="str">
            <v>Sơ Cấp Giảm Tốc</v>
          </cell>
        </row>
        <row r="3724">
          <cell r="Q3724" t="str">
            <v>Trung Cấp Giảm Tốc</v>
          </cell>
        </row>
        <row r="3725">
          <cell r="Q3725" t="str">
            <v>Cao Cấp Giảm Tốc</v>
          </cell>
        </row>
        <row r="3726">
          <cell r="Q3726" t="str">
            <v>Siêu Cấp Giảm Tốc</v>
          </cell>
        </row>
        <row r="3727">
          <cell r="Q3727" t="str">
            <v>Sơ Cấp Hi Sinh</v>
          </cell>
        </row>
        <row r="3728">
          <cell r="Q3728" t="str">
            <v>Trung Cấp Hi Sinh</v>
          </cell>
        </row>
        <row r="3729">
          <cell r="Q3729" t="str">
            <v>Cao Cấp Hi Sinh</v>
          </cell>
        </row>
        <row r="3730">
          <cell r="Q3730" t="str">
            <v>Siêu Cấp Hi Sinh</v>
          </cell>
        </row>
        <row r="3731">
          <cell r="Q3731" t="str">
            <v>Sơ Cấp Thiểm Tị</v>
          </cell>
        </row>
        <row r="3732">
          <cell r="Q3732" t="str">
            <v>Trung Cấp Thiểm Tị</v>
          </cell>
        </row>
        <row r="3733">
          <cell r="Q3733" t="str">
            <v>Cao Cấp Thiểm Tị</v>
          </cell>
        </row>
        <row r="3734">
          <cell r="Q3734" t="str">
            <v>Siêu Cấp Thiểm Tị</v>
          </cell>
        </row>
        <row r="3735">
          <cell r="Q3735" t="str">
            <v>Sơ Cấp Áp Chế</v>
          </cell>
        </row>
        <row r="3736">
          <cell r="Q3736" t="str">
            <v>Trung Cấp Áp Chế</v>
          </cell>
        </row>
        <row r="3737">
          <cell r="Q3737" t="str">
            <v>Cao Cấp Áp Chế</v>
          </cell>
        </row>
        <row r="3738">
          <cell r="Q3738" t="str">
            <v>Siêu Cấp Áp Chế</v>
          </cell>
        </row>
        <row r="3739">
          <cell r="Q3739" t="str">
            <v>Sơ Cấp Miểu Chuẩn</v>
          </cell>
        </row>
        <row r="3740">
          <cell r="Q3740" t="str">
            <v>Trung Cấp Miểu Chuẩn</v>
          </cell>
        </row>
        <row r="3741">
          <cell r="Q3741" t="str">
            <v>Cao Cấp Miểu Chuẩn</v>
          </cell>
        </row>
        <row r="3742">
          <cell r="Q3742" t="str">
            <v>Siêu Cấp Miểu Chuẩn</v>
          </cell>
        </row>
        <row r="3743">
          <cell r="Q3743" t="str">
            <v>Sơ Cấp Tự Luật</v>
          </cell>
        </row>
        <row r="3744">
          <cell r="Q3744" t="str">
            <v>Trung Cấp Tự Luật</v>
          </cell>
        </row>
        <row r="3745">
          <cell r="Q3745" t="str">
            <v>Cao Cấp Tự Luật</v>
          </cell>
        </row>
        <row r="3746">
          <cell r="Q3746" t="str">
            <v>Siêu Cấp Tự Luật</v>
          </cell>
        </row>
        <row r="3747">
          <cell r="Q3747" t="str">
            <v>Sơ Cấp Kháng Khống</v>
          </cell>
        </row>
        <row r="3748">
          <cell r="Q3748" t="str">
            <v>Trung Cấp Kháng Khống</v>
          </cell>
        </row>
        <row r="3749">
          <cell r="Q3749" t="str">
            <v>Cao Cấp Kháng Khống</v>
          </cell>
        </row>
        <row r="3750">
          <cell r="Q3750" t="str">
            <v>Siêu Cấp Kháng Khống</v>
          </cell>
        </row>
        <row r="3751">
          <cell r="Q3751" t="str">
            <v>Sơ Cấp Dũ Hợp</v>
          </cell>
        </row>
        <row r="3752">
          <cell r="Q3752" t="str">
            <v>Trung Cấp Dũ Hợp</v>
          </cell>
        </row>
        <row r="3753">
          <cell r="Q3753" t="str">
            <v>Cao Cấp Dũ Hợp</v>
          </cell>
        </row>
        <row r="3754">
          <cell r="Q3754" t="str">
            <v>Siêu Cấp Dũ Hợp</v>
          </cell>
        </row>
        <row r="3755">
          <cell r="Q3755" t="str">
            <v>Sơ Cấp Tái Sinh</v>
          </cell>
        </row>
        <row r="3756">
          <cell r="Q3756" t="str">
            <v>Trung Cấp Tái Sinh</v>
          </cell>
        </row>
        <row r="3757">
          <cell r="Q3757" t="str">
            <v>Cao Cấp Tái Sinh</v>
          </cell>
        </row>
        <row r="3758">
          <cell r="Q3758" t="str">
            <v>Siêu Cấp Tái Sinh</v>
          </cell>
        </row>
        <row r="3759">
          <cell r="Q3759" t="str">
            <v>Sơ Cấp Trọng Sinh</v>
          </cell>
        </row>
        <row r="3760">
          <cell r="Q3760" t="str">
            <v>Trung Cấp Trọng Sinh</v>
          </cell>
        </row>
        <row r="3761">
          <cell r="Q3761" t="str">
            <v>Cao Cấp Trọng Sinh</v>
          </cell>
        </row>
        <row r="3762">
          <cell r="Q3762" t="str">
            <v>Siêu Cấp Trọng Sinh</v>
          </cell>
        </row>
        <row r="3763">
          <cell r="Q3763" t="str">
            <v>Sơ Cấp Chỉ Bạo</v>
          </cell>
        </row>
        <row r="3764">
          <cell r="Q3764" t="str">
            <v>Trung Cấp Chỉ Bạo</v>
          </cell>
        </row>
        <row r="3765">
          <cell r="Q3765" t="str">
            <v>Cao Cấp Chỉ Bạo</v>
          </cell>
        </row>
        <row r="3766">
          <cell r="Q3766" t="str">
            <v>Siêu Cấp Chỉ Bạo</v>
          </cell>
        </row>
        <row r="3767">
          <cell r="Q3767" t="str">
            <v>Sơ Cấp Ma Giáp</v>
          </cell>
        </row>
        <row r="3768">
          <cell r="Q3768" t="str">
            <v>Trung Cấp Ma Giáp</v>
          </cell>
        </row>
        <row r="3769">
          <cell r="Q3769" t="str">
            <v>Cao Cấp Ma Giáp</v>
          </cell>
        </row>
        <row r="3770">
          <cell r="Q3770" t="str">
            <v>Siêu Cấp Ma Giáp</v>
          </cell>
        </row>
        <row r="3771">
          <cell r="Q3771" t="str">
            <v>Sơ Cấp Chiến Giáp</v>
          </cell>
        </row>
        <row r="3772">
          <cell r="Q3772" t="str">
            <v>Trung Cấp Chiến Giáp</v>
          </cell>
        </row>
        <row r="3773">
          <cell r="Q3773" t="str">
            <v>Cao Cấp Chiến Giáp</v>
          </cell>
        </row>
        <row r="3774">
          <cell r="Q3774" t="str">
            <v>Siêu Cấp Chiến Giáp</v>
          </cell>
        </row>
        <row r="3775">
          <cell r="Q3775" t="str">
            <v>Sơ Cấp Thần Ân</v>
          </cell>
        </row>
        <row r="3776">
          <cell r="Q3776" t="str">
            <v>Trung Cấp Thần Ân</v>
          </cell>
        </row>
        <row r="3777">
          <cell r="Q3777" t="str">
            <v>Cao Cấp Thần Ân</v>
          </cell>
        </row>
        <row r="3778">
          <cell r="Q3778" t="str">
            <v>Siêu Cấp Thần Ân</v>
          </cell>
        </row>
        <row r="3779">
          <cell r="Q3779" t="str">
            <v>Sơ Cấp Nghị Trọng</v>
          </cell>
        </row>
        <row r="3780">
          <cell r="Q3780" t="str">
            <v>Trung Cấp Nghị Trọng</v>
          </cell>
        </row>
        <row r="3781">
          <cell r="Q3781" t="str">
            <v>Cao Cấp Nghị Trọng</v>
          </cell>
        </row>
        <row r="3782">
          <cell r="Q3782" t="str">
            <v>Siêu Cấp Nghị Trọng</v>
          </cell>
        </row>
        <row r="3783">
          <cell r="Q3783" t="str">
            <v>Sơ Cấp Xuyên Thấu</v>
          </cell>
        </row>
        <row r="3784">
          <cell r="Q3784" t="str">
            <v>Trung Cấp Xuyên Thấu</v>
          </cell>
        </row>
        <row r="3785">
          <cell r="Q3785" t="str">
            <v>Cao Cấp Xuyên Thấu</v>
          </cell>
        </row>
        <row r="3786">
          <cell r="Q3786" t="str">
            <v>Siêu Cấp Xuyên Thấu</v>
          </cell>
        </row>
        <row r="3787">
          <cell r="Q3787" t="str">
            <v>Sơ Cấp Khống Tràng</v>
          </cell>
        </row>
        <row r="3788">
          <cell r="Q3788" t="str">
            <v>Trung Cấp Khống Tràng</v>
          </cell>
        </row>
        <row r="3789">
          <cell r="Q3789" t="str">
            <v>Cao Cấp Khống Tràng</v>
          </cell>
        </row>
        <row r="3790">
          <cell r="Q3790" t="str">
            <v>Siêu Cấp Khống Tràng</v>
          </cell>
        </row>
        <row r="3791">
          <cell r="Q3791" t="str">
            <v>Sơ Cấp Miễn Thương</v>
          </cell>
        </row>
        <row r="3792">
          <cell r="Q3792" t="str">
            <v>Trung Cấp Miễn Thương</v>
          </cell>
        </row>
        <row r="3793">
          <cell r="Q3793" t="str">
            <v>Cao Cấp Miễn Thương</v>
          </cell>
        </row>
        <row r="3794">
          <cell r="Q3794" t="str">
            <v>Siêu Cấp Miễn Thương</v>
          </cell>
        </row>
        <row r="3795">
          <cell r="Q3795" t="str">
            <v>Sơ Cấp Hấp Huyết</v>
          </cell>
        </row>
        <row r="3796">
          <cell r="Q3796" t="str">
            <v>Trung Cấp Hấp Huyết</v>
          </cell>
        </row>
        <row r="3797">
          <cell r="Q3797" t="str">
            <v>Cao Cấp Hấp Huyết</v>
          </cell>
        </row>
        <row r="3798">
          <cell r="Q3798" t="str">
            <v>Siêu Cấp Hấp Huyết</v>
          </cell>
        </row>
        <row r="3799">
          <cell r="Q3799" t="str">
            <v>Sơ Cấp Hậu Giáp</v>
          </cell>
        </row>
        <row r="3800">
          <cell r="Q3800" t="str">
            <v>Trung Cấp Hậu Giáp</v>
          </cell>
        </row>
        <row r="3801">
          <cell r="Q3801" t="str">
            <v>Cao Cấp Hậu Giáp</v>
          </cell>
        </row>
        <row r="3802">
          <cell r="Q3802" t="str">
            <v>Siêu Cấp Hậu Giáp</v>
          </cell>
        </row>
        <row r="3803">
          <cell r="Q3803" t="str">
            <v>Sơ Cấp Viên Hộ</v>
          </cell>
        </row>
        <row r="3804">
          <cell r="Q3804" t="str">
            <v>Trung Cấp Viên Hộ</v>
          </cell>
        </row>
        <row r="3805">
          <cell r="Q3805" t="str">
            <v>Cao Cấp Viên Hộ</v>
          </cell>
        </row>
        <row r="3806">
          <cell r="Q3806" t="str">
            <v>Siêu Cấp Viên Hộ</v>
          </cell>
        </row>
        <row r="3807">
          <cell r="Q3807" t="str">
            <v>Sơ Cấp Thanh Khiết</v>
          </cell>
        </row>
        <row r="3808">
          <cell r="Q3808" t="str">
            <v>Trung Cấp Thanh Khiết</v>
          </cell>
        </row>
        <row r="3809">
          <cell r="Q3809" t="str">
            <v>Cao Cấp Thanh Khiết</v>
          </cell>
        </row>
        <row r="3810">
          <cell r="Q3810" t="str">
            <v>Siêu Cấp Thanh Khiết</v>
          </cell>
        </row>
        <row r="3811">
          <cell r="Q3811" t="str">
            <v>Sơ Cấp Phản Thương</v>
          </cell>
        </row>
        <row r="3812">
          <cell r="Q3812" t="str">
            <v>Trung Cấp Phản Thương</v>
          </cell>
        </row>
        <row r="3813">
          <cell r="Q3813" t="str">
            <v>Cao Cấp Phản Thương</v>
          </cell>
        </row>
        <row r="3814">
          <cell r="Q3814" t="str">
            <v>Siêu Cấp Phản Thương</v>
          </cell>
        </row>
        <row r="3815">
          <cell r="Q3815" t="str">
            <v>Sơ Cấp Hãn Dũng</v>
          </cell>
        </row>
        <row r="3816">
          <cell r="Q3816" t="str">
            <v>Trung Cấp Hãn Dũng</v>
          </cell>
        </row>
        <row r="3817">
          <cell r="Q3817" t="str">
            <v>Cao Cấp Hãn Dũng</v>
          </cell>
        </row>
        <row r="3818">
          <cell r="Q3818" t="str">
            <v>Siêu Cấp Hãn Dũng</v>
          </cell>
        </row>
        <row r="3819">
          <cell r="Q3819" t="str">
            <v>Sơ Cấp Hội Tâm</v>
          </cell>
        </row>
        <row r="3820">
          <cell r="Q3820" t="str">
            <v>Trung Cấp Hội Tâm</v>
          </cell>
        </row>
        <row r="3821">
          <cell r="Q3821" t="str">
            <v>Cao Cấp Hội Tâm</v>
          </cell>
        </row>
        <row r="3822">
          <cell r="Q3822" t="str">
            <v>Siêu Cấp Hội Tâm</v>
          </cell>
        </row>
        <row r="3823">
          <cell r="Q3823" t="str">
            <v>Sơ Cấp Phù Động</v>
          </cell>
        </row>
        <row r="3824">
          <cell r="Q3824" t="str">
            <v>Trung Cấp Phù Động</v>
          </cell>
        </row>
        <row r="3825">
          <cell r="Q3825" t="str">
            <v>Cao Cấp Phù Động</v>
          </cell>
        </row>
        <row r="3826">
          <cell r="Q3826" t="str">
            <v>Siêu Cấp Phù Động</v>
          </cell>
        </row>
        <row r="3827">
          <cell r="Q3827" t="str">
            <v>Sơ Cấp Tị Hiểm</v>
          </cell>
        </row>
        <row r="3828">
          <cell r="Q3828" t="str">
            <v>Trung Cấp Tị Hiểm</v>
          </cell>
        </row>
        <row r="3829">
          <cell r="Q3829" t="str">
            <v>Cao Cấp Tị Hiểm</v>
          </cell>
        </row>
        <row r="3830">
          <cell r="Q3830" t="str">
            <v>Siêu Cấp Tị Hiểm</v>
          </cell>
        </row>
        <row r="3831">
          <cell r="Q3831" t="str">
            <v>Sơ Cấp Hồi Hồn</v>
          </cell>
        </row>
        <row r="3832">
          <cell r="Q3832" t="str">
            <v>Trung Cấp Hồi Hồn</v>
          </cell>
        </row>
        <row r="3833">
          <cell r="Q3833" t="str">
            <v>Cao Cấp Hồi Hồn</v>
          </cell>
        </row>
        <row r="3834">
          <cell r="Q3834" t="str">
            <v>Siêu Cấp Hồi Hồn</v>
          </cell>
        </row>
        <row r="3835">
          <cell r="Q3835" t="str">
            <v>Sơ Cấp Diệt Hồn</v>
          </cell>
        </row>
        <row r="3836">
          <cell r="Q3836" t="str">
            <v>Trung Cấp Diệt Hồn</v>
          </cell>
        </row>
        <row r="3837">
          <cell r="Q3837" t="str">
            <v>Cao Cấp Diệt Hồn</v>
          </cell>
        </row>
        <row r="3838">
          <cell r="Q3838" t="str">
            <v>Siêu Cấp Diệt Hồn</v>
          </cell>
        </row>
        <row r="3839">
          <cell r="Q3839" t="str">
            <v>Hồng Liên Lv.1</v>
          </cell>
        </row>
        <row r="3840">
          <cell r="Q3840" t="str">
            <v>Hồng Liên Lv.2</v>
          </cell>
        </row>
        <row r="3841">
          <cell r="Q3841" t="str">
            <v>Hồng Liên Lv.3</v>
          </cell>
        </row>
        <row r="3842">
          <cell r="Q3842" t="str">
            <v>Thiên Tuyền Lv.1</v>
          </cell>
        </row>
        <row r="3843">
          <cell r="Q3843" t="str">
            <v>Thiên Tuyền Lv.2</v>
          </cell>
        </row>
        <row r="3844">
          <cell r="Q3844" t="str">
            <v>Thiên Tuyền Lv.3</v>
          </cell>
        </row>
        <row r="3845">
          <cell r="Q3845" t="str">
            <v>Thanh Long Lv1</v>
          </cell>
        </row>
        <row r="3846">
          <cell r="Q3846" t="str">
            <v>Thanh Long Lv2</v>
          </cell>
        </row>
        <row r="3847">
          <cell r="Q3847" t="str">
            <v>Thanh Long Lv3</v>
          </cell>
        </row>
        <row r="3848">
          <cell r="Q3848" t="str">
            <v>Thanh Long Lv4</v>
          </cell>
        </row>
        <row r="3849">
          <cell r="Q3849" t="str">
            <v>Thanh Long Lv5</v>
          </cell>
        </row>
        <row r="3850">
          <cell r="Q3850" t="str">
            <v>Thanh Long Lv6</v>
          </cell>
        </row>
        <row r="3851">
          <cell r="Q3851" t="str">
            <v>Thanh Long Lv7</v>
          </cell>
        </row>
        <row r="3852">
          <cell r="Q3852" t="str">
            <v>Thanh Long Lv8</v>
          </cell>
        </row>
        <row r="3853">
          <cell r="Q3853" t="str">
            <v>Thanh Long Lv9</v>
          </cell>
        </row>
        <row r="3854">
          <cell r="Q3854" t="str">
            <v>Thanh Long Lv10</v>
          </cell>
        </row>
        <row r="3855">
          <cell r="Q3855" t="str">
            <v>Bạch Hổ Lv1</v>
          </cell>
        </row>
        <row r="3856">
          <cell r="Q3856" t="str">
            <v>Bạch Hổ Lv2</v>
          </cell>
        </row>
        <row r="3857">
          <cell r="Q3857" t="str">
            <v>Bạch Hổ Lv3</v>
          </cell>
        </row>
        <row r="3858">
          <cell r="Q3858" t="str">
            <v>Bạch Hổ Lv4</v>
          </cell>
        </row>
        <row r="3859">
          <cell r="Q3859" t="str">
            <v>Bạch Hổ Lv5</v>
          </cell>
        </row>
        <row r="3860">
          <cell r="Q3860" t="str">
            <v>Bạch Hổ Lv6</v>
          </cell>
        </row>
        <row r="3861">
          <cell r="Q3861" t="str">
            <v>Bạch Hổ Lv7</v>
          </cell>
        </row>
        <row r="3862">
          <cell r="Q3862" t="str">
            <v>Bạch Hổ Lv8</v>
          </cell>
        </row>
        <row r="3863">
          <cell r="Q3863" t="str">
            <v>Bạch Hổ Lv9</v>
          </cell>
        </row>
        <row r="3864">
          <cell r="Q3864" t="str">
            <v>Bạch Hổ Lv10</v>
          </cell>
        </row>
        <row r="3865">
          <cell r="Q3865" t="str">
            <v>Chu Tước Lv1</v>
          </cell>
        </row>
        <row r="3866">
          <cell r="Q3866" t="str">
            <v>Chu Tước Lv2</v>
          </cell>
        </row>
        <row r="3867">
          <cell r="Q3867" t="str">
            <v>Chu Tước Lv3</v>
          </cell>
        </row>
        <row r="3868">
          <cell r="Q3868" t="str">
            <v>Chu Tước Lv4</v>
          </cell>
        </row>
        <row r="3869">
          <cell r="Q3869" t="str">
            <v>Chu Tước Lv5</v>
          </cell>
        </row>
        <row r="3870">
          <cell r="Q3870" t="str">
            <v>Chu Tước Lv6</v>
          </cell>
        </row>
        <row r="3871">
          <cell r="Q3871" t="str">
            <v>Chu Tước Lv7</v>
          </cell>
        </row>
        <row r="3872">
          <cell r="Q3872" t="str">
            <v>Chu Tước Lv8</v>
          </cell>
        </row>
        <row r="3873">
          <cell r="Q3873" t="str">
            <v>Chu Tước Lv9</v>
          </cell>
        </row>
        <row r="3874">
          <cell r="Q3874" t="str">
            <v>Chu Tước Lv10</v>
          </cell>
        </row>
        <row r="3875">
          <cell r="Q3875" t="str">
            <v>Huyền Vũ Lv1</v>
          </cell>
        </row>
        <row r="3876">
          <cell r="Q3876" t="str">
            <v>Huyền Vũ Lv2</v>
          </cell>
        </row>
        <row r="3877">
          <cell r="Q3877" t="str">
            <v>Huyền Vũ Lv3</v>
          </cell>
        </row>
        <row r="3878">
          <cell r="Q3878" t="str">
            <v>Huyền Vũ Lv4</v>
          </cell>
        </row>
        <row r="3879">
          <cell r="Q3879" t="str">
            <v>Huyền Vũ Lv5</v>
          </cell>
        </row>
        <row r="3880">
          <cell r="Q3880" t="str">
            <v>Huyền Vũ Lv6</v>
          </cell>
        </row>
        <row r="3881">
          <cell r="Q3881" t="str">
            <v>Huyền Vũ Lv7</v>
          </cell>
        </row>
        <row r="3882">
          <cell r="Q3882" t="str">
            <v>Huyền Vũ Lv8</v>
          </cell>
        </row>
        <row r="3883">
          <cell r="Q3883" t="str">
            <v>Huyền Vũ Lv9</v>
          </cell>
        </row>
        <row r="3884">
          <cell r="Q3884" t="str">
            <v>Huyền Vũ Lv10</v>
          </cell>
        </row>
        <row r="3885">
          <cell r="Q3885" t="str">
            <v>Thao Thiết Lv1</v>
          </cell>
        </row>
        <row r="3886">
          <cell r="Q3886" t="str">
            <v>Thao Thiết Lv2</v>
          </cell>
        </row>
        <row r="3887">
          <cell r="Q3887" t="str">
            <v>Thao Thiết Lv3</v>
          </cell>
        </row>
        <row r="3888">
          <cell r="Q3888" t="str">
            <v>Thao Thiết Lv4</v>
          </cell>
        </row>
        <row r="3889">
          <cell r="Q3889" t="str">
            <v>Thao Thiết Lv5</v>
          </cell>
        </row>
        <row r="3890">
          <cell r="Q3890" t="str">
            <v>Thao Thiết Lv6</v>
          </cell>
        </row>
        <row r="3891">
          <cell r="Q3891" t="str">
            <v>Thao Thiết Lv7</v>
          </cell>
        </row>
        <row r="3892">
          <cell r="Q3892" t="str">
            <v>Thao Thiết Lv8</v>
          </cell>
        </row>
        <row r="3893">
          <cell r="Q3893" t="str">
            <v>Thao Thiết Lv9</v>
          </cell>
        </row>
        <row r="3894">
          <cell r="Q3894" t="str">
            <v>Thao Thiết Lv10</v>
          </cell>
        </row>
        <row r="3895">
          <cell r="Q3895" t="str">
            <v>Kỳ Lân Lv1</v>
          </cell>
        </row>
        <row r="3896">
          <cell r="Q3896" t="str">
            <v>Kỳ Lân Lv2</v>
          </cell>
        </row>
        <row r="3897">
          <cell r="Q3897" t="str">
            <v>Kỳ Lân Lv3</v>
          </cell>
        </row>
        <row r="3898">
          <cell r="Q3898" t="str">
            <v>Kỳ Lân Lv4</v>
          </cell>
        </row>
        <row r="3899">
          <cell r="Q3899" t="str">
            <v>Kỳ Lân Lv5</v>
          </cell>
        </row>
        <row r="3900">
          <cell r="Q3900" t="str">
            <v>Kỳ Lân Lv6</v>
          </cell>
        </row>
        <row r="3901">
          <cell r="Q3901" t="str">
            <v>Kỳ Lân Lv7</v>
          </cell>
        </row>
        <row r="3902">
          <cell r="Q3902" t="str">
            <v>Kỳ Lân Lv8</v>
          </cell>
        </row>
        <row r="3903">
          <cell r="Q3903" t="str">
            <v>Kỳ Lân Lv9</v>
          </cell>
        </row>
        <row r="3904">
          <cell r="Q3904" t="str">
            <v>Kỳ Lân Lv10</v>
          </cell>
        </row>
        <row r="3905">
          <cell r="Q3905" t="str">
            <v>Quỳ Ngưu Lv1</v>
          </cell>
        </row>
        <row r="3906">
          <cell r="Q3906" t="str">
            <v>Quỳ Ngưu Lv2</v>
          </cell>
        </row>
        <row r="3907">
          <cell r="Q3907" t="str">
            <v>Quỳ Ngưu Lv3</v>
          </cell>
        </row>
        <row r="3908">
          <cell r="Q3908" t="str">
            <v>Quỳ Ngưu Lv4</v>
          </cell>
        </row>
        <row r="3909">
          <cell r="Q3909" t="str">
            <v>Quỳ Ngưu Lv5</v>
          </cell>
        </row>
        <row r="3910">
          <cell r="Q3910" t="str">
            <v>Quỳ Ngưu Lv6</v>
          </cell>
        </row>
        <row r="3911">
          <cell r="Q3911" t="str">
            <v>Quỳ Ngưu Lv7</v>
          </cell>
        </row>
        <row r="3912">
          <cell r="Q3912" t="str">
            <v>Quỳ Ngưu Lv8</v>
          </cell>
        </row>
        <row r="3913">
          <cell r="Q3913" t="str">
            <v>Quỳ Ngưu Lv9</v>
          </cell>
        </row>
        <row r="3914">
          <cell r="Q3914" t="str">
            <v>Quỳ Ngưu Lv10</v>
          </cell>
        </row>
        <row r="3915">
          <cell r="Q3915" t="str">
            <v>Phượng Hoàng Lv1</v>
          </cell>
        </row>
        <row r="3916">
          <cell r="Q3916" t="str">
            <v>Phượng Hoàng Lv2</v>
          </cell>
        </row>
        <row r="3917">
          <cell r="Q3917" t="str">
            <v>Phượng Hoàng Lv3</v>
          </cell>
        </row>
        <row r="3918">
          <cell r="Q3918" t="str">
            <v>Phượng Hoàng Lv4</v>
          </cell>
        </row>
        <row r="3919">
          <cell r="Q3919" t="str">
            <v>Phượng Hoàng Lv5</v>
          </cell>
        </row>
        <row r="3920">
          <cell r="Q3920" t="str">
            <v>Phượng Hoàng Lv6</v>
          </cell>
        </row>
        <row r="3921">
          <cell r="Q3921" t="str">
            <v>Phượng Hoàng Lv7</v>
          </cell>
        </row>
        <row r="3922">
          <cell r="Q3922" t="str">
            <v>Phượng Hoàng Lv8</v>
          </cell>
        </row>
        <row r="3923">
          <cell r="Q3923" t="str">
            <v>Phượng Hoàng Lv9</v>
          </cell>
        </row>
        <row r="3924">
          <cell r="Q3924" t="str">
            <v>Phượng Hoàng Lv10</v>
          </cell>
        </row>
        <row r="3925">
          <cell r="Q3925" t="str">
            <v>Câu Trần Lv1</v>
          </cell>
        </row>
        <row r="3926">
          <cell r="Q3926" t="str">
            <v>Câu Trần Lv2</v>
          </cell>
        </row>
        <row r="3927">
          <cell r="Q3927" t="str">
            <v>Câu Trần Lv3</v>
          </cell>
        </row>
        <row r="3928">
          <cell r="Q3928" t="str">
            <v>Câu Trần Lv4</v>
          </cell>
        </row>
        <row r="3929">
          <cell r="Q3929" t="str">
            <v>Câu Trần Lv5</v>
          </cell>
        </row>
        <row r="3930">
          <cell r="Q3930" t="str">
            <v>Câu Trần Lv6</v>
          </cell>
        </row>
        <row r="3931">
          <cell r="Q3931" t="str">
            <v>Câu Trần Lv7</v>
          </cell>
        </row>
        <row r="3932">
          <cell r="Q3932" t="str">
            <v>Câu Trần Lv8</v>
          </cell>
        </row>
        <row r="3933">
          <cell r="Q3933" t="str">
            <v>Câu Trần Lv9</v>
          </cell>
        </row>
        <row r="3934">
          <cell r="Q3934" t="str">
            <v>Câu Trần Lv10</v>
          </cell>
        </row>
        <row r="3935">
          <cell r="Q3935" t="str">
            <v>Đào Ngột Lv1</v>
          </cell>
        </row>
        <row r="3936">
          <cell r="Q3936" t="str">
            <v>Đào Ngột Lv2</v>
          </cell>
        </row>
        <row r="3937">
          <cell r="Q3937" t="str">
            <v>Đào Ngột Lv3</v>
          </cell>
        </row>
        <row r="3938">
          <cell r="Q3938" t="str">
            <v>Đào Ngột Lv4</v>
          </cell>
        </row>
        <row r="3939">
          <cell r="Q3939" t="str">
            <v>Đào Ngột Lv5</v>
          </cell>
        </row>
        <row r="3940">
          <cell r="Q3940" t="str">
            <v>Đào Ngột Lv6</v>
          </cell>
        </row>
        <row r="3941">
          <cell r="Q3941" t="str">
            <v>Đào Ngột Lv7</v>
          </cell>
        </row>
        <row r="3942">
          <cell r="Q3942" t="str">
            <v>Đào Ngột Lv8</v>
          </cell>
        </row>
        <row r="3943">
          <cell r="Q3943" t="str">
            <v>Đào Ngột Lv9</v>
          </cell>
        </row>
        <row r="3944">
          <cell r="Q3944" t="str">
            <v>Đào Ngột Lv10</v>
          </cell>
        </row>
        <row r="3945">
          <cell r="Q3945" t="str">
            <v>Thanh Long Lv1</v>
          </cell>
        </row>
        <row r="3946">
          <cell r="Q3946" t="str">
            <v>Thanh Long Lv2</v>
          </cell>
        </row>
        <row r="3947">
          <cell r="Q3947" t="str">
            <v>Thanh Long Lv3</v>
          </cell>
        </row>
        <row r="3948">
          <cell r="Q3948" t="str">
            <v>Thanh Long Lv4</v>
          </cell>
        </row>
        <row r="3949">
          <cell r="Q3949" t="str">
            <v>Thanh Long Lv5</v>
          </cell>
        </row>
        <row r="3950">
          <cell r="Q3950" t="str">
            <v>Thanh Long Lv6</v>
          </cell>
        </row>
        <row r="3951">
          <cell r="Q3951" t="str">
            <v>Thanh Long Lv7</v>
          </cell>
        </row>
        <row r="3952">
          <cell r="Q3952" t="str">
            <v>Thanh Long Lv8</v>
          </cell>
        </row>
        <row r="3953">
          <cell r="Q3953" t="str">
            <v>Thanh Long Lv9</v>
          </cell>
        </row>
        <row r="3954">
          <cell r="Q3954" t="str">
            <v>Thanh Long Lv10</v>
          </cell>
        </row>
        <row r="3955">
          <cell r="Q3955" t="str">
            <v>Bạch Hổ Lv1</v>
          </cell>
        </row>
        <row r="3956">
          <cell r="Q3956" t="str">
            <v>Bạch Hổ Lv2</v>
          </cell>
        </row>
        <row r="3957">
          <cell r="Q3957" t="str">
            <v>Bạch Hổ Lv3</v>
          </cell>
        </row>
        <row r="3958">
          <cell r="Q3958" t="str">
            <v>Bạch Hổ Lv4</v>
          </cell>
        </row>
        <row r="3959">
          <cell r="Q3959" t="str">
            <v>Bạch Hổ Lv5</v>
          </cell>
        </row>
        <row r="3960">
          <cell r="Q3960" t="str">
            <v>Bạch Hổ Lv6</v>
          </cell>
        </row>
        <row r="3961">
          <cell r="Q3961" t="str">
            <v>Bạch Hổ Lv7</v>
          </cell>
        </row>
        <row r="3962">
          <cell r="Q3962" t="str">
            <v>Bạch Hổ Lv8</v>
          </cell>
        </row>
        <row r="3963">
          <cell r="Q3963" t="str">
            <v>Bạch Hổ Lv9</v>
          </cell>
        </row>
        <row r="3964">
          <cell r="Q3964" t="str">
            <v>Bạch Hổ Lv10</v>
          </cell>
        </row>
        <row r="3965">
          <cell r="Q3965" t="str">
            <v>Chu Tước Lv1</v>
          </cell>
        </row>
        <row r="3966">
          <cell r="Q3966" t="str">
            <v>Chu Tước Lv2</v>
          </cell>
        </row>
        <row r="3967">
          <cell r="Q3967" t="str">
            <v>Chu Tước Lv3</v>
          </cell>
        </row>
        <row r="3968">
          <cell r="Q3968" t="str">
            <v>Chu Tước Lv4</v>
          </cell>
        </row>
        <row r="3969">
          <cell r="Q3969" t="str">
            <v>Chu Tước Lv5</v>
          </cell>
        </row>
        <row r="3970">
          <cell r="Q3970" t="str">
            <v>Chu Tước Lv6</v>
          </cell>
        </row>
        <row r="3971">
          <cell r="Q3971" t="str">
            <v>Chu Tước Lv7</v>
          </cell>
        </row>
        <row r="3972">
          <cell r="Q3972" t="str">
            <v>Chu Tước Lv8</v>
          </cell>
        </row>
        <row r="3973">
          <cell r="Q3973" t="str">
            <v>Chu Tước Lv9</v>
          </cell>
        </row>
        <row r="3974">
          <cell r="Q3974" t="str">
            <v>Chu Tước Lv10</v>
          </cell>
        </row>
        <row r="3975">
          <cell r="Q3975" t="str">
            <v>Huyền Vũ Lv1</v>
          </cell>
        </row>
        <row r="3976">
          <cell r="Q3976" t="str">
            <v>Huyền Vũ Lv2</v>
          </cell>
        </row>
        <row r="3977">
          <cell r="Q3977" t="str">
            <v>Huyền Vũ Lv3</v>
          </cell>
        </row>
        <row r="3978">
          <cell r="Q3978" t="str">
            <v>Huyền Vũ Lv4</v>
          </cell>
        </row>
        <row r="3979">
          <cell r="Q3979" t="str">
            <v>Huyền Vũ Lv5</v>
          </cell>
        </row>
        <row r="3980">
          <cell r="Q3980" t="str">
            <v>Huyền Vũ Lv6</v>
          </cell>
        </row>
        <row r="3981">
          <cell r="Q3981" t="str">
            <v>Huyền Vũ Lv7</v>
          </cell>
        </row>
        <row r="3982">
          <cell r="Q3982" t="str">
            <v>Huyền Vũ Lv8</v>
          </cell>
        </row>
        <row r="3983">
          <cell r="Q3983" t="str">
            <v>Huyền Vũ Lv9</v>
          </cell>
        </row>
        <row r="3984">
          <cell r="Q3984" t="str">
            <v>Huyền Vũ Lv10</v>
          </cell>
        </row>
        <row r="3985">
          <cell r="Q3985" t="str">
            <v>Thao Thiết Lv1</v>
          </cell>
        </row>
        <row r="3986">
          <cell r="Q3986" t="str">
            <v>Thao Thiết Lv2</v>
          </cell>
        </row>
        <row r="3987">
          <cell r="Q3987" t="str">
            <v>Thao Thiết Lv3</v>
          </cell>
        </row>
        <row r="3988">
          <cell r="Q3988" t="str">
            <v>Thao Thiết Lv4</v>
          </cell>
        </row>
        <row r="3989">
          <cell r="Q3989" t="str">
            <v>Thao Thiết Lv5</v>
          </cell>
        </row>
        <row r="3990">
          <cell r="Q3990" t="str">
            <v>Thao Thiết Lv6</v>
          </cell>
        </row>
        <row r="3991">
          <cell r="Q3991" t="str">
            <v>Thao Thiết Lv7</v>
          </cell>
        </row>
        <row r="3992">
          <cell r="Q3992" t="str">
            <v>Thao Thiết Lv8</v>
          </cell>
        </row>
        <row r="3993">
          <cell r="Q3993" t="str">
            <v>Thao Thiết Lv9</v>
          </cell>
        </row>
        <row r="3994">
          <cell r="Q3994" t="str">
            <v>Thao Thiết Lv10</v>
          </cell>
        </row>
        <row r="3995">
          <cell r="Q3995" t="str">
            <v>Kỳ Lân Lv1</v>
          </cell>
        </row>
        <row r="3996">
          <cell r="Q3996" t="str">
            <v>Kỳ Lân Lv2</v>
          </cell>
        </row>
        <row r="3997">
          <cell r="Q3997" t="str">
            <v>Kỳ Lân Lv3</v>
          </cell>
        </row>
        <row r="3998">
          <cell r="Q3998" t="str">
            <v>Kỳ Lân Lv4</v>
          </cell>
        </row>
        <row r="3999">
          <cell r="Q3999" t="str">
            <v>Kỳ Lân Lv5</v>
          </cell>
        </row>
        <row r="4000">
          <cell r="Q4000" t="str">
            <v>Kỳ Lân Lv6</v>
          </cell>
        </row>
        <row r="4001">
          <cell r="Q4001" t="str">
            <v>Kỳ Lân Lv7</v>
          </cell>
        </row>
        <row r="4002">
          <cell r="Q4002" t="str">
            <v>Kỳ Lân Lv8</v>
          </cell>
        </row>
        <row r="4003">
          <cell r="Q4003" t="str">
            <v>Kỳ Lân Lv9</v>
          </cell>
        </row>
        <row r="4004">
          <cell r="Q4004" t="str">
            <v>Kỳ Lân Lv10</v>
          </cell>
        </row>
        <row r="4005">
          <cell r="Q4005" t="str">
            <v>Quỳ Ngưu Lv1</v>
          </cell>
        </row>
        <row r="4006">
          <cell r="Q4006" t="str">
            <v>Quỳ Ngưu Lv2</v>
          </cell>
        </row>
        <row r="4007">
          <cell r="Q4007" t="str">
            <v>Quỳ Ngưu Lv3</v>
          </cell>
        </row>
        <row r="4008">
          <cell r="Q4008" t="str">
            <v>Quỳ Ngưu Lv4</v>
          </cell>
        </row>
        <row r="4009">
          <cell r="Q4009" t="str">
            <v>Quỳ Ngưu Lv5</v>
          </cell>
        </row>
        <row r="4010">
          <cell r="Q4010" t="str">
            <v>Quỳ Ngưu Lv6</v>
          </cell>
        </row>
        <row r="4011">
          <cell r="Q4011" t="str">
            <v>Quỳ Ngưu Lv7</v>
          </cell>
        </row>
        <row r="4012">
          <cell r="Q4012" t="str">
            <v>Quỳ Ngưu Lv8</v>
          </cell>
        </row>
        <row r="4013">
          <cell r="Q4013" t="str">
            <v>Quỳ Ngưu Lv9</v>
          </cell>
        </row>
        <row r="4014">
          <cell r="Q4014" t="str">
            <v>Quỳ Ngưu Lv10</v>
          </cell>
        </row>
        <row r="4015">
          <cell r="Q4015" t="str">
            <v>Phượng Hoàng Lv1</v>
          </cell>
        </row>
        <row r="4016">
          <cell r="Q4016" t="str">
            <v>Phượng Hoàng Lv2</v>
          </cell>
        </row>
        <row r="4017">
          <cell r="Q4017" t="str">
            <v>Phượng Hoàng Lv3</v>
          </cell>
        </row>
        <row r="4018">
          <cell r="Q4018" t="str">
            <v>Phượng Hoàng Lv4</v>
          </cell>
        </row>
        <row r="4019">
          <cell r="Q4019" t="str">
            <v>Phượng Hoàng Lv5</v>
          </cell>
        </row>
        <row r="4020">
          <cell r="Q4020" t="str">
            <v>Phượng Hoàng Lv6</v>
          </cell>
        </row>
        <row r="4021">
          <cell r="Q4021" t="str">
            <v>Phượng Hoàng Lv7</v>
          </cell>
        </row>
        <row r="4022">
          <cell r="Q4022" t="str">
            <v>Phượng Hoàng Lv8</v>
          </cell>
        </row>
        <row r="4023">
          <cell r="Q4023" t="str">
            <v>Phượng Hoàng Lv9</v>
          </cell>
        </row>
        <row r="4024">
          <cell r="Q4024" t="str">
            <v>Phượng Hoàng Lv10</v>
          </cell>
        </row>
        <row r="4025">
          <cell r="Q4025" t="str">
            <v>Câu Trần Lv1</v>
          </cell>
        </row>
        <row r="4026">
          <cell r="Q4026" t="str">
            <v>Câu Trần Lv2</v>
          </cell>
        </row>
        <row r="4027">
          <cell r="Q4027" t="str">
            <v>Câu Trần Lv3</v>
          </cell>
        </row>
        <row r="4028">
          <cell r="Q4028" t="str">
            <v>Câu Trần Lv4</v>
          </cell>
        </row>
        <row r="4029">
          <cell r="Q4029" t="str">
            <v>Câu Trần Lv5</v>
          </cell>
        </row>
        <row r="4030">
          <cell r="Q4030" t="str">
            <v>Câu Trần Lv6</v>
          </cell>
        </row>
        <row r="4031">
          <cell r="Q4031" t="str">
            <v>Câu Trần Lv7</v>
          </cell>
        </row>
        <row r="4032">
          <cell r="Q4032" t="str">
            <v>Câu Trần Lv8</v>
          </cell>
        </row>
        <row r="4033">
          <cell r="Q4033" t="str">
            <v>Câu Trần Lv9</v>
          </cell>
        </row>
        <row r="4034">
          <cell r="Q4034" t="str">
            <v>Câu Trần Lv10</v>
          </cell>
        </row>
        <row r="4035">
          <cell r="Q4035" t="str">
            <v>Đào Ngột Lv1</v>
          </cell>
        </row>
        <row r="4036">
          <cell r="Q4036" t="str">
            <v>Đào Ngột Lv2</v>
          </cell>
        </row>
        <row r="4037">
          <cell r="Q4037" t="str">
            <v>Đào Ngột Lv3</v>
          </cell>
        </row>
        <row r="4038">
          <cell r="Q4038" t="str">
            <v>Đào Ngột Lv4</v>
          </cell>
        </row>
        <row r="4039">
          <cell r="Q4039" t="str">
            <v>Đào Ngột Lv5</v>
          </cell>
        </row>
        <row r="4040">
          <cell r="Q4040" t="str">
            <v>Đào Ngột Lv6</v>
          </cell>
        </row>
        <row r="4041">
          <cell r="Q4041" t="str">
            <v>Đào Ngột Lv7</v>
          </cell>
        </row>
        <row r="4042">
          <cell r="Q4042" t="str">
            <v>Đào Ngột Lv8</v>
          </cell>
        </row>
        <row r="4043">
          <cell r="Q4043" t="str">
            <v>Đào Ngột Lv9</v>
          </cell>
        </row>
        <row r="4044">
          <cell r="Q4044" t="str">
            <v>Đào Ngột Lv10</v>
          </cell>
        </row>
        <row r="4045">
          <cell r="Q4045" t="str">
            <v>Tí Hộ Kết Giới</v>
          </cell>
        </row>
        <row r="4046">
          <cell r="Q4046" t="str">
            <v>Tí Hộ Kết Giới</v>
          </cell>
        </row>
        <row r="4047">
          <cell r="Q4047" t="str">
            <v>Tí Hộ Kết Giới</v>
          </cell>
        </row>
        <row r="4048">
          <cell r="Q4048" t="str">
            <v>Quyết Chiến Hào Giác</v>
          </cell>
        </row>
        <row r="4049">
          <cell r="Q4049" t="str">
            <v>Quyết Chiến Hào Giác</v>
          </cell>
        </row>
        <row r="4050">
          <cell r="Q4050" t="str">
            <v>Quyết Chiến Hào Giác</v>
          </cell>
        </row>
        <row r="4051">
          <cell r="Q4051" t="str">
            <v>Hoạt Huyết Chi Đằng</v>
          </cell>
        </row>
        <row r="4052">
          <cell r="Q4052" t="str">
            <v>Hoạt Huyết Chi Đằng</v>
          </cell>
        </row>
        <row r="4053">
          <cell r="Q4053" t="str">
            <v>Hoạt Huyết Chi Đằng</v>
          </cell>
        </row>
        <row r="4054">
          <cell r="Q4054" t="str">
            <v>Cường Giả Chi Ác</v>
          </cell>
        </row>
        <row r="4055">
          <cell r="Q4055" t="str">
            <v>Cường Giả Chi Ác</v>
          </cell>
        </row>
        <row r="4056">
          <cell r="Q4056" t="str">
            <v>Cường Giả Chi Ác</v>
          </cell>
        </row>
        <row r="4057">
          <cell r="Q4057" t="str">
            <v>Cân Cốt Cường Hóa</v>
          </cell>
        </row>
        <row r="4058">
          <cell r="Q4058" t="str">
            <v>Cân Cốt Cường Hóa</v>
          </cell>
        </row>
        <row r="4059">
          <cell r="Q4059" t="str">
            <v>Cân Cốt Cường Hóa</v>
          </cell>
        </row>
        <row r="4060">
          <cell r="Q4060" t="str">
            <v>Để Kháng Chỉ Hoàn</v>
          </cell>
        </row>
        <row r="4061">
          <cell r="Q4061" t="str">
            <v>Để Kháng Chỉ Hoàn</v>
          </cell>
        </row>
        <row r="4062">
          <cell r="Q4062" t="str">
            <v>Để Kháng Chỉ Hoàn</v>
          </cell>
        </row>
        <row r="4063">
          <cell r="Q4063" t="str">
            <v>Để Kháng Chỉ Hoàn</v>
          </cell>
        </row>
        <row r="4064">
          <cell r="Q4064" t="str">
            <v>Để Kháng Chỉ Hoàn</v>
          </cell>
        </row>
        <row r="4065">
          <cell r="Q4065" t="str">
            <v>Để Kháng Chỉ Hoàn</v>
          </cell>
        </row>
        <row r="4066">
          <cell r="Q4066" t="str">
            <v>Di Hình Huyễn Ảnh</v>
          </cell>
        </row>
        <row r="4067">
          <cell r="Q4067" t="str">
            <v>Di Hình Huyễn Ảnh</v>
          </cell>
        </row>
        <row r="4068">
          <cell r="Q4068" t="str">
            <v>Di Hình Huyễn Ảnh</v>
          </cell>
        </row>
        <row r="4069">
          <cell r="Q4069" t="str">
            <v>Di Hình Huyễn Ảnh</v>
          </cell>
        </row>
        <row r="4070">
          <cell r="Q4070" t="str">
            <v>Di Hình Huyễn Ảnh</v>
          </cell>
        </row>
        <row r="4071">
          <cell r="Q4071" t="str">
            <v>Di Hình Huyễn Ảnh</v>
          </cell>
        </row>
        <row r="4072">
          <cell r="Q4072" t="str">
            <v>Tật Hành Hài</v>
          </cell>
        </row>
        <row r="4073">
          <cell r="Q4073" t="str">
            <v>Tật Hành Hài</v>
          </cell>
        </row>
        <row r="4074">
          <cell r="Q4074" t="str">
            <v>Tật Hành Hài</v>
          </cell>
        </row>
        <row r="4075">
          <cell r="Q4075" t="str">
            <v>Tật Hành Hài</v>
          </cell>
        </row>
        <row r="4076">
          <cell r="Q4076" t="str">
            <v>Tật Hành Hài</v>
          </cell>
        </row>
        <row r="4077">
          <cell r="Q4077" t="str">
            <v>Tật Hành Hài</v>
          </cell>
        </row>
        <row r="4078">
          <cell r="Q4078" t="str">
            <v>Thần Nông Đỉnh</v>
          </cell>
        </row>
        <row r="4079">
          <cell r="Q4079" t="str">
            <v>Thần Nông Đỉnh</v>
          </cell>
        </row>
        <row r="4080">
          <cell r="Q4080" t="str">
            <v>Thần Nông Đỉnh</v>
          </cell>
        </row>
        <row r="4081">
          <cell r="Q4081" t="str">
            <v>Thánh Linh Tí Chương</v>
          </cell>
        </row>
        <row r="4082">
          <cell r="Q4082" t="str">
            <v>Thánh Linh Tí Chương</v>
          </cell>
        </row>
        <row r="4083">
          <cell r="Q4083" t="str">
            <v>Thánh Linh Tí Chương</v>
          </cell>
        </row>
        <row r="4084">
          <cell r="Q4084" t="str">
            <v>Thiêu Đao Tử</v>
          </cell>
        </row>
        <row r="4085">
          <cell r="Q4085" t="str">
            <v>Thiêu Đao Tử</v>
          </cell>
        </row>
        <row r="4086">
          <cell r="Q4086" t="str">
            <v>Thiêu Đao Tử</v>
          </cell>
        </row>
        <row r="4087">
          <cell r="Q4087" t="str">
            <v>Thiêu Đao Tử</v>
          </cell>
        </row>
        <row r="4088">
          <cell r="Q4088" t="str">
            <v>Thiêu Đao Tử</v>
          </cell>
        </row>
        <row r="4089">
          <cell r="Q4089" t="str">
            <v>Thiêu Đao Tử</v>
          </cell>
        </row>
        <row r="4090">
          <cell r="Q4090" t="str">
            <v>Lão Bạch Cán</v>
          </cell>
        </row>
        <row r="4091">
          <cell r="Q4091" t="str">
            <v>Lão Bạch Cán</v>
          </cell>
        </row>
        <row r="4092">
          <cell r="Q4092" t="str">
            <v>Lão Bạch Cán</v>
          </cell>
        </row>
        <row r="4093">
          <cell r="Q4093" t="str">
            <v>Lão Bạch Cán</v>
          </cell>
        </row>
        <row r="4094">
          <cell r="Q4094" t="str">
            <v>Lão Bạch Cán</v>
          </cell>
        </row>
        <row r="4095">
          <cell r="Q4095" t="str">
            <v>Lão Bạch Cán</v>
          </cell>
        </row>
        <row r="4096">
          <cell r="Q4096" t="str">
            <v>Nhị Oa Đầu</v>
          </cell>
        </row>
        <row r="4097">
          <cell r="Q4097" t="str">
            <v>Nhị Oa Đầu</v>
          </cell>
        </row>
        <row r="4098">
          <cell r="Q4098" t="str">
            <v>Nhị Oa Đầu</v>
          </cell>
        </row>
        <row r="4099">
          <cell r="Q4099" t="str">
            <v>Nhị Oa Đầu</v>
          </cell>
        </row>
        <row r="4100">
          <cell r="Q4100" t="str">
            <v>Nhị Oa Đầu</v>
          </cell>
        </row>
        <row r="4101">
          <cell r="Q4101" t="str">
            <v>Nhị Oa Đầu</v>
          </cell>
        </row>
        <row r="4102">
          <cell r="Q4102" t="str">
            <v>Trí Tuệ Quyền Trượng</v>
          </cell>
        </row>
        <row r="4103">
          <cell r="Q4103" t="str">
            <v>Trí Tuệ Quyền Trượng</v>
          </cell>
        </row>
        <row r="4104">
          <cell r="Q4104" t="str">
            <v>Trí Tuệ Quyền Trượng</v>
          </cell>
        </row>
        <row r="4105">
          <cell r="Q4105" t="str">
            <v>Tàn Nhẫn Lợi Phủ</v>
          </cell>
        </row>
        <row r="4106">
          <cell r="Q4106" t="str">
            <v>Tàn Nhẫn Lợi Phủ</v>
          </cell>
        </row>
        <row r="4107">
          <cell r="Q4107" t="str">
            <v>Tàn Nhẫn Lợi Phủ</v>
          </cell>
        </row>
        <row r="4108">
          <cell r="Q4108" t="str">
            <v>Thánh Dụ Pháp Điển</v>
          </cell>
        </row>
        <row r="4109">
          <cell r="Q4109" t="str">
            <v>Thánh Dụ Pháp Điển</v>
          </cell>
        </row>
        <row r="4110">
          <cell r="Q4110" t="str">
            <v>Thánh Dụ Pháp Điển</v>
          </cell>
        </row>
        <row r="4111">
          <cell r="Q4111" t="str">
            <v>Mãnh Hổ Lợi Trảo</v>
          </cell>
        </row>
        <row r="4112">
          <cell r="Q4112" t="str">
            <v>Mãnh Hổ Lợi Trảo</v>
          </cell>
        </row>
        <row r="4113">
          <cell r="Q4113" t="str">
            <v>Mãnh Hổ Lợi Trảo</v>
          </cell>
        </row>
        <row r="4114">
          <cell r="Q4114" t="str">
            <v>Long Tiên Hương</v>
          </cell>
        </row>
        <row r="4115">
          <cell r="Q4115" t="str">
            <v>Long Tiên Hương</v>
          </cell>
        </row>
        <row r="4116">
          <cell r="Q4116" t="str">
            <v>Long Tiên Hương</v>
          </cell>
        </row>
        <row r="4117">
          <cell r="Q4117" t="str">
            <v>Thần Hành Ngoa</v>
          </cell>
        </row>
        <row r="4118">
          <cell r="Q4118" t="str">
            <v>Thần Hành Ngoa</v>
          </cell>
        </row>
        <row r="4119">
          <cell r="Q4119" t="str">
            <v>Thần Hành Ngoa</v>
          </cell>
        </row>
        <row r="4120">
          <cell r="Q4120" t="str">
            <v>Long Huyết Hộ Phù</v>
          </cell>
        </row>
        <row r="4121">
          <cell r="Q4121" t="str">
            <v>Long Huyết Hộ Phù</v>
          </cell>
        </row>
        <row r="4122">
          <cell r="Q4122" t="str">
            <v>Long Huyết Hộ Phù</v>
          </cell>
        </row>
        <row r="4123">
          <cell r="Q4123" t="str">
            <v>Trớ Chú Chi Chủy</v>
          </cell>
        </row>
        <row r="4124">
          <cell r="Q4124" t="str">
            <v>Trớ Chú Chi Chủy</v>
          </cell>
        </row>
        <row r="4125">
          <cell r="Q4125" t="str">
            <v>Trớ Chú Chi Chủy</v>
          </cell>
        </row>
        <row r="4126">
          <cell r="Q4126" t="str">
            <v>Trớ Chú Diên Thân</v>
          </cell>
        </row>
        <row r="4127">
          <cell r="Q4127" t="str">
            <v>Trớ Chú Diên Thân</v>
          </cell>
        </row>
        <row r="4128">
          <cell r="Q4128" t="str">
            <v>Trớ Chú Diên Thân</v>
          </cell>
        </row>
        <row r="4129">
          <cell r="Q4129" t="str">
            <v>Chiến Cổ Hồi Hưởng</v>
          </cell>
        </row>
        <row r="4130">
          <cell r="Q4130" t="str">
            <v>Chiến Cổ Hồi Hưởng</v>
          </cell>
        </row>
        <row r="4131">
          <cell r="Q4131" t="str">
            <v>Chiến Cổ Hồi Hưởng</v>
          </cell>
        </row>
        <row r="4132">
          <cell r="Q4132" t="str">
            <v>Khắc Địch Tiên Cơ</v>
          </cell>
        </row>
        <row r="4133">
          <cell r="Q4133" t="str">
            <v>Khắc Địch Tiên Cơ</v>
          </cell>
        </row>
        <row r="4134">
          <cell r="Q4134" t="str">
            <v>Khắc Địch Tiên Cơ</v>
          </cell>
        </row>
        <row r="4135">
          <cell r="Q4135" t="str">
            <v>Chúng Thần Chi Nộ</v>
          </cell>
        </row>
        <row r="4136">
          <cell r="Q4136" t="str">
            <v>Chúng Thần Chi Nộ</v>
          </cell>
        </row>
        <row r="4137">
          <cell r="Q4137" t="str">
            <v>Chúng Thần Chi Nộ</v>
          </cell>
        </row>
        <row r="4138">
          <cell r="Q4138" t="str">
            <v>Nộ Hỏa Diên Thân</v>
          </cell>
        </row>
        <row r="4139">
          <cell r="Q4139" t="str">
            <v>Nộ Hỏa Diên Thân</v>
          </cell>
        </row>
        <row r="4140">
          <cell r="Q4140" t="str">
            <v>Nộ Hỏa Diên Thân</v>
          </cell>
        </row>
        <row r="4141">
          <cell r="Q4141" t="str">
            <v>Yêu Khí Phệ Tâm</v>
          </cell>
        </row>
        <row r="4142">
          <cell r="Q4142" t="str">
            <v>Yêu Khí Phệ Tâm</v>
          </cell>
        </row>
        <row r="4143">
          <cell r="Q4143" t="str">
            <v>Yêu Khí Phệ Tâm</v>
          </cell>
        </row>
        <row r="4144">
          <cell r="Q4144" t="str">
            <v>Yêu Khí Diên Thân</v>
          </cell>
        </row>
        <row r="4145">
          <cell r="Q4145" t="str">
            <v>Yêu Khí Diên Thân</v>
          </cell>
        </row>
        <row r="4146">
          <cell r="Q4146" t="str">
            <v>Yêu Khí Diên Thân</v>
          </cell>
        </row>
        <row r="4147">
          <cell r="Q4147" t="str">
            <v>Cấm Cố Chi Thủ</v>
          </cell>
        </row>
        <row r="4148">
          <cell r="Q4148" t="str">
            <v>Cấm Cố Chi Thủ</v>
          </cell>
        </row>
        <row r="4149">
          <cell r="Q4149" t="str">
            <v>Cấm Cố Chi Thủ</v>
          </cell>
        </row>
        <row r="4150">
          <cell r="Q4150" t="str">
            <v>Cấm Cố Diên Thân</v>
          </cell>
        </row>
        <row r="4151">
          <cell r="Q4151" t="str">
            <v>Cấm Cố Diên Thân</v>
          </cell>
        </row>
        <row r="4152">
          <cell r="Q4152" t="str">
            <v>Cấm Cố Diên Thân</v>
          </cell>
        </row>
        <row r="4153">
          <cell r="Q4153" t="str">
            <v>Trí Mệnh Độc Dược</v>
          </cell>
        </row>
        <row r="4154">
          <cell r="Q4154" t="str">
            <v>Trí Mệnh Độc Dược</v>
          </cell>
        </row>
        <row r="4155">
          <cell r="Q4155" t="str">
            <v>Trí Mệnh Độc Dược</v>
          </cell>
        </row>
        <row r="4156">
          <cell r="Q4156" t="str">
            <v>Liệt Sang Chi Nhận</v>
          </cell>
        </row>
        <row r="4157">
          <cell r="Q4157" t="str">
            <v>Liệt Sang Chi Nhận</v>
          </cell>
        </row>
        <row r="4158">
          <cell r="Q4158" t="str">
            <v>Liệt Sang Chi Nhận</v>
          </cell>
        </row>
        <row r="4159">
          <cell r="Q4159" t="str">
            <v>Linh Thạch Ngọc Tủy</v>
          </cell>
        </row>
        <row r="4160">
          <cell r="Q4160" t="str">
            <v>Linh Thạch Ngọc Tủy</v>
          </cell>
        </row>
        <row r="4161">
          <cell r="Q4161" t="str">
            <v>Linh Thạch Ngọc Tủy</v>
          </cell>
        </row>
        <row r="4162">
          <cell r="Q4162" t="str">
            <v>Thánh Khiết Thần Tượng</v>
          </cell>
        </row>
        <row r="4163">
          <cell r="Q4163" t="str">
            <v>Thánh Khiết Thần Tượng</v>
          </cell>
        </row>
        <row r="4164">
          <cell r="Q4164" t="str">
            <v>Thánh Khiết Thần Tượng</v>
          </cell>
        </row>
        <row r="4165">
          <cell r="Q4165" t="str">
            <v>Tấn Tiệp Chi Phong</v>
          </cell>
        </row>
        <row r="4166">
          <cell r="Q4166" t="str">
            <v>Tấn Tiệp Chi Phong</v>
          </cell>
        </row>
        <row r="4167">
          <cell r="Q4167" t="str">
            <v>Tấn Tiệp Chi Phong</v>
          </cell>
        </row>
        <row r="4168">
          <cell r="Q4168" t="str">
            <v>Hộ Tâm Kính</v>
          </cell>
        </row>
        <row r="4169">
          <cell r="Q4169" t="str">
            <v>Hộ Tâm Kính</v>
          </cell>
        </row>
        <row r="4170">
          <cell r="Q4170" t="str">
            <v>Hộ Tâm Kính</v>
          </cell>
        </row>
        <row r="4171">
          <cell r="Q4171" t="str">
            <v>Chiết Kích</v>
          </cell>
        </row>
        <row r="4172">
          <cell r="Q4172" t="str">
            <v>Chiết Kích</v>
          </cell>
        </row>
        <row r="4173">
          <cell r="Q4173" t="str">
            <v>Chiết Kích</v>
          </cell>
        </row>
        <row r="4174">
          <cell r="Q4174" t="str">
            <v>Huyết Bồ Đề</v>
          </cell>
        </row>
        <row r="4175">
          <cell r="Q4175" t="str">
            <v>Huyết Bồ Đề</v>
          </cell>
        </row>
        <row r="4176">
          <cell r="Q4176" t="str">
            <v>Huyết Bồ Đề</v>
          </cell>
        </row>
        <row r="4177">
          <cell r="Q4177" t="str">
            <v>Phí Đằng Chi Huyết</v>
          </cell>
        </row>
        <row r="4178">
          <cell r="Q4178" t="str">
            <v>Phí Đằng Chi Huyết</v>
          </cell>
        </row>
        <row r="4179">
          <cell r="Q4179" t="str">
            <v>Phí Đằng Chi Huyết</v>
          </cell>
        </row>
        <row r="4180">
          <cell r="Q4180" t="str">
            <v>Thắng Lợi Tinh Kỳ</v>
          </cell>
        </row>
        <row r="4181">
          <cell r="Q4181" t="str">
            <v>Thắng Lợi Tinh Kỳ</v>
          </cell>
        </row>
        <row r="4182">
          <cell r="Q4182" t="str">
            <v>Thắng Lợi Tinh Kỳ</v>
          </cell>
        </row>
        <row r="4183">
          <cell r="Q4183" t="str">
            <v>Thắng Lợi Tinh Kỳ</v>
          </cell>
        </row>
        <row r="4184">
          <cell r="Q4184" t="str">
            <v>Thắng Lợi Tinh Kỳ</v>
          </cell>
        </row>
        <row r="4185">
          <cell r="Q4185" t="str">
            <v>Thắng Lợi Tinh Kỳ</v>
          </cell>
        </row>
        <row r="4186">
          <cell r="Q4186" t="str">
            <v>Thắng Lợi Tinh Kỳ</v>
          </cell>
        </row>
        <row r="4187">
          <cell r="Q4187" t="str">
            <v>Thắng Lợi Tinh Kỳ</v>
          </cell>
        </row>
        <row r="4188">
          <cell r="Q4188" t="str">
            <v>Thắng Lợi Tinh Kỳ</v>
          </cell>
        </row>
        <row r="4189">
          <cell r="Q4189" t="str">
            <v>Thắng Lợi Tinh Kỳ</v>
          </cell>
        </row>
        <row r="4190">
          <cell r="Q4190" t="str">
            <v>Thắng Lợi Tinh Kỳ</v>
          </cell>
        </row>
        <row r="4191">
          <cell r="Q4191" t="str">
            <v>Thắng Lợi Tinh Kỳ</v>
          </cell>
        </row>
        <row r="4192">
          <cell r="Q4192" t="str">
            <v>Thắng Lợi Tinh Kỳ</v>
          </cell>
        </row>
        <row r="4193">
          <cell r="Q4193" t="str">
            <v>Thắng Lợi Tinh Kỳ</v>
          </cell>
        </row>
        <row r="4194">
          <cell r="Q4194" t="str">
            <v>Thắng Lợi Tinh Kỳ</v>
          </cell>
        </row>
        <row r="4195">
          <cell r="Q4195" t="str">
            <v>Bí Thuật: Tự Luật</v>
          </cell>
        </row>
        <row r="4196">
          <cell r="Q4196" t="str">
            <v>Bí Thuật: Tự Luật</v>
          </cell>
        </row>
        <row r="4197">
          <cell r="Q4197" t="str">
            <v>Bí Thuật: Trọng Sinh</v>
          </cell>
        </row>
        <row r="4198">
          <cell r="Q4198" t="str">
            <v>Bí Thuật: Trọng Sinh</v>
          </cell>
        </row>
        <row r="4199">
          <cell r="Q4199" t="str">
            <v>Bí Thuật: Bạo Tập</v>
          </cell>
        </row>
        <row r="4200">
          <cell r="Q4200" t="str">
            <v>Bí Thuật: Bạo Tập</v>
          </cell>
        </row>
        <row r="4201">
          <cell r="Q4201" t="str">
            <v>Bí Thuật: Xuyên Thấu</v>
          </cell>
        </row>
        <row r="4202">
          <cell r="Q4202" t="str">
            <v>Bí Thuật: Xuyên Thấu</v>
          </cell>
        </row>
        <row r="4203">
          <cell r="Q4203" t="str">
            <v>Bí Thuật: Tái Sinh</v>
          </cell>
        </row>
        <row r="4204">
          <cell r="Q4204" t="str">
            <v>Bí Thuật: Tái Sinh</v>
          </cell>
        </row>
        <row r="4205">
          <cell r="Q4205" t="str">
            <v>Bí Thuật: Vật Liên</v>
          </cell>
        </row>
        <row r="4206">
          <cell r="Q4206" t="str">
            <v>Bí Thuật: Vật Liên</v>
          </cell>
        </row>
        <row r="4207">
          <cell r="Q4207" t="str">
            <v>Bí Thuật: Pháp Liên</v>
          </cell>
        </row>
        <row r="4208">
          <cell r="Q4208" t="str">
            <v>Bí Thuật: Pháp Liên</v>
          </cell>
        </row>
        <row r="4209">
          <cell r="Q4209" t="str">
            <v>Lôi Đình</v>
          </cell>
        </row>
        <row r="4210">
          <cell r="Q4210" t="str">
            <v>Tư Dưỡng</v>
          </cell>
        </row>
        <row r="4211">
          <cell r="Q4211" t="str">
            <v>Đạp Phong</v>
          </cell>
        </row>
        <row r="4212">
          <cell r="Q4212" t="str">
            <v>Tự Dũ</v>
          </cell>
        </row>
        <row r="4213">
          <cell r="Q4213" t="str">
            <v>Kiên Nhận</v>
          </cell>
        </row>
        <row r="4214">
          <cell r="Q4214" t="str">
            <v>Độc Thương Giảm Miễn</v>
          </cell>
        </row>
        <row r="4215">
          <cell r="Q4215" t="str">
            <v>Vô Cấu Chi Khu</v>
          </cell>
        </row>
        <row r="4216">
          <cell r="Q4216" t="str">
            <v>Vô Cấu Chi Khu</v>
          </cell>
        </row>
        <row r="4217">
          <cell r="Q4217" t="str">
            <v>Vô Cấu Chi Khu</v>
          </cell>
        </row>
        <row r="4218">
          <cell r="Q4218" t="str">
            <v>Tiên Địch Ngự Hộ</v>
          </cell>
        </row>
        <row r="4219">
          <cell r="Q4219" t="str">
            <v>Tiên Địch Ngự Hộ</v>
          </cell>
        </row>
        <row r="4220">
          <cell r="Q4220" t="str">
            <v>Tiên Địch Ngự Hộ</v>
          </cell>
        </row>
        <row r="4221">
          <cell r="Q4221" t="str">
            <v>Tế Thể</v>
          </cell>
        </row>
        <row r="4222">
          <cell r="Q4222" t="str">
            <v>Tế Thể</v>
          </cell>
        </row>
        <row r="4223">
          <cell r="Q4223" t="str">
            <v>Tế Thể</v>
          </cell>
        </row>
        <row r="4224">
          <cell r="Q4224" t="str">
            <v>Vật Lý Tinh Thông</v>
          </cell>
        </row>
        <row r="4225">
          <cell r="Q4225" t="str">
            <v>Vật Lý Tinh Thông</v>
          </cell>
        </row>
        <row r="4226">
          <cell r="Q4226" t="str">
            <v>Vật Lý Tinh Thông</v>
          </cell>
        </row>
        <row r="4227">
          <cell r="Q4227" t="str">
            <v>Vật Lý Tinh Thông</v>
          </cell>
        </row>
        <row r="4228">
          <cell r="Q4228" t="str">
            <v>Vật Lý Tinh Thông</v>
          </cell>
        </row>
        <row r="4229">
          <cell r="Q4229" t="str">
            <v>Vật Lý Tinh Thông</v>
          </cell>
        </row>
        <row r="4230">
          <cell r="Q4230" t="str">
            <v>Vật Lý Tinh Thông</v>
          </cell>
        </row>
        <row r="4231">
          <cell r="Q4231" t="str">
            <v>Vật Lý Tinh Thông</v>
          </cell>
        </row>
        <row r="4232">
          <cell r="Q4232" t="str">
            <v>Vật Lý Tinh Thông</v>
          </cell>
        </row>
        <row r="4233">
          <cell r="Q4233" t="str">
            <v>Vật Lý Tinh Thông</v>
          </cell>
        </row>
        <row r="4234">
          <cell r="Q4234" t="str">
            <v>Vật Lý Tinh Thông</v>
          </cell>
        </row>
        <row r="4235">
          <cell r="Q4235" t="str">
            <v>Vật Lý Tinh Thông</v>
          </cell>
        </row>
        <row r="4236">
          <cell r="Q4236" t="str">
            <v>Vật Lý Tinh Thông</v>
          </cell>
        </row>
        <row r="4237">
          <cell r="Q4237" t="str">
            <v>Vật Lý Tinh Thông</v>
          </cell>
        </row>
        <row r="4238">
          <cell r="Q4238" t="str">
            <v>Vật Lý Tinh Thông</v>
          </cell>
        </row>
        <row r="4239">
          <cell r="Q4239" t="str">
            <v>Vật Lý Tinh Thông</v>
          </cell>
        </row>
        <row r="4240">
          <cell r="Q4240" t="str">
            <v>Vật Lý Tinh Thông</v>
          </cell>
        </row>
        <row r="4241">
          <cell r="Q4241" t="str">
            <v>Vật Lý Tinh Thông</v>
          </cell>
        </row>
        <row r="4242">
          <cell r="Q4242" t="str">
            <v>Vật Lý Tinh Thông</v>
          </cell>
        </row>
        <row r="4243">
          <cell r="Q4243" t="str">
            <v>Vật Lý Tinh Thông</v>
          </cell>
        </row>
        <row r="4244">
          <cell r="Q4244" t="str">
            <v>Thiên Mệnh Vật Liên</v>
          </cell>
        </row>
        <row r="4245">
          <cell r="Q4245" t="str">
            <v>Thiên Mệnh Vật Liên</v>
          </cell>
        </row>
        <row r="4246">
          <cell r="Q4246" t="str">
            <v>Thiên Mệnh Vật Liên</v>
          </cell>
        </row>
        <row r="4247">
          <cell r="Q4247" t="str">
            <v>Thiên Mệnh Vật Liên</v>
          </cell>
        </row>
        <row r="4248">
          <cell r="Q4248" t="str">
            <v>Thiên Mệnh Vật Liên</v>
          </cell>
        </row>
        <row r="4249">
          <cell r="Q4249" t="str">
            <v>Thiên Mệnh Vật Liên</v>
          </cell>
        </row>
        <row r="4250">
          <cell r="Q4250" t="str">
            <v>Thiên Mệnh Vật Liên</v>
          </cell>
        </row>
        <row r="4251">
          <cell r="Q4251" t="str">
            <v>Thiên Mệnh Vật Liên</v>
          </cell>
        </row>
        <row r="4252">
          <cell r="Q4252" t="str">
            <v>Thiên Mệnh Vật Liên</v>
          </cell>
        </row>
        <row r="4253">
          <cell r="Q4253" t="str">
            <v>Thiên Mệnh Vật Liên</v>
          </cell>
        </row>
        <row r="4254">
          <cell r="Q4254" t="str">
            <v>Thiên Mệnh Vật Liên</v>
          </cell>
        </row>
        <row r="4255">
          <cell r="Q4255" t="str">
            <v>Thiên Mệnh Vật Liên</v>
          </cell>
        </row>
        <row r="4256">
          <cell r="Q4256" t="str">
            <v>Thiên Mệnh Vật Liên</v>
          </cell>
        </row>
        <row r="4257">
          <cell r="Q4257" t="str">
            <v>Thiên Mệnh Vật Liên</v>
          </cell>
        </row>
        <row r="4258">
          <cell r="Q4258" t="str">
            <v>Thiên Mệnh Vật Liên</v>
          </cell>
        </row>
        <row r="4259">
          <cell r="Q4259" t="str">
            <v>Thiên Mệnh Vật Liên</v>
          </cell>
        </row>
        <row r="4260">
          <cell r="Q4260" t="str">
            <v>Thiên Mệnh Vật Liên</v>
          </cell>
        </row>
        <row r="4261">
          <cell r="Q4261" t="str">
            <v>Thiên Mệnh Vật Liên</v>
          </cell>
        </row>
        <row r="4262">
          <cell r="Q4262" t="str">
            <v>Thiên Mệnh Vật Liên</v>
          </cell>
        </row>
        <row r="4263">
          <cell r="Q4263" t="str">
            <v>Thiên Mệnh Vật Liên</v>
          </cell>
        </row>
        <row r="4264">
          <cell r="Q4264" t="str">
            <v>Tốc Độ Tinh Thông</v>
          </cell>
        </row>
        <row r="4265">
          <cell r="Q4265" t="str">
            <v>Tốc Độ Tinh Thông</v>
          </cell>
        </row>
        <row r="4266">
          <cell r="Q4266" t="str">
            <v>Tốc Độ Tinh Thông</v>
          </cell>
        </row>
        <row r="4267">
          <cell r="Q4267" t="str">
            <v>Tốc Độ Tinh Thông</v>
          </cell>
        </row>
        <row r="4268">
          <cell r="Q4268" t="str">
            <v>Tốc Độ Tinh Thông</v>
          </cell>
        </row>
        <row r="4269">
          <cell r="Q4269" t="str">
            <v>Tốc Độ Tinh Thông</v>
          </cell>
        </row>
        <row r="4270">
          <cell r="Q4270" t="str">
            <v>Tốc Độ Tinh Thông</v>
          </cell>
        </row>
        <row r="4271">
          <cell r="Q4271" t="str">
            <v>Tốc Độ Tinh Thông</v>
          </cell>
        </row>
        <row r="4272">
          <cell r="Q4272" t="str">
            <v>Tốc Độ Tinh Thông</v>
          </cell>
        </row>
        <row r="4273">
          <cell r="Q4273" t="str">
            <v>Tốc Độ Tinh Thông</v>
          </cell>
        </row>
        <row r="4274">
          <cell r="Q4274" t="str">
            <v>Tốc Độ Tinh Thông</v>
          </cell>
        </row>
        <row r="4275">
          <cell r="Q4275" t="str">
            <v>Tốc Độ Tinh Thông</v>
          </cell>
        </row>
        <row r="4276">
          <cell r="Q4276" t="str">
            <v>Tốc Độ Tinh Thông</v>
          </cell>
        </row>
        <row r="4277">
          <cell r="Q4277" t="str">
            <v>Tốc Độ Tinh Thông</v>
          </cell>
        </row>
        <row r="4278">
          <cell r="Q4278" t="str">
            <v>Tốc Độ Tinh Thông</v>
          </cell>
        </row>
        <row r="4279">
          <cell r="Q4279" t="str">
            <v>Tốc Độ Tinh Thông</v>
          </cell>
        </row>
        <row r="4280">
          <cell r="Q4280" t="str">
            <v>Tốc Độ Tinh Thông</v>
          </cell>
        </row>
        <row r="4281">
          <cell r="Q4281" t="str">
            <v>Tốc Độ Tinh Thông</v>
          </cell>
        </row>
        <row r="4282">
          <cell r="Q4282" t="str">
            <v>Tốc Độ Tinh Thông</v>
          </cell>
        </row>
        <row r="4283">
          <cell r="Q4283" t="str">
            <v>Tốc Độ Tinh Thông</v>
          </cell>
        </row>
        <row r="4284">
          <cell r="Q4284" t="str">
            <v>Phá Thuẫn Tiên Phong</v>
          </cell>
        </row>
        <row r="4285">
          <cell r="Q4285" t="str">
            <v>Phá Thuẫn Tiên Phong</v>
          </cell>
        </row>
        <row r="4286">
          <cell r="Q4286" t="str">
            <v>Phá Thuẫn Tiên Phong</v>
          </cell>
        </row>
        <row r="4287">
          <cell r="Q4287" t="str">
            <v>Phá Thuẫn Tiên Phong</v>
          </cell>
        </row>
        <row r="4288">
          <cell r="Q4288" t="str">
            <v>Phá Thuẫn Tiên Phong</v>
          </cell>
        </row>
        <row r="4289">
          <cell r="Q4289" t="str">
            <v>Phá Thuẫn Tiên Phong</v>
          </cell>
        </row>
        <row r="4290">
          <cell r="Q4290" t="str">
            <v>Phá Thuẫn Tiên Phong</v>
          </cell>
        </row>
        <row r="4291">
          <cell r="Q4291" t="str">
            <v>Phá Thuẫn Tiên Phong</v>
          </cell>
        </row>
        <row r="4292">
          <cell r="Q4292" t="str">
            <v>Phá Thuẫn Tiên Phong</v>
          </cell>
        </row>
        <row r="4293">
          <cell r="Q4293" t="str">
            <v>Phá Thuẫn Tiên Phong</v>
          </cell>
        </row>
        <row r="4294">
          <cell r="Q4294" t="str">
            <v>Phá Thuẫn Tiên Phong</v>
          </cell>
        </row>
        <row r="4295">
          <cell r="Q4295" t="str">
            <v>Phá Thuẫn Tiên Phong</v>
          </cell>
        </row>
        <row r="4296">
          <cell r="Q4296" t="str">
            <v>Phá Thuẫn Tiên Phong</v>
          </cell>
        </row>
        <row r="4297">
          <cell r="Q4297" t="str">
            <v>Phá Thuẫn Tiên Phong</v>
          </cell>
        </row>
        <row r="4298">
          <cell r="Q4298" t="str">
            <v>Phá Thuẫn Tiên Phong</v>
          </cell>
        </row>
        <row r="4299">
          <cell r="Q4299" t="str">
            <v>Phá Thuẫn Tiên Phong</v>
          </cell>
        </row>
        <row r="4300">
          <cell r="Q4300" t="str">
            <v>Phá Thuẫn Tiên Phong</v>
          </cell>
        </row>
        <row r="4301">
          <cell r="Q4301" t="str">
            <v>Phá Thuẫn Tiên Phong</v>
          </cell>
        </row>
        <row r="4302">
          <cell r="Q4302" t="str">
            <v>Phá Thuẫn Tiên Phong</v>
          </cell>
        </row>
        <row r="4303">
          <cell r="Q4303" t="str">
            <v>Phá Thuẫn Tiên Phong</v>
          </cell>
        </row>
        <row r="4304">
          <cell r="Q4304" t="str">
            <v>Ma Pháp Tinh Thông</v>
          </cell>
        </row>
        <row r="4305">
          <cell r="Q4305" t="str">
            <v>Ma Pháp Tinh Thông</v>
          </cell>
        </row>
        <row r="4306">
          <cell r="Q4306" t="str">
            <v>Ma Pháp Tinh Thông</v>
          </cell>
        </row>
        <row r="4307">
          <cell r="Q4307" t="str">
            <v>Ma Pháp Tinh Thông</v>
          </cell>
        </row>
        <row r="4308">
          <cell r="Q4308" t="str">
            <v>Ma Pháp Tinh Thông</v>
          </cell>
        </row>
        <row r="4309">
          <cell r="Q4309" t="str">
            <v>Ma Pháp Tinh Thông</v>
          </cell>
        </row>
        <row r="4310">
          <cell r="Q4310" t="str">
            <v>Ma Pháp Tinh Thông</v>
          </cell>
        </row>
        <row r="4311">
          <cell r="Q4311" t="str">
            <v>Ma Pháp Tinh Thông</v>
          </cell>
        </row>
        <row r="4312">
          <cell r="Q4312" t="str">
            <v>Ma Pháp Tinh Thông</v>
          </cell>
        </row>
        <row r="4313">
          <cell r="Q4313" t="str">
            <v>Ma Pháp Tinh Thông</v>
          </cell>
        </row>
        <row r="4314">
          <cell r="Q4314" t="str">
            <v>Ma Pháp Tinh Thông</v>
          </cell>
        </row>
        <row r="4315">
          <cell r="Q4315" t="str">
            <v>Ma Pháp Tinh Thông</v>
          </cell>
        </row>
        <row r="4316">
          <cell r="Q4316" t="str">
            <v>Ma Pháp Tinh Thông</v>
          </cell>
        </row>
        <row r="4317">
          <cell r="Q4317" t="str">
            <v>Ma Pháp Tinh Thông</v>
          </cell>
        </row>
        <row r="4318">
          <cell r="Q4318" t="str">
            <v>Ma Pháp Tinh Thông</v>
          </cell>
        </row>
        <row r="4319">
          <cell r="Q4319" t="str">
            <v>Ma Pháp Tinh Thông</v>
          </cell>
        </row>
        <row r="4320">
          <cell r="Q4320" t="str">
            <v>Ma Pháp Tinh Thông</v>
          </cell>
        </row>
        <row r="4321">
          <cell r="Q4321" t="str">
            <v>Ma Pháp Tinh Thông</v>
          </cell>
        </row>
        <row r="4322">
          <cell r="Q4322" t="str">
            <v>Ma Pháp Tinh Thông</v>
          </cell>
        </row>
        <row r="4323">
          <cell r="Q4323" t="str">
            <v>Ma Pháp Tinh Thông</v>
          </cell>
        </row>
        <row r="4324">
          <cell r="Q4324" t="str">
            <v>Thiên Mệnh Pháp Liên</v>
          </cell>
        </row>
        <row r="4325">
          <cell r="Q4325" t="str">
            <v>Thiên Mệnh Pháp Liên</v>
          </cell>
        </row>
        <row r="4326">
          <cell r="Q4326" t="str">
            <v>Thiên Mệnh Pháp Liên</v>
          </cell>
        </row>
        <row r="4327">
          <cell r="Q4327" t="str">
            <v>Thiên Mệnh Pháp Liên</v>
          </cell>
        </row>
        <row r="4328">
          <cell r="Q4328" t="str">
            <v>Thiên Mệnh Pháp Liên</v>
          </cell>
        </row>
        <row r="4329">
          <cell r="Q4329" t="str">
            <v>Thiên Mệnh Pháp Liên</v>
          </cell>
        </row>
        <row r="4330">
          <cell r="Q4330" t="str">
            <v>Thiên Mệnh Pháp Liên</v>
          </cell>
        </row>
        <row r="4331">
          <cell r="Q4331" t="str">
            <v>Thiên Mệnh Pháp Liên</v>
          </cell>
        </row>
        <row r="4332">
          <cell r="Q4332" t="str">
            <v>Thiên Mệnh Pháp Liên</v>
          </cell>
        </row>
        <row r="4333">
          <cell r="Q4333" t="str">
            <v>Thiên Mệnh Pháp Liên</v>
          </cell>
        </row>
        <row r="4334">
          <cell r="Q4334" t="str">
            <v>Thiên Mệnh Pháp Liên</v>
          </cell>
        </row>
        <row r="4335">
          <cell r="Q4335" t="str">
            <v>Thiên Mệnh Pháp Liên</v>
          </cell>
        </row>
        <row r="4336">
          <cell r="Q4336" t="str">
            <v>Thiên Mệnh Pháp Liên</v>
          </cell>
        </row>
        <row r="4337">
          <cell r="Q4337" t="str">
            <v>Thiên Mệnh Pháp Liên</v>
          </cell>
        </row>
        <row r="4338">
          <cell r="Q4338" t="str">
            <v>Thiên Mệnh Pháp Liên</v>
          </cell>
        </row>
        <row r="4339">
          <cell r="Q4339" t="str">
            <v>Thiên Mệnh Pháp Liên</v>
          </cell>
        </row>
        <row r="4340">
          <cell r="Q4340" t="str">
            <v>Thiên Mệnh Pháp Liên</v>
          </cell>
        </row>
        <row r="4341">
          <cell r="Q4341" t="str">
            <v>Thiên Mệnh Pháp Liên</v>
          </cell>
        </row>
        <row r="4342">
          <cell r="Q4342" t="str">
            <v>Thiên Mệnh Pháp Liên</v>
          </cell>
        </row>
        <row r="4343">
          <cell r="Q4343" t="str">
            <v>Thiên Mệnh Pháp Liên</v>
          </cell>
        </row>
        <row r="4344">
          <cell r="Q4344" t="str">
            <v>Tốc Độ Tinh Thông</v>
          </cell>
        </row>
        <row r="4345">
          <cell r="Q4345" t="str">
            <v>Tốc Độ Tinh Thông</v>
          </cell>
        </row>
        <row r="4346">
          <cell r="Q4346" t="str">
            <v>Tốc Độ Tinh Thông</v>
          </cell>
        </row>
        <row r="4347">
          <cell r="Q4347" t="str">
            <v>Tốc Độ Tinh Thông</v>
          </cell>
        </row>
        <row r="4348">
          <cell r="Q4348" t="str">
            <v>Tốc Độ Tinh Thông</v>
          </cell>
        </row>
        <row r="4349">
          <cell r="Q4349" t="str">
            <v>Tốc Độ Tinh Thông</v>
          </cell>
        </row>
        <row r="4350">
          <cell r="Q4350" t="str">
            <v>Tốc Độ Tinh Thông</v>
          </cell>
        </row>
        <row r="4351">
          <cell r="Q4351" t="str">
            <v>Tốc Độ Tinh Thông</v>
          </cell>
        </row>
        <row r="4352">
          <cell r="Q4352" t="str">
            <v>Tốc Độ Tinh Thông</v>
          </cell>
        </row>
        <row r="4353">
          <cell r="Q4353" t="str">
            <v>Tốc Độ Tinh Thông</v>
          </cell>
        </row>
        <row r="4354">
          <cell r="Q4354" t="str">
            <v>Tốc Độ Tinh Thông</v>
          </cell>
        </row>
        <row r="4355">
          <cell r="Q4355" t="str">
            <v>Tốc Độ Tinh Thông</v>
          </cell>
        </row>
        <row r="4356">
          <cell r="Q4356" t="str">
            <v>Tốc Độ Tinh Thông</v>
          </cell>
        </row>
        <row r="4357">
          <cell r="Q4357" t="str">
            <v>Tốc Độ Tinh Thông</v>
          </cell>
        </row>
        <row r="4358">
          <cell r="Q4358" t="str">
            <v>Tốc Độ Tinh Thông</v>
          </cell>
        </row>
        <row r="4359">
          <cell r="Q4359" t="str">
            <v>Tốc Độ Tinh Thông</v>
          </cell>
        </row>
        <row r="4360">
          <cell r="Q4360" t="str">
            <v>Tốc Độ Tinh Thông</v>
          </cell>
        </row>
        <row r="4361">
          <cell r="Q4361" t="str">
            <v>Tốc Độ Tinh Thông</v>
          </cell>
        </row>
        <row r="4362">
          <cell r="Q4362" t="str">
            <v>Tốc Độ Tinh Thông</v>
          </cell>
        </row>
        <row r="4363">
          <cell r="Q4363" t="str">
            <v>Tốc Độ Tinh Thông</v>
          </cell>
        </row>
        <row r="4364">
          <cell r="Q4364" t="str">
            <v>Khoái Tốc Áp Chế</v>
          </cell>
        </row>
        <row r="4365">
          <cell r="Q4365" t="str">
            <v>Khoái Tốc Áp Chế</v>
          </cell>
        </row>
        <row r="4366">
          <cell r="Q4366" t="str">
            <v>Khoái Tốc Áp Chế</v>
          </cell>
        </row>
        <row r="4367">
          <cell r="Q4367" t="str">
            <v>Khoái Tốc Áp Chế</v>
          </cell>
        </row>
        <row r="4368">
          <cell r="Q4368" t="str">
            <v>Khoái Tốc Áp Chế</v>
          </cell>
        </row>
        <row r="4369">
          <cell r="Q4369" t="str">
            <v>Khoái Tốc Áp Chế</v>
          </cell>
        </row>
        <row r="4370">
          <cell r="Q4370" t="str">
            <v>Khoái Tốc Áp Chế</v>
          </cell>
        </row>
        <row r="4371">
          <cell r="Q4371" t="str">
            <v>Khoái Tốc Áp Chế</v>
          </cell>
        </row>
        <row r="4372">
          <cell r="Q4372" t="str">
            <v>Khoái Tốc Áp Chế</v>
          </cell>
        </row>
        <row r="4373">
          <cell r="Q4373" t="str">
            <v>Khoái Tốc Áp Chế</v>
          </cell>
        </row>
        <row r="4374">
          <cell r="Q4374" t="str">
            <v>Khoái Tốc Áp Chế</v>
          </cell>
        </row>
        <row r="4375">
          <cell r="Q4375" t="str">
            <v>Khoái Tốc Áp Chế</v>
          </cell>
        </row>
        <row r="4376">
          <cell r="Q4376" t="str">
            <v>Khoái Tốc Áp Chế</v>
          </cell>
        </row>
        <row r="4377">
          <cell r="Q4377" t="str">
            <v>Khoái Tốc Áp Chế</v>
          </cell>
        </row>
        <row r="4378">
          <cell r="Q4378" t="str">
            <v>Khoái Tốc Áp Chế</v>
          </cell>
        </row>
        <row r="4379">
          <cell r="Q4379" t="str">
            <v>Khoái Tốc Áp Chế</v>
          </cell>
        </row>
        <row r="4380">
          <cell r="Q4380" t="str">
            <v>Khoái Tốc Áp Chế</v>
          </cell>
        </row>
        <row r="4381">
          <cell r="Q4381" t="str">
            <v>Khoái Tốc Áp Chế</v>
          </cell>
        </row>
        <row r="4382">
          <cell r="Q4382" t="str">
            <v>Khoái Tốc Áp Chế</v>
          </cell>
        </row>
        <row r="4383">
          <cell r="Q4383" t="str">
            <v>Khoái Tốc Áp Chế</v>
          </cell>
        </row>
        <row r="4384">
          <cell r="Q4384" t="str">
            <v>Sinh Tồn Tinh Thông</v>
          </cell>
        </row>
        <row r="4385">
          <cell r="Q4385" t="str">
            <v>Sinh Tồn Tinh Thông</v>
          </cell>
        </row>
        <row r="4386">
          <cell r="Q4386" t="str">
            <v>Sinh Tồn Tinh Thông</v>
          </cell>
        </row>
        <row r="4387">
          <cell r="Q4387" t="str">
            <v>Sinh Tồn Tinh Thông</v>
          </cell>
        </row>
        <row r="4388">
          <cell r="Q4388" t="str">
            <v>Sinh Tồn Tinh Thông</v>
          </cell>
        </row>
        <row r="4389">
          <cell r="Q4389" t="str">
            <v>Sinh Tồn Tinh Thông</v>
          </cell>
        </row>
        <row r="4390">
          <cell r="Q4390" t="str">
            <v>Sinh Tồn Tinh Thông</v>
          </cell>
        </row>
        <row r="4391">
          <cell r="Q4391" t="str">
            <v>Sinh Tồn Tinh Thông</v>
          </cell>
        </row>
        <row r="4392">
          <cell r="Q4392" t="str">
            <v>Sinh Tồn Tinh Thông</v>
          </cell>
        </row>
        <row r="4393">
          <cell r="Q4393" t="str">
            <v>Sinh Tồn Tinh Thông</v>
          </cell>
        </row>
        <row r="4394">
          <cell r="Q4394" t="str">
            <v>Sinh Tồn Tinh Thông</v>
          </cell>
        </row>
        <row r="4395">
          <cell r="Q4395" t="str">
            <v>Sinh Tồn Tinh Thông</v>
          </cell>
        </row>
        <row r="4396">
          <cell r="Q4396" t="str">
            <v>Sinh Tồn Tinh Thông</v>
          </cell>
        </row>
        <row r="4397">
          <cell r="Q4397" t="str">
            <v>Sinh Tồn Tinh Thông</v>
          </cell>
        </row>
        <row r="4398">
          <cell r="Q4398" t="str">
            <v>Sinh Tồn Tinh Thông</v>
          </cell>
        </row>
        <row r="4399">
          <cell r="Q4399" t="str">
            <v>Sinh Tồn Tinh Thông</v>
          </cell>
        </row>
        <row r="4400">
          <cell r="Q4400" t="str">
            <v>Sinh Tồn Tinh Thông</v>
          </cell>
        </row>
        <row r="4401">
          <cell r="Q4401" t="str">
            <v>Sinh Tồn Tinh Thông</v>
          </cell>
        </row>
        <row r="4402">
          <cell r="Q4402" t="str">
            <v>Sinh Tồn Tinh Thông</v>
          </cell>
        </row>
        <row r="4403">
          <cell r="Q4403" t="str">
            <v>Sinh Tồn Tinh Thông</v>
          </cell>
        </row>
        <row r="4404">
          <cell r="Q4404" t="str">
            <v>Hoãn Mạn Dũ Hợp</v>
          </cell>
        </row>
        <row r="4405">
          <cell r="Q4405" t="str">
            <v>Hoãn Mạn Dũ Hợp</v>
          </cell>
        </row>
        <row r="4406">
          <cell r="Q4406" t="str">
            <v>Hoãn Mạn Dũ Hợp</v>
          </cell>
        </row>
        <row r="4407">
          <cell r="Q4407" t="str">
            <v>Hoãn Mạn Dũ Hợp</v>
          </cell>
        </row>
        <row r="4408">
          <cell r="Q4408" t="str">
            <v>Hoãn Mạn Dũ Hợp</v>
          </cell>
        </row>
        <row r="4409">
          <cell r="Q4409" t="str">
            <v>Hoãn Mạn Dũ Hợp</v>
          </cell>
        </row>
        <row r="4410">
          <cell r="Q4410" t="str">
            <v>Hoãn Mạn Dũ Hợp</v>
          </cell>
        </row>
        <row r="4411">
          <cell r="Q4411" t="str">
            <v>Hoãn Mạn Dũ Hợp</v>
          </cell>
        </row>
        <row r="4412">
          <cell r="Q4412" t="str">
            <v>Hoãn Mạn Dũ Hợp</v>
          </cell>
        </row>
        <row r="4413">
          <cell r="Q4413" t="str">
            <v>Hoãn Mạn Dũ Hợp</v>
          </cell>
        </row>
        <row r="4414">
          <cell r="Q4414" t="str">
            <v>Hoãn Mạn Dũ Hợp</v>
          </cell>
        </row>
        <row r="4415">
          <cell r="Q4415" t="str">
            <v>Hoãn Mạn Dũ Hợp</v>
          </cell>
        </row>
        <row r="4416">
          <cell r="Q4416" t="str">
            <v>Hoãn Mạn Dũ Hợp</v>
          </cell>
        </row>
        <row r="4417">
          <cell r="Q4417" t="str">
            <v>Hoãn Mạn Dũ Hợp</v>
          </cell>
        </row>
        <row r="4418">
          <cell r="Q4418" t="str">
            <v>Hoãn Mạn Dũ Hợp</v>
          </cell>
        </row>
        <row r="4419">
          <cell r="Q4419" t="str">
            <v>Hoãn Mạn Dũ Hợp</v>
          </cell>
        </row>
        <row r="4420">
          <cell r="Q4420" t="str">
            <v>Hoãn Mạn Dũ Hợp</v>
          </cell>
        </row>
        <row r="4421">
          <cell r="Q4421" t="str">
            <v>Hoãn Mạn Dũ Hợp</v>
          </cell>
        </row>
        <row r="4422">
          <cell r="Q4422" t="str">
            <v>Hoãn Mạn Dũ Hợp</v>
          </cell>
        </row>
        <row r="4423">
          <cell r="Q4423" t="str">
            <v>Hoãn Mạn Dũ Hợp</v>
          </cell>
        </row>
        <row r="4424">
          <cell r="Q4424" t="str">
            <v>Tốc Độ Tinh Thông</v>
          </cell>
        </row>
        <row r="4425">
          <cell r="Q4425" t="str">
            <v>Tốc Độ Tinh Thông</v>
          </cell>
        </row>
        <row r="4426">
          <cell r="Q4426" t="str">
            <v>Tốc Độ Tinh Thông</v>
          </cell>
        </row>
        <row r="4427">
          <cell r="Q4427" t="str">
            <v>Tốc Độ Tinh Thông</v>
          </cell>
        </row>
        <row r="4428">
          <cell r="Q4428" t="str">
            <v>Tốc Độ Tinh Thông</v>
          </cell>
        </row>
        <row r="4429">
          <cell r="Q4429" t="str">
            <v>Tốc Độ Tinh Thông</v>
          </cell>
        </row>
        <row r="4430">
          <cell r="Q4430" t="str">
            <v>Tốc Độ Tinh Thông</v>
          </cell>
        </row>
        <row r="4431">
          <cell r="Q4431" t="str">
            <v>Tốc Độ Tinh Thông</v>
          </cell>
        </row>
        <row r="4432">
          <cell r="Q4432" t="str">
            <v>Tốc Độ Tinh Thông</v>
          </cell>
        </row>
        <row r="4433">
          <cell r="Q4433" t="str">
            <v>Tốc Độ Tinh Thông</v>
          </cell>
        </row>
        <row r="4434">
          <cell r="Q4434" t="str">
            <v>Tốc Độ Tinh Thông</v>
          </cell>
        </row>
        <row r="4435">
          <cell r="Q4435" t="str">
            <v>Tốc Độ Tinh Thông</v>
          </cell>
        </row>
        <row r="4436">
          <cell r="Q4436" t="str">
            <v>Tốc Độ Tinh Thông</v>
          </cell>
        </row>
        <row r="4437">
          <cell r="Q4437" t="str">
            <v>Tốc Độ Tinh Thông</v>
          </cell>
        </row>
        <row r="4438">
          <cell r="Q4438" t="str">
            <v>Tốc Độ Tinh Thông</v>
          </cell>
        </row>
        <row r="4439">
          <cell r="Q4439" t="str">
            <v>Tốc Độ Tinh Thông</v>
          </cell>
        </row>
        <row r="4440">
          <cell r="Q4440" t="str">
            <v>Tốc Độ Tinh Thông</v>
          </cell>
        </row>
        <row r="4441">
          <cell r="Q4441" t="str">
            <v>Tốc Độ Tinh Thông</v>
          </cell>
        </row>
        <row r="4442">
          <cell r="Q4442" t="str">
            <v>Tốc Độ Tinh Thông</v>
          </cell>
        </row>
        <row r="4443">
          <cell r="Q4443" t="str">
            <v>Tốc Độ Tinh Thông</v>
          </cell>
        </row>
        <row r="4444">
          <cell r="Q4444" t="str">
            <v>Tiên Thanh Đoạt Nhân</v>
          </cell>
        </row>
        <row r="4445">
          <cell r="Q4445" t="str">
            <v>Tiên Thanh Đoạt Nhân</v>
          </cell>
        </row>
        <row r="4446">
          <cell r="Q4446" t="str">
            <v>Tiên Thanh Đoạt Nhân</v>
          </cell>
        </row>
        <row r="4447">
          <cell r="Q4447" t="str">
            <v>Tiên Thanh Đoạt Nhân</v>
          </cell>
        </row>
        <row r="4448">
          <cell r="Q4448" t="str">
            <v>Tiên Thanh Đoạt Nhân</v>
          </cell>
        </row>
        <row r="4449">
          <cell r="Q4449" t="str">
            <v>Tiên Thanh Đoạt Nhân</v>
          </cell>
        </row>
        <row r="4450">
          <cell r="Q4450" t="str">
            <v>Tiên Thanh Đoạt Nhân</v>
          </cell>
        </row>
        <row r="4451">
          <cell r="Q4451" t="str">
            <v>Tiên Thanh Đoạt Nhân</v>
          </cell>
        </row>
        <row r="4452">
          <cell r="Q4452" t="str">
            <v>Tiên Thanh Đoạt Nhân</v>
          </cell>
        </row>
        <row r="4453">
          <cell r="Q4453" t="str">
            <v>Tiên Thanh Đoạt Nhân</v>
          </cell>
        </row>
        <row r="4454">
          <cell r="Q4454" t="str">
            <v>Tiên Thanh Đoạt Nhân</v>
          </cell>
        </row>
        <row r="4455">
          <cell r="Q4455" t="str">
            <v>Tiên Thanh Đoạt Nhân</v>
          </cell>
        </row>
        <row r="4456">
          <cell r="Q4456" t="str">
            <v>Tiên Thanh Đoạt Nhân</v>
          </cell>
        </row>
        <row r="4457">
          <cell r="Q4457" t="str">
            <v>Tiên Thanh Đoạt Nhân</v>
          </cell>
        </row>
        <row r="4458">
          <cell r="Q4458" t="str">
            <v>Tiên Thanh Đoạt Nhân</v>
          </cell>
        </row>
        <row r="4459">
          <cell r="Q4459" t="str">
            <v>Tiên Thanh Đoạt Nhân</v>
          </cell>
        </row>
        <row r="4460">
          <cell r="Q4460" t="str">
            <v>Tiên Thanh Đoạt Nhân</v>
          </cell>
        </row>
        <row r="4461">
          <cell r="Q4461" t="str">
            <v>Tiên Thanh Đoạt Nhân</v>
          </cell>
        </row>
        <row r="4462">
          <cell r="Q4462" t="str">
            <v>Tiên Thanh Đoạt Nhân</v>
          </cell>
        </row>
        <row r="4463">
          <cell r="Q4463" t="str">
            <v>Tiên Thanh Đoạt Nhân</v>
          </cell>
        </row>
        <row r="4464">
          <cell r="Q4464" t="str">
            <v>Sinh Tồn Tinh Thông</v>
          </cell>
        </row>
        <row r="4465">
          <cell r="Q4465" t="str">
            <v>Sinh Tồn Tinh Thông</v>
          </cell>
        </row>
        <row r="4466">
          <cell r="Q4466" t="str">
            <v>Sinh Tồn Tinh Thông</v>
          </cell>
        </row>
        <row r="4467">
          <cell r="Q4467" t="str">
            <v>Sinh Tồn Tinh Thông</v>
          </cell>
        </row>
        <row r="4468">
          <cell r="Q4468" t="str">
            <v>Sinh Tồn Tinh Thông</v>
          </cell>
        </row>
        <row r="4469">
          <cell r="Q4469" t="str">
            <v>Sinh Tồn Tinh Thông</v>
          </cell>
        </row>
        <row r="4470">
          <cell r="Q4470" t="str">
            <v>Sinh Tồn Tinh Thông</v>
          </cell>
        </row>
        <row r="4471">
          <cell r="Q4471" t="str">
            <v>Sinh Tồn Tinh Thông</v>
          </cell>
        </row>
        <row r="4472">
          <cell r="Q4472" t="str">
            <v>Sinh Tồn Tinh Thông</v>
          </cell>
        </row>
        <row r="4473">
          <cell r="Q4473" t="str">
            <v>Sinh Tồn Tinh Thông</v>
          </cell>
        </row>
        <row r="4474">
          <cell r="Q4474" t="str">
            <v>Sinh Tồn Tinh Thông</v>
          </cell>
        </row>
        <row r="4475">
          <cell r="Q4475" t="str">
            <v>Sinh Tồn Tinh Thông</v>
          </cell>
        </row>
        <row r="4476">
          <cell r="Q4476" t="str">
            <v>Sinh Tồn Tinh Thông</v>
          </cell>
        </row>
        <row r="4477">
          <cell r="Q4477" t="str">
            <v>Sinh Tồn Tinh Thông</v>
          </cell>
        </row>
        <row r="4478">
          <cell r="Q4478" t="str">
            <v>Sinh Tồn Tinh Thông</v>
          </cell>
        </row>
        <row r="4479">
          <cell r="Q4479" t="str">
            <v>Sinh Tồn Tinh Thông</v>
          </cell>
        </row>
        <row r="4480">
          <cell r="Q4480" t="str">
            <v>Sinh Tồn Tinh Thông</v>
          </cell>
        </row>
        <row r="4481">
          <cell r="Q4481" t="str">
            <v>Sinh Tồn Tinh Thông</v>
          </cell>
        </row>
        <row r="4482">
          <cell r="Q4482" t="str">
            <v>Sinh Tồn Tinh Thông</v>
          </cell>
        </row>
        <row r="4483">
          <cell r="Q4483" t="str">
            <v>Sinh Tồn Tinh Thông</v>
          </cell>
        </row>
        <row r="4484">
          <cell r="Q4484" t="str">
            <v>Cứu Tử Phù Thương</v>
          </cell>
        </row>
        <row r="4485">
          <cell r="Q4485" t="str">
            <v>Cứu Tử Phù Thương</v>
          </cell>
        </row>
        <row r="4486">
          <cell r="Q4486" t="str">
            <v>Cứu Tử Phù Thương</v>
          </cell>
        </row>
        <row r="4487">
          <cell r="Q4487" t="str">
            <v>Cứu Tử Phù Thương</v>
          </cell>
        </row>
        <row r="4488">
          <cell r="Q4488" t="str">
            <v>Cứu Tử Phù Thương</v>
          </cell>
        </row>
        <row r="4489">
          <cell r="Q4489" t="str">
            <v>Cứu Tử Phù Thương</v>
          </cell>
        </row>
        <row r="4490">
          <cell r="Q4490" t="str">
            <v>Cứu Tử Phù Thương</v>
          </cell>
        </row>
        <row r="4491">
          <cell r="Q4491" t="str">
            <v>Cứu Tử Phù Thương</v>
          </cell>
        </row>
        <row r="4492">
          <cell r="Q4492" t="str">
            <v>Cứu Tử Phù Thương</v>
          </cell>
        </row>
        <row r="4493">
          <cell r="Q4493" t="str">
            <v>Cứu Tử Phù Thương</v>
          </cell>
        </row>
        <row r="4494">
          <cell r="Q4494" t="str">
            <v>Cứu Tử Phù Thương</v>
          </cell>
        </row>
        <row r="4495">
          <cell r="Q4495" t="str">
            <v>Cứu Tử Phù Thương</v>
          </cell>
        </row>
        <row r="4496">
          <cell r="Q4496" t="str">
            <v>Cứu Tử Phù Thương</v>
          </cell>
        </row>
        <row r="4497">
          <cell r="Q4497" t="str">
            <v>Cứu Tử Phù Thương</v>
          </cell>
        </row>
        <row r="4498">
          <cell r="Q4498" t="str">
            <v>Cứu Tử Phù Thương</v>
          </cell>
        </row>
        <row r="4499">
          <cell r="Q4499" t="str">
            <v>Cứu Tử Phù Thương</v>
          </cell>
        </row>
        <row r="4500">
          <cell r="Q4500" t="str">
            <v>Cứu Tử Phù Thương</v>
          </cell>
        </row>
        <row r="4501">
          <cell r="Q4501" t="str">
            <v>Cứu Tử Phù Thương</v>
          </cell>
        </row>
        <row r="4502">
          <cell r="Q4502" t="str">
            <v>Cứu Tử Phù Thương</v>
          </cell>
        </row>
        <row r="4503">
          <cell r="Q4503" t="str">
            <v>Cứu Tử Phù Thương</v>
          </cell>
        </row>
        <row r="4504">
          <cell r="Q4504" t="str">
            <v>Tốc Độ Tinh Thông</v>
          </cell>
        </row>
        <row r="4505">
          <cell r="Q4505" t="str">
            <v>Tốc Độ Tinh Thông</v>
          </cell>
        </row>
        <row r="4506">
          <cell r="Q4506" t="str">
            <v>Tốc Độ Tinh Thông</v>
          </cell>
        </row>
        <row r="4507">
          <cell r="Q4507" t="str">
            <v>Tốc Độ Tinh Thông</v>
          </cell>
        </row>
        <row r="4508">
          <cell r="Q4508" t="str">
            <v>Tốc Độ Tinh Thông</v>
          </cell>
        </row>
        <row r="4509">
          <cell r="Q4509" t="str">
            <v>Tốc Độ Tinh Thông</v>
          </cell>
        </row>
        <row r="4510">
          <cell r="Q4510" t="str">
            <v>Tốc Độ Tinh Thông</v>
          </cell>
        </row>
        <row r="4511">
          <cell r="Q4511" t="str">
            <v>Tốc Độ Tinh Thông</v>
          </cell>
        </row>
        <row r="4512">
          <cell r="Q4512" t="str">
            <v>Tốc Độ Tinh Thông</v>
          </cell>
        </row>
        <row r="4513">
          <cell r="Q4513" t="str">
            <v>Tốc Độ Tinh Thông</v>
          </cell>
        </row>
        <row r="4514">
          <cell r="Q4514" t="str">
            <v>Tốc Độ Tinh Thông</v>
          </cell>
        </row>
        <row r="4515">
          <cell r="Q4515" t="str">
            <v>Tốc Độ Tinh Thông</v>
          </cell>
        </row>
        <row r="4516">
          <cell r="Q4516" t="str">
            <v>Tốc Độ Tinh Thông</v>
          </cell>
        </row>
        <row r="4517">
          <cell r="Q4517" t="str">
            <v>Tốc Độ Tinh Thông</v>
          </cell>
        </row>
        <row r="4518">
          <cell r="Q4518" t="str">
            <v>Tốc Độ Tinh Thông</v>
          </cell>
        </row>
        <row r="4519">
          <cell r="Q4519" t="str">
            <v>Tốc Độ Tinh Thông</v>
          </cell>
        </row>
        <row r="4520">
          <cell r="Q4520" t="str">
            <v>Tốc Độ Tinh Thông</v>
          </cell>
        </row>
        <row r="4521">
          <cell r="Q4521" t="str">
            <v>Tốc Độ Tinh Thông</v>
          </cell>
        </row>
        <row r="4522">
          <cell r="Q4522" t="str">
            <v>Tốc Độ Tinh Thông</v>
          </cell>
        </row>
        <row r="4523">
          <cell r="Q4523" t="str">
            <v>Tốc Độ Tinh Thông</v>
          </cell>
        </row>
        <row r="4524">
          <cell r="Q4524" t="str">
            <v>Tế Thế Phúc Ấm</v>
          </cell>
        </row>
        <row r="4525">
          <cell r="Q4525" t="str">
            <v>Tế Thế Phúc Ấm</v>
          </cell>
        </row>
        <row r="4526">
          <cell r="Q4526" t="str">
            <v>Tế Thế Phúc Ấm</v>
          </cell>
        </row>
        <row r="4527">
          <cell r="Q4527" t="str">
            <v>Tế Thế Phúc Ấm</v>
          </cell>
        </row>
        <row r="4528">
          <cell r="Q4528" t="str">
            <v>Tế Thế Phúc Ấm</v>
          </cell>
        </row>
        <row r="4529">
          <cell r="Q4529" t="str">
            <v>Tế Thế Phúc Ấm</v>
          </cell>
        </row>
        <row r="4530">
          <cell r="Q4530" t="str">
            <v>Tế Thế Phúc Ấm</v>
          </cell>
        </row>
        <row r="4531">
          <cell r="Q4531" t="str">
            <v>Tế Thế Phúc Ấm</v>
          </cell>
        </row>
        <row r="4532">
          <cell r="Q4532" t="str">
            <v>Tế Thế Phúc Ấm</v>
          </cell>
        </row>
        <row r="4533">
          <cell r="Q4533" t="str">
            <v>Tế Thế Phúc Ấm</v>
          </cell>
        </row>
        <row r="4534">
          <cell r="Q4534" t="str">
            <v>Tế Thế Phúc Ấm</v>
          </cell>
        </row>
        <row r="4535">
          <cell r="Q4535" t="str">
            <v>Tế Thế Phúc Ấm</v>
          </cell>
        </row>
        <row r="4536">
          <cell r="Q4536" t="str">
            <v>Tế Thế Phúc Ấm</v>
          </cell>
        </row>
        <row r="4537">
          <cell r="Q4537" t="str">
            <v>Tế Thế Phúc Ấm</v>
          </cell>
        </row>
        <row r="4538">
          <cell r="Q4538" t="str">
            <v>Tế Thế Phúc Ấm</v>
          </cell>
        </row>
        <row r="4539">
          <cell r="Q4539" t="str">
            <v>Tế Thế Phúc Ấm</v>
          </cell>
        </row>
        <row r="4540">
          <cell r="Q4540" t="str">
            <v>Tế Thế Phúc Ấm</v>
          </cell>
        </row>
        <row r="4541">
          <cell r="Q4541" t="str">
            <v>Tế Thế Phúc Ấm</v>
          </cell>
        </row>
        <row r="4542">
          <cell r="Q4542" t="str">
            <v>Tế Thế Phúc Ấm</v>
          </cell>
        </row>
        <row r="4543">
          <cell r="Q4543" t="str">
            <v>Tế Thế Phúc Ấm</v>
          </cell>
        </row>
        <row r="4544">
          <cell r="Q4544" t="str">
            <v>Vũ Thần Kỳ Phúc</v>
          </cell>
        </row>
        <row r="4545">
          <cell r="Q4545" t="str">
            <v>Vũ Thần Kỳ Phúc</v>
          </cell>
        </row>
        <row r="4546">
          <cell r="Q4546" t="str">
            <v>Vũ Thần Kỳ Phúc</v>
          </cell>
        </row>
        <row r="4547">
          <cell r="Q4547" t="str">
            <v>Vũ Thần Kỳ Phúc</v>
          </cell>
        </row>
        <row r="4548">
          <cell r="Q4548" t="str">
            <v>Vũ Thần Kỳ Phúc</v>
          </cell>
        </row>
        <row r="4549">
          <cell r="Q4549" t="str">
            <v>Vũ Thần Kỳ Phúc</v>
          </cell>
        </row>
        <row r="4550">
          <cell r="Q4550" t="str">
            <v>Vũ Thần Kỳ Phúc</v>
          </cell>
        </row>
        <row r="4551">
          <cell r="Q4551" t="str">
            <v>Vũ Thần Kỳ Phúc</v>
          </cell>
        </row>
        <row r="4552">
          <cell r="Q4552" t="str">
            <v>Vũ Thần Kỳ Phúc</v>
          </cell>
        </row>
        <row r="4553">
          <cell r="Q4553" t="str">
            <v>Vũ Thần Kỳ Phúc</v>
          </cell>
        </row>
        <row r="4554">
          <cell r="Q4554" t="str">
            <v>Vô Cực Vật Liên</v>
          </cell>
        </row>
        <row r="4555">
          <cell r="Q4555" t="str">
            <v>Vô Cực Pháp Liên</v>
          </cell>
        </row>
        <row r="4556">
          <cell r="Q4556" t="str">
            <v>Vô Cực Tự Luật</v>
          </cell>
        </row>
        <row r="4557">
          <cell r="Q4557" t="str">
            <v>Vô Cực Phản Thương</v>
          </cell>
        </row>
        <row r="4558">
          <cell r="Q4558" t="str">
            <v>Vô Cực Chỉ Bạo</v>
          </cell>
        </row>
        <row r="4559">
          <cell r="P4559" t="str">
            <v>Lý Tĩnh</v>
          </cell>
          <cell r="Q4559" t="str">
            <v>Phổ Công</v>
          </cell>
        </row>
        <row r="4560">
          <cell r="P4560" t="str">
            <v>Lý Tĩnh</v>
          </cell>
          <cell r="Q4560" t="str">
            <v>Trấn Yêu Tháp</v>
          </cell>
        </row>
        <row r="4561">
          <cell r="P4561" t="str">
            <v>Lý Tĩnh</v>
          </cell>
          <cell r="Q4561" t="str">
            <v>Trấn Yêu Tháp</v>
          </cell>
        </row>
        <row r="4562">
          <cell r="P4562" t="str">
            <v>Lý Tĩnh</v>
          </cell>
          <cell r="Q4562" t="str">
            <v>Trấn Yêu Tháp</v>
          </cell>
        </row>
        <row r="4563">
          <cell r="P4563" t="str">
            <v>Lý Tĩnh</v>
          </cell>
          <cell r="Q4563" t="str">
            <v>Uy Hách</v>
          </cell>
        </row>
        <row r="4564">
          <cell r="P4564" t="str">
            <v>Lý Tĩnh</v>
          </cell>
          <cell r="Q4564" t="str">
            <v>Uy Hách</v>
          </cell>
        </row>
        <row r="4565">
          <cell r="P4565" t="str">
            <v>Lý Tĩnh</v>
          </cell>
          <cell r="Q4565" t="str">
            <v>Uy Hách</v>
          </cell>
        </row>
        <row r="4566">
          <cell r="P4566" t="str">
            <v>Lý Tĩnh</v>
          </cell>
          <cell r="Q4566" t="str">
            <v>Chấn Địa Quyết</v>
          </cell>
        </row>
        <row r="4567">
          <cell r="P4567" t="str">
            <v>Lý Tĩnh</v>
          </cell>
          <cell r="Q4567" t="str">
            <v>Chấn Địa Quyết</v>
          </cell>
        </row>
        <row r="4568">
          <cell r="P4568" t="str">
            <v>Lý Tĩnh</v>
          </cell>
          <cell r="Q4568" t="str">
            <v>Chấn Địa Quyết</v>
          </cell>
        </row>
        <row r="4569">
          <cell r="P4569" t="str">
            <v>Lý Tĩnh</v>
          </cell>
          <cell r="Q4569" t="str">
            <v>Chấn Địa Quyết</v>
          </cell>
        </row>
        <row r="4570">
          <cell r="P4570" t="str">
            <v>Lý Tĩnh</v>
          </cell>
          <cell r="Q4570" t="str">
            <v>Chấn Địa Quyết</v>
          </cell>
        </row>
        <row r="4571">
          <cell r="P4571" t="str">
            <v>Lý Tĩnh</v>
          </cell>
          <cell r="Q4571" t="str">
            <v>Chấn Địa Quyết</v>
          </cell>
        </row>
        <row r="4572">
          <cell r="P4572" t="str">
            <v>Lý Tĩnh</v>
          </cell>
          <cell r="Q4572" t="str">
            <v>Chấn Địa Quyết</v>
          </cell>
        </row>
        <row r="4573">
          <cell r="P4573" t="str">
            <v>Lý Tĩnh</v>
          </cell>
          <cell r="Q4573" t="str">
            <v>Chấn Địa Quyết</v>
          </cell>
        </row>
        <row r="4574">
          <cell r="P4574" t="str">
            <v>Lý Tĩnh</v>
          </cell>
          <cell r="Q4574" t="str">
            <v>Chấn Địa Quyết</v>
          </cell>
        </row>
        <row r="4575">
          <cell r="P4575" t="str">
            <v>Lý Tĩnh</v>
          </cell>
          <cell r="Q4575" t="str">
            <v>Độn Thủ</v>
          </cell>
        </row>
        <row r="4576">
          <cell r="P4576" t="str">
            <v>Lý Tĩnh</v>
          </cell>
          <cell r="Q4576" t="str">
            <v>Độn Thủ</v>
          </cell>
        </row>
        <row r="4577">
          <cell r="P4577" t="str">
            <v>Lý Tĩnh</v>
          </cell>
          <cell r="Q4577" t="str">
            <v>Độn Thủ</v>
          </cell>
        </row>
        <row r="4578">
          <cell r="P4578" t="str">
            <v>Lý Tĩnh</v>
          </cell>
          <cell r="Q4578" t="str">
            <v>Phù Đồ Sắc Lệnh</v>
          </cell>
        </row>
        <row r="4579">
          <cell r="P4579" t="str">
            <v>Lý Tĩnh</v>
          </cell>
          <cell r="Q4579" t="str">
            <v>Phù Đồ Sắc Lệnh</v>
          </cell>
        </row>
        <row r="4580">
          <cell r="P4580" t="str">
            <v>Lý Tĩnh</v>
          </cell>
          <cell r="Q4580" t="str">
            <v>Phù Đồ Sắc Lệnh</v>
          </cell>
        </row>
        <row r="4581">
          <cell r="P4581" t="str">
            <v>Lý Tĩnh</v>
          </cell>
          <cell r="Q4581" t="str">
            <v>Phù Đồ Sắc Lệnh</v>
          </cell>
        </row>
        <row r="4582">
          <cell r="P4582" t="str">
            <v>Lý Tĩnh</v>
          </cell>
          <cell r="Q4582" t="str">
            <v>Phù Đồ Sắc Lệnh</v>
          </cell>
        </row>
        <row r="4583">
          <cell r="P4583" t="str">
            <v>Lý Tĩnh</v>
          </cell>
          <cell r="Q4583" t="str">
            <v>Phù Đồ Sắc Lệnh</v>
          </cell>
        </row>
        <row r="4584">
          <cell r="P4584" t="str">
            <v>Lý Tĩnh</v>
          </cell>
          <cell r="Q4584" t="str">
            <v>Chấn Địa Quyết</v>
          </cell>
        </row>
        <row r="4585">
          <cell r="P4585" t="str">
            <v>Lý Tĩnh</v>
          </cell>
          <cell r="Q4585" t="str">
            <v>Chấn Địa Quyết</v>
          </cell>
        </row>
        <row r="4586">
          <cell r="P4586" t="str">
            <v>Lý Tĩnh</v>
          </cell>
          <cell r="Q4586" t="str">
            <v>Chấn Địa Quyết</v>
          </cell>
        </row>
        <row r="4587">
          <cell r="P4587" t="str">
            <v>Lý Tĩnh</v>
          </cell>
          <cell r="Q4587" t="str">
            <v>Chấn Địa Quyết</v>
          </cell>
        </row>
        <row r="4588">
          <cell r="P4588" t="str">
            <v>Lý Tĩnh</v>
          </cell>
          <cell r="Q4588" t="str">
            <v>Chấn Địa Quyết</v>
          </cell>
        </row>
        <row r="4589">
          <cell r="P4589" t="str">
            <v>Lý Tĩnh</v>
          </cell>
          <cell r="Q4589" t="str">
            <v>Chấn Địa Quyết</v>
          </cell>
        </row>
        <row r="4590">
          <cell r="P4590" t="str">
            <v>Lý Tĩnh</v>
          </cell>
          <cell r="Q4590" t="str">
            <v>Chấn Địa Quyết</v>
          </cell>
        </row>
        <row r="4591">
          <cell r="P4591" t="str">
            <v>Lý Tĩnh</v>
          </cell>
          <cell r="Q4591" t="str">
            <v>Chấn Địa Quyết</v>
          </cell>
        </row>
        <row r="4592">
          <cell r="P4592" t="str">
            <v>Lý Tĩnh</v>
          </cell>
          <cell r="Q4592" t="str">
            <v>Chấn Địa Quyết</v>
          </cell>
        </row>
        <row r="4593">
          <cell r="P4593" t="str">
            <v>Lý Tĩnh</v>
          </cell>
          <cell r="Q4593" t="str">
            <v>Cấp Cấp Như Luật Lệnh</v>
          </cell>
        </row>
        <row r="4594">
          <cell r="P4594" t="str">
            <v>Lý Tĩnh</v>
          </cell>
          <cell r="Q4594" t="str">
            <v>Cấp Cấp Như Luật Lệnh</v>
          </cell>
        </row>
        <row r="4595">
          <cell r="P4595" t="str">
            <v>Lý Tĩnh</v>
          </cell>
          <cell r="Q4595" t="str">
            <v>Cấp Cấp Như Luật Lệnh</v>
          </cell>
        </row>
        <row r="4596">
          <cell r="P4596" t="str">
            <v>Lý Tĩnh</v>
          </cell>
          <cell r="Q4596" t="str">
            <v>Cấp Cấp Như Luật Lệnh</v>
          </cell>
        </row>
        <row r="4597">
          <cell r="P4597" t="str">
            <v>Lý Tĩnh</v>
          </cell>
          <cell r="Q4597" t="str">
            <v>Cấp Cấp Như Luật Lệnh</v>
          </cell>
        </row>
        <row r="4598">
          <cell r="P4598" t="str">
            <v>Hằng Nga</v>
          </cell>
          <cell r="Q4598" t="str">
            <v>Phổ Công</v>
          </cell>
        </row>
        <row r="4599">
          <cell r="P4599" t="str">
            <v>Hằng Nga</v>
          </cell>
          <cell r="Q4599" t="str">
            <v>Nguyệt Luân Trảm</v>
          </cell>
        </row>
        <row r="4600">
          <cell r="P4600" t="str">
            <v>Hằng Nga</v>
          </cell>
          <cell r="Q4600" t="str">
            <v>Nguyệt Luân Trảm</v>
          </cell>
        </row>
        <row r="4601">
          <cell r="P4601" t="str">
            <v>Hằng Nga</v>
          </cell>
          <cell r="Q4601" t="str">
            <v>Nguyệt Luân Trảm</v>
          </cell>
        </row>
        <row r="4602">
          <cell r="P4602" t="str">
            <v>Hằng Nga</v>
          </cell>
          <cell r="Q4602" t="str">
            <v>Nguyệt Luân Trảm</v>
          </cell>
        </row>
        <row r="4603">
          <cell r="P4603" t="str">
            <v>Hằng Nga</v>
          </cell>
          <cell r="Q4603" t="str">
            <v>Nguyệt Luân Trảm</v>
          </cell>
        </row>
        <row r="4604">
          <cell r="P4604" t="str">
            <v>Hằng Nga</v>
          </cell>
          <cell r="Q4604" t="str">
            <v>Nguyệt Luân Trảm</v>
          </cell>
        </row>
        <row r="4605">
          <cell r="P4605" t="str">
            <v>Hằng Nga</v>
          </cell>
          <cell r="Q4605" t="str">
            <v>Nguyệt Luân Trảm</v>
          </cell>
        </row>
        <row r="4606">
          <cell r="P4606" t="str">
            <v>Hằng Nga</v>
          </cell>
          <cell r="Q4606" t="str">
            <v>Nguyệt Luân Trảm</v>
          </cell>
        </row>
        <row r="4607">
          <cell r="P4607" t="str">
            <v>Hằng Nga</v>
          </cell>
          <cell r="Q4607" t="str">
            <v>Nguyệt Luân Trảm</v>
          </cell>
        </row>
        <row r="4608">
          <cell r="P4608" t="str">
            <v>Hằng Nga</v>
          </cell>
          <cell r="Q4608" t="str">
            <v>Nguyệt Luân Trảm</v>
          </cell>
        </row>
        <row r="4609">
          <cell r="P4609" t="str">
            <v>Hằng Nga</v>
          </cell>
          <cell r="Q4609" t="str">
            <v>Nguyệt Luân Trảm</v>
          </cell>
        </row>
        <row r="4610">
          <cell r="P4610" t="str">
            <v>Hằng Nga</v>
          </cell>
          <cell r="Q4610" t="str">
            <v>Nguyệt Luân Trảm</v>
          </cell>
        </row>
        <row r="4611">
          <cell r="P4611" t="str">
            <v>Hằng Nga</v>
          </cell>
          <cell r="Q4611" t="str">
            <v>Trường Sinh</v>
          </cell>
        </row>
        <row r="4612">
          <cell r="P4612" t="str">
            <v>Hằng Nga</v>
          </cell>
          <cell r="Q4612" t="str">
            <v>Trường Sinh</v>
          </cell>
        </row>
        <row r="4613">
          <cell r="P4613" t="str">
            <v>Hằng Nga</v>
          </cell>
          <cell r="Q4613" t="str">
            <v>Trường Sinh</v>
          </cell>
        </row>
        <row r="4614">
          <cell r="P4614" t="str">
            <v>Hằng Nga</v>
          </cell>
          <cell r="Q4614" t="str">
            <v>Kỳ Nguyện</v>
          </cell>
        </row>
        <row r="4615">
          <cell r="P4615" t="str">
            <v>Hằng Nga</v>
          </cell>
          <cell r="Q4615" t="str">
            <v>Kỳ Nguyện</v>
          </cell>
        </row>
        <row r="4616">
          <cell r="P4616" t="str">
            <v>Hằng Nga</v>
          </cell>
          <cell r="Q4616" t="str">
            <v>Kỳ Nguyện</v>
          </cell>
        </row>
        <row r="4617">
          <cell r="P4617" t="str">
            <v>Hằng Nga</v>
          </cell>
          <cell r="Q4617" t="str">
            <v>Kỳ Nguyện</v>
          </cell>
        </row>
        <row r="4618">
          <cell r="P4618" t="str">
            <v>Hằng Nga</v>
          </cell>
          <cell r="Q4618" t="str">
            <v>Kỳ Nguyện</v>
          </cell>
        </row>
        <row r="4619">
          <cell r="P4619" t="str">
            <v>Hằng Nga</v>
          </cell>
          <cell r="Q4619" t="str">
            <v>Kỳ Nguyện</v>
          </cell>
        </row>
        <row r="4620">
          <cell r="P4620" t="str">
            <v>Hằng Nga</v>
          </cell>
          <cell r="Q4620" t="str">
            <v>Kỳ Nguyện</v>
          </cell>
        </row>
        <row r="4621">
          <cell r="P4621" t="str">
            <v>Hằng Nga</v>
          </cell>
          <cell r="Q4621" t="str">
            <v>Kỳ Nguyện</v>
          </cell>
        </row>
        <row r="4622">
          <cell r="P4622" t="str">
            <v>Hằng Nga</v>
          </cell>
          <cell r="Q4622" t="str">
            <v>Kỳ Nguyện</v>
          </cell>
        </row>
        <row r="4623">
          <cell r="P4623" t="str">
            <v>Hằng Nga</v>
          </cell>
          <cell r="Q4623" t="str">
            <v>Thiên Tâm</v>
          </cell>
        </row>
        <row r="4624">
          <cell r="P4624" t="str">
            <v>Hằng Nga</v>
          </cell>
          <cell r="Q4624" t="str">
            <v>Thiên Tâm</v>
          </cell>
        </row>
        <row r="4625">
          <cell r="P4625" t="str">
            <v>Hằng Nga</v>
          </cell>
          <cell r="Q4625" t="str">
            <v>Thiên Tâm</v>
          </cell>
        </row>
        <row r="4626">
          <cell r="P4626" t="str">
            <v>Hằng Nga</v>
          </cell>
          <cell r="Q4626" t="str">
            <v>Vụ Ẩn Nguyệt Căng</v>
          </cell>
        </row>
        <row r="4627">
          <cell r="P4627" t="str">
            <v>Hằng Nga</v>
          </cell>
          <cell r="Q4627" t="str">
            <v>Vụ Ẩn Nguyệt Căng</v>
          </cell>
        </row>
        <row r="4628">
          <cell r="P4628" t="str">
            <v>Hằng Nga</v>
          </cell>
          <cell r="Q4628" t="str">
            <v>Vụ Ẩn Nguyệt Căng</v>
          </cell>
        </row>
        <row r="4629">
          <cell r="P4629" t="str">
            <v>Hằng Nga</v>
          </cell>
          <cell r="Q4629" t="str">
            <v>Kỳ Nguyện</v>
          </cell>
        </row>
        <row r="4630">
          <cell r="P4630" t="str">
            <v>Hằng Nga</v>
          </cell>
          <cell r="Q4630" t="str">
            <v>Kỳ Nguyện</v>
          </cell>
        </row>
        <row r="4631">
          <cell r="P4631" t="str">
            <v>Hằng Nga</v>
          </cell>
          <cell r="Q4631" t="str">
            <v>Kỳ Nguyện</v>
          </cell>
        </row>
        <row r="4632">
          <cell r="P4632" t="str">
            <v>Hằng Nga</v>
          </cell>
          <cell r="Q4632" t="str">
            <v>Kỳ Nguyện</v>
          </cell>
        </row>
        <row r="4633">
          <cell r="P4633" t="str">
            <v>Hằng Nga</v>
          </cell>
          <cell r="Q4633" t="str">
            <v>Kỳ Nguyện</v>
          </cell>
        </row>
        <row r="4634">
          <cell r="P4634" t="str">
            <v>Hằng Nga</v>
          </cell>
          <cell r="Q4634" t="str">
            <v>Kỳ Nguyện</v>
          </cell>
        </row>
        <row r="4635">
          <cell r="P4635" t="str">
            <v>Hằng Nga</v>
          </cell>
          <cell r="Q4635" t="str">
            <v>Kỳ Nguyện</v>
          </cell>
        </row>
        <row r="4636">
          <cell r="P4636" t="str">
            <v>Hằng Nga</v>
          </cell>
          <cell r="Q4636" t="str">
            <v>Kỳ Nguyện</v>
          </cell>
        </row>
        <row r="4637">
          <cell r="P4637" t="str">
            <v>Hằng Nga</v>
          </cell>
          <cell r="Q4637" t="str">
            <v>Kỳ Nguyện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10"/>
  <sheetViews>
    <sheetView tabSelected="1" workbookViewId="0">
      <pane xSplit="3" ySplit="1" topLeftCell="D2" activePane="bottomRight" state="frozen"/>
      <selection pane="topRight"/>
      <selection pane="bottomLeft"/>
      <selection pane="bottomRight" activeCell="E17" sqref="E17"/>
    </sheetView>
  </sheetViews>
  <sheetFormatPr defaultColWidth="9" defaultRowHeight="15"/>
  <cols>
    <col min="1" max="1" width="9" style="1"/>
    <col min="2" max="3" width="19.42578125" style="1" customWidth="1"/>
    <col min="4" max="4" width="12.7109375" style="1" customWidth="1"/>
    <col min="5" max="5" width="12.5703125" style="1" customWidth="1"/>
    <col min="6" max="6" width="14.5703125" style="1" customWidth="1"/>
    <col min="7" max="10" width="16.140625" style="1" customWidth="1"/>
    <col min="11" max="11" width="19.140625" style="1" customWidth="1"/>
    <col min="12" max="12" width="24.7109375" style="1" customWidth="1"/>
    <col min="13" max="15" width="14.140625" style="1" customWidth="1"/>
    <col min="16" max="16" width="11.140625" style="96" customWidth="1"/>
    <col min="17" max="17" width="45" style="1" customWidth="1"/>
    <col min="18" max="18" width="14.85546875" style="1" customWidth="1"/>
    <col min="19" max="19" width="10.7109375" style="1" customWidth="1"/>
    <col min="20" max="20" width="16.42578125" style="1" customWidth="1"/>
    <col min="21" max="25" width="9" style="1"/>
    <col min="26" max="26" width="17.28515625" style="1" customWidth="1"/>
    <col min="27" max="16384" width="9" style="1"/>
  </cols>
  <sheetData>
    <row r="1" spans="1:27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7" t="s">
        <v>5</v>
      </c>
      <c r="G1" s="97" t="s">
        <v>6</v>
      </c>
      <c r="H1" s="97" t="s">
        <v>7</v>
      </c>
      <c r="I1" s="97" t="s">
        <v>8</v>
      </c>
      <c r="J1" s="97" t="s">
        <v>9</v>
      </c>
      <c r="K1" s="97" t="s">
        <v>10</v>
      </c>
      <c r="L1" s="97" t="s">
        <v>11</v>
      </c>
      <c r="M1" s="97" t="s">
        <v>12</v>
      </c>
      <c r="N1" s="97" t="s">
        <v>13</v>
      </c>
      <c r="O1" s="97" t="s">
        <v>14</v>
      </c>
      <c r="P1" s="99" t="s">
        <v>15</v>
      </c>
      <c r="Q1" s="97" t="s">
        <v>16</v>
      </c>
      <c r="R1" s="101" t="s">
        <v>17</v>
      </c>
      <c r="S1" s="101" t="s">
        <v>18</v>
      </c>
      <c r="T1" s="101" t="s">
        <v>19</v>
      </c>
      <c r="U1" s="101" t="s">
        <v>20</v>
      </c>
      <c r="V1" s="102" t="s">
        <v>21</v>
      </c>
      <c r="W1" s="102" t="s">
        <v>22</v>
      </c>
      <c r="X1" s="102" t="s">
        <v>23</v>
      </c>
      <c r="Y1" s="51" t="s">
        <v>24</v>
      </c>
      <c r="Z1" s="51" t="s">
        <v>25</v>
      </c>
      <c r="AA1" s="51" t="s">
        <v>26</v>
      </c>
    </row>
    <row r="2" spans="1:27">
      <c r="A2" s="1">
        <v>1</v>
      </c>
      <c r="B2" s="1" t="s">
        <v>27</v>
      </c>
      <c r="C2" s="1">
        <v>1</v>
      </c>
      <c r="E2" s="1">
        <v>100021</v>
      </c>
      <c r="F2" s="1">
        <v>1</v>
      </c>
      <c r="L2" s="1">
        <f>24*3600</f>
        <v>86400</v>
      </c>
      <c r="M2" s="1">
        <v>1</v>
      </c>
      <c r="N2" s="1">
        <v>1</v>
      </c>
      <c r="O2" s="1">
        <v>0</v>
      </c>
      <c r="P2" s="96" t="s">
        <v>28</v>
      </c>
      <c r="Q2" s="1" t="s">
        <v>29</v>
      </c>
    </row>
    <row r="3" spans="1:27">
      <c r="A3" s="1">
        <v>2</v>
      </c>
      <c r="B3" s="1" t="s">
        <v>30</v>
      </c>
      <c r="C3" s="1">
        <v>10</v>
      </c>
      <c r="E3" s="1">
        <v>100021</v>
      </c>
      <c r="F3" s="1">
        <v>10</v>
      </c>
      <c r="N3" s="1">
        <v>10</v>
      </c>
      <c r="O3" s="1">
        <v>0</v>
      </c>
      <c r="P3" s="96" t="s">
        <v>28</v>
      </c>
    </row>
    <row r="4" spans="1:27">
      <c r="A4" s="1">
        <v>3</v>
      </c>
      <c r="B4" s="1" t="s">
        <v>31</v>
      </c>
      <c r="C4" s="1">
        <v>1</v>
      </c>
      <c r="G4" s="1">
        <v>100</v>
      </c>
      <c r="N4" s="1">
        <v>2</v>
      </c>
      <c r="O4" s="1">
        <v>0</v>
      </c>
      <c r="P4" s="96" t="s">
        <v>32</v>
      </c>
    </row>
    <row r="5" spans="1:27">
      <c r="A5" s="1">
        <v>4</v>
      </c>
      <c r="B5" s="1" t="s">
        <v>33</v>
      </c>
      <c r="C5" s="1">
        <v>10</v>
      </c>
      <c r="G5" s="1">
        <v>1000</v>
      </c>
      <c r="N5" s="1">
        <v>20</v>
      </c>
      <c r="O5" s="1">
        <v>0</v>
      </c>
      <c r="P5" s="96" t="s">
        <v>32</v>
      </c>
    </row>
    <row r="6" spans="1:27">
      <c r="A6" s="1">
        <v>5</v>
      </c>
      <c r="B6" s="1" t="s">
        <v>34</v>
      </c>
      <c r="C6" s="1">
        <v>1</v>
      </c>
      <c r="E6" s="1">
        <v>100022</v>
      </c>
      <c r="F6" s="1">
        <v>1</v>
      </c>
      <c r="I6" s="1">
        <v>220</v>
      </c>
      <c r="L6" s="1">
        <f>24*3600</f>
        <v>86400</v>
      </c>
      <c r="M6" s="1">
        <v>1</v>
      </c>
      <c r="N6" s="1">
        <v>20</v>
      </c>
      <c r="O6" s="1">
        <v>5000</v>
      </c>
      <c r="P6" s="96" t="s">
        <v>35</v>
      </c>
      <c r="R6" s="1">
        <v>1</v>
      </c>
      <c r="S6" s="1">
        <v>5</v>
      </c>
      <c r="T6" s="1">
        <v>39</v>
      </c>
      <c r="U6" s="1">
        <v>35</v>
      </c>
    </row>
    <row r="7" spans="1:27">
      <c r="A7" s="1">
        <v>6</v>
      </c>
      <c r="B7" s="1" t="s">
        <v>36</v>
      </c>
      <c r="C7" s="1">
        <v>50</v>
      </c>
      <c r="E7" s="1">
        <v>100022</v>
      </c>
      <c r="F7" s="1">
        <v>50</v>
      </c>
      <c r="I7" s="1">
        <v>10000</v>
      </c>
      <c r="K7" s="1">
        <v>1000</v>
      </c>
      <c r="N7" s="1">
        <v>1000</v>
      </c>
      <c r="O7" s="1">
        <v>250000</v>
      </c>
      <c r="P7" s="96" t="s">
        <v>35</v>
      </c>
      <c r="R7" s="1">
        <v>1</v>
      </c>
      <c r="S7" s="1">
        <v>5</v>
      </c>
      <c r="T7" s="1">
        <v>39</v>
      </c>
      <c r="U7" s="1">
        <v>35</v>
      </c>
      <c r="V7" s="1">
        <v>1</v>
      </c>
      <c r="W7" s="1">
        <v>4</v>
      </c>
      <c r="X7" s="1">
        <v>4</v>
      </c>
      <c r="Y7" s="1">
        <v>1</v>
      </c>
      <c r="Z7" s="1">
        <v>1</v>
      </c>
      <c r="AA7" s="1">
        <v>5</v>
      </c>
    </row>
    <row r="8" spans="1:27">
      <c r="A8" s="1">
        <v>7</v>
      </c>
      <c r="B8" s="1" t="s">
        <v>37</v>
      </c>
      <c r="C8" s="1">
        <v>1</v>
      </c>
      <c r="D8" s="1">
        <v>3</v>
      </c>
      <c r="H8" s="1">
        <v>1000</v>
      </c>
      <c r="N8" s="1">
        <v>0</v>
      </c>
      <c r="O8" s="1">
        <v>0</v>
      </c>
      <c r="P8" s="96" t="s">
        <v>38</v>
      </c>
    </row>
    <row r="9" spans="1:27" s="51" customFormat="1">
      <c r="A9" s="51">
        <v>8</v>
      </c>
      <c r="B9" s="98" t="s">
        <v>39</v>
      </c>
      <c r="C9" s="51">
        <v>1</v>
      </c>
      <c r="E9" s="51">
        <v>100298</v>
      </c>
      <c r="F9" s="51">
        <v>1</v>
      </c>
      <c r="N9" s="51">
        <v>10</v>
      </c>
      <c r="P9" s="100" t="s">
        <v>40</v>
      </c>
      <c r="Y9" s="51">
        <v>1</v>
      </c>
      <c r="Z9" s="51">
        <v>1</v>
      </c>
      <c r="AA9" s="51">
        <v>5</v>
      </c>
    </row>
    <row r="10" spans="1:27" s="51" customFormat="1">
      <c r="A10" s="51">
        <v>9</v>
      </c>
      <c r="B10" s="98" t="s">
        <v>41</v>
      </c>
      <c r="C10" s="51">
        <v>10</v>
      </c>
      <c r="E10" s="51">
        <v>100298</v>
      </c>
      <c r="F10" s="51">
        <v>10</v>
      </c>
      <c r="N10" s="51">
        <v>100</v>
      </c>
      <c r="P10" s="100" t="s">
        <v>40</v>
      </c>
      <c r="Y10" s="51">
        <v>1</v>
      </c>
      <c r="Z10" s="51">
        <v>1</v>
      </c>
      <c r="AA10" s="51">
        <v>5</v>
      </c>
    </row>
  </sheetData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3"/>
  <sheetViews>
    <sheetView workbookViewId="0">
      <pane xSplit="1" ySplit="1" topLeftCell="B2" activePane="bottomRight" state="frozen"/>
      <selection pane="topRight"/>
      <selection pane="bottomLeft"/>
      <selection pane="bottomRight" activeCell="H10" sqref="H10"/>
    </sheetView>
  </sheetViews>
  <sheetFormatPr defaultColWidth="9" defaultRowHeight="15"/>
  <cols>
    <col min="1" max="6" width="9" style="16"/>
    <col min="7" max="7" width="13.7109375" style="16" customWidth="1"/>
    <col min="8" max="16384" width="9" style="16"/>
  </cols>
  <sheetData>
    <row r="1" spans="1:8">
      <c r="A1" s="17" t="s">
        <v>42</v>
      </c>
      <c r="B1" s="17" t="s">
        <v>43</v>
      </c>
      <c r="C1" s="17" t="s">
        <v>44</v>
      </c>
      <c r="D1" s="17" t="s">
        <v>45</v>
      </c>
      <c r="E1" s="17" t="s">
        <v>46</v>
      </c>
      <c r="F1" s="17" t="s">
        <v>47</v>
      </c>
      <c r="G1" s="17" t="s">
        <v>48</v>
      </c>
      <c r="H1" s="18" t="s">
        <v>49</v>
      </c>
    </row>
    <row r="2" spans="1:8">
      <c r="A2" s="17">
        <v>1</v>
      </c>
      <c r="B2" s="17">
        <v>102301</v>
      </c>
      <c r="C2" s="17">
        <v>100</v>
      </c>
      <c r="D2" s="17">
        <v>99</v>
      </c>
      <c r="E2" s="17">
        <v>1</v>
      </c>
      <c r="F2" s="16" t="s">
        <v>60</v>
      </c>
      <c r="G2" s="17" t="s">
        <v>150</v>
      </c>
      <c r="H2" s="17">
        <v>100</v>
      </c>
    </row>
    <row r="3" spans="1:8">
      <c r="A3" s="17">
        <v>2</v>
      </c>
      <c r="B3" s="17">
        <v>200101</v>
      </c>
      <c r="C3" s="17">
        <v>8500</v>
      </c>
      <c r="D3" s="17">
        <v>1</v>
      </c>
      <c r="E3" s="17">
        <v>1</v>
      </c>
      <c r="F3" s="16" t="s">
        <v>61</v>
      </c>
      <c r="G3" s="17" t="s">
        <v>151</v>
      </c>
      <c r="H3" s="17">
        <v>8500</v>
      </c>
    </row>
    <row r="4" spans="1:8">
      <c r="A4" s="17">
        <v>3</v>
      </c>
      <c r="B4" s="17">
        <v>100101</v>
      </c>
      <c r="C4" s="17">
        <v>8500</v>
      </c>
      <c r="D4" s="17">
        <v>1</v>
      </c>
      <c r="E4" s="17">
        <v>1</v>
      </c>
      <c r="F4" s="16" t="s">
        <v>62</v>
      </c>
      <c r="G4" s="17" t="s">
        <v>152</v>
      </c>
      <c r="H4" s="17">
        <v>8500</v>
      </c>
    </row>
    <row r="5" spans="1:8">
      <c r="A5" s="17">
        <v>4</v>
      </c>
      <c r="B5" s="17">
        <v>300101</v>
      </c>
      <c r="C5" s="17">
        <v>8500</v>
      </c>
      <c r="D5" s="17">
        <v>1</v>
      </c>
      <c r="E5" s="17">
        <v>1</v>
      </c>
      <c r="F5" s="16" t="s">
        <v>63</v>
      </c>
      <c r="G5" s="17" t="s">
        <v>153</v>
      </c>
      <c r="H5" s="17">
        <v>8500</v>
      </c>
    </row>
    <row r="6" spans="1:8">
      <c r="A6" s="17">
        <v>5</v>
      </c>
      <c r="B6" s="17">
        <v>200201</v>
      </c>
      <c r="C6" s="17">
        <v>6000</v>
      </c>
      <c r="D6" s="17">
        <v>1</v>
      </c>
      <c r="E6" s="17">
        <v>1</v>
      </c>
      <c r="F6" s="16" t="s">
        <v>64</v>
      </c>
      <c r="G6" s="17" t="s">
        <v>154</v>
      </c>
      <c r="H6" s="17">
        <v>6000</v>
      </c>
    </row>
    <row r="7" spans="1:8">
      <c r="A7" s="17">
        <v>6</v>
      </c>
      <c r="B7" s="17">
        <v>300301</v>
      </c>
      <c r="C7" s="17">
        <v>6000</v>
      </c>
      <c r="D7" s="17">
        <v>1</v>
      </c>
      <c r="E7" s="17">
        <v>1</v>
      </c>
      <c r="F7" s="16" t="s">
        <v>65</v>
      </c>
      <c r="G7" s="17" t="s">
        <v>155</v>
      </c>
      <c r="H7" s="17">
        <v>6000</v>
      </c>
    </row>
    <row r="8" spans="1:8">
      <c r="A8" s="17">
        <v>7</v>
      </c>
      <c r="B8" s="17">
        <v>100301</v>
      </c>
      <c r="C8" s="17">
        <v>6000</v>
      </c>
      <c r="D8" s="17">
        <v>1</v>
      </c>
      <c r="E8" s="17">
        <v>1</v>
      </c>
      <c r="F8" s="16" t="s">
        <v>66</v>
      </c>
      <c r="G8" s="17" t="s">
        <v>156</v>
      </c>
      <c r="H8" s="17">
        <v>6000</v>
      </c>
    </row>
    <row r="9" spans="1:8">
      <c r="A9" s="17">
        <v>8</v>
      </c>
      <c r="B9" s="17">
        <v>300701</v>
      </c>
      <c r="C9" s="17">
        <v>700</v>
      </c>
      <c r="D9" s="17">
        <v>1</v>
      </c>
      <c r="E9" s="17">
        <v>1</v>
      </c>
      <c r="F9" s="16" t="s">
        <v>67</v>
      </c>
      <c r="G9" s="17" t="s">
        <v>157</v>
      </c>
      <c r="H9" s="17">
        <v>700</v>
      </c>
    </row>
    <row r="10" spans="1:8">
      <c r="A10" s="17">
        <v>9</v>
      </c>
      <c r="B10" s="17">
        <v>200801</v>
      </c>
      <c r="C10" s="17">
        <v>700</v>
      </c>
      <c r="D10" s="17">
        <v>1</v>
      </c>
      <c r="E10" s="17">
        <v>1</v>
      </c>
      <c r="F10" s="16" t="s">
        <v>68</v>
      </c>
      <c r="G10" s="17" t="s">
        <v>158</v>
      </c>
      <c r="H10" s="17">
        <v>700</v>
      </c>
    </row>
    <row r="11" spans="1:8">
      <c r="A11" s="17">
        <v>10</v>
      </c>
      <c r="B11" s="17">
        <v>100601</v>
      </c>
      <c r="C11" s="17">
        <v>700</v>
      </c>
      <c r="D11" s="17">
        <v>1</v>
      </c>
      <c r="E11" s="17">
        <v>1</v>
      </c>
      <c r="F11" s="16" t="s">
        <v>69</v>
      </c>
      <c r="G11" s="17" t="s">
        <v>159</v>
      </c>
      <c r="H11" s="17">
        <v>700</v>
      </c>
    </row>
    <row r="12" spans="1:8">
      <c r="A12" s="17">
        <v>11</v>
      </c>
      <c r="B12" s="17">
        <v>300401</v>
      </c>
      <c r="C12" s="17">
        <v>700</v>
      </c>
      <c r="D12" s="17">
        <v>1</v>
      </c>
      <c r="E12" s="17">
        <v>1</v>
      </c>
      <c r="F12" s="16" t="s">
        <v>70</v>
      </c>
      <c r="G12" s="17" t="s">
        <v>160</v>
      </c>
      <c r="H12" s="17">
        <v>700</v>
      </c>
    </row>
    <row r="13" spans="1:8">
      <c r="A13" s="17">
        <v>12</v>
      </c>
      <c r="B13" s="17">
        <v>100801</v>
      </c>
      <c r="C13" s="17">
        <v>700</v>
      </c>
      <c r="D13" s="17">
        <v>1</v>
      </c>
      <c r="E13" s="17">
        <v>1</v>
      </c>
      <c r="F13" s="16" t="s">
        <v>71</v>
      </c>
      <c r="G13" s="17" t="s">
        <v>161</v>
      </c>
      <c r="H13" s="17">
        <v>700</v>
      </c>
    </row>
    <row r="14" spans="1:8">
      <c r="A14" s="17">
        <v>13</v>
      </c>
      <c r="B14" s="17">
        <v>500101</v>
      </c>
      <c r="C14" s="17">
        <v>700</v>
      </c>
      <c r="D14" s="17">
        <v>1</v>
      </c>
      <c r="E14" s="17">
        <v>1</v>
      </c>
      <c r="F14" s="16" t="s">
        <v>72</v>
      </c>
      <c r="G14" s="17" t="s">
        <v>162</v>
      </c>
      <c r="H14" s="17">
        <v>700</v>
      </c>
    </row>
    <row r="15" spans="1:8">
      <c r="A15" s="17">
        <v>14</v>
      </c>
      <c r="B15" s="17">
        <v>400101</v>
      </c>
      <c r="C15" s="17">
        <v>150</v>
      </c>
      <c r="D15" s="17">
        <v>1</v>
      </c>
      <c r="E15" s="17">
        <v>1</v>
      </c>
      <c r="F15" s="16" t="s">
        <v>73</v>
      </c>
      <c r="G15" s="17" t="s">
        <v>163</v>
      </c>
      <c r="H15" s="17">
        <v>150</v>
      </c>
    </row>
    <row r="16" spans="1:8">
      <c r="A16" s="17">
        <v>15</v>
      </c>
      <c r="B16" s="19">
        <v>200501</v>
      </c>
      <c r="C16" s="17">
        <v>150</v>
      </c>
      <c r="D16" s="17">
        <v>1</v>
      </c>
      <c r="E16" s="17">
        <v>1</v>
      </c>
      <c r="F16" s="16" t="s">
        <v>74</v>
      </c>
      <c r="G16" s="17" t="s">
        <v>164</v>
      </c>
      <c r="H16" s="17">
        <v>150</v>
      </c>
    </row>
    <row r="17" spans="1:8">
      <c r="A17" s="17">
        <v>16</v>
      </c>
      <c r="B17" s="1">
        <v>100901</v>
      </c>
      <c r="C17" s="17">
        <v>75</v>
      </c>
      <c r="D17" s="17">
        <v>1</v>
      </c>
      <c r="E17" s="17">
        <v>1</v>
      </c>
      <c r="F17" s="16" t="s">
        <v>75</v>
      </c>
      <c r="G17" s="17" t="s">
        <v>165</v>
      </c>
      <c r="H17" s="17">
        <v>75</v>
      </c>
    </row>
    <row r="18" spans="1:8">
      <c r="A18" s="17">
        <v>17</v>
      </c>
      <c r="B18" s="1">
        <v>101301</v>
      </c>
      <c r="C18" s="17">
        <v>75</v>
      </c>
      <c r="D18" s="17">
        <v>1</v>
      </c>
      <c r="E18" s="17">
        <v>1</v>
      </c>
      <c r="F18" s="16" t="s">
        <v>76</v>
      </c>
      <c r="G18" s="17" t="s">
        <v>166</v>
      </c>
      <c r="H18" s="17">
        <v>75</v>
      </c>
    </row>
    <row r="19" spans="1:8">
      <c r="A19" s="17">
        <v>18</v>
      </c>
      <c r="B19" s="1">
        <v>500401</v>
      </c>
      <c r="C19" s="17">
        <v>25</v>
      </c>
      <c r="D19" s="17">
        <v>1</v>
      </c>
      <c r="E19" s="17">
        <v>1</v>
      </c>
      <c r="F19" s="16" t="s">
        <v>77</v>
      </c>
      <c r="G19" s="17" t="s">
        <v>167</v>
      </c>
      <c r="H19" s="17">
        <v>25</v>
      </c>
    </row>
    <row r="20" spans="1:8">
      <c r="A20" s="17">
        <v>19</v>
      </c>
      <c r="B20" s="1">
        <v>500501</v>
      </c>
      <c r="C20" s="17">
        <v>25</v>
      </c>
      <c r="D20" s="17">
        <v>1</v>
      </c>
      <c r="E20" s="17">
        <v>1</v>
      </c>
      <c r="F20" s="16" t="s">
        <v>78</v>
      </c>
      <c r="G20" s="17" t="s">
        <v>168</v>
      </c>
      <c r="H20" s="17">
        <v>25</v>
      </c>
    </row>
    <row r="21" spans="1:8">
      <c r="A21" s="17">
        <v>20</v>
      </c>
      <c r="B21" s="17">
        <v>201101</v>
      </c>
      <c r="C21" s="17">
        <v>75</v>
      </c>
      <c r="D21" s="17">
        <v>1</v>
      </c>
      <c r="E21" s="17">
        <v>1</v>
      </c>
      <c r="F21" s="16" t="s">
        <v>79</v>
      </c>
      <c r="G21" s="17" t="s">
        <v>169</v>
      </c>
      <c r="H21" s="17">
        <v>75</v>
      </c>
    </row>
    <row r="22" spans="1:8">
      <c r="A22" s="17">
        <v>21</v>
      </c>
      <c r="B22" s="17">
        <v>301001</v>
      </c>
      <c r="C22" s="17">
        <v>75</v>
      </c>
      <c r="D22" s="17">
        <v>1</v>
      </c>
      <c r="E22" s="17">
        <v>1</v>
      </c>
      <c r="F22" s="16" t="s">
        <v>80</v>
      </c>
      <c r="G22" s="17" t="s">
        <v>170</v>
      </c>
      <c r="H22" s="17">
        <v>75</v>
      </c>
    </row>
    <row r="23" spans="1:8">
      <c r="A23" s="17">
        <v>22</v>
      </c>
      <c r="B23" s="17">
        <v>400501</v>
      </c>
      <c r="C23" s="17">
        <v>25</v>
      </c>
      <c r="D23" s="17">
        <v>1</v>
      </c>
      <c r="E23" s="17">
        <v>1</v>
      </c>
      <c r="F23" s="16" t="s">
        <v>81</v>
      </c>
      <c r="G23" s="17" t="s">
        <v>171</v>
      </c>
      <c r="H23" s="17">
        <v>25</v>
      </c>
    </row>
    <row r="24" spans="1:8">
      <c r="A24" s="17">
        <v>23</v>
      </c>
      <c r="B24" s="1">
        <v>200901</v>
      </c>
      <c r="C24" s="17">
        <v>75</v>
      </c>
      <c r="D24" s="17">
        <v>1</v>
      </c>
      <c r="E24" s="17">
        <v>1</v>
      </c>
      <c r="F24" s="16" t="s">
        <v>82</v>
      </c>
      <c r="G24" s="17" t="s">
        <v>172</v>
      </c>
      <c r="H24" s="17">
        <v>75</v>
      </c>
    </row>
    <row r="25" spans="1:8">
      <c r="A25" s="17">
        <v>24</v>
      </c>
      <c r="B25" s="1">
        <v>201301</v>
      </c>
      <c r="C25" s="17">
        <v>75</v>
      </c>
      <c r="D25" s="17">
        <v>1</v>
      </c>
      <c r="E25" s="17">
        <v>1</v>
      </c>
      <c r="F25" s="16" t="s">
        <v>60</v>
      </c>
      <c r="G25" s="17" t="s">
        <v>150</v>
      </c>
      <c r="H25" s="17">
        <v>75</v>
      </c>
    </row>
    <row r="26" spans="1:8">
      <c r="A26" s="17">
        <v>25</v>
      </c>
      <c r="B26" s="17">
        <v>500301</v>
      </c>
      <c r="C26" s="17">
        <v>25</v>
      </c>
      <c r="D26" s="17">
        <v>1</v>
      </c>
      <c r="E26" s="17">
        <v>1</v>
      </c>
      <c r="F26" s="16" t="s">
        <v>83</v>
      </c>
      <c r="G26" s="17" t="s">
        <v>173</v>
      </c>
      <c r="H26" s="17">
        <v>25</v>
      </c>
    </row>
    <row r="27" spans="1:8">
      <c r="A27" s="17">
        <v>26</v>
      </c>
      <c r="B27" s="17">
        <v>400301</v>
      </c>
      <c r="C27" s="17">
        <v>25</v>
      </c>
      <c r="D27" s="17">
        <v>1</v>
      </c>
      <c r="E27" s="17">
        <v>1</v>
      </c>
      <c r="F27" s="16" t="s">
        <v>84</v>
      </c>
      <c r="G27" s="17" t="s">
        <v>174</v>
      </c>
      <c r="H27" s="17">
        <v>25</v>
      </c>
    </row>
    <row r="28" spans="1:8">
      <c r="A28" s="17">
        <v>27</v>
      </c>
      <c r="B28" s="17">
        <v>301201</v>
      </c>
      <c r="C28" s="17">
        <v>75</v>
      </c>
      <c r="D28" s="17">
        <v>1</v>
      </c>
      <c r="E28" s="17">
        <v>1</v>
      </c>
      <c r="F28" s="16" t="s">
        <v>85</v>
      </c>
      <c r="G28" s="17" t="s">
        <v>175</v>
      </c>
      <c r="H28" s="17">
        <v>75</v>
      </c>
    </row>
    <row r="29" spans="1:8">
      <c r="A29" s="17">
        <v>28</v>
      </c>
      <c r="B29" s="17">
        <v>400401</v>
      </c>
      <c r="C29" s="17">
        <v>25</v>
      </c>
      <c r="D29" s="17">
        <v>1</v>
      </c>
      <c r="E29" s="17">
        <v>1</v>
      </c>
      <c r="F29" s="16" t="s">
        <v>86</v>
      </c>
      <c r="G29" s="17" t="s">
        <v>176</v>
      </c>
      <c r="H29" s="17">
        <v>25</v>
      </c>
    </row>
    <row r="30" spans="1:8">
      <c r="A30" s="17">
        <v>29</v>
      </c>
      <c r="B30" s="20">
        <v>101101</v>
      </c>
      <c r="C30" s="17">
        <v>75</v>
      </c>
      <c r="D30" s="17">
        <v>1</v>
      </c>
      <c r="E30" s="17">
        <v>1</v>
      </c>
      <c r="F30" s="16" t="s">
        <v>87</v>
      </c>
      <c r="G30" s="17" t="s">
        <v>177</v>
      </c>
      <c r="H30" s="17">
        <v>75</v>
      </c>
    </row>
    <row r="31" spans="1:8">
      <c r="A31" s="17">
        <v>30</v>
      </c>
      <c r="B31" s="20">
        <v>101201</v>
      </c>
      <c r="C31" s="17">
        <v>75</v>
      </c>
      <c r="D31" s="17">
        <v>1</v>
      </c>
      <c r="E31" s="17">
        <v>1</v>
      </c>
      <c r="F31" s="16" t="s">
        <v>88</v>
      </c>
      <c r="G31" s="17" t="s">
        <v>178</v>
      </c>
      <c r="H31" s="17">
        <v>75</v>
      </c>
    </row>
    <row r="32" spans="1:8">
      <c r="A32" s="17">
        <v>31</v>
      </c>
      <c r="B32" s="17">
        <v>301101</v>
      </c>
      <c r="C32" s="17">
        <v>75</v>
      </c>
      <c r="D32" s="17">
        <v>1</v>
      </c>
      <c r="E32" s="17">
        <v>1</v>
      </c>
      <c r="F32" s="16" t="s">
        <v>89</v>
      </c>
      <c r="G32" s="17" t="s">
        <v>179</v>
      </c>
      <c r="H32" s="17">
        <v>75</v>
      </c>
    </row>
    <row r="33" spans="1:8">
      <c r="A33" s="17">
        <v>32</v>
      </c>
      <c r="B33" s="1">
        <v>102201</v>
      </c>
      <c r="C33" s="17">
        <v>15</v>
      </c>
      <c r="D33" s="17">
        <v>1</v>
      </c>
      <c r="E33" s="17">
        <v>1</v>
      </c>
      <c r="F33" s="16" t="s">
        <v>90</v>
      </c>
      <c r="G33" s="17" t="s">
        <v>180</v>
      </c>
      <c r="H33" s="17">
        <v>15</v>
      </c>
    </row>
    <row r="34" spans="1:8">
      <c r="A34" s="17">
        <v>33</v>
      </c>
      <c r="B34" s="17">
        <v>101401</v>
      </c>
      <c r="C34" s="17">
        <v>5</v>
      </c>
      <c r="D34" s="17">
        <v>1</v>
      </c>
      <c r="E34" s="17">
        <v>1</v>
      </c>
      <c r="F34" s="16" t="s">
        <v>91</v>
      </c>
      <c r="G34" s="17" t="s">
        <v>181</v>
      </c>
      <c r="H34" s="17">
        <v>5</v>
      </c>
    </row>
    <row r="35" spans="1:8">
      <c r="A35" s="17">
        <v>34</v>
      </c>
      <c r="B35" s="19">
        <v>101801</v>
      </c>
      <c r="C35" s="17">
        <v>5</v>
      </c>
      <c r="D35" s="17">
        <v>1</v>
      </c>
      <c r="E35" s="17">
        <v>1</v>
      </c>
      <c r="F35" s="16" t="s">
        <v>92</v>
      </c>
      <c r="G35" s="17" t="s">
        <v>182</v>
      </c>
      <c r="H35" s="17">
        <v>5</v>
      </c>
    </row>
    <row r="36" spans="1:8">
      <c r="A36" s="17">
        <v>35</v>
      </c>
      <c r="B36" s="19">
        <v>102001</v>
      </c>
      <c r="C36" s="17">
        <v>2</v>
      </c>
      <c r="D36" s="17">
        <v>1</v>
      </c>
      <c r="E36" s="17">
        <v>1</v>
      </c>
      <c r="F36" s="16" t="s">
        <v>93</v>
      </c>
      <c r="G36" s="17" t="s">
        <v>183</v>
      </c>
      <c r="H36" s="17">
        <v>2</v>
      </c>
    </row>
    <row r="37" spans="1:8">
      <c r="A37" s="17">
        <v>36</v>
      </c>
      <c r="B37" s="19">
        <v>102101</v>
      </c>
      <c r="C37" s="17">
        <v>2</v>
      </c>
      <c r="D37" s="17">
        <v>1</v>
      </c>
      <c r="E37" s="17">
        <v>1</v>
      </c>
      <c r="F37" s="16" t="s">
        <v>94</v>
      </c>
      <c r="G37" s="17" t="s">
        <v>184</v>
      </c>
      <c r="H37" s="17">
        <v>2</v>
      </c>
    </row>
    <row r="38" spans="1:8">
      <c r="A38" s="17">
        <v>37</v>
      </c>
      <c r="B38" s="17">
        <v>101601</v>
      </c>
      <c r="C38" s="17">
        <v>2</v>
      </c>
      <c r="D38" s="17">
        <v>1</v>
      </c>
      <c r="E38" s="17">
        <v>1</v>
      </c>
      <c r="F38" s="21" t="s">
        <v>95</v>
      </c>
      <c r="G38" s="17" t="s">
        <v>185</v>
      </c>
      <c r="H38" s="17">
        <v>2</v>
      </c>
    </row>
    <row r="39" spans="1:8">
      <c r="A39" s="17">
        <v>38</v>
      </c>
      <c r="B39" s="20">
        <v>101501</v>
      </c>
      <c r="C39" s="17">
        <v>14</v>
      </c>
      <c r="D39" s="17">
        <v>1</v>
      </c>
      <c r="E39" s="17">
        <v>1</v>
      </c>
      <c r="F39" s="16" t="s">
        <v>96</v>
      </c>
      <c r="G39" s="17" t="s">
        <v>186</v>
      </c>
      <c r="H39" s="17">
        <v>14</v>
      </c>
    </row>
    <row r="40" spans="1:8" s="12" customFormat="1">
      <c r="A40" s="17">
        <v>39</v>
      </c>
      <c r="B40" s="17">
        <v>101701</v>
      </c>
      <c r="C40" s="17">
        <v>2</v>
      </c>
      <c r="D40" s="17">
        <v>1</v>
      </c>
      <c r="E40" s="17">
        <v>1</v>
      </c>
      <c r="F40" s="22" t="s">
        <v>97</v>
      </c>
      <c r="G40" s="17" t="s">
        <v>187</v>
      </c>
      <c r="H40" s="17">
        <v>2</v>
      </c>
    </row>
    <row r="41" spans="1:8" s="12" customFormat="1">
      <c r="A41" s="17">
        <v>40</v>
      </c>
      <c r="B41" s="20">
        <v>102301</v>
      </c>
      <c r="C41" s="17">
        <v>2</v>
      </c>
      <c r="D41" s="17">
        <v>1</v>
      </c>
      <c r="E41" s="23">
        <v>1</v>
      </c>
      <c r="F41" s="24" t="s">
        <v>98</v>
      </c>
      <c r="G41" s="17" t="s">
        <v>188</v>
      </c>
      <c r="H41" s="17">
        <v>2</v>
      </c>
    </row>
    <row r="42" spans="1:8">
      <c r="A42" s="17">
        <v>41</v>
      </c>
      <c r="B42" s="25">
        <v>301401</v>
      </c>
      <c r="C42" s="25">
        <v>6</v>
      </c>
      <c r="D42" s="25">
        <v>1</v>
      </c>
      <c r="E42" s="25">
        <v>1</v>
      </c>
      <c r="F42" s="12" t="s">
        <v>99</v>
      </c>
      <c r="G42" s="26" t="s">
        <v>189</v>
      </c>
      <c r="H42" s="25">
        <v>6</v>
      </c>
    </row>
    <row r="43" spans="1:8">
      <c r="A43" s="17">
        <v>42</v>
      </c>
      <c r="B43" s="17">
        <v>301701</v>
      </c>
      <c r="C43" s="17">
        <v>14</v>
      </c>
      <c r="D43" s="17">
        <v>1</v>
      </c>
      <c r="E43" s="17">
        <v>1</v>
      </c>
      <c r="F43" s="16" t="s">
        <v>100</v>
      </c>
      <c r="G43" s="17" t="s">
        <v>190</v>
      </c>
      <c r="H43" s="17">
        <v>14</v>
      </c>
    </row>
    <row r="44" spans="1:8">
      <c r="A44" s="17">
        <v>43</v>
      </c>
      <c r="B44" s="17">
        <v>301601</v>
      </c>
      <c r="C44" s="17">
        <v>2</v>
      </c>
      <c r="D44" s="17">
        <v>1</v>
      </c>
      <c r="E44" s="17">
        <v>1</v>
      </c>
      <c r="F44" s="16" t="s">
        <v>101</v>
      </c>
      <c r="G44" s="17" t="s">
        <v>191</v>
      </c>
      <c r="H44" s="17">
        <v>2</v>
      </c>
    </row>
    <row r="45" spans="1:8">
      <c r="A45" s="17">
        <v>44</v>
      </c>
      <c r="B45" s="20">
        <v>301801</v>
      </c>
      <c r="C45" s="17">
        <v>14</v>
      </c>
      <c r="D45" s="17">
        <v>1</v>
      </c>
      <c r="E45" s="17">
        <v>1</v>
      </c>
      <c r="F45" s="16" t="s">
        <v>102</v>
      </c>
      <c r="G45" s="17" t="s">
        <v>192</v>
      </c>
      <c r="H45" s="17">
        <v>14</v>
      </c>
    </row>
    <row r="46" spans="1:8">
      <c r="A46" s="17">
        <v>45</v>
      </c>
      <c r="B46" s="20">
        <v>302001</v>
      </c>
      <c r="C46" s="17">
        <v>4</v>
      </c>
      <c r="D46" s="17">
        <v>1</v>
      </c>
      <c r="E46" s="17">
        <v>1</v>
      </c>
      <c r="F46" s="16" t="s">
        <v>103</v>
      </c>
      <c r="G46" s="17" t="s">
        <v>193</v>
      </c>
      <c r="H46" s="17">
        <v>4</v>
      </c>
    </row>
    <row r="47" spans="1:8">
      <c r="A47" s="17">
        <v>46</v>
      </c>
      <c r="B47" s="17">
        <v>302101</v>
      </c>
      <c r="C47" s="17">
        <v>14</v>
      </c>
      <c r="D47" s="17">
        <v>1</v>
      </c>
      <c r="E47" s="17">
        <v>1</v>
      </c>
      <c r="F47" s="16" t="s">
        <v>104</v>
      </c>
      <c r="G47" s="17" t="s">
        <v>194</v>
      </c>
      <c r="H47" s="17">
        <v>14</v>
      </c>
    </row>
    <row r="48" spans="1:8">
      <c r="A48" s="17">
        <v>47</v>
      </c>
      <c r="B48" s="1">
        <v>301901</v>
      </c>
      <c r="C48" s="17">
        <v>13</v>
      </c>
      <c r="D48" s="17">
        <v>1</v>
      </c>
      <c r="E48" s="17">
        <v>1</v>
      </c>
      <c r="F48" s="16" t="s">
        <v>105</v>
      </c>
      <c r="G48" s="17" t="s">
        <v>195</v>
      </c>
      <c r="H48" s="17">
        <v>14</v>
      </c>
    </row>
    <row r="49" spans="1:8">
      <c r="A49" s="17">
        <v>48</v>
      </c>
      <c r="B49" s="17">
        <v>302201</v>
      </c>
      <c r="C49" s="17">
        <v>6</v>
      </c>
      <c r="D49" s="17">
        <v>1</v>
      </c>
      <c r="E49" s="17">
        <v>1</v>
      </c>
      <c r="F49" s="16" t="s">
        <v>106</v>
      </c>
      <c r="G49" s="17" t="s">
        <v>196</v>
      </c>
      <c r="H49" s="17">
        <v>6</v>
      </c>
    </row>
    <row r="50" spans="1:8">
      <c r="A50" s="17">
        <v>49</v>
      </c>
      <c r="B50" s="17">
        <v>301501</v>
      </c>
      <c r="C50" s="17">
        <v>6</v>
      </c>
      <c r="D50" s="17">
        <v>1</v>
      </c>
      <c r="E50" s="17">
        <v>1</v>
      </c>
      <c r="F50" s="16" t="s">
        <v>107</v>
      </c>
      <c r="G50" s="17" t="s">
        <v>197</v>
      </c>
      <c r="H50" s="17">
        <v>6</v>
      </c>
    </row>
    <row r="51" spans="1:8">
      <c r="A51" s="17">
        <v>50</v>
      </c>
      <c r="B51" s="17">
        <v>201401</v>
      </c>
      <c r="C51" s="17">
        <v>14</v>
      </c>
      <c r="D51" s="17">
        <v>1</v>
      </c>
      <c r="E51" s="17">
        <v>1</v>
      </c>
      <c r="F51" s="16" t="s">
        <v>108</v>
      </c>
      <c r="G51" s="17" t="s">
        <v>198</v>
      </c>
      <c r="H51" s="17">
        <v>14</v>
      </c>
    </row>
    <row r="52" spans="1:8">
      <c r="A52" s="17">
        <v>51</v>
      </c>
      <c r="B52" s="17">
        <v>202001</v>
      </c>
      <c r="C52" s="17">
        <v>6</v>
      </c>
      <c r="D52" s="17">
        <v>1</v>
      </c>
      <c r="E52" s="17">
        <v>1</v>
      </c>
      <c r="F52" s="16" t="s">
        <v>109</v>
      </c>
      <c r="G52" s="17" t="s">
        <v>199</v>
      </c>
      <c r="H52" s="17">
        <v>6</v>
      </c>
    </row>
    <row r="53" spans="1:8">
      <c r="A53" s="17">
        <v>52</v>
      </c>
      <c r="B53" s="20">
        <v>201601</v>
      </c>
      <c r="C53" s="17">
        <v>15</v>
      </c>
      <c r="D53" s="17">
        <v>1</v>
      </c>
      <c r="E53" s="17">
        <v>1</v>
      </c>
      <c r="F53" s="16" t="s">
        <v>110</v>
      </c>
      <c r="G53" s="17" t="s">
        <v>200</v>
      </c>
      <c r="H53" s="17">
        <v>15</v>
      </c>
    </row>
    <row r="54" spans="1:8">
      <c r="A54" s="17">
        <v>53</v>
      </c>
      <c r="B54" s="17">
        <v>202101</v>
      </c>
      <c r="C54" s="17">
        <v>6</v>
      </c>
      <c r="D54" s="17">
        <v>1</v>
      </c>
      <c r="E54" s="17">
        <v>1</v>
      </c>
      <c r="F54" s="16" t="s">
        <v>111</v>
      </c>
      <c r="G54" s="17" t="s">
        <v>201</v>
      </c>
      <c r="H54" s="17">
        <v>6</v>
      </c>
    </row>
    <row r="55" spans="1:8">
      <c r="A55" s="17">
        <v>54</v>
      </c>
      <c r="B55" s="17">
        <v>202201</v>
      </c>
      <c r="C55" s="17">
        <v>15</v>
      </c>
      <c r="D55" s="17">
        <v>1</v>
      </c>
      <c r="E55" s="17">
        <v>1</v>
      </c>
      <c r="F55" s="16" t="s">
        <v>112</v>
      </c>
      <c r="G55" s="17" t="s">
        <v>202</v>
      </c>
      <c r="H55" s="17">
        <v>15</v>
      </c>
    </row>
    <row r="56" spans="1:8">
      <c r="A56" s="17">
        <v>55</v>
      </c>
      <c r="B56" s="19">
        <v>201801</v>
      </c>
      <c r="C56" s="17">
        <v>2</v>
      </c>
      <c r="D56" s="17">
        <v>1</v>
      </c>
      <c r="E56" s="17">
        <v>1</v>
      </c>
      <c r="F56" s="16" t="s">
        <v>113</v>
      </c>
      <c r="G56" s="17" t="s">
        <v>203</v>
      </c>
      <c r="H56" s="17">
        <v>2</v>
      </c>
    </row>
    <row r="57" spans="1:8">
      <c r="A57" s="17">
        <v>56</v>
      </c>
      <c r="B57" s="17">
        <v>201701</v>
      </c>
      <c r="C57" s="17">
        <v>6</v>
      </c>
      <c r="D57" s="17">
        <v>1</v>
      </c>
      <c r="E57" s="17">
        <v>1</v>
      </c>
      <c r="F57" s="16" t="s">
        <v>114</v>
      </c>
      <c r="G57" s="17" t="s">
        <v>204</v>
      </c>
      <c r="H57" s="17">
        <v>6</v>
      </c>
    </row>
    <row r="58" spans="1:8">
      <c r="A58" s="17">
        <v>57</v>
      </c>
      <c r="B58" s="19">
        <v>201501</v>
      </c>
      <c r="C58" s="17">
        <v>6</v>
      </c>
      <c r="D58" s="17">
        <v>1</v>
      </c>
      <c r="E58" s="17">
        <v>1</v>
      </c>
      <c r="F58" s="16" t="s">
        <v>115</v>
      </c>
      <c r="G58" s="17" t="s">
        <v>205</v>
      </c>
      <c r="H58" s="17">
        <v>6</v>
      </c>
    </row>
    <row r="59" spans="1:8">
      <c r="A59" s="17">
        <v>58</v>
      </c>
      <c r="B59" s="27">
        <v>202401</v>
      </c>
      <c r="C59" s="17">
        <v>6</v>
      </c>
      <c r="D59" s="17">
        <v>1</v>
      </c>
      <c r="E59" s="27">
        <v>1</v>
      </c>
      <c r="F59" s="28" t="s">
        <v>116</v>
      </c>
      <c r="G59" s="17" t="s">
        <v>206</v>
      </c>
      <c r="H59" s="17">
        <v>6</v>
      </c>
    </row>
    <row r="60" spans="1:8">
      <c r="A60" s="17">
        <v>59</v>
      </c>
      <c r="B60" s="27">
        <v>202301</v>
      </c>
      <c r="C60" s="17">
        <v>6</v>
      </c>
      <c r="D60" s="17">
        <v>1</v>
      </c>
      <c r="E60" s="27">
        <v>1</v>
      </c>
      <c r="F60" s="28" t="s">
        <v>117</v>
      </c>
      <c r="G60" s="17" t="s">
        <v>188</v>
      </c>
      <c r="H60" s="17">
        <v>6</v>
      </c>
    </row>
    <row r="61" spans="1:8">
      <c r="A61" s="17">
        <v>60</v>
      </c>
      <c r="B61" s="20">
        <v>501201</v>
      </c>
      <c r="C61" s="17">
        <v>2</v>
      </c>
      <c r="D61" s="17">
        <v>1</v>
      </c>
      <c r="E61" s="17">
        <v>1</v>
      </c>
      <c r="F61" s="16" t="s">
        <v>118</v>
      </c>
      <c r="G61" s="17" t="s">
        <v>207</v>
      </c>
      <c r="H61" s="17">
        <v>2</v>
      </c>
    </row>
    <row r="62" spans="1:8">
      <c r="A62" s="17">
        <v>61</v>
      </c>
      <c r="B62" s="17">
        <v>500701</v>
      </c>
      <c r="C62" s="17">
        <v>1</v>
      </c>
      <c r="D62" s="17">
        <v>1</v>
      </c>
      <c r="E62" s="17">
        <v>1</v>
      </c>
      <c r="F62" s="16" t="s">
        <v>119</v>
      </c>
      <c r="G62" s="17" t="s">
        <v>208</v>
      </c>
      <c r="H62" s="17">
        <v>1</v>
      </c>
    </row>
    <row r="63" spans="1:8">
      <c r="A63" s="17">
        <v>62</v>
      </c>
      <c r="B63" s="29">
        <v>400701</v>
      </c>
      <c r="C63" s="25">
        <v>1</v>
      </c>
      <c r="D63" s="25">
        <v>1</v>
      </c>
      <c r="E63" s="25">
        <v>1</v>
      </c>
      <c r="F63" s="16" t="s">
        <v>120</v>
      </c>
      <c r="G63" s="25" t="s">
        <v>209</v>
      </c>
      <c r="H63" s="25">
        <v>1</v>
      </c>
    </row>
    <row r="64" spans="1:8">
      <c r="A64" s="17">
        <v>63</v>
      </c>
      <c r="B64" s="19">
        <v>401201</v>
      </c>
      <c r="C64" s="17">
        <v>1</v>
      </c>
      <c r="D64" s="17">
        <v>1</v>
      </c>
      <c r="E64" s="17">
        <v>1</v>
      </c>
      <c r="F64" s="16" t="s">
        <v>121</v>
      </c>
      <c r="G64" s="17" t="s">
        <v>210</v>
      </c>
      <c r="H64" s="17">
        <v>1</v>
      </c>
    </row>
    <row r="65" spans="1:8">
      <c r="A65" s="17">
        <v>64</v>
      </c>
      <c r="B65" s="19">
        <v>401301</v>
      </c>
      <c r="C65" s="17">
        <v>1</v>
      </c>
      <c r="D65" s="17">
        <v>1</v>
      </c>
      <c r="E65" s="17">
        <v>1</v>
      </c>
      <c r="F65" s="16" t="s">
        <v>122</v>
      </c>
      <c r="G65" s="17" t="s">
        <v>211</v>
      </c>
      <c r="H65" s="17">
        <v>1</v>
      </c>
    </row>
    <row r="66" spans="1:8">
      <c r="A66" s="17">
        <v>65</v>
      </c>
      <c r="B66" s="29">
        <v>400601</v>
      </c>
      <c r="C66" s="25">
        <v>1</v>
      </c>
      <c r="D66" s="25">
        <v>1</v>
      </c>
      <c r="E66" s="25">
        <v>1</v>
      </c>
      <c r="F66" s="16" t="s">
        <v>123</v>
      </c>
      <c r="G66" s="25" t="s">
        <v>212</v>
      </c>
      <c r="H66" s="25">
        <v>1</v>
      </c>
    </row>
    <row r="67" spans="1:8">
      <c r="A67" s="17">
        <v>66</v>
      </c>
      <c r="B67" s="19">
        <v>500601</v>
      </c>
      <c r="C67" s="17">
        <v>1</v>
      </c>
      <c r="D67" s="17">
        <v>1</v>
      </c>
      <c r="E67" s="17">
        <v>1</v>
      </c>
      <c r="F67" s="16" t="s">
        <v>124</v>
      </c>
      <c r="G67" s="17" t="s">
        <v>213</v>
      </c>
      <c r="H67" s="17">
        <v>1</v>
      </c>
    </row>
    <row r="68" spans="1:8">
      <c r="A68" s="17">
        <v>67</v>
      </c>
      <c r="B68" s="30">
        <v>400901</v>
      </c>
      <c r="C68" s="17">
        <v>1</v>
      </c>
      <c r="D68" s="17">
        <v>1</v>
      </c>
      <c r="E68" s="17">
        <v>1</v>
      </c>
      <c r="F68" s="16" t="s">
        <v>125</v>
      </c>
      <c r="G68" s="17" t="s">
        <v>214</v>
      </c>
      <c r="H68" s="17">
        <v>1</v>
      </c>
    </row>
    <row r="69" spans="1:8">
      <c r="A69" s="17">
        <v>68</v>
      </c>
      <c r="B69" s="1">
        <v>501101</v>
      </c>
      <c r="C69" s="17">
        <v>3</v>
      </c>
      <c r="D69" s="17">
        <v>1</v>
      </c>
      <c r="E69" s="17">
        <v>1</v>
      </c>
      <c r="F69" s="16" t="s">
        <v>126</v>
      </c>
      <c r="G69" s="17" t="s">
        <v>215</v>
      </c>
      <c r="H69" s="17">
        <v>3</v>
      </c>
    </row>
    <row r="70" spans="1:8">
      <c r="A70" s="17">
        <v>69</v>
      </c>
      <c r="B70" s="17">
        <v>400801</v>
      </c>
      <c r="C70" s="17">
        <v>1</v>
      </c>
      <c r="D70" s="17">
        <v>1</v>
      </c>
      <c r="E70" s="17">
        <v>1</v>
      </c>
      <c r="F70" s="16" t="s">
        <v>127</v>
      </c>
      <c r="G70" s="17" t="s">
        <v>216</v>
      </c>
      <c r="H70" s="17">
        <v>2</v>
      </c>
    </row>
    <row r="71" spans="1:8">
      <c r="A71" s="17">
        <v>70</v>
      </c>
      <c r="B71" s="25">
        <v>501001</v>
      </c>
      <c r="C71" s="25">
        <v>1</v>
      </c>
      <c r="D71" s="25">
        <v>1</v>
      </c>
      <c r="E71" s="25">
        <v>1</v>
      </c>
      <c r="F71" s="16" t="s">
        <v>128</v>
      </c>
      <c r="G71" s="25" t="s">
        <v>217</v>
      </c>
      <c r="H71" s="25">
        <v>1</v>
      </c>
    </row>
    <row r="72" spans="1:8">
      <c r="A72" s="17">
        <v>71</v>
      </c>
      <c r="B72" s="25">
        <v>500901</v>
      </c>
      <c r="C72" s="25">
        <v>1</v>
      </c>
      <c r="D72" s="25">
        <v>1</v>
      </c>
      <c r="E72" s="25">
        <v>1</v>
      </c>
      <c r="F72" s="16" t="s">
        <v>129</v>
      </c>
      <c r="G72" s="25" t="s">
        <v>218</v>
      </c>
      <c r="H72" s="25">
        <v>1</v>
      </c>
    </row>
    <row r="73" spans="1:8">
      <c r="A73" s="17">
        <v>72</v>
      </c>
      <c r="B73" s="31">
        <v>401401</v>
      </c>
      <c r="C73" s="32">
        <v>1</v>
      </c>
      <c r="D73" s="32">
        <v>1</v>
      </c>
      <c r="E73" s="32">
        <v>1</v>
      </c>
      <c r="F73" s="16" t="s">
        <v>130</v>
      </c>
      <c r="G73" s="32" t="s">
        <v>219</v>
      </c>
      <c r="H73" s="32">
        <v>1</v>
      </c>
    </row>
    <row r="74" spans="1:8">
      <c r="A74" s="17">
        <v>73</v>
      </c>
      <c r="B74" s="33">
        <v>500801</v>
      </c>
      <c r="C74" s="34">
        <v>1</v>
      </c>
      <c r="D74" s="34">
        <v>1</v>
      </c>
      <c r="E74" s="34">
        <v>1</v>
      </c>
      <c r="F74" s="16" t="s">
        <v>131</v>
      </c>
      <c r="G74" s="35" t="s">
        <v>220</v>
      </c>
      <c r="H74" s="34">
        <v>1</v>
      </c>
    </row>
    <row r="75" spans="1:8">
      <c r="A75" s="17">
        <v>74</v>
      </c>
      <c r="B75" s="33">
        <v>401001</v>
      </c>
      <c r="C75" s="17">
        <v>1</v>
      </c>
      <c r="D75" s="34">
        <v>1</v>
      </c>
      <c r="E75" s="34">
        <v>1</v>
      </c>
      <c r="F75" s="16" t="s">
        <v>132</v>
      </c>
      <c r="G75" s="35" t="s">
        <v>221</v>
      </c>
      <c r="H75" s="17">
        <v>1</v>
      </c>
    </row>
    <row r="76" spans="1:8">
      <c r="A76" s="17">
        <v>75</v>
      </c>
      <c r="B76" s="33">
        <v>501301</v>
      </c>
      <c r="C76" s="17">
        <v>1</v>
      </c>
      <c r="D76" s="34">
        <v>1</v>
      </c>
      <c r="E76" s="34">
        <v>1</v>
      </c>
      <c r="F76" s="16" t="s">
        <v>133</v>
      </c>
      <c r="G76" s="35" t="s">
        <v>222</v>
      </c>
      <c r="H76" s="17">
        <v>1</v>
      </c>
    </row>
    <row r="77" spans="1:8">
      <c r="A77" s="17">
        <v>76</v>
      </c>
      <c r="B77" s="33">
        <v>501401</v>
      </c>
      <c r="C77" s="17">
        <v>1</v>
      </c>
      <c r="D77" s="34">
        <v>1</v>
      </c>
      <c r="E77" s="34">
        <v>1</v>
      </c>
      <c r="F77" s="16" t="s">
        <v>134</v>
      </c>
      <c r="G77" s="35" t="s">
        <v>223</v>
      </c>
      <c r="H77" s="17">
        <v>1</v>
      </c>
    </row>
    <row r="78" spans="1:8">
      <c r="A78" s="17">
        <v>77</v>
      </c>
      <c r="B78" s="33">
        <v>302301</v>
      </c>
      <c r="C78" s="17">
        <v>1</v>
      </c>
      <c r="D78" s="34">
        <v>1</v>
      </c>
      <c r="E78" s="34">
        <v>1</v>
      </c>
      <c r="F78" s="36" t="s">
        <v>135</v>
      </c>
      <c r="G78" s="35" t="s">
        <v>196</v>
      </c>
      <c r="H78" s="17">
        <v>1</v>
      </c>
    </row>
    <row r="79" spans="1:8">
      <c r="A79" s="17">
        <v>78</v>
      </c>
      <c r="B79" s="37">
        <v>501501</v>
      </c>
      <c r="C79" s="17">
        <v>1</v>
      </c>
      <c r="D79" s="34">
        <v>1</v>
      </c>
      <c r="E79" s="34">
        <v>1</v>
      </c>
      <c r="F79" s="16" t="s">
        <v>136</v>
      </c>
      <c r="G79" s="35" t="s">
        <v>224</v>
      </c>
      <c r="H79" s="17">
        <v>1</v>
      </c>
    </row>
    <row r="80" spans="1:8">
      <c r="A80" s="17">
        <v>79</v>
      </c>
      <c r="B80" s="37">
        <v>501601</v>
      </c>
      <c r="C80" s="17">
        <v>1</v>
      </c>
      <c r="D80" s="34">
        <v>1</v>
      </c>
      <c r="E80" s="34">
        <v>1</v>
      </c>
      <c r="F80" s="38" t="s">
        <v>137</v>
      </c>
      <c r="G80" s="35" t="s">
        <v>224</v>
      </c>
      <c r="H80" s="17">
        <v>1</v>
      </c>
    </row>
    <row r="81" spans="1:8">
      <c r="A81" s="17">
        <v>80</v>
      </c>
      <c r="B81" s="37">
        <v>401501</v>
      </c>
      <c r="C81" s="17">
        <v>1</v>
      </c>
      <c r="D81" s="34">
        <v>1</v>
      </c>
      <c r="E81" s="34">
        <v>1</v>
      </c>
      <c r="F81" s="38" t="s">
        <v>138</v>
      </c>
      <c r="G81" s="35" t="s">
        <v>224</v>
      </c>
      <c r="H81" s="17">
        <v>1</v>
      </c>
    </row>
    <row r="82" spans="1:8">
      <c r="A82" s="17">
        <v>81</v>
      </c>
      <c r="B82" s="37">
        <v>401601</v>
      </c>
      <c r="C82" s="17">
        <v>1</v>
      </c>
      <c r="D82" s="34">
        <v>1</v>
      </c>
      <c r="E82" s="34">
        <v>1</v>
      </c>
      <c r="F82" s="38" t="s">
        <v>139</v>
      </c>
      <c r="G82" s="35" t="s">
        <v>224</v>
      </c>
      <c r="H82" s="17">
        <v>1</v>
      </c>
    </row>
    <row r="83" spans="1:8">
      <c r="A83" s="17">
        <v>82</v>
      </c>
      <c r="B83" s="37">
        <v>401701</v>
      </c>
      <c r="C83" s="17">
        <v>1</v>
      </c>
      <c r="D83" s="34">
        <v>1</v>
      </c>
      <c r="E83" s="34">
        <v>1</v>
      </c>
      <c r="F83" s="38" t="s">
        <v>140</v>
      </c>
      <c r="G83" s="35" t="s">
        <v>224</v>
      </c>
      <c r="H83" s="17">
        <v>1</v>
      </c>
    </row>
    <row r="84" spans="1:8">
      <c r="A84" s="17">
        <v>83</v>
      </c>
      <c r="B84" s="37">
        <v>501701</v>
      </c>
      <c r="C84" s="17">
        <v>1</v>
      </c>
      <c r="D84" s="34">
        <v>1</v>
      </c>
      <c r="E84" s="34">
        <v>1</v>
      </c>
      <c r="F84" s="38" t="s">
        <v>141</v>
      </c>
      <c r="G84" s="35" t="s">
        <v>224</v>
      </c>
      <c r="H84" s="17">
        <v>1</v>
      </c>
    </row>
    <row r="85" spans="1:8" s="13" customFormat="1">
      <c r="A85" s="17">
        <v>84</v>
      </c>
      <c r="B85" s="39">
        <v>401901</v>
      </c>
      <c r="C85" s="39">
        <v>1</v>
      </c>
      <c r="D85" s="13">
        <v>1</v>
      </c>
      <c r="E85" s="39">
        <v>1</v>
      </c>
      <c r="F85" s="13" t="s">
        <v>142</v>
      </c>
      <c r="G85" s="39" t="s">
        <v>188</v>
      </c>
      <c r="H85" s="39">
        <v>1</v>
      </c>
    </row>
    <row r="86" spans="1:8" s="13" customFormat="1">
      <c r="A86" s="17">
        <v>85</v>
      </c>
      <c r="B86" s="39">
        <v>302401</v>
      </c>
      <c r="C86" s="39">
        <v>1</v>
      </c>
      <c r="D86" s="13">
        <v>1</v>
      </c>
      <c r="E86" s="39">
        <v>1</v>
      </c>
      <c r="F86" s="13" t="s">
        <v>143</v>
      </c>
      <c r="G86" s="39" t="s">
        <v>188</v>
      </c>
      <c r="H86" s="39">
        <v>1</v>
      </c>
    </row>
    <row r="87" spans="1:8" s="14" customFormat="1">
      <c r="A87" s="17">
        <v>86</v>
      </c>
      <c r="B87" s="40">
        <v>401801</v>
      </c>
      <c r="C87" s="40">
        <v>1</v>
      </c>
      <c r="D87" s="14">
        <v>1</v>
      </c>
      <c r="E87" s="40">
        <v>1</v>
      </c>
      <c r="F87" s="14" t="s">
        <v>144</v>
      </c>
      <c r="G87" s="40" t="s">
        <v>188</v>
      </c>
      <c r="H87" s="40">
        <v>1</v>
      </c>
    </row>
    <row r="88" spans="1:8" s="14" customFormat="1">
      <c r="A88" s="17">
        <v>87</v>
      </c>
      <c r="B88" s="40">
        <v>501801</v>
      </c>
      <c r="C88" s="40">
        <v>1</v>
      </c>
      <c r="D88" s="14">
        <v>1</v>
      </c>
      <c r="E88" s="40">
        <v>1</v>
      </c>
      <c r="F88" s="14" t="s">
        <v>145</v>
      </c>
      <c r="G88" s="40" t="s">
        <v>188</v>
      </c>
      <c r="H88" s="40">
        <v>1</v>
      </c>
    </row>
    <row r="89" spans="1:8">
      <c r="A89" s="17">
        <v>88</v>
      </c>
      <c r="B89" s="17">
        <v>200201</v>
      </c>
      <c r="C89" s="17">
        <v>6000</v>
      </c>
      <c r="D89" s="17">
        <v>2</v>
      </c>
      <c r="E89" s="17">
        <v>1</v>
      </c>
      <c r="F89" s="16" t="s">
        <v>64</v>
      </c>
      <c r="G89" s="17" t="s">
        <v>154</v>
      </c>
      <c r="H89" s="17">
        <v>6000</v>
      </c>
    </row>
    <row r="90" spans="1:8">
      <c r="A90" s="17">
        <v>89</v>
      </c>
      <c r="B90" s="17">
        <v>300301</v>
      </c>
      <c r="C90" s="17">
        <v>6000</v>
      </c>
      <c r="D90" s="17">
        <v>2</v>
      </c>
      <c r="E90" s="17">
        <v>1</v>
      </c>
      <c r="F90" s="16" t="s">
        <v>65</v>
      </c>
      <c r="G90" s="17" t="s">
        <v>155</v>
      </c>
      <c r="H90" s="17">
        <v>6000</v>
      </c>
    </row>
    <row r="91" spans="1:8">
      <c r="A91" s="17">
        <v>90</v>
      </c>
      <c r="B91" s="17">
        <v>100301</v>
      </c>
      <c r="C91" s="17">
        <v>6000</v>
      </c>
      <c r="D91" s="17">
        <v>2</v>
      </c>
      <c r="E91" s="17">
        <v>1</v>
      </c>
      <c r="F91" s="16" t="s">
        <v>66</v>
      </c>
      <c r="G91" s="17" t="s">
        <v>156</v>
      </c>
      <c r="H91" s="17">
        <v>6000</v>
      </c>
    </row>
    <row r="92" spans="1:8">
      <c r="A92" s="17">
        <v>91</v>
      </c>
      <c r="B92" s="17">
        <v>300701</v>
      </c>
      <c r="C92" s="17">
        <v>3500</v>
      </c>
      <c r="D92" s="17">
        <v>2</v>
      </c>
      <c r="E92" s="17">
        <v>1</v>
      </c>
      <c r="F92" s="16" t="s">
        <v>67</v>
      </c>
      <c r="G92" s="17" t="s">
        <v>157</v>
      </c>
      <c r="H92" s="17">
        <v>3500</v>
      </c>
    </row>
    <row r="93" spans="1:8">
      <c r="A93" s="17">
        <v>92</v>
      </c>
      <c r="B93" s="17">
        <v>200801</v>
      </c>
      <c r="C93" s="17">
        <v>3500</v>
      </c>
      <c r="D93" s="17">
        <v>2</v>
      </c>
      <c r="E93" s="17">
        <v>1</v>
      </c>
      <c r="F93" s="16" t="s">
        <v>68</v>
      </c>
      <c r="G93" s="17" t="s">
        <v>158</v>
      </c>
      <c r="H93" s="17">
        <v>3500</v>
      </c>
    </row>
    <row r="94" spans="1:8">
      <c r="A94" s="17">
        <v>93</v>
      </c>
      <c r="B94" s="17">
        <v>100601</v>
      </c>
      <c r="C94" s="17">
        <v>3500</v>
      </c>
      <c r="D94" s="17">
        <v>2</v>
      </c>
      <c r="E94" s="17">
        <v>1</v>
      </c>
      <c r="F94" s="16" t="s">
        <v>69</v>
      </c>
      <c r="G94" s="17" t="s">
        <v>159</v>
      </c>
      <c r="H94" s="17">
        <v>3500</v>
      </c>
    </row>
    <row r="95" spans="1:8">
      <c r="A95" s="17">
        <v>94</v>
      </c>
      <c r="B95" s="17">
        <v>300401</v>
      </c>
      <c r="C95" s="17">
        <v>3500</v>
      </c>
      <c r="D95" s="17">
        <v>2</v>
      </c>
      <c r="E95" s="17">
        <v>1</v>
      </c>
      <c r="F95" s="16" t="s">
        <v>70</v>
      </c>
      <c r="G95" s="17" t="s">
        <v>160</v>
      </c>
      <c r="H95" s="17">
        <v>3500</v>
      </c>
    </row>
    <row r="96" spans="1:8">
      <c r="A96" s="17">
        <v>95</v>
      </c>
      <c r="B96" s="17">
        <v>100801</v>
      </c>
      <c r="C96" s="17">
        <v>3500</v>
      </c>
      <c r="D96" s="17">
        <v>2</v>
      </c>
      <c r="E96" s="17">
        <v>1</v>
      </c>
      <c r="F96" s="16" t="s">
        <v>71</v>
      </c>
      <c r="G96" s="17" t="s">
        <v>161</v>
      </c>
      <c r="H96" s="17">
        <v>3500</v>
      </c>
    </row>
    <row r="97" spans="1:8">
      <c r="A97" s="17">
        <v>96</v>
      </c>
      <c r="B97" s="17">
        <v>500101</v>
      </c>
      <c r="C97" s="17">
        <v>3500</v>
      </c>
      <c r="D97" s="17">
        <v>2</v>
      </c>
      <c r="E97" s="17">
        <v>1</v>
      </c>
      <c r="F97" s="16" t="s">
        <v>72</v>
      </c>
      <c r="G97" s="17" t="s">
        <v>162</v>
      </c>
      <c r="H97" s="17">
        <v>3500</v>
      </c>
    </row>
    <row r="98" spans="1:8">
      <c r="A98" s="17">
        <v>97</v>
      </c>
      <c r="B98" s="17">
        <v>400101</v>
      </c>
      <c r="C98" s="17">
        <v>2000</v>
      </c>
      <c r="D98" s="17">
        <v>2</v>
      </c>
      <c r="E98" s="17">
        <v>1</v>
      </c>
      <c r="F98" s="16" t="s">
        <v>73</v>
      </c>
      <c r="G98" s="17" t="s">
        <v>163</v>
      </c>
      <c r="H98" s="17">
        <v>2000</v>
      </c>
    </row>
    <row r="99" spans="1:8">
      <c r="A99" s="17">
        <v>98</v>
      </c>
      <c r="B99" s="19">
        <v>200501</v>
      </c>
      <c r="C99" s="17">
        <v>2000</v>
      </c>
      <c r="D99" s="17">
        <v>2</v>
      </c>
      <c r="E99" s="17">
        <v>1</v>
      </c>
      <c r="F99" s="16" t="s">
        <v>74</v>
      </c>
      <c r="G99" s="17" t="s">
        <v>164</v>
      </c>
      <c r="H99" s="17">
        <v>2000</v>
      </c>
    </row>
    <row r="100" spans="1:8">
      <c r="A100" s="17">
        <v>99</v>
      </c>
      <c r="B100" s="1">
        <v>100901</v>
      </c>
      <c r="C100" s="17">
        <v>500</v>
      </c>
      <c r="D100" s="17">
        <v>2</v>
      </c>
      <c r="E100" s="17">
        <v>1</v>
      </c>
      <c r="F100" s="16" t="s">
        <v>75</v>
      </c>
      <c r="G100" s="17" t="s">
        <v>165</v>
      </c>
      <c r="H100" s="17">
        <v>500</v>
      </c>
    </row>
    <row r="101" spans="1:8">
      <c r="A101" s="17">
        <v>100</v>
      </c>
      <c r="B101" s="1">
        <v>101301</v>
      </c>
      <c r="C101" s="17">
        <v>500</v>
      </c>
      <c r="D101" s="17">
        <v>2</v>
      </c>
      <c r="E101" s="17">
        <v>1</v>
      </c>
      <c r="F101" s="16" t="s">
        <v>76</v>
      </c>
      <c r="G101" s="17" t="s">
        <v>166</v>
      </c>
      <c r="H101" s="17">
        <v>500</v>
      </c>
    </row>
    <row r="102" spans="1:8">
      <c r="A102" s="17">
        <v>101</v>
      </c>
      <c r="B102" s="1">
        <v>500401</v>
      </c>
      <c r="C102" s="17">
        <v>150</v>
      </c>
      <c r="D102" s="17">
        <v>2</v>
      </c>
      <c r="E102" s="17">
        <v>1</v>
      </c>
      <c r="F102" s="16" t="s">
        <v>77</v>
      </c>
      <c r="G102" s="17" t="s">
        <v>167</v>
      </c>
      <c r="H102" s="17">
        <v>150</v>
      </c>
    </row>
    <row r="103" spans="1:8">
      <c r="A103" s="17">
        <v>102</v>
      </c>
      <c r="B103" s="1">
        <v>500501</v>
      </c>
      <c r="C103" s="17">
        <v>150</v>
      </c>
      <c r="D103" s="17">
        <v>2</v>
      </c>
      <c r="E103" s="17">
        <v>1</v>
      </c>
      <c r="F103" s="16" t="s">
        <v>78</v>
      </c>
      <c r="G103" s="17" t="s">
        <v>168</v>
      </c>
      <c r="H103" s="17">
        <v>150</v>
      </c>
    </row>
    <row r="104" spans="1:8">
      <c r="A104" s="17">
        <v>103</v>
      </c>
      <c r="B104" s="17">
        <v>201101</v>
      </c>
      <c r="C104" s="17">
        <v>500</v>
      </c>
      <c r="D104" s="17">
        <v>2</v>
      </c>
      <c r="E104" s="17">
        <v>1</v>
      </c>
      <c r="F104" s="16" t="s">
        <v>79</v>
      </c>
      <c r="G104" s="17" t="s">
        <v>169</v>
      </c>
      <c r="H104" s="17">
        <v>500</v>
      </c>
    </row>
    <row r="105" spans="1:8">
      <c r="A105" s="17">
        <v>104</v>
      </c>
      <c r="B105" s="17">
        <v>301001</v>
      </c>
      <c r="C105" s="17">
        <v>500</v>
      </c>
      <c r="D105" s="17">
        <v>2</v>
      </c>
      <c r="E105" s="17">
        <v>1</v>
      </c>
      <c r="F105" s="16" t="s">
        <v>80</v>
      </c>
      <c r="G105" s="17" t="s">
        <v>170</v>
      </c>
      <c r="H105" s="17">
        <v>500</v>
      </c>
    </row>
    <row r="106" spans="1:8">
      <c r="A106" s="17">
        <v>105</v>
      </c>
      <c r="B106" s="17">
        <v>400501</v>
      </c>
      <c r="C106" s="17">
        <v>150</v>
      </c>
      <c r="D106" s="17">
        <v>2</v>
      </c>
      <c r="E106" s="17">
        <v>1</v>
      </c>
      <c r="F106" s="16" t="s">
        <v>81</v>
      </c>
      <c r="G106" s="17" t="s">
        <v>171</v>
      </c>
      <c r="H106" s="17">
        <v>150</v>
      </c>
    </row>
    <row r="107" spans="1:8">
      <c r="A107" s="17">
        <v>106</v>
      </c>
      <c r="B107" s="1">
        <v>200901</v>
      </c>
      <c r="C107" s="17">
        <v>500</v>
      </c>
      <c r="D107" s="17">
        <v>2</v>
      </c>
      <c r="E107" s="17">
        <v>1</v>
      </c>
      <c r="F107" s="16" t="s">
        <v>82</v>
      </c>
      <c r="G107" s="17" t="s">
        <v>172</v>
      </c>
      <c r="H107" s="17">
        <v>500</v>
      </c>
    </row>
    <row r="108" spans="1:8">
      <c r="A108" s="17">
        <v>107</v>
      </c>
      <c r="B108" s="1">
        <v>201301</v>
      </c>
      <c r="C108" s="17">
        <v>500</v>
      </c>
      <c r="D108" s="17">
        <v>2</v>
      </c>
      <c r="E108" s="17">
        <v>1</v>
      </c>
      <c r="F108" s="16" t="s">
        <v>60</v>
      </c>
      <c r="G108" s="17" t="s">
        <v>150</v>
      </c>
      <c r="H108" s="17">
        <v>500</v>
      </c>
    </row>
    <row r="109" spans="1:8">
      <c r="A109" s="17">
        <v>108</v>
      </c>
      <c r="B109" s="17">
        <v>500301</v>
      </c>
      <c r="C109" s="17">
        <v>150</v>
      </c>
      <c r="D109" s="17">
        <v>2</v>
      </c>
      <c r="E109" s="17">
        <v>1</v>
      </c>
      <c r="F109" s="16" t="s">
        <v>83</v>
      </c>
      <c r="G109" s="17" t="s">
        <v>173</v>
      </c>
      <c r="H109" s="17">
        <v>150</v>
      </c>
    </row>
    <row r="110" spans="1:8">
      <c r="A110" s="17">
        <v>109</v>
      </c>
      <c r="B110" s="17">
        <v>400301</v>
      </c>
      <c r="C110" s="17">
        <v>150</v>
      </c>
      <c r="D110" s="17">
        <v>2</v>
      </c>
      <c r="E110" s="17">
        <v>1</v>
      </c>
      <c r="F110" s="16" t="s">
        <v>84</v>
      </c>
      <c r="G110" s="17" t="s">
        <v>174</v>
      </c>
      <c r="H110" s="17">
        <v>150</v>
      </c>
    </row>
    <row r="111" spans="1:8">
      <c r="A111" s="17">
        <v>110</v>
      </c>
      <c r="B111" s="17">
        <v>301201</v>
      </c>
      <c r="C111" s="17">
        <v>500</v>
      </c>
      <c r="D111" s="17">
        <v>2</v>
      </c>
      <c r="E111" s="17">
        <v>1</v>
      </c>
      <c r="F111" s="16" t="s">
        <v>85</v>
      </c>
      <c r="G111" s="17" t="s">
        <v>175</v>
      </c>
      <c r="H111" s="17">
        <v>500</v>
      </c>
    </row>
    <row r="112" spans="1:8">
      <c r="A112" s="17">
        <v>111</v>
      </c>
      <c r="B112" s="17">
        <v>400401</v>
      </c>
      <c r="C112" s="17">
        <v>150</v>
      </c>
      <c r="D112" s="17">
        <v>2</v>
      </c>
      <c r="E112" s="17">
        <v>1</v>
      </c>
      <c r="F112" s="16" t="s">
        <v>86</v>
      </c>
      <c r="G112" s="17" t="s">
        <v>176</v>
      </c>
      <c r="H112" s="17">
        <v>150</v>
      </c>
    </row>
    <row r="113" spans="1:8">
      <c r="A113" s="17">
        <v>112</v>
      </c>
      <c r="B113" s="20">
        <v>101101</v>
      </c>
      <c r="C113" s="17">
        <v>500</v>
      </c>
      <c r="D113" s="17">
        <v>2</v>
      </c>
      <c r="E113" s="17">
        <v>1</v>
      </c>
      <c r="F113" s="16" t="s">
        <v>87</v>
      </c>
      <c r="G113" s="17" t="s">
        <v>177</v>
      </c>
      <c r="H113" s="17">
        <v>500</v>
      </c>
    </row>
    <row r="114" spans="1:8">
      <c r="A114" s="17">
        <v>113</v>
      </c>
      <c r="B114" s="20">
        <v>101201</v>
      </c>
      <c r="C114" s="17">
        <v>500</v>
      </c>
      <c r="D114" s="17">
        <v>2</v>
      </c>
      <c r="E114" s="17">
        <v>1</v>
      </c>
      <c r="F114" s="16" t="s">
        <v>88</v>
      </c>
      <c r="G114" s="17" t="s">
        <v>178</v>
      </c>
      <c r="H114" s="17">
        <v>500</v>
      </c>
    </row>
    <row r="115" spans="1:8">
      <c r="A115" s="17">
        <v>114</v>
      </c>
      <c r="B115" s="17">
        <v>301101</v>
      </c>
      <c r="C115" s="17">
        <v>500</v>
      </c>
      <c r="D115" s="17">
        <v>2</v>
      </c>
      <c r="E115" s="17">
        <v>1</v>
      </c>
      <c r="F115" s="16" t="s">
        <v>89</v>
      </c>
      <c r="G115" s="17" t="s">
        <v>179</v>
      </c>
      <c r="H115" s="17">
        <v>500</v>
      </c>
    </row>
    <row r="116" spans="1:8">
      <c r="A116" s="17">
        <v>115</v>
      </c>
      <c r="B116" s="1">
        <v>102201</v>
      </c>
      <c r="C116" s="17">
        <v>30</v>
      </c>
      <c r="D116" s="17">
        <v>2</v>
      </c>
      <c r="E116" s="17">
        <v>1</v>
      </c>
      <c r="F116" s="16" t="s">
        <v>90</v>
      </c>
      <c r="G116" s="17" t="s">
        <v>180</v>
      </c>
      <c r="H116" s="17">
        <v>30</v>
      </c>
    </row>
    <row r="117" spans="1:8">
      <c r="A117" s="17">
        <v>116</v>
      </c>
      <c r="B117" s="17">
        <v>101401</v>
      </c>
      <c r="C117" s="17">
        <v>15</v>
      </c>
      <c r="D117" s="17">
        <v>2</v>
      </c>
      <c r="E117" s="17">
        <v>1</v>
      </c>
      <c r="F117" s="16" t="s">
        <v>91</v>
      </c>
      <c r="G117" s="17" t="s">
        <v>181</v>
      </c>
      <c r="H117" s="17">
        <v>15</v>
      </c>
    </row>
    <row r="118" spans="1:8">
      <c r="A118" s="17">
        <v>117</v>
      </c>
      <c r="B118" s="19">
        <v>101801</v>
      </c>
      <c r="C118" s="17">
        <v>15</v>
      </c>
      <c r="D118" s="17">
        <v>2</v>
      </c>
      <c r="E118" s="17">
        <v>1</v>
      </c>
      <c r="F118" s="16" t="s">
        <v>92</v>
      </c>
      <c r="G118" s="17" t="s">
        <v>182</v>
      </c>
      <c r="H118" s="17">
        <v>15</v>
      </c>
    </row>
    <row r="119" spans="1:8">
      <c r="A119" s="17">
        <v>118</v>
      </c>
      <c r="B119" s="19">
        <v>102001</v>
      </c>
      <c r="C119" s="17">
        <v>5</v>
      </c>
      <c r="D119" s="17">
        <v>2</v>
      </c>
      <c r="E119" s="17">
        <v>1</v>
      </c>
      <c r="F119" s="16" t="s">
        <v>93</v>
      </c>
      <c r="G119" s="17" t="s">
        <v>183</v>
      </c>
      <c r="H119" s="17">
        <v>5</v>
      </c>
    </row>
    <row r="120" spans="1:8">
      <c r="A120" s="17">
        <v>119</v>
      </c>
      <c r="B120" s="19">
        <v>102101</v>
      </c>
      <c r="C120" s="17">
        <v>5</v>
      </c>
      <c r="D120" s="17">
        <v>2</v>
      </c>
      <c r="E120" s="17">
        <v>1</v>
      </c>
      <c r="F120" s="16" t="s">
        <v>94</v>
      </c>
      <c r="G120" s="17" t="s">
        <v>184</v>
      </c>
      <c r="H120" s="17">
        <v>5</v>
      </c>
    </row>
    <row r="121" spans="1:8">
      <c r="A121" s="17">
        <v>120</v>
      </c>
      <c r="B121" s="17">
        <v>101601</v>
      </c>
      <c r="C121" s="17">
        <v>15</v>
      </c>
      <c r="D121" s="17">
        <v>2</v>
      </c>
      <c r="E121" s="17">
        <v>1</v>
      </c>
      <c r="F121" s="16" t="s">
        <v>95</v>
      </c>
      <c r="G121" s="17" t="s">
        <v>185</v>
      </c>
      <c r="H121" s="17">
        <v>15</v>
      </c>
    </row>
    <row r="122" spans="1:8" s="12" customFormat="1">
      <c r="A122" s="17">
        <v>121</v>
      </c>
      <c r="B122" s="20">
        <v>101501</v>
      </c>
      <c r="C122" s="17">
        <v>35</v>
      </c>
      <c r="D122" s="17">
        <v>2</v>
      </c>
      <c r="E122" s="17">
        <v>1</v>
      </c>
      <c r="F122" s="16" t="s">
        <v>96</v>
      </c>
      <c r="G122" s="17" t="s">
        <v>186</v>
      </c>
      <c r="H122" s="17">
        <v>35</v>
      </c>
    </row>
    <row r="123" spans="1:8" s="12" customFormat="1">
      <c r="A123" s="17">
        <v>122</v>
      </c>
      <c r="B123" s="25">
        <v>101701</v>
      </c>
      <c r="C123" s="25">
        <v>5</v>
      </c>
      <c r="D123" s="25">
        <v>2</v>
      </c>
      <c r="E123" s="25">
        <v>1</v>
      </c>
      <c r="F123" s="12" t="s">
        <v>97</v>
      </c>
      <c r="G123" s="25" t="s">
        <v>187</v>
      </c>
      <c r="H123" s="25">
        <v>5</v>
      </c>
    </row>
    <row r="124" spans="1:8">
      <c r="A124" s="17">
        <v>123</v>
      </c>
      <c r="B124" s="20">
        <v>102301</v>
      </c>
      <c r="C124" s="17">
        <v>5</v>
      </c>
      <c r="D124" s="17">
        <v>2</v>
      </c>
      <c r="E124" s="23">
        <v>1</v>
      </c>
      <c r="F124" s="24" t="s">
        <v>98</v>
      </c>
      <c r="G124" s="17" t="s">
        <v>188</v>
      </c>
      <c r="H124" s="17">
        <v>5</v>
      </c>
    </row>
    <row r="125" spans="1:8">
      <c r="A125" s="17">
        <v>124</v>
      </c>
      <c r="B125" s="17">
        <v>301401</v>
      </c>
      <c r="C125" s="17">
        <v>5</v>
      </c>
      <c r="D125" s="17">
        <v>2</v>
      </c>
      <c r="E125" s="17">
        <v>1</v>
      </c>
      <c r="F125" s="16" t="s">
        <v>99</v>
      </c>
      <c r="G125" s="17" t="s">
        <v>189</v>
      </c>
      <c r="H125" s="17">
        <v>5</v>
      </c>
    </row>
    <row r="126" spans="1:8">
      <c r="A126" s="17">
        <v>125</v>
      </c>
      <c r="B126" s="17">
        <v>301701</v>
      </c>
      <c r="C126" s="17">
        <v>28</v>
      </c>
      <c r="D126" s="17">
        <v>2</v>
      </c>
      <c r="E126" s="17">
        <v>1</v>
      </c>
      <c r="F126" s="16" t="s">
        <v>100</v>
      </c>
      <c r="G126" s="17" t="s">
        <v>190</v>
      </c>
      <c r="H126" s="17">
        <v>29</v>
      </c>
    </row>
    <row r="127" spans="1:8">
      <c r="A127" s="17">
        <v>126</v>
      </c>
      <c r="B127" s="17">
        <v>301601</v>
      </c>
      <c r="C127" s="17">
        <v>5</v>
      </c>
      <c r="D127" s="17">
        <v>2</v>
      </c>
      <c r="E127" s="17">
        <v>1</v>
      </c>
      <c r="F127" s="16" t="s">
        <v>101</v>
      </c>
      <c r="G127" s="17" t="s">
        <v>191</v>
      </c>
      <c r="H127" s="17">
        <v>5</v>
      </c>
    </row>
    <row r="128" spans="1:8">
      <c r="A128" s="17">
        <v>127</v>
      </c>
      <c r="B128" s="20">
        <v>301801</v>
      </c>
      <c r="C128" s="17">
        <v>34</v>
      </c>
      <c r="D128" s="17">
        <v>2</v>
      </c>
      <c r="E128" s="17">
        <v>1</v>
      </c>
      <c r="F128" s="16" t="s">
        <v>102</v>
      </c>
      <c r="G128" s="17" t="s">
        <v>192</v>
      </c>
      <c r="H128" s="17">
        <v>33</v>
      </c>
    </row>
    <row r="129" spans="1:8">
      <c r="A129" s="17">
        <v>128</v>
      </c>
      <c r="B129" s="20">
        <v>302001</v>
      </c>
      <c r="C129" s="17">
        <v>5</v>
      </c>
      <c r="D129" s="17">
        <v>2</v>
      </c>
      <c r="E129" s="17">
        <v>1</v>
      </c>
      <c r="F129" s="16" t="s">
        <v>103</v>
      </c>
      <c r="G129" s="17" t="s">
        <v>193</v>
      </c>
      <c r="H129" s="17">
        <v>5</v>
      </c>
    </row>
    <row r="130" spans="1:8">
      <c r="A130" s="17">
        <v>129</v>
      </c>
      <c r="B130" s="17">
        <v>302101</v>
      </c>
      <c r="C130" s="17">
        <v>29</v>
      </c>
      <c r="D130" s="17">
        <v>2</v>
      </c>
      <c r="E130" s="17">
        <v>1</v>
      </c>
      <c r="F130" s="16" t="s">
        <v>104</v>
      </c>
      <c r="G130" s="17" t="s">
        <v>194</v>
      </c>
      <c r="H130" s="17">
        <v>29</v>
      </c>
    </row>
    <row r="131" spans="1:8">
      <c r="A131" s="17">
        <v>130</v>
      </c>
      <c r="B131" s="1">
        <v>301901</v>
      </c>
      <c r="C131" s="17">
        <v>34</v>
      </c>
      <c r="D131" s="17">
        <v>2</v>
      </c>
      <c r="E131" s="17">
        <v>1</v>
      </c>
      <c r="F131" s="16" t="s">
        <v>105</v>
      </c>
      <c r="G131" s="17" t="s">
        <v>195</v>
      </c>
      <c r="H131" s="17">
        <v>34</v>
      </c>
    </row>
    <row r="132" spans="1:8">
      <c r="A132" s="17">
        <v>131</v>
      </c>
      <c r="B132" s="17">
        <v>302201</v>
      </c>
      <c r="C132" s="17">
        <v>10</v>
      </c>
      <c r="D132" s="17">
        <v>2</v>
      </c>
      <c r="E132" s="17">
        <v>1</v>
      </c>
      <c r="F132" s="16" t="s">
        <v>106</v>
      </c>
      <c r="G132" s="17" t="s">
        <v>196</v>
      </c>
      <c r="H132" s="17">
        <v>10</v>
      </c>
    </row>
    <row r="133" spans="1:8">
      <c r="A133" s="17">
        <v>132</v>
      </c>
      <c r="B133" s="17">
        <v>301501</v>
      </c>
      <c r="C133" s="17">
        <v>10</v>
      </c>
      <c r="D133" s="17">
        <v>2</v>
      </c>
      <c r="E133" s="17">
        <v>1</v>
      </c>
      <c r="F133" s="16" t="s">
        <v>107</v>
      </c>
      <c r="G133" s="17" t="s">
        <v>197</v>
      </c>
      <c r="H133" s="17">
        <v>10</v>
      </c>
    </row>
    <row r="134" spans="1:8">
      <c r="A134" s="17">
        <v>133</v>
      </c>
      <c r="B134" s="17">
        <v>201401</v>
      </c>
      <c r="C134" s="17">
        <v>35</v>
      </c>
      <c r="D134" s="17">
        <v>2</v>
      </c>
      <c r="E134" s="17">
        <v>1</v>
      </c>
      <c r="F134" s="16" t="s">
        <v>108</v>
      </c>
      <c r="G134" s="17" t="s">
        <v>198</v>
      </c>
      <c r="H134" s="17">
        <v>35</v>
      </c>
    </row>
    <row r="135" spans="1:8">
      <c r="A135" s="17">
        <v>134</v>
      </c>
      <c r="B135" s="17">
        <v>202001</v>
      </c>
      <c r="C135" s="17">
        <v>10</v>
      </c>
      <c r="D135" s="17">
        <v>2</v>
      </c>
      <c r="E135" s="17">
        <v>1</v>
      </c>
      <c r="F135" s="16" t="s">
        <v>109</v>
      </c>
      <c r="G135" s="17" t="s">
        <v>199</v>
      </c>
      <c r="H135" s="17">
        <v>10</v>
      </c>
    </row>
    <row r="136" spans="1:8">
      <c r="A136" s="17">
        <v>135</v>
      </c>
      <c r="B136" s="20">
        <v>201601</v>
      </c>
      <c r="C136" s="17">
        <v>30</v>
      </c>
      <c r="D136" s="17">
        <v>2</v>
      </c>
      <c r="E136" s="17">
        <v>1</v>
      </c>
      <c r="F136" s="16" t="s">
        <v>110</v>
      </c>
      <c r="G136" s="17" t="s">
        <v>200</v>
      </c>
      <c r="H136" s="17">
        <v>30</v>
      </c>
    </row>
    <row r="137" spans="1:8">
      <c r="A137" s="17">
        <v>136</v>
      </c>
      <c r="B137" s="17">
        <v>202101</v>
      </c>
      <c r="C137" s="17">
        <v>10</v>
      </c>
      <c r="D137" s="17">
        <v>2</v>
      </c>
      <c r="E137" s="17">
        <v>1</v>
      </c>
      <c r="F137" s="16" t="s">
        <v>111</v>
      </c>
      <c r="G137" s="17" t="s">
        <v>201</v>
      </c>
      <c r="H137" s="17">
        <v>10</v>
      </c>
    </row>
    <row r="138" spans="1:8">
      <c r="A138" s="17">
        <v>137</v>
      </c>
      <c r="B138" s="17">
        <v>202201</v>
      </c>
      <c r="C138" s="17">
        <v>30</v>
      </c>
      <c r="D138" s="17">
        <v>2</v>
      </c>
      <c r="E138" s="17">
        <v>1</v>
      </c>
      <c r="F138" s="16" t="s">
        <v>112</v>
      </c>
      <c r="G138" s="17" t="s">
        <v>202</v>
      </c>
      <c r="H138" s="17">
        <v>30</v>
      </c>
    </row>
    <row r="139" spans="1:8">
      <c r="A139" s="17">
        <v>138</v>
      </c>
      <c r="B139" s="19">
        <v>201801</v>
      </c>
      <c r="C139" s="17">
        <v>5</v>
      </c>
      <c r="D139" s="17">
        <v>2</v>
      </c>
      <c r="E139" s="17">
        <v>1</v>
      </c>
      <c r="F139" s="16" t="s">
        <v>113</v>
      </c>
      <c r="G139" s="17" t="s">
        <v>203</v>
      </c>
      <c r="H139" s="17">
        <v>5</v>
      </c>
    </row>
    <row r="140" spans="1:8">
      <c r="A140" s="17">
        <v>139</v>
      </c>
      <c r="B140" s="17">
        <v>201701</v>
      </c>
      <c r="C140" s="17">
        <v>10</v>
      </c>
      <c r="D140" s="17">
        <v>2</v>
      </c>
      <c r="E140" s="17">
        <v>1</v>
      </c>
      <c r="F140" s="16" t="s">
        <v>114</v>
      </c>
      <c r="G140" s="17" t="s">
        <v>204</v>
      </c>
      <c r="H140" s="17">
        <v>10</v>
      </c>
    </row>
    <row r="141" spans="1:8">
      <c r="A141" s="17">
        <v>140</v>
      </c>
      <c r="B141" s="19">
        <v>201501</v>
      </c>
      <c r="C141" s="17">
        <v>30</v>
      </c>
      <c r="D141" s="17">
        <v>2</v>
      </c>
      <c r="E141" s="17">
        <v>1</v>
      </c>
      <c r="F141" s="16" t="s">
        <v>115</v>
      </c>
      <c r="G141" s="17" t="s">
        <v>205</v>
      </c>
      <c r="H141" s="17">
        <v>30</v>
      </c>
    </row>
    <row r="142" spans="1:8">
      <c r="A142" s="17">
        <v>141</v>
      </c>
      <c r="B142" s="27">
        <v>202401</v>
      </c>
      <c r="C142" s="17">
        <v>10</v>
      </c>
      <c r="D142" s="17">
        <v>2</v>
      </c>
      <c r="E142" s="27">
        <v>1</v>
      </c>
      <c r="F142" s="28" t="s">
        <v>116</v>
      </c>
      <c r="G142" s="17" t="s">
        <v>206</v>
      </c>
      <c r="H142" s="17">
        <v>10</v>
      </c>
    </row>
    <row r="143" spans="1:8">
      <c r="A143" s="17">
        <v>142</v>
      </c>
      <c r="B143" s="27">
        <v>202301</v>
      </c>
      <c r="C143" s="17">
        <v>10</v>
      </c>
      <c r="D143" s="17">
        <v>2</v>
      </c>
      <c r="E143" s="27">
        <v>1</v>
      </c>
      <c r="F143" s="28" t="s">
        <v>117</v>
      </c>
      <c r="G143" s="17" t="s">
        <v>188</v>
      </c>
      <c r="H143" s="17">
        <v>10</v>
      </c>
    </row>
    <row r="144" spans="1:8">
      <c r="A144" s="17">
        <v>143</v>
      </c>
      <c r="B144" s="20">
        <v>501201</v>
      </c>
      <c r="C144" s="17">
        <v>2</v>
      </c>
      <c r="D144" s="17">
        <v>2</v>
      </c>
      <c r="E144" s="17">
        <v>1</v>
      </c>
      <c r="F144" s="16" t="s">
        <v>118</v>
      </c>
      <c r="G144" s="17" t="s">
        <v>207</v>
      </c>
      <c r="H144" s="17">
        <v>3</v>
      </c>
    </row>
    <row r="145" spans="1:8">
      <c r="A145" s="17">
        <v>144</v>
      </c>
      <c r="B145" s="17">
        <v>500701</v>
      </c>
      <c r="C145" s="17">
        <v>2</v>
      </c>
      <c r="D145" s="17">
        <v>2</v>
      </c>
      <c r="E145" s="17">
        <v>1</v>
      </c>
      <c r="F145" s="16" t="s">
        <v>119</v>
      </c>
      <c r="G145" s="17" t="s">
        <v>208</v>
      </c>
      <c r="H145" s="17">
        <v>2</v>
      </c>
    </row>
    <row r="146" spans="1:8">
      <c r="A146" s="17">
        <v>145</v>
      </c>
      <c r="B146" s="19">
        <v>400701</v>
      </c>
      <c r="C146" s="17">
        <v>1</v>
      </c>
      <c r="D146" s="17">
        <v>2</v>
      </c>
      <c r="E146" s="17">
        <v>1</v>
      </c>
      <c r="F146" s="16" t="s">
        <v>120</v>
      </c>
      <c r="G146" s="17" t="s">
        <v>209</v>
      </c>
      <c r="H146" s="17">
        <v>1</v>
      </c>
    </row>
    <row r="147" spans="1:8">
      <c r="A147" s="17">
        <v>146</v>
      </c>
      <c r="B147" s="19">
        <v>401201</v>
      </c>
      <c r="C147" s="17">
        <v>1</v>
      </c>
      <c r="D147" s="17">
        <v>2</v>
      </c>
      <c r="E147" s="17">
        <v>1</v>
      </c>
      <c r="F147" s="16" t="s">
        <v>121</v>
      </c>
      <c r="G147" s="17" t="s">
        <v>210</v>
      </c>
      <c r="H147" s="17">
        <v>2</v>
      </c>
    </row>
    <row r="148" spans="1:8">
      <c r="A148" s="17">
        <v>147</v>
      </c>
      <c r="B148" s="19">
        <v>401301</v>
      </c>
      <c r="C148" s="17">
        <v>2</v>
      </c>
      <c r="D148" s="17">
        <v>2</v>
      </c>
      <c r="E148" s="17">
        <v>1</v>
      </c>
      <c r="F148" s="16" t="s">
        <v>122</v>
      </c>
      <c r="G148" s="17" t="s">
        <v>211</v>
      </c>
      <c r="H148" s="17">
        <v>2</v>
      </c>
    </row>
    <row r="149" spans="1:8">
      <c r="A149" s="17">
        <v>148</v>
      </c>
      <c r="B149" s="19">
        <v>400601</v>
      </c>
      <c r="C149" s="17">
        <v>1</v>
      </c>
      <c r="D149" s="17">
        <v>2</v>
      </c>
      <c r="E149" s="17">
        <v>1</v>
      </c>
      <c r="F149" s="16" t="s">
        <v>123</v>
      </c>
      <c r="G149" s="17" t="s">
        <v>212</v>
      </c>
      <c r="H149" s="17">
        <v>1</v>
      </c>
    </row>
    <row r="150" spans="1:8">
      <c r="A150" s="17">
        <v>149</v>
      </c>
      <c r="B150" s="19">
        <v>500601</v>
      </c>
      <c r="C150" s="17">
        <v>2</v>
      </c>
      <c r="D150" s="17">
        <v>2</v>
      </c>
      <c r="E150" s="17">
        <v>1</v>
      </c>
      <c r="F150" s="16" t="s">
        <v>124</v>
      </c>
      <c r="G150" s="17" t="s">
        <v>213</v>
      </c>
      <c r="H150" s="17">
        <v>2</v>
      </c>
    </row>
    <row r="151" spans="1:8">
      <c r="A151" s="17">
        <v>150</v>
      </c>
      <c r="B151" s="30">
        <v>400901</v>
      </c>
      <c r="C151" s="17">
        <v>2</v>
      </c>
      <c r="D151" s="17">
        <v>2</v>
      </c>
      <c r="E151" s="17">
        <v>1</v>
      </c>
      <c r="F151" s="16" t="s">
        <v>125</v>
      </c>
      <c r="G151" s="17" t="s">
        <v>214</v>
      </c>
      <c r="H151" s="17">
        <v>2</v>
      </c>
    </row>
    <row r="152" spans="1:8">
      <c r="A152" s="17">
        <v>151</v>
      </c>
      <c r="B152" s="1">
        <v>501101</v>
      </c>
      <c r="C152" s="17">
        <v>5</v>
      </c>
      <c r="D152" s="17">
        <v>2</v>
      </c>
      <c r="E152" s="17">
        <v>1</v>
      </c>
      <c r="F152" s="16" t="s">
        <v>126</v>
      </c>
      <c r="G152" s="17" t="s">
        <v>215</v>
      </c>
      <c r="H152" s="17">
        <v>4</v>
      </c>
    </row>
    <row r="153" spans="1:8">
      <c r="A153" s="17">
        <v>152</v>
      </c>
      <c r="B153" s="17">
        <v>400801</v>
      </c>
      <c r="C153" s="17">
        <v>3</v>
      </c>
      <c r="D153" s="17">
        <v>2</v>
      </c>
      <c r="E153" s="17">
        <v>1</v>
      </c>
      <c r="F153" s="16" t="s">
        <v>127</v>
      </c>
      <c r="G153" s="17" t="s">
        <v>216</v>
      </c>
      <c r="H153" s="17">
        <v>3</v>
      </c>
    </row>
    <row r="154" spans="1:8">
      <c r="A154" s="17">
        <v>153</v>
      </c>
      <c r="B154" s="17">
        <v>501001</v>
      </c>
      <c r="C154" s="17">
        <v>1</v>
      </c>
      <c r="D154" s="17">
        <v>2</v>
      </c>
      <c r="E154" s="17">
        <v>1</v>
      </c>
      <c r="F154" s="16" t="s">
        <v>128</v>
      </c>
      <c r="G154" s="17" t="s">
        <v>217</v>
      </c>
      <c r="H154" s="17">
        <v>1</v>
      </c>
    </row>
    <row r="155" spans="1:8">
      <c r="A155" s="17">
        <v>154</v>
      </c>
      <c r="B155" s="17">
        <v>500901</v>
      </c>
      <c r="C155" s="17">
        <v>1</v>
      </c>
      <c r="D155" s="17">
        <v>2</v>
      </c>
      <c r="E155" s="17">
        <v>1</v>
      </c>
      <c r="F155" s="16" t="s">
        <v>129</v>
      </c>
      <c r="G155" s="17" t="s">
        <v>218</v>
      </c>
      <c r="H155" s="17">
        <v>1</v>
      </c>
    </row>
    <row r="156" spans="1:8">
      <c r="A156" s="17">
        <v>155</v>
      </c>
      <c r="B156" s="33">
        <v>401401</v>
      </c>
      <c r="C156" s="34">
        <v>1</v>
      </c>
      <c r="D156" s="34">
        <v>2</v>
      </c>
      <c r="E156" s="34">
        <v>1</v>
      </c>
      <c r="F156" s="41" t="s">
        <v>130</v>
      </c>
      <c r="G156" s="17" t="s">
        <v>219</v>
      </c>
      <c r="H156" s="34">
        <v>1</v>
      </c>
    </row>
    <row r="157" spans="1:8">
      <c r="A157" s="17">
        <v>156</v>
      </c>
      <c r="B157" s="33">
        <v>500801</v>
      </c>
      <c r="C157" s="17">
        <v>2</v>
      </c>
      <c r="D157" s="17">
        <v>2</v>
      </c>
      <c r="E157" s="34">
        <v>1</v>
      </c>
      <c r="F157" s="41" t="s">
        <v>131</v>
      </c>
      <c r="G157" s="17" t="s">
        <v>220</v>
      </c>
      <c r="H157" s="17">
        <v>2</v>
      </c>
    </row>
    <row r="158" spans="1:8">
      <c r="A158" s="17">
        <v>157</v>
      </c>
      <c r="B158" s="33">
        <v>401001</v>
      </c>
      <c r="C158" s="17">
        <v>2</v>
      </c>
      <c r="D158" s="34">
        <v>2</v>
      </c>
      <c r="E158" s="34">
        <v>1</v>
      </c>
      <c r="F158" s="41" t="s">
        <v>132</v>
      </c>
      <c r="G158" s="17" t="s">
        <v>221</v>
      </c>
      <c r="H158" s="17">
        <v>2</v>
      </c>
    </row>
    <row r="159" spans="1:8">
      <c r="A159" s="17">
        <v>158</v>
      </c>
      <c r="B159" s="33">
        <v>501301</v>
      </c>
      <c r="C159" s="17">
        <v>1</v>
      </c>
      <c r="D159" s="34">
        <v>2</v>
      </c>
      <c r="E159" s="34">
        <v>1</v>
      </c>
      <c r="F159" s="16" t="s">
        <v>133</v>
      </c>
      <c r="G159" s="35" t="s">
        <v>222</v>
      </c>
      <c r="H159" s="17">
        <v>1</v>
      </c>
    </row>
    <row r="160" spans="1:8">
      <c r="A160" s="17">
        <v>159</v>
      </c>
      <c r="B160" s="33">
        <v>501401</v>
      </c>
      <c r="C160" s="17">
        <v>1</v>
      </c>
      <c r="D160" s="34">
        <v>2</v>
      </c>
      <c r="E160" s="34">
        <v>1</v>
      </c>
      <c r="F160" s="16" t="s">
        <v>134</v>
      </c>
      <c r="G160" s="35" t="s">
        <v>223</v>
      </c>
      <c r="H160" s="17">
        <v>1</v>
      </c>
    </row>
    <row r="161" spans="1:8">
      <c r="A161" s="17">
        <v>160</v>
      </c>
      <c r="B161" s="33">
        <v>302301</v>
      </c>
      <c r="C161" s="17">
        <v>1</v>
      </c>
      <c r="D161" s="34">
        <v>2</v>
      </c>
      <c r="E161" s="34">
        <v>1</v>
      </c>
      <c r="F161" s="36" t="s">
        <v>135</v>
      </c>
      <c r="G161" s="35" t="s">
        <v>196</v>
      </c>
      <c r="H161" s="17">
        <v>1</v>
      </c>
    </row>
    <row r="162" spans="1:8">
      <c r="A162" s="17">
        <v>161</v>
      </c>
      <c r="B162" s="37">
        <v>501501</v>
      </c>
      <c r="C162" s="17">
        <v>1</v>
      </c>
      <c r="D162" s="34">
        <v>2</v>
      </c>
      <c r="E162" s="34">
        <v>1</v>
      </c>
      <c r="F162" s="16" t="s">
        <v>146</v>
      </c>
      <c r="G162" s="42" t="s">
        <v>136</v>
      </c>
      <c r="H162" s="17">
        <v>1</v>
      </c>
    </row>
    <row r="163" spans="1:8">
      <c r="A163" s="17">
        <v>162</v>
      </c>
      <c r="B163" s="37">
        <v>501601</v>
      </c>
      <c r="C163" s="17">
        <v>1</v>
      </c>
      <c r="D163" s="34">
        <v>2</v>
      </c>
      <c r="E163" s="34">
        <v>1</v>
      </c>
      <c r="F163" s="38" t="s">
        <v>137</v>
      </c>
      <c r="G163" s="42" t="s">
        <v>188</v>
      </c>
      <c r="H163" s="17">
        <v>1</v>
      </c>
    </row>
    <row r="164" spans="1:8">
      <c r="A164" s="17">
        <v>163</v>
      </c>
      <c r="B164" s="37">
        <v>401501</v>
      </c>
      <c r="C164" s="17">
        <v>1</v>
      </c>
      <c r="D164" s="34">
        <v>2</v>
      </c>
      <c r="E164" s="34">
        <v>1</v>
      </c>
      <c r="F164" s="38" t="s">
        <v>138</v>
      </c>
      <c r="G164" s="42" t="s">
        <v>188</v>
      </c>
      <c r="H164" s="17">
        <v>1</v>
      </c>
    </row>
    <row r="165" spans="1:8">
      <c r="A165" s="17">
        <v>164</v>
      </c>
      <c r="B165" s="37">
        <v>401601</v>
      </c>
      <c r="C165" s="17">
        <v>1</v>
      </c>
      <c r="D165" s="34">
        <v>2</v>
      </c>
      <c r="E165" s="34">
        <v>1</v>
      </c>
      <c r="F165" s="38" t="s">
        <v>139</v>
      </c>
      <c r="G165" s="42" t="s">
        <v>188</v>
      </c>
      <c r="H165" s="17">
        <v>1</v>
      </c>
    </row>
    <row r="166" spans="1:8">
      <c r="A166" s="17">
        <v>165</v>
      </c>
      <c r="B166" s="37">
        <v>401701</v>
      </c>
      <c r="C166" s="17">
        <v>1</v>
      </c>
      <c r="D166" s="34">
        <v>2</v>
      </c>
      <c r="E166" s="34">
        <v>1</v>
      </c>
      <c r="F166" s="38" t="s">
        <v>140</v>
      </c>
      <c r="G166" s="42" t="s">
        <v>188</v>
      </c>
      <c r="H166" s="17">
        <v>1</v>
      </c>
    </row>
    <row r="167" spans="1:8">
      <c r="A167" s="17">
        <v>166</v>
      </c>
      <c r="B167" s="37">
        <v>501701</v>
      </c>
      <c r="C167" s="17">
        <v>1</v>
      </c>
      <c r="D167" s="34">
        <v>2</v>
      </c>
      <c r="E167" s="34">
        <v>1</v>
      </c>
      <c r="F167" s="38" t="s">
        <v>141</v>
      </c>
      <c r="G167" s="42" t="s">
        <v>188</v>
      </c>
      <c r="H167" s="17">
        <v>1</v>
      </c>
    </row>
    <row r="168" spans="1:8" s="13" customFormat="1">
      <c r="A168" s="17">
        <v>167</v>
      </c>
      <c r="B168" s="39">
        <v>401901</v>
      </c>
      <c r="C168" s="39">
        <v>1</v>
      </c>
      <c r="D168" s="13">
        <v>2</v>
      </c>
      <c r="E168" s="39">
        <v>1</v>
      </c>
      <c r="F168" s="13" t="s">
        <v>142</v>
      </c>
      <c r="G168" s="39" t="s">
        <v>188</v>
      </c>
      <c r="H168" s="39">
        <v>1</v>
      </c>
    </row>
    <row r="169" spans="1:8" s="13" customFormat="1">
      <c r="A169" s="17">
        <v>168</v>
      </c>
      <c r="B169" s="39">
        <v>302401</v>
      </c>
      <c r="C169" s="39">
        <v>1</v>
      </c>
      <c r="D169" s="13">
        <v>2</v>
      </c>
      <c r="E169" s="39">
        <v>1</v>
      </c>
      <c r="F169" s="13" t="s">
        <v>143</v>
      </c>
      <c r="G169" s="39" t="s">
        <v>188</v>
      </c>
      <c r="H169" s="39">
        <v>1</v>
      </c>
    </row>
    <row r="170" spans="1:8" s="13" customFormat="1">
      <c r="A170" s="17">
        <v>169</v>
      </c>
      <c r="B170" s="40">
        <v>401801</v>
      </c>
      <c r="C170" s="39">
        <v>1</v>
      </c>
      <c r="D170" s="13">
        <v>2</v>
      </c>
      <c r="E170" s="39">
        <v>1</v>
      </c>
      <c r="F170" s="13" t="s">
        <v>144</v>
      </c>
      <c r="G170" s="39" t="s">
        <v>188</v>
      </c>
      <c r="H170" s="39">
        <v>1</v>
      </c>
    </row>
    <row r="171" spans="1:8" s="13" customFormat="1">
      <c r="A171" s="17">
        <v>170</v>
      </c>
      <c r="B171" s="40">
        <v>501801</v>
      </c>
      <c r="C171" s="39">
        <v>1</v>
      </c>
      <c r="D171" s="13">
        <v>2</v>
      </c>
      <c r="E171" s="39">
        <v>1</v>
      </c>
      <c r="F171" s="13" t="s">
        <v>145</v>
      </c>
      <c r="G171" s="39" t="s">
        <v>188</v>
      </c>
      <c r="H171" s="39">
        <v>1</v>
      </c>
    </row>
    <row r="172" spans="1:8">
      <c r="A172" s="17">
        <v>171</v>
      </c>
      <c r="B172" s="17">
        <v>300701</v>
      </c>
      <c r="C172" s="17">
        <v>6000</v>
      </c>
      <c r="D172" s="17">
        <v>3</v>
      </c>
      <c r="E172" s="17">
        <v>1</v>
      </c>
      <c r="F172" s="16" t="s">
        <v>67</v>
      </c>
      <c r="G172" s="17" t="s">
        <v>157</v>
      </c>
      <c r="H172" s="17">
        <v>6000</v>
      </c>
    </row>
    <row r="173" spans="1:8">
      <c r="A173" s="17">
        <v>172</v>
      </c>
      <c r="B173" s="17">
        <v>200801</v>
      </c>
      <c r="C173" s="17">
        <v>6000</v>
      </c>
      <c r="D173" s="17">
        <v>3</v>
      </c>
      <c r="E173" s="17">
        <v>1</v>
      </c>
      <c r="F173" s="16" t="s">
        <v>68</v>
      </c>
      <c r="G173" s="17" t="s">
        <v>158</v>
      </c>
      <c r="H173" s="17">
        <v>6000</v>
      </c>
    </row>
    <row r="174" spans="1:8">
      <c r="A174" s="17">
        <v>173</v>
      </c>
      <c r="B174" s="17">
        <v>100601</v>
      </c>
      <c r="C174" s="17">
        <v>6000</v>
      </c>
      <c r="D174" s="17">
        <v>3</v>
      </c>
      <c r="E174" s="17">
        <v>1</v>
      </c>
      <c r="F174" s="16" t="s">
        <v>69</v>
      </c>
      <c r="G174" s="17" t="s">
        <v>159</v>
      </c>
      <c r="H174" s="17">
        <v>6000</v>
      </c>
    </row>
    <row r="175" spans="1:8">
      <c r="A175" s="17">
        <v>174</v>
      </c>
      <c r="B175" s="17">
        <v>300401</v>
      </c>
      <c r="C175" s="17">
        <v>6000</v>
      </c>
      <c r="D175" s="17">
        <v>3</v>
      </c>
      <c r="E175" s="17">
        <v>1</v>
      </c>
      <c r="F175" s="16" t="s">
        <v>70</v>
      </c>
      <c r="G175" s="17" t="s">
        <v>160</v>
      </c>
      <c r="H175" s="17">
        <v>6000</v>
      </c>
    </row>
    <row r="176" spans="1:8">
      <c r="A176" s="17">
        <v>175</v>
      </c>
      <c r="B176" s="17">
        <v>100801</v>
      </c>
      <c r="C176" s="17">
        <v>6000</v>
      </c>
      <c r="D176" s="17">
        <v>3</v>
      </c>
      <c r="E176" s="17">
        <v>1</v>
      </c>
      <c r="F176" s="16" t="s">
        <v>71</v>
      </c>
      <c r="G176" s="17" t="s">
        <v>161</v>
      </c>
      <c r="H176" s="17">
        <v>6000</v>
      </c>
    </row>
    <row r="177" spans="1:8">
      <c r="A177" s="17">
        <v>176</v>
      </c>
      <c r="B177" s="17">
        <v>500101</v>
      </c>
      <c r="C177" s="17">
        <v>6000</v>
      </c>
      <c r="D177" s="17">
        <v>3</v>
      </c>
      <c r="E177" s="17">
        <v>1</v>
      </c>
      <c r="F177" s="16" t="s">
        <v>72</v>
      </c>
      <c r="G177" s="17" t="s">
        <v>162</v>
      </c>
      <c r="H177" s="17">
        <v>6000</v>
      </c>
    </row>
    <row r="178" spans="1:8">
      <c r="A178" s="17">
        <v>177</v>
      </c>
      <c r="B178" s="17">
        <v>400101</v>
      </c>
      <c r="C178" s="17">
        <v>2000</v>
      </c>
      <c r="D178" s="17">
        <v>3</v>
      </c>
      <c r="E178" s="17">
        <v>1</v>
      </c>
      <c r="F178" s="16" t="s">
        <v>73</v>
      </c>
      <c r="G178" s="17" t="s">
        <v>163</v>
      </c>
      <c r="H178" s="17">
        <v>2000</v>
      </c>
    </row>
    <row r="179" spans="1:8">
      <c r="A179" s="17">
        <v>178</v>
      </c>
      <c r="B179" s="19">
        <v>200501</v>
      </c>
      <c r="C179" s="17">
        <v>2000</v>
      </c>
      <c r="D179" s="17">
        <v>3</v>
      </c>
      <c r="E179" s="17">
        <v>1</v>
      </c>
      <c r="F179" s="16" t="s">
        <v>74</v>
      </c>
      <c r="G179" s="17" t="s">
        <v>164</v>
      </c>
      <c r="H179" s="17">
        <v>2000</v>
      </c>
    </row>
    <row r="180" spans="1:8">
      <c r="A180" s="17">
        <v>179</v>
      </c>
      <c r="B180" s="1">
        <v>100901</v>
      </c>
      <c r="C180" s="17">
        <v>600</v>
      </c>
      <c r="D180" s="17">
        <v>3</v>
      </c>
      <c r="E180" s="17">
        <v>1</v>
      </c>
      <c r="F180" s="16" t="s">
        <v>75</v>
      </c>
      <c r="G180" s="17" t="s">
        <v>165</v>
      </c>
      <c r="H180" s="17">
        <v>600</v>
      </c>
    </row>
    <row r="181" spans="1:8">
      <c r="A181" s="17">
        <v>180</v>
      </c>
      <c r="B181" s="1">
        <v>101301</v>
      </c>
      <c r="C181" s="17">
        <v>600</v>
      </c>
      <c r="D181" s="17">
        <v>3</v>
      </c>
      <c r="E181" s="17">
        <v>1</v>
      </c>
      <c r="F181" s="16" t="s">
        <v>76</v>
      </c>
      <c r="G181" s="17" t="s">
        <v>166</v>
      </c>
      <c r="H181" s="17">
        <v>600</v>
      </c>
    </row>
    <row r="182" spans="1:8">
      <c r="A182" s="17">
        <v>181</v>
      </c>
      <c r="B182" s="1">
        <v>500401</v>
      </c>
      <c r="C182" s="17">
        <v>300</v>
      </c>
      <c r="D182" s="17">
        <v>3</v>
      </c>
      <c r="E182" s="17">
        <v>1</v>
      </c>
      <c r="F182" s="16" t="s">
        <v>77</v>
      </c>
      <c r="G182" s="17" t="s">
        <v>167</v>
      </c>
      <c r="H182" s="17">
        <v>250</v>
      </c>
    </row>
    <row r="183" spans="1:8">
      <c r="A183" s="17">
        <v>182</v>
      </c>
      <c r="B183" s="1">
        <v>500501</v>
      </c>
      <c r="C183" s="17">
        <v>300</v>
      </c>
      <c r="D183" s="17">
        <v>3</v>
      </c>
      <c r="E183" s="17">
        <v>1</v>
      </c>
      <c r="F183" s="16" t="s">
        <v>78</v>
      </c>
      <c r="G183" s="17" t="s">
        <v>168</v>
      </c>
      <c r="H183" s="17">
        <v>250</v>
      </c>
    </row>
    <row r="184" spans="1:8">
      <c r="A184" s="17">
        <v>183</v>
      </c>
      <c r="B184" s="17">
        <v>201101</v>
      </c>
      <c r="C184" s="17">
        <v>600</v>
      </c>
      <c r="D184" s="17">
        <v>3</v>
      </c>
      <c r="E184" s="17">
        <v>1</v>
      </c>
      <c r="F184" s="16" t="s">
        <v>79</v>
      </c>
      <c r="G184" s="17" t="s">
        <v>169</v>
      </c>
      <c r="H184" s="17">
        <v>600</v>
      </c>
    </row>
    <row r="185" spans="1:8">
      <c r="A185" s="17">
        <v>184</v>
      </c>
      <c r="B185" s="17">
        <v>301001</v>
      </c>
      <c r="C185" s="17">
        <v>600</v>
      </c>
      <c r="D185" s="17">
        <v>3</v>
      </c>
      <c r="E185" s="17">
        <v>1</v>
      </c>
      <c r="F185" s="16" t="s">
        <v>80</v>
      </c>
      <c r="G185" s="17" t="s">
        <v>170</v>
      </c>
      <c r="H185" s="17">
        <v>600</v>
      </c>
    </row>
    <row r="186" spans="1:8">
      <c r="A186" s="17">
        <v>185</v>
      </c>
      <c r="B186" s="17">
        <v>400501</v>
      </c>
      <c r="C186" s="17">
        <v>300</v>
      </c>
      <c r="D186" s="17">
        <v>3</v>
      </c>
      <c r="E186" s="17">
        <v>1</v>
      </c>
      <c r="F186" s="16" t="s">
        <v>81</v>
      </c>
      <c r="G186" s="17" t="s">
        <v>171</v>
      </c>
      <c r="H186" s="17">
        <v>250</v>
      </c>
    </row>
    <row r="187" spans="1:8">
      <c r="A187" s="17">
        <v>186</v>
      </c>
      <c r="B187" s="1">
        <v>200901</v>
      </c>
      <c r="C187" s="17">
        <v>600</v>
      </c>
      <c r="D187" s="17">
        <v>3</v>
      </c>
      <c r="E187" s="17">
        <v>1</v>
      </c>
      <c r="F187" s="16" t="s">
        <v>82</v>
      </c>
      <c r="G187" s="17" t="s">
        <v>172</v>
      </c>
      <c r="H187" s="17">
        <v>600</v>
      </c>
    </row>
    <row r="188" spans="1:8">
      <c r="A188" s="17">
        <v>187</v>
      </c>
      <c r="B188" s="1">
        <v>201301</v>
      </c>
      <c r="C188" s="17">
        <v>600</v>
      </c>
      <c r="D188" s="17">
        <v>3</v>
      </c>
      <c r="E188" s="17">
        <v>1</v>
      </c>
      <c r="F188" s="16" t="s">
        <v>60</v>
      </c>
      <c r="G188" s="17" t="s">
        <v>150</v>
      </c>
      <c r="H188" s="17">
        <v>600</v>
      </c>
    </row>
    <row r="189" spans="1:8">
      <c r="A189" s="17">
        <v>188</v>
      </c>
      <c r="B189" s="17">
        <v>500301</v>
      </c>
      <c r="C189" s="17">
        <v>300</v>
      </c>
      <c r="D189" s="17">
        <v>3</v>
      </c>
      <c r="E189" s="17">
        <v>1</v>
      </c>
      <c r="F189" s="16" t="s">
        <v>83</v>
      </c>
      <c r="G189" s="17" t="s">
        <v>173</v>
      </c>
      <c r="H189" s="17">
        <v>250</v>
      </c>
    </row>
    <row r="190" spans="1:8">
      <c r="A190" s="17">
        <v>189</v>
      </c>
      <c r="B190" s="17">
        <v>400301</v>
      </c>
      <c r="C190" s="17">
        <v>300</v>
      </c>
      <c r="D190" s="17">
        <v>3</v>
      </c>
      <c r="E190" s="17">
        <v>1</v>
      </c>
      <c r="F190" s="16" t="s">
        <v>84</v>
      </c>
      <c r="G190" s="17" t="s">
        <v>174</v>
      </c>
      <c r="H190" s="17">
        <v>250</v>
      </c>
    </row>
    <row r="191" spans="1:8">
      <c r="A191" s="17">
        <v>190</v>
      </c>
      <c r="B191" s="17">
        <v>301201</v>
      </c>
      <c r="C191" s="17">
        <v>600</v>
      </c>
      <c r="D191" s="17">
        <v>3</v>
      </c>
      <c r="E191" s="17">
        <v>1</v>
      </c>
      <c r="F191" s="16" t="s">
        <v>85</v>
      </c>
      <c r="G191" s="17" t="s">
        <v>175</v>
      </c>
      <c r="H191" s="17">
        <v>600</v>
      </c>
    </row>
    <row r="192" spans="1:8">
      <c r="A192" s="17">
        <v>191</v>
      </c>
      <c r="B192" s="17">
        <v>400401</v>
      </c>
      <c r="C192" s="17">
        <v>300</v>
      </c>
      <c r="D192" s="17">
        <v>3</v>
      </c>
      <c r="E192" s="17">
        <v>1</v>
      </c>
      <c r="F192" s="16" t="s">
        <v>86</v>
      </c>
      <c r="G192" s="17" t="s">
        <v>176</v>
      </c>
      <c r="H192" s="17">
        <v>250</v>
      </c>
    </row>
    <row r="193" spans="1:8">
      <c r="A193" s="17">
        <v>192</v>
      </c>
      <c r="B193" s="20">
        <v>101101</v>
      </c>
      <c r="C193" s="17">
        <v>600</v>
      </c>
      <c r="D193" s="17">
        <v>3</v>
      </c>
      <c r="E193" s="17">
        <v>1</v>
      </c>
      <c r="F193" s="16" t="s">
        <v>87</v>
      </c>
      <c r="G193" s="17" t="s">
        <v>177</v>
      </c>
      <c r="H193" s="17">
        <v>600</v>
      </c>
    </row>
    <row r="194" spans="1:8">
      <c r="A194" s="17">
        <v>193</v>
      </c>
      <c r="B194" s="20">
        <v>101201</v>
      </c>
      <c r="C194" s="17">
        <v>600</v>
      </c>
      <c r="D194" s="17">
        <v>3</v>
      </c>
      <c r="E194" s="17">
        <v>1</v>
      </c>
      <c r="F194" s="16" t="s">
        <v>88</v>
      </c>
      <c r="G194" s="17" t="s">
        <v>178</v>
      </c>
      <c r="H194" s="17">
        <v>600</v>
      </c>
    </row>
    <row r="195" spans="1:8">
      <c r="A195" s="17">
        <v>194</v>
      </c>
      <c r="B195" s="17">
        <v>301101</v>
      </c>
      <c r="C195" s="17">
        <v>600</v>
      </c>
      <c r="D195" s="17">
        <v>3</v>
      </c>
      <c r="E195" s="17">
        <v>1</v>
      </c>
      <c r="F195" s="16" t="s">
        <v>89</v>
      </c>
      <c r="G195" s="17" t="s">
        <v>179</v>
      </c>
      <c r="H195" s="17">
        <v>600</v>
      </c>
    </row>
    <row r="196" spans="1:8">
      <c r="A196" s="17">
        <v>195</v>
      </c>
      <c r="B196" s="1">
        <v>102201</v>
      </c>
      <c r="C196" s="43">
        <v>251</v>
      </c>
      <c r="D196" s="23">
        <v>3</v>
      </c>
      <c r="E196" s="23">
        <v>1</v>
      </c>
      <c r="F196" s="44" t="s">
        <v>90</v>
      </c>
      <c r="G196" s="17" t="s">
        <v>180</v>
      </c>
      <c r="H196" s="43">
        <v>255</v>
      </c>
    </row>
    <row r="197" spans="1:8">
      <c r="A197" s="17">
        <v>196</v>
      </c>
      <c r="B197" s="17">
        <v>101401</v>
      </c>
      <c r="C197" s="45">
        <v>140</v>
      </c>
      <c r="D197" s="23">
        <v>3</v>
      </c>
      <c r="E197" s="23">
        <v>1</v>
      </c>
      <c r="F197" s="44" t="s">
        <v>91</v>
      </c>
      <c r="G197" s="17" t="s">
        <v>181</v>
      </c>
      <c r="H197" s="43">
        <v>100</v>
      </c>
    </row>
    <row r="198" spans="1:8">
      <c r="A198" s="17">
        <v>197</v>
      </c>
      <c r="B198" s="19">
        <v>101801</v>
      </c>
      <c r="C198" s="45">
        <v>160</v>
      </c>
      <c r="D198" s="23">
        <v>3</v>
      </c>
      <c r="E198" s="23">
        <v>1</v>
      </c>
      <c r="F198" s="44" t="s">
        <v>92</v>
      </c>
      <c r="G198" s="17" t="s">
        <v>182</v>
      </c>
      <c r="H198" s="43">
        <v>100</v>
      </c>
    </row>
    <row r="199" spans="1:8">
      <c r="A199" s="17">
        <v>198</v>
      </c>
      <c r="B199" s="19">
        <v>102001</v>
      </c>
      <c r="C199" s="43">
        <v>15</v>
      </c>
      <c r="D199" s="23">
        <v>3</v>
      </c>
      <c r="E199" s="23">
        <v>1</v>
      </c>
      <c r="F199" s="44" t="s">
        <v>93</v>
      </c>
      <c r="G199" s="17" t="s">
        <v>183</v>
      </c>
      <c r="H199" s="43">
        <v>30</v>
      </c>
    </row>
    <row r="200" spans="1:8">
      <c r="A200" s="17">
        <v>199</v>
      </c>
      <c r="B200" s="19">
        <v>102101</v>
      </c>
      <c r="C200" s="45">
        <v>70</v>
      </c>
      <c r="D200" s="23">
        <v>3</v>
      </c>
      <c r="E200" s="23">
        <v>1</v>
      </c>
      <c r="F200" s="44" t="s">
        <v>94</v>
      </c>
      <c r="G200" s="17" t="s">
        <v>184</v>
      </c>
      <c r="H200" s="43">
        <v>30</v>
      </c>
    </row>
    <row r="201" spans="1:8">
      <c r="A201" s="17">
        <v>200</v>
      </c>
      <c r="B201" s="17">
        <v>101601</v>
      </c>
      <c r="C201" s="43">
        <v>15</v>
      </c>
      <c r="D201" s="23">
        <v>3</v>
      </c>
      <c r="E201" s="23">
        <v>1</v>
      </c>
      <c r="F201" s="44" t="s">
        <v>95</v>
      </c>
      <c r="G201" s="17" t="s">
        <v>185</v>
      </c>
      <c r="H201" s="43">
        <v>100</v>
      </c>
    </row>
    <row r="202" spans="1:8">
      <c r="A202" s="17">
        <v>201</v>
      </c>
      <c r="B202" s="20">
        <v>101501</v>
      </c>
      <c r="C202" s="43">
        <v>252</v>
      </c>
      <c r="D202" s="23">
        <v>3</v>
      </c>
      <c r="E202" s="23">
        <v>1</v>
      </c>
      <c r="F202" s="44" t="s">
        <v>96</v>
      </c>
      <c r="G202" s="17" t="s">
        <v>186</v>
      </c>
      <c r="H202" s="43">
        <v>255</v>
      </c>
    </row>
    <row r="203" spans="1:8">
      <c r="A203" s="17">
        <v>202</v>
      </c>
      <c r="B203" s="20">
        <v>101701</v>
      </c>
      <c r="C203" s="45">
        <v>50</v>
      </c>
      <c r="D203" s="23">
        <v>3</v>
      </c>
      <c r="E203" s="23">
        <v>1</v>
      </c>
      <c r="F203" s="44" t="s">
        <v>97</v>
      </c>
      <c r="G203" s="17" t="s">
        <v>187</v>
      </c>
      <c r="H203" s="43">
        <v>30</v>
      </c>
    </row>
    <row r="204" spans="1:8">
      <c r="A204" s="17">
        <v>203</v>
      </c>
      <c r="B204" s="20">
        <v>102301</v>
      </c>
      <c r="C204" s="45">
        <v>15</v>
      </c>
      <c r="D204" s="23">
        <v>3</v>
      </c>
      <c r="E204" s="23">
        <v>1</v>
      </c>
      <c r="F204" s="24" t="s">
        <v>98</v>
      </c>
      <c r="G204" s="17" t="s">
        <v>188</v>
      </c>
      <c r="H204" s="43">
        <v>30</v>
      </c>
    </row>
    <row r="205" spans="1:8">
      <c r="A205" s="17">
        <v>204</v>
      </c>
      <c r="B205" s="25">
        <v>301401</v>
      </c>
      <c r="C205" s="34">
        <v>15</v>
      </c>
      <c r="D205" s="7">
        <v>3</v>
      </c>
      <c r="E205" s="7">
        <v>1</v>
      </c>
      <c r="F205" s="46" t="s">
        <v>99</v>
      </c>
      <c r="G205" s="17" t="s">
        <v>189</v>
      </c>
      <c r="H205" s="7">
        <v>40</v>
      </c>
    </row>
    <row r="206" spans="1:8">
      <c r="A206" s="17">
        <v>205</v>
      </c>
      <c r="B206" s="17">
        <v>301701</v>
      </c>
      <c r="C206" s="45">
        <v>150</v>
      </c>
      <c r="D206" s="7">
        <v>3</v>
      </c>
      <c r="E206" s="7">
        <v>1</v>
      </c>
      <c r="F206" s="46" t="s">
        <v>100</v>
      </c>
      <c r="G206" s="17" t="s">
        <v>190</v>
      </c>
      <c r="H206" s="7">
        <v>185</v>
      </c>
    </row>
    <row r="207" spans="1:8">
      <c r="A207" s="17">
        <v>206</v>
      </c>
      <c r="B207" s="17">
        <v>301601</v>
      </c>
      <c r="C207" s="7">
        <v>15</v>
      </c>
      <c r="D207" s="7">
        <v>3</v>
      </c>
      <c r="E207" s="7">
        <v>1</v>
      </c>
      <c r="F207" s="46" t="s">
        <v>101</v>
      </c>
      <c r="G207" s="17" t="s">
        <v>191</v>
      </c>
      <c r="H207" s="7">
        <v>15</v>
      </c>
    </row>
    <row r="208" spans="1:8">
      <c r="A208" s="17">
        <v>207</v>
      </c>
      <c r="B208" s="20">
        <v>301801</v>
      </c>
      <c r="C208" s="43">
        <v>252</v>
      </c>
      <c r="D208" s="7">
        <v>3</v>
      </c>
      <c r="E208" s="7">
        <v>1</v>
      </c>
      <c r="F208" s="46" t="s">
        <v>102</v>
      </c>
      <c r="G208" s="17" t="s">
        <v>192</v>
      </c>
      <c r="H208" s="7">
        <v>185</v>
      </c>
    </row>
    <row r="209" spans="1:8">
      <c r="A209" s="17">
        <v>208</v>
      </c>
      <c r="B209" s="20">
        <v>302001</v>
      </c>
      <c r="C209" s="7">
        <v>22</v>
      </c>
      <c r="D209" s="7">
        <v>3</v>
      </c>
      <c r="E209" s="7">
        <v>1</v>
      </c>
      <c r="F209" s="46" t="s">
        <v>103</v>
      </c>
      <c r="G209" s="17" t="s">
        <v>193</v>
      </c>
      <c r="H209" s="7">
        <v>15</v>
      </c>
    </row>
    <row r="210" spans="1:8">
      <c r="A210" s="17">
        <v>209</v>
      </c>
      <c r="B210" s="17">
        <v>302101</v>
      </c>
      <c r="C210" s="7">
        <v>15</v>
      </c>
      <c r="D210" s="7">
        <v>3</v>
      </c>
      <c r="E210" s="7">
        <v>1</v>
      </c>
      <c r="F210" s="46" t="s">
        <v>104</v>
      </c>
      <c r="G210" s="17" t="s">
        <v>194</v>
      </c>
      <c r="H210" s="7">
        <v>160</v>
      </c>
    </row>
    <row r="211" spans="1:8">
      <c r="A211" s="17">
        <v>210</v>
      </c>
      <c r="B211" s="1">
        <v>301901</v>
      </c>
      <c r="C211" s="43">
        <v>253</v>
      </c>
      <c r="D211" s="7">
        <v>3</v>
      </c>
      <c r="E211" s="7">
        <v>1</v>
      </c>
      <c r="F211" s="46" t="s">
        <v>105</v>
      </c>
      <c r="G211" s="17" t="s">
        <v>195</v>
      </c>
      <c r="H211" s="7">
        <v>200</v>
      </c>
    </row>
    <row r="212" spans="1:8">
      <c r="A212" s="17">
        <v>211</v>
      </c>
      <c r="B212" s="17">
        <v>302201</v>
      </c>
      <c r="C212" s="45">
        <v>150</v>
      </c>
      <c r="D212" s="7">
        <v>3</v>
      </c>
      <c r="E212" s="7">
        <v>1</v>
      </c>
      <c r="F212" s="46" t="s">
        <v>106</v>
      </c>
      <c r="G212" s="17" t="s">
        <v>196</v>
      </c>
      <c r="H212" s="7">
        <v>40</v>
      </c>
    </row>
    <row r="213" spans="1:8">
      <c r="A213" s="17">
        <v>212</v>
      </c>
      <c r="B213" s="17">
        <v>301501</v>
      </c>
      <c r="C213" s="45">
        <v>120</v>
      </c>
      <c r="D213" s="7">
        <v>3</v>
      </c>
      <c r="E213" s="7">
        <v>1</v>
      </c>
      <c r="F213" s="46" t="s">
        <v>107</v>
      </c>
      <c r="G213" s="17" t="s">
        <v>197</v>
      </c>
      <c r="H213" s="7">
        <v>40</v>
      </c>
    </row>
    <row r="214" spans="1:8">
      <c r="A214" s="17">
        <v>213</v>
      </c>
      <c r="B214" s="33">
        <v>302301</v>
      </c>
      <c r="C214" s="17">
        <v>15</v>
      </c>
      <c r="D214" s="34">
        <v>3</v>
      </c>
      <c r="E214" s="34">
        <v>1</v>
      </c>
      <c r="F214" s="36" t="s">
        <v>135</v>
      </c>
      <c r="G214" s="35" t="s">
        <v>196</v>
      </c>
      <c r="H214" s="17">
        <v>15</v>
      </c>
    </row>
    <row r="215" spans="1:8">
      <c r="A215" s="17">
        <v>214</v>
      </c>
      <c r="B215" s="17">
        <v>201401</v>
      </c>
      <c r="C215" s="47">
        <v>219</v>
      </c>
      <c r="D215" s="47">
        <v>3</v>
      </c>
      <c r="E215" s="47">
        <v>1</v>
      </c>
      <c r="F215" s="48" t="s">
        <v>108</v>
      </c>
      <c r="G215" s="17" t="s">
        <v>198</v>
      </c>
      <c r="H215" s="47">
        <v>215</v>
      </c>
    </row>
    <row r="216" spans="1:8">
      <c r="A216" s="17">
        <v>215</v>
      </c>
      <c r="B216" s="17">
        <v>202001</v>
      </c>
      <c r="C216" s="45">
        <v>100</v>
      </c>
      <c r="D216" s="47">
        <v>3</v>
      </c>
      <c r="E216" s="47">
        <v>1</v>
      </c>
      <c r="F216" s="48" t="s">
        <v>109</v>
      </c>
      <c r="G216" s="17" t="s">
        <v>199</v>
      </c>
      <c r="H216" s="47">
        <v>50</v>
      </c>
    </row>
    <row r="217" spans="1:8">
      <c r="A217" s="17">
        <v>216</v>
      </c>
      <c r="B217" s="20">
        <v>201601</v>
      </c>
      <c r="C217" s="47">
        <v>219</v>
      </c>
      <c r="D217" s="47">
        <v>3</v>
      </c>
      <c r="E217" s="47">
        <v>1</v>
      </c>
      <c r="F217" s="48" t="s">
        <v>110</v>
      </c>
      <c r="G217" s="17" t="s">
        <v>200</v>
      </c>
      <c r="H217" s="47">
        <v>215</v>
      </c>
    </row>
    <row r="218" spans="1:8">
      <c r="A218" s="17">
        <v>217</v>
      </c>
      <c r="B218" s="17">
        <v>202101</v>
      </c>
      <c r="C218" s="45">
        <v>60</v>
      </c>
      <c r="D218" s="47">
        <v>3</v>
      </c>
      <c r="E218" s="47">
        <v>1</v>
      </c>
      <c r="F218" s="48" t="s">
        <v>111</v>
      </c>
      <c r="G218" s="17" t="s">
        <v>201</v>
      </c>
      <c r="H218" s="47">
        <v>50</v>
      </c>
    </row>
    <row r="219" spans="1:8">
      <c r="A219" s="17">
        <v>218</v>
      </c>
      <c r="B219" s="17">
        <v>202201</v>
      </c>
      <c r="C219" s="47">
        <v>220</v>
      </c>
      <c r="D219" s="47">
        <v>3</v>
      </c>
      <c r="E219" s="47">
        <v>1</v>
      </c>
      <c r="F219" s="48" t="s">
        <v>112</v>
      </c>
      <c r="G219" s="17" t="s">
        <v>202</v>
      </c>
      <c r="H219" s="47">
        <v>215</v>
      </c>
    </row>
    <row r="220" spans="1:8">
      <c r="A220" s="17">
        <v>219</v>
      </c>
      <c r="B220" s="19">
        <v>201801</v>
      </c>
      <c r="C220" s="47">
        <v>15</v>
      </c>
      <c r="D220" s="47">
        <v>3</v>
      </c>
      <c r="E220" s="47">
        <v>1</v>
      </c>
      <c r="F220" s="48" t="s">
        <v>113</v>
      </c>
      <c r="G220" s="17" t="s">
        <v>203</v>
      </c>
      <c r="H220" s="47">
        <v>15</v>
      </c>
    </row>
    <row r="221" spans="1:8">
      <c r="A221" s="17">
        <v>220</v>
      </c>
      <c r="B221" s="17">
        <v>201701</v>
      </c>
      <c r="C221" s="45">
        <v>80</v>
      </c>
      <c r="D221" s="47">
        <v>3</v>
      </c>
      <c r="E221" s="47">
        <v>1</v>
      </c>
      <c r="F221" s="48" t="s">
        <v>114</v>
      </c>
      <c r="G221" s="17" t="s">
        <v>204</v>
      </c>
      <c r="H221" s="47">
        <v>50</v>
      </c>
    </row>
    <row r="222" spans="1:8">
      <c r="A222" s="17">
        <v>221</v>
      </c>
      <c r="B222" s="19">
        <v>201501</v>
      </c>
      <c r="C222" s="45">
        <v>130</v>
      </c>
      <c r="D222" s="47">
        <v>3</v>
      </c>
      <c r="E222" s="47">
        <v>1</v>
      </c>
      <c r="F222" s="48" t="s">
        <v>115</v>
      </c>
      <c r="G222" s="17" t="s">
        <v>205</v>
      </c>
      <c r="H222" s="47">
        <v>190</v>
      </c>
    </row>
    <row r="223" spans="1:8">
      <c r="A223" s="17">
        <v>222</v>
      </c>
      <c r="B223" s="27">
        <v>202401</v>
      </c>
      <c r="C223" s="45">
        <v>70</v>
      </c>
      <c r="D223" s="47">
        <v>3</v>
      </c>
      <c r="E223" s="47">
        <v>1</v>
      </c>
      <c r="F223" s="48" t="s">
        <v>116</v>
      </c>
      <c r="G223" s="17" t="s">
        <v>206</v>
      </c>
      <c r="H223" s="47">
        <v>50</v>
      </c>
    </row>
    <row r="224" spans="1:8">
      <c r="A224" s="17">
        <v>223</v>
      </c>
      <c r="B224" s="27">
        <v>202301</v>
      </c>
      <c r="C224" s="45">
        <v>60</v>
      </c>
      <c r="D224" s="47">
        <v>3</v>
      </c>
      <c r="E224" s="47">
        <v>1</v>
      </c>
      <c r="F224" s="48" t="s">
        <v>117</v>
      </c>
      <c r="G224" s="17" t="s">
        <v>188</v>
      </c>
      <c r="H224" s="47">
        <v>15</v>
      </c>
    </row>
    <row r="225" spans="1:8">
      <c r="A225" s="17">
        <v>224</v>
      </c>
      <c r="B225" s="20">
        <v>501201</v>
      </c>
      <c r="C225" s="45">
        <v>47</v>
      </c>
      <c r="D225" s="17">
        <v>3</v>
      </c>
      <c r="E225" s="17">
        <v>1</v>
      </c>
      <c r="F225" s="49" t="s">
        <v>118</v>
      </c>
      <c r="G225" s="17" t="s">
        <v>207</v>
      </c>
      <c r="H225" s="17">
        <v>75</v>
      </c>
    </row>
    <row r="226" spans="1:8">
      <c r="A226" s="17">
        <v>225</v>
      </c>
      <c r="B226" s="17">
        <v>500701</v>
      </c>
      <c r="C226" s="17">
        <v>10</v>
      </c>
      <c r="D226" s="17">
        <v>3</v>
      </c>
      <c r="E226" s="17">
        <v>1</v>
      </c>
      <c r="F226" s="49" t="s">
        <v>119</v>
      </c>
      <c r="G226" s="17" t="s">
        <v>208</v>
      </c>
      <c r="H226" s="17">
        <v>7</v>
      </c>
    </row>
    <row r="227" spans="1:8">
      <c r="A227" s="17">
        <v>226</v>
      </c>
      <c r="B227" s="29">
        <v>400701</v>
      </c>
      <c r="C227" s="34">
        <v>6</v>
      </c>
      <c r="D227" s="17">
        <v>3</v>
      </c>
      <c r="E227" s="17">
        <v>1</v>
      </c>
      <c r="F227" s="49" t="s">
        <v>120</v>
      </c>
      <c r="G227" s="17" t="s">
        <v>209</v>
      </c>
      <c r="H227" s="17">
        <v>7</v>
      </c>
    </row>
    <row r="228" spans="1:8">
      <c r="A228" s="17">
        <v>227</v>
      </c>
      <c r="B228" s="19">
        <v>401201</v>
      </c>
      <c r="C228" s="17">
        <v>10</v>
      </c>
      <c r="D228" s="17">
        <v>3</v>
      </c>
      <c r="E228" s="17">
        <v>1</v>
      </c>
      <c r="F228" s="49" t="s">
        <v>121</v>
      </c>
      <c r="G228" s="17" t="s">
        <v>210</v>
      </c>
      <c r="H228" s="17">
        <v>40</v>
      </c>
    </row>
    <row r="229" spans="1:8">
      <c r="A229" s="17">
        <v>228</v>
      </c>
      <c r="B229" s="19">
        <v>401301</v>
      </c>
      <c r="C229" s="17">
        <v>10</v>
      </c>
      <c r="D229" s="17">
        <v>3</v>
      </c>
      <c r="E229" s="17">
        <v>1</v>
      </c>
      <c r="F229" s="49" t="s">
        <v>122</v>
      </c>
      <c r="G229" s="17" t="s">
        <v>211</v>
      </c>
      <c r="H229" s="17">
        <v>40</v>
      </c>
    </row>
    <row r="230" spans="1:8">
      <c r="A230" s="17">
        <v>229</v>
      </c>
      <c r="B230" s="50">
        <v>400601</v>
      </c>
      <c r="C230" s="51">
        <v>16</v>
      </c>
      <c r="D230" s="51">
        <v>3</v>
      </c>
      <c r="E230" s="51">
        <v>1</v>
      </c>
      <c r="F230" s="52" t="s">
        <v>123</v>
      </c>
      <c r="G230" s="51" t="s">
        <v>212</v>
      </c>
      <c r="H230" s="51">
        <v>7</v>
      </c>
    </row>
    <row r="231" spans="1:8">
      <c r="A231" s="17">
        <v>230</v>
      </c>
      <c r="B231" s="19">
        <v>500601</v>
      </c>
      <c r="C231" s="17">
        <v>10</v>
      </c>
      <c r="D231" s="17">
        <v>3</v>
      </c>
      <c r="E231" s="17">
        <v>1</v>
      </c>
      <c r="F231" s="49" t="s">
        <v>124</v>
      </c>
      <c r="G231" s="17" t="s">
        <v>213</v>
      </c>
      <c r="H231" s="17">
        <v>75</v>
      </c>
    </row>
    <row r="232" spans="1:8">
      <c r="A232" s="17">
        <v>231</v>
      </c>
      <c r="B232" s="30">
        <v>400901</v>
      </c>
      <c r="C232" s="17">
        <v>10</v>
      </c>
      <c r="D232" s="17">
        <v>3</v>
      </c>
      <c r="E232" s="17">
        <v>1</v>
      </c>
      <c r="F232" s="49" t="s">
        <v>125</v>
      </c>
      <c r="G232" s="17" t="s">
        <v>214</v>
      </c>
      <c r="H232" s="17">
        <v>7</v>
      </c>
    </row>
    <row r="233" spans="1:8">
      <c r="A233" s="17">
        <v>232</v>
      </c>
      <c r="B233" s="1">
        <v>501101</v>
      </c>
      <c r="C233" s="45">
        <v>51</v>
      </c>
      <c r="D233" s="17">
        <v>3</v>
      </c>
      <c r="E233" s="17">
        <v>1</v>
      </c>
      <c r="F233" s="49" t="s">
        <v>126</v>
      </c>
      <c r="G233" s="17" t="s">
        <v>215</v>
      </c>
      <c r="H233" s="17">
        <v>145</v>
      </c>
    </row>
    <row r="234" spans="1:8">
      <c r="A234" s="17">
        <v>233</v>
      </c>
      <c r="B234" s="51">
        <v>400801</v>
      </c>
      <c r="C234" s="51">
        <v>40</v>
      </c>
      <c r="D234" s="51">
        <v>3</v>
      </c>
      <c r="E234" s="51">
        <v>1</v>
      </c>
      <c r="F234" s="52" t="s">
        <v>127</v>
      </c>
      <c r="G234" s="51" t="s">
        <v>216</v>
      </c>
      <c r="H234" s="51">
        <v>146</v>
      </c>
    </row>
    <row r="235" spans="1:8">
      <c r="A235" s="17">
        <v>234</v>
      </c>
      <c r="B235" s="25">
        <v>501001</v>
      </c>
      <c r="C235" s="34">
        <v>6</v>
      </c>
      <c r="D235" s="17">
        <v>3</v>
      </c>
      <c r="E235" s="17">
        <v>1</v>
      </c>
      <c r="F235" s="49" t="s">
        <v>128</v>
      </c>
      <c r="G235" s="17" t="s">
        <v>217</v>
      </c>
      <c r="H235" s="17">
        <v>7</v>
      </c>
    </row>
    <row r="236" spans="1:8">
      <c r="A236" s="17">
        <v>235</v>
      </c>
      <c r="B236" s="25">
        <v>500901</v>
      </c>
      <c r="C236" s="34">
        <v>6</v>
      </c>
      <c r="D236" s="17">
        <v>3</v>
      </c>
      <c r="E236" s="17">
        <v>1</v>
      </c>
      <c r="F236" s="49" t="s">
        <v>129</v>
      </c>
      <c r="G236" s="17" t="s">
        <v>218</v>
      </c>
      <c r="H236" s="17">
        <v>7</v>
      </c>
    </row>
    <row r="237" spans="1:8">
      <c r="A237" s="17">
        <v>236</v>
      </c>
      <c r="B237" s="25">
        <v>401401</v>
      </c>
      <c r="C237" s="34">
        <v>6</v>
      </c>
      <c r="D237" s="17">
        <v>3</v>
      </c>
      <c r="E237" s="17">
        <v>1</v>
      </c>
      <c r="F237" s="49" t="s">
        <v>130</v>
      </c>
      <c r="G237" s="17" t="s">
        <v>219</v>
      </c>
      <c r="H237" s="17">
        <v>3</v>
      </c>
    </row>
    <row r="238" spans="1:8">
      <c r="A238" s="17">
        <v>237</v>
      </c>
      <c r="B238" s="17">
        <v>500801</v>
      </c>
      <c r="C238" s="17">
        <v>10</v>
      </c>
      <c r="D238" s="17">
        <v>3</v>
      </c>
      <c r="E238" s="17">
        <v>1</v>
      </c>
      <c r="F238" s="49" t="s">
        <v>131</v>
      </c>
      <c r="G238" s="17" t="s">
        <v>220</v>
      </c>
      <c r="H238" s="17">
        <v>3</v>
      </c>
    </row>
    <row r="239" spans="1:8">
      <c r="A239" s="17">
        <v>238</v>
      </c>
      <c r="B239" s="17">
        <v>401001</v>
      </c>
      <c r="C239" s="17">
        <v>10</v>
      </c>
      <c r="D239" s="17">
        <v>3</v>
      </c>
      <c r="E239" s="17">
        <v>1</v>
      </c>
      <c r="F239" s="49" t="s">
        <v>132</v>
      </c>
      <c r="G239" s="17" t="s">
        <v>221</v>
      </c>
      <c r="H239" s="17">
        <v>3</v>
      </c>
    </row>
    <row r="240" spans="1:8">
      <c r="A240" s="17">
        <v>239</v>
      </c>
      <c r="B240" s="33">
        <v>501301</v>
      </c>
      <c r="C240" s="34">
        <v>6</v>
      </c>
      <c r="D240" s="17">
        <v>3</v>
      </c>
      <c r="E240" s="34">
        <v>1</v>
      </c>
      <c r="F240" s="16" t="s">
        <v>133</v>
      </c>
      <c r="G240" s="35" t="s">
        <v>222</v>
      </c>
      <c r="H240" s="17">
        <v>3</v>
      </c>
    </row>
    <row r="241" spans="1:8">
      <c r="A241" s="17">
        <v>240</v>
      </c>
      <c r="B241" s="33">
        <v>501401</v>
      </c>
      <c r="C241" s="34">
        <v>6</v>
      </c>
      <c r="D241" s="17">
        <v>3</v>
      </c>
      <c r="E241" s="34">
        <v>1</v>
      </c>
      <c r="F241" s="16" t="s">
        <v>134</v>
      </c>
      <c r="G241" s="35" t="s">
        <v>223</v>
      </c>
      <c r="H241" s="17">
        <v>3</v>
      </c>
    </row>
    <row r="242" spans="1:8">
      <c r="A242" s="17">
        <v>241</v>
      </c>
      <c r="B242" s="37">
        <v>501501</v>
      </c>
      <c r="C242" s="17">
        <v>6</v>
      </c>
      <c r="D242" s="34">
        <v>3</v>
      </c>
      <c r="E242" s="34">
        <v>1</v>
      </c>
      <c r="F242" s="16" t="s">
        <v>136</v>
      </c>
      <c r="G242" s="35">
        <v>0</v>
      </c>
      <c r="H242" s="17">
        <v>3</v>
      </c>
    </row>
    <row r="243" spans="1:8">
      <c r="A243" s="17">
        <v>242</v>
      </c>
      <c r="B243" s="37">
        <v>501601</v>
      </c>
      <c r="C243" s="17">
        <v>6</v>
      </c>
      <c r="D243" s="34">
        <v>3</v>
      </c>
      <c r="E243" s="34">
        <v>1</v>
      </c>
      <c r="F243" s="38" t="s">
        <v>137</v>
      </c>
      <c r="G243" s="35">
        <v>0</v>
      </c>
      <c r="H243" s="17">
        <v>3</v>
      </c>
    </row>
    <row r="244" spans="1:8">
      <c r="A244" s="17">
        <v>243</v>
      </c>
      <c r="B244" s="37">
        <v>401501</v>
      </c>
      <c r="C244" s="17">
        <v>6</v>
      </c>
      <c r="D244" s="34">
        <v>3</v>
      </c>
      <c r="E244" s="34">
        <v>1</v>
      </c>
      <c r="F244" s="38" t="s">
        <v>138</v>
      </c>
      <c r="G244" s="35">
        <v>0</v>
      </c>
      <c r="H244" s="17">
        <v>3</v>
      </c>
    </row>
    <row r="245" spans="1:8">
      <c r="A245" s="17">
        <v>244</v>
      </c>
      <c r="B245" s="37">
        <v>401601</v>
      </c>
      <c r="C245" s="17">
        <v>6</v>
      </c>
      <c r="D245" s="34">
        <v>3</v>
      </c>
      <c r="E245" s="34">
        <v>1</v>
      </c>
      <c r="F245" s="38" t="s">
        <v>139</v>
      </c>
      <c r="G245" s="35">
        <v>0</v>
      </c>
      <c r="H245" s="17">
        <v>3</v>
      </c>
    </row>
    <row r="246" spans="1:8">
      <c r="A246" s="17">
        <v>245</v>
      </c>
      <c r="B246" s="37">
        <v>401701</v>
      </c>
      <c r="C246" s="17">
        <v>6</v>
      </c>
      <c r="D246" s="34">
        <v>3</v>
      </c>
      <c r="E246" s="34">
        <v>1</v>
      </c>
      <c r="F246" s="38" t="s">
        <v>140</v>
      </c>
      <c r="G246" s="35">
        <v>0</v>
      </c>
      <c r="H246" s="17">
        <v>3</v>
      </c>
    </row>
    <row r="247" spans="1:8">
      <c r="A247" s="17">
        <v>246</v>
      </c>
      <c r="B247" s="37">
        <v>501701</v>
      </c>
      <c r="C247" s="17">
        <v>6</v>
      </c>
      <c r="D247" s="34">
        <v>3</v>
      </c>
      <c r="E247" s="34">
        <v>1</v>
      </c>
      <c r="F247" s="38" t="s">
        <v>141</v>
      </c>
      <c r="G247" s="35">
        <v>0</v>
      </c>
      <c r="H247" s="17">
        <v>3</v>
      </c>
    </row>
    <row r="248" spans="1:8" s="13" customFormat="1">
      <c r="A248" s="17">
        <v>247</v>
      </c>
      <c r="B248" s="39">
        <v>401901</v>
      </c>
      <c r="C248" s="39">
        <v>6</v>
      </c>
      <c r="D248" s="13">
        <v>3</v>
      </c>
      <c r="E248" s="39">
        <v>1</v>
      </c>
      <c r="F248" s="13" t="s">
        <v>142</v>
      </c>
      <c r="G248" s="39" t="s">
        <v>188</v>
      </c>
      <c r="H248" s="39">
        <v>3</v>
      </c>
    </row>
    <row r="249" spans="1:8" s="13" customFormat="1">
      <c r="A249" s="17">
        <v>248</v>
      </c>
      <c r="B249" s="39">
        <v>302401</v>
      </c>
      <c r="C249" s="39">
        <v>6</v>
      </c>
      <c r="D249" s="13">
        <v>3</v>
      </c>
      <c r="E249" s="39">
        <v>1</v>
      </c>
      <c r="F249" s="13" t="s">
        <v>143</v>
      </c>
      <c r="G249" s="39" t="s">
        <v>188</v>
      </c>
      <c r="H249" s="39">
        <v>3</v>
      </c>
    </row>
    <row r="250" spans="1:8" s="14" customFormat="1">
      <c r="A250" s="17">
        <v>249</v>
      </c>
      <c r="B250" s="40">
        <v>401801</v>
      </c>
      <c r="C250" s="40">
        <v>6</v>
      </c>
      <c r="D250" s="14">
        <v>3</v>
      </c>
      <c r="E250" s="40">
        <v>1</v>
      </c>
      <c r="F250" s="14" t="s">
        <v>144</v>
      </c>
      <c r="G250" s="40" t="s">
        <v>188</v>
      </c>
      <c r="H250" s="40">
        <v>3</v>
      </c>
    </row>
    <row r="251" spans="1:8" s="14" customFormat="1">
      <c r="A251" s="17">
        <v>250</v>
      </c>
      <c r="B251" s="40">
        <v>501801</v>
      </c>
      <c r="C251" s="40">
        <v>6</v>
      </c>
      <c r="D251" s="14">
        <v>3</v>
      </c>
      <c r="E251" s="40">
        <v>1</v>
      </c>
      <c r="F251" s="14" t="s">
        <v>145</v>
      </c>
      <c r="G251" s="40" t="s">
        <v>188</v>
      </c>
      <c r="H251" s="40">
        <v>3</v>
      </c>
    </row>
    <row r="252" spans="1:8">
      <c r="A252" s="17">
        <v>251</v>
      </c>
      <c r="B252" s="1">
        <v>102201</v>
      </c>
      <c r="C252" s="43">
        <v>251</v>
      </c>
      <c r="D252" s="17">
        <v>35</v>
      </c>
      <c r="E252" s="17">
        <v>1</v>
      </c>
      <c r="F252" s="49" t="s">
        <v>90</v>
      </c>
      <c r="G252" s="17" t="s">
        <v>180</v>
      </c>
      <c r="H252" s="43">
        <v>255</v>
      </c>
    </row>
    <row r="253" spans="1:8">
      <c r="A253" s="17">
        <v>252</v>
      </c>
      <c r="B253" s="17">
        <v>101401</v>
      </c>
      <c r="C253" s="45">
        <v>140</v>
      </c>
      <c r="D253" s="17">
        <v>35</v>
      </c>
      <c r="E253" s="17">
        <v>1</v>
      </c>
      <c r="F253" s="49" t="s">
        <v>91</v>
      </c>
      <c r="G253" s="17" t="s">
        <v>181</v>
      </c>
      <c r="H253" s="43">
        <v>100</v>
      </c>
    </row>
    <row r="254" spans="1:8">
      <c r="A254" s="17">
        <v>253</v>
      </c>
      <c r="B254" s="19">
        <v>101801</v>
      </c>
      <c r="C254" s="45">
        <v>160</v>
      </c>
      <c r="D254" s="17">
        <v>35</v>
      </c>
      <c r="E254" s="17">
        <v>1</v>
      </c>
      <c r="F254" s="49" t="s">
        <v>92</v>
      </c>
      <c r="G254" s="17" t="s">
        <v>182</v>
      </c>
      <c r="H254" s="43">
        <v>100</v>
      </c>
    </row>
    <row r="255" spans="1:8">
      <c r="A255" s="17">
        <v>254</v>
      </c>
      <c r="B255" s="19">
        <v>102001</v>
      </c>
      <c r="C255" s="43">
        <v>15</v>
      </c>
      <c r="D255" s="17">
        <v>35</v>
      </c>
      <c r="E255" s="17">
        <v>1</v>
      </c>
      <c r="F255" s="49" t="s">
        <v>93</v>
      </c>
      <c r="G255" s="17" t="s">
        <v>183</v>
      </c>
      <c r="H255" s="43">
        <v>30</v>
      </c>
    </row>
    <row r="256" spans="1:8">
      <c r="A256" s="17">
        <v>255</v>
      </c>
      <c r="B256" s="19">
        <v>102101</v>
      </c>
      <c r="C256" s="45">
        <v>70</v>
      </c>
      <c r="D256" s="17">
        <v>35</v>
      </c>
      <c r="E256" s="17">
        <v>1</v>
      </c>
      <c r="F256" s="49" t="s">
        <v>94</v>
      </c>
      <c r="G256" s="17" t="s">
        <v>184</v>
      </c>
      <c r="H256" s="43">
        <v>30</v>
      </c>
    </row>
    <row r="257" spans="1:8">
      <c r="A257" s="17">
        <v>256</v>
      </c>
      <c r="B257" s="17">
        <v>101601</v>
      </c>
      <c r="C257" s="43">
        <v>15</v>
      </c>
      <c r="D257" s="17">
        <v>35</v>
      </c>
      <c r="E257" s="17">
        <v>1</v>
      </c>
      <c r="F257" s="49" t="s">
        <v>95</v>
      </c>
      <c r="G257" s="17" t="s">
        <v>185</v>
      </c>
      <c r="H257" s="43">
        <v>100</v>
      </c>
    </row>
    <row r="258" spans="1:8">
      <c r="A258" s="17">
        <v>257</v>
      </c>
      <c r="B258" s="20">
        <v>101501</v>
      </c>
      <c r="C258" s="43">
        <v>252</v>
      </c>
      <c r="D258" s="17">
        <v>35</v>
      </c>
      <c r="E258" s="17">
        <v>1</v>
      </c>
      <c r="F258" s="49" t="s">
        <v>96</v>
      </c>
      <c r="G258" s="17" t="s">
        <v>186</v>
      </c>
      <c r="H258" s="43">
        <v>255</v>
      </c>
    </row>
    <row r="259" spans="1:8">
      <c r="A259" s="17">
        <v>258</v>
      </c>
      <c r="B259" s="20">
        <v>101701</v>
      </c>
      <c r="C259" s="45">
        <v>50</v>
      </c>
      <c r="D259" s="17">
        <v>35</v>
      </c>
      <c r="E259" s="17">
        <v>1</v>
      </c>
      <c r="F259" s="49" t="s">
        <v>97</v>
      </c>
      <c r="G259" s="17" t="s">
        <v>187</v>
      </c>
      <c r="H259" s="43">
        <v>30</v>
      </c>
    </row>
    <row r="260" spans="1:8">
      <c r="A260" s="17">
        <v>259</v>
      </c>
      <c r="B260" s="20">
        <v>102301</v>
      </c>
      <c r="C260" s="45">
        <v>15</v>
      </c>
      <c r="D260" s="17">
        <v>35</v>
      </c>
      <c r="E260" s="23">
        <v>1</v>
      </c>
      <c r="F260" s="24" t="s">
        <v>98</v>
      </c>
      <c r="G260" s="17" t="s">
        <v>188</v>
      </c>
      <c r="H260" s="43">
        <v>30</v>
      </c>
    </row>
    <row r="261" spans="1:8">
      <c r="A261" s="17">
        <v>260</v>
      </c>
      <c r="B261" s="25">
        <v>301401</v>
      </c>
      <c r="C261" s="34">
        <v>15</v>
      </c>
      <c r="D261" s="17">
        <v>35</v>
      </c>
      <c r="E261" s="17">
        <v>1</v>
      </c>
      <c r="F261" s="49" t="s">
        <v>99</v>
      </c>
      <c r="G261" s="17" t="s">
        <v>189</v>
      </c>
      <c r="H261" s="7">
        <v>40</v>
      </c>
    </row>
    <row r="262" spans="1:8">
      <c r="A262" s="17">
        <v>261</v>
      </c>
      <c r="B262" s="17">
        <v>301701</v>
      </c>
      <c r="C262" s="45">
        <v>150</v>
      </c>
      <c r="D262" s="17">
        <v>35</v>
      </c>
      <c r="E262" s="17">
        <v>1</v>
      </c>
      <c r="F262" s="49" t="s">
        <v>100</v>
      </c>
      <c r="G262" s="17" t="s">
        <v>190</v>
      </c>
      <c r="H262" s="7">
        <v>185</v>
      </c>
    </row>
    <row r="263" spans="1:8">
      <c r="A263" s="17">
        <v>262</v>
      </c>
      <c r="B263" s="17">
        <v>301601</v>
      </c>
      <c r="C263" s="7">
        <v>15</v>
      </c>
      <c r="D263" s="17">
        <v>35</v>
      </c>
      <c r="E263" s="17">
        <v>1</v>
      </c>
      <c r="F263" s="49" t="s">
        <v>101</v>
      </c>
      <c r="G263" s="17" t="s">
        <v>191</v>
      </c>
      <c r="H263" s="7">
        <v>15</v>
      </c>
    </row>
    <row r="264" spans="1:8">
      <c r="A264" s="17">
        <v>263</v>
      </c>
      <c r="B264" s="20">
        <v>301801</v>
      </c>
      <c r="C264" s="43">
        <v>252</v>
      </c>
      <c r="D264" s="17">
        <v>35</v>
      </c>
      <c r="E264" s="17">
        <v>1</v>
      </c>
      <c r="F264" s="49" t="s">
        <v>102</v>
      </c>
      <c r="G264" s="17" t="s">
        <v>192</v>
      </c>
      <c r="H264" s="7">
        <v>185</v>
      </c>
    </row>
    <row r="265" spans="1:8">
      <c r="A265" s="17">
        <v>264</v>
      </c>
      <c r="B265" s="20">
        <v>302001</v>
      </c>
      <c r="C265" s="7">
        <v>22</v>
      </c>
      <c r="D265" s="17">
        <v>35</v>
      </c>
      <c r="E265" s="17">
        <v>1</v>
      </c>
      <c r="F265" s="49" t="s">
        <v>103</v>
      </c>
      <c r="G265" s="17" t="s">
        <v>193</v>
      </c>
      <c r="H265" s="7">
        <v>15</v>
      </c>
    </row>
    <row r="266" spans="1:8">
      <c r="A266" s="17">
        <v>265</v>
      </c>
      <c r="B266" s="17">
        <v>302101</v>
      </c>
      <c r="C266" s="7">
        <v>15</v>
      </c>
      <c r="D266" s="17">
        <v>35</v>
      </c>
      <c r="E266" s="17">
        <v>1</v>
      </c>
      <c r="F266" s="49" t="s">
        <v>104</v>
      </c>
      <c r="G266" s="17" t="s">
        <v>194</v>
      </c>
      <c r="H266" s="7">
        <v>160</v>
      </c>
    </row>
    <row r="267" spans="1:8">
      <c r="A267" s="17">
        <v>266</v>
      </c>
      <c r="B267" s="1">
        <v>301901</v>
      </c>
      <c r="C267" s="43">
        <v>253</v>
      </c>
      <c r="D267" s="17">
        <v>35</v>
      </c>
      <c r="E267" s="17">
        <v>1</v>
      </c>
      <c r="F267" s="49" t="s">
        <v>105</v>
      </c>
      <c r="G267" s="17" t="s">
        <v>195</v>
      </c>
      <c r="H267" s="7">
        <v>200</v>
      </c>
    </row>
    <row r="268" spans="1:8">
      <c r="A268" s="17">
        <v>267</v>
      </c>
      <c r="B268" s="17">
        <v>302201</v>
      </c>
      <c r="C268" s="45">
        <v>150</v>
      </c>
      <c r="D268" s="17">
        <v>35</v>
      </c>
      <c r="E268" s="17">
        <v>1</v>
      </c>
      <c r="F268" s="49" t="s">
        <v>106</v>
      </c>
      <c r="G268" s="17" t="s">
        <v>196</v>
      </c>
      <c r="H268" s="7">
        <v>40</v>
      </c>
    </row>
    <row r="269" spans="1:8">
      <c r="A269" s="17">
        <v>268</v>
      </c>
      <c r="B269" s="17">
        <v>301501</v>
      </c>
      <c r="C269" s="45">
        <v>120</v>
      </c>
      <c r="D269" s="17">
        <v>35</v>
      </c>
      <c r="E269" s="17">
        <v>1</v>
      </c>
      <c r="F269" s="49" t="s">
        <v>107</v>
      </c>
      <c r="G269" s="17" t="s">
        <v>197</v>
      </c>
      <c r="H269" s="7">
        <v>40</v>
      </c>
    </row>
    <row r="270" spans="1:8">
      <c r="A270" s="17">
        <v>269</v>
      </c>
      <c r="B270" s="33">
        <v>302301</v>
      </c>
      <c r="C270" s="17">
        <v>15</v>
      </c>
      <c r="D270" s="17">
        <v>35</v>
      </c>
      <c r="E270" s="34">
        <v>1</v>
      </c>
      <c r="F270" s="36" t="s">
        <v>135</v>
      </c>
      <c r="G270" s="35" t="s">
        <v>196</v>
      </c>
      <c r="H270" s="17">
        <v>15</v>
      </c>
    </row>
    <row r="271" spans="1:8">
      <c r="A271" s="17">
        <v>270</v>
      </c>
      <c r="B271" s="17">
        <v>201401</v>
      </c>
      <c r="C271" s="47">
        <v>219</v>
      </c>
      <c r="D271" s="17">
        <v>35</v>
      </c>
      <c r="E271" s="17">
        <v>1</v>
      </c>
      <c r="F271" s="49" t="s">
        <v>108</v>
      </c>
      <c r="G271" s="17" t="s">
        <v>198</v>
      </c>
      <c r="H271" s="47">
        <v>215</v>
      </c>
    </row>
    <row r="272" spans="1:8">
      <c r="A272" s="17">
        <v>271</v>
      </c>
      <c r="B272" s="17">
        <v>202001</v>
      </c>
      <c r="C272" s="45">
        <v>100</v>
      </c>
      <c r="D272" s="17">
        <v>35</v>
      </c>
      <c r="E272" s="17">
        <v>1</v>
      </c>
      <c r="F272" s="49" t="s">
        <v>109</v>
      </c>
      <c r="G272" s="17" t="s">
        <v>199</v>
      </c>
      <c r="H272" s="47">
        <v>50</v>
      </c>
    </row>
    <row r="273" spans="1:8">
      <c r="A273" s="17">
        <v>272</v>
      </c>
      <c r="B273" s="20">
        <v>201601</v>
      </c>
      <c r="C273" s="47">
        <v>219</v>
      </c>
      <c r="D273" s="17">
        <v>35</v>
      </c>
      <c r="E273" s="17">
        <v>1</v>
      </c>
      <c r="F273" s="49" t="s">
        <v>110</v>
      </c>
      <c r="G273" s="17" t="s">
        <v>200</v>
      </c>
      <c r="H273" s="47">
        <v>215</v>
      </c>
    </row>
    <row r="274" spans="1:8">
      <c r="A274" s="17">
        <v>273</v>
      </c>
      <c r="B274" s="17">
        <v>202101</v>
      </c>
      <c r="C274" s="45">
        <v>60</v>
      </c>
      <c r="D274" s="17">
        <v>35</v>
      </c>
      <c r="E274" s="17">
        <v>1</v>
      </c>
      <c r="F274" s="49" t="s">
        <v>111</v>
      </c>
      <c r="G274" s="17" t="s">
        <v>201</v>
      </c>
      <c r="H274" s="47">
        <v>50</v>
      </c>
    </row>
    <row r="275" spans="1:8">
      <c r="A275" s="17">
        <v>274</v>
      </c>
      <c r="B275" s="17">
        <v>202201</v>
      </c>
      <c r="C275" s="47">
        <v>220</v>
      </c>
      <c r="D275" s="17">
        <v>35</v>
      </c>
      <c r="E275" s="17">
        <v>1</v>
      </c>
      <c r="F275" s="49" t="s">
        <v>112</v>
      </c>
      <c r="G275" s="17" t="s">
        <v>202</v>
      </c>
      <c r="H275" s="47">
        <v>215</v>
      </c>
    </row>
    <row r="276" spans="1:8">
      <c r="A276" s="17">
        <v>275</v>
      </c>
      <c r="B276" s="19">
        <v>201801</v>
      </c>
      <c r="C276" s="47">
        <v>15</v>
      </c>
      <c r="D276" s="17">
        <v>35</v>
      </c>
      <c r="E276" s="17">
        <v>1</v>
      </c>
      <c r="F276" s="49" t="s">
        <v>113</v>
      </c>
      <c r="G276" s="17" t="s">
        <v>203</v>
      </c>
      <c r="H276" s="47">
        <v>15</v>
      </c>
    </row>
    <row r="277" spans="1:8">
      <c r="A277" s="17">
        <v>276</v>
      </c>
      <c r="B277" s="17">
        <v>201701</v>
      </c>
      <c r="C277" s="45">
        <v>80</v>
      </c>
      <c r="D277" s="17">
        <v>35</v>
      </c>
      <c r="E277" s="17">
        <v>1</v>
      </c>
      <c r="F277" s="49" t="s">
        <v>114</v>
      </c>
      <c r="G277" s="17" t="s">
        <v>204</v>
      </c>
      <c r="H277" s="47">
        <v>50</v>
      </c>
    </row>
    <row r="278" spans="1:8">
      <c r="A278" s="17">
        <v>277</v>
      </c>
      <c r="B278" s="19">
        <v>201501</v>
      </c>
      <c r="C278" s="45">
        <v>130</v>
      </c>
      <c r="D278" s="17">
        <v>35</v>
      </c>
      <c r="E278" s="17">
        <v>1</v>
      </c>
      <c r="F278" s="49" t="s">
        <v>115</v>
      </c>
      <c r="G278" s="17" t="s">
        <v>205</v>
      </c>
      <c r="H278" s="47">
        <v>190</v>
      </c>
    </row>
    <row r="279" spans="1:8">
      <c r="A279" s="17">
        <v>278</v>
      </c>
      <c r="B279" s="27">
        <v>202401</v>
      </c>
      <c r="C279" s="45">
        <v>70</v>
      </c>
      <c r="D279" s="17">
        <v>35</v>
      </c>
      <c r="E279" s="27">
        <v>1</v>
      </c>
      <c r="F279" s="28" t="s">
        <v>116</v>
      </c>
      <c r="G279" s="17" t="s">
        <v>206</v>
      </c>
      <c r="H279" s="47">
        <v>50</v>
      </c>
    </row>
    <row r="280" spans="1:8">
      <c r="A280" s="17">
        <v>279</v>
      </c>
      <c r="B280" s="27">
        <v>202301</v>
      </c>
      <c r="C280" s="45">
        <v>60</v>
      </c>
      <c r="D280" s="17">
        <v>35</v>
      </c>
      <c r="E280" s="27">
        <v>1</v>
      </c>
      <c r="F280" s="28" t="s">
        <v>117</v>
      </c>
      <c r="G280" s="17" t="s">
        <v>188</v>
      </c>
      <c r="H280" s="47">
        <v>15</v>
      </c>
    </row>
    <row r="281" spans="1:8">
      <c r="A281" s="17">
        <v>280</v>
      </c>
      <c r="B281" s="20">
        <v>501201</v>
      </c>
      <c r="C281" s="45">
        <v>50</v>
      </c>
      <c r="D281" s="17">
        <v>35</v>
      </c>
      <c r="E281" s="17">
        <v>1</v>
      </c>
      <c r="F281" s="49" t="s">
        <v>118</v>
      </c>
      <c r="G281" s="17" t="s">
        <v>207</v>
      </c>
      <c r="H281" s="17">
        <v>75</v>
      </c>
    </row>
    <row r="282" spans="1:8">
      <c r="A282" s="17">
        <v>281</v>
      </c>
      <c r="B282" s="17">
        <v>500701</v>
      </c>
      <c r="C282" s="17">
        <v>10</v>
      </c>
      <c r="D282" s="17">
        <v>35</v>
      </c>
      <c r="E282" s="17">
        <v>1</v>
      </c>
      <c r="F282" s="49" t="s">
        <v>119</v>
      </c>
      <c r="G282" s="17" t="s">
        <v>208</v>
      </c>
      <c r="H282" s="17">
        <v>7</v>
      </c>
    </row>
    <row r="283" spans="1:8">
      <c r="A283" s="17">
        <v>282</v>
      </c>
      <c r="B283" s="29">
        <v>400701</v>
      </c>
      <c r="C283" s="34">
        <v>6</v>
      </c>
      <c r="D283" s="17">
        <v>35</v>
      </c>
      <c r="E283" s="17">
        <v>1</v>
      </c>
      <c r="F283" s="49" t="s">
        <v>120</v>
      </c>
      <c r="G283" s="17" t="s">
        <v>209</v>
      </c>
      <c r="H283" s="17">
        <v>7</v>
      </c>
    </row>
    <row r="284" spans="1:8">
      <c r="A284" s="17">
        <v>283</v>
      </c>
      <c r="B284" s="19">
        <v>401201</v>
      </c>
      <c r="C284" s="17">
        <v>10</v>
      </c>
      <c r="D284" s="17">
        <v>35</v>
      </c>
      <c r="E284" s="17">
        <v>1</v>
      </c>
      <c r="F284" s="49" t="s">
        <v>121</v>
      </c>
      <c r="G284" s="17" t="s">
        <v>210</v>
      </c>
      <c r="H284" s="17">
        <v>40</v>
      </c>
    </row>
    <row r="285" spans="1:8">
      <c r="A285" s="17">
        <v>284</v>
      </c>
      <c r="B285" s="19">
        <v>401301</v>
      </c>
      <c r="C285" s="17">
        <v>10</v>
      </c>
      <c r="D285" s="17">
        <v>35</v>
      </c>
      <c r="E285" s="17">
        <v>1</v>
      </c>
      <c r="F285" s="49" t="s">
        <v>122</v>
      </c>
      <c r="G285" s="17" t="s">
        <v>211</v>
      </c>
      <c r="H285" s="17">
        <v>40</v>
      </c>
    </row>
    <row r="286" spans="1:8">
      <c r="A286" s="17">
        <v>285</v>
      </c>
      <c r="B286" s="29">
        <v>400601</v>
      </c>
      <c r="C286" s="34">
        <v>16</v>
      </c>
      <c r="D286" s="17">
        <v>35</v>
      </c>
      <c r="E286" s="17">
        <v>1</v>
      </c>
      <c r="F286" s="49" t="s">
        <v>123</v>
      </c>
      <c r="G286" s="17" t="s">
        <v>212</v>
      </c>
      <c r="H286" s="17">
        <v>7</v>
      </c>
    </row>
    <row r="287" spans="1:8">
      <c r="A287" s="17">
        <v>286</v>
      </c>
      <c r="B287" s="19">
        <v>500601</v>
      </c>
      <c r="C287" s="17">
        <v>10</v>
      </c>
      <c r="D287" s="17">
        <v>35</v>
      </c>
      <c r="E287" s="17">
        <v>1</v>
      </c>
      <c r="F287" s="49" t="s">
        <v>124</v>
      </c>
      <c r="G287" s="17" t="s">
        <v>213</v>
      </c>
      <c r="H287" s="17">
        <v>75</v>
      </c>
    </row>
    <row r="288" spans="1:8">
      <c r="A288" s="17">
        <v>287</v>
      </c>
      <c r="B288" s="30">
        <v>400901</v>
      </c>
      <c r="C288" s="17">
        <v>10</v>
      </c>
      <c r="D288" s="17">
        <v>35</v>
      </c>
      <c r="E288" s="17">
        <v>1</v>
      </c>
      <c r="F288" s="49" t="s">
        <v>125</v>
      </c>
      <c r="G288" s="17" t="s">
        <v>214</v>
      </c>
      <c r="H288" s="17">
        <v>7</v>
      </c>
    </row>
    <row r="289" spans="1:8">
      <c r="A289" s="17">
        <v>288</v>
      </c>
      <c r="B289" s="1">
        <v>501101</v>
      </c>
      <c r="C289" s="45">
        <v>54</v>
      </c>
      <c r="D289" s="17">
        <v>35</v>
      </c>
      <c r="E289" s="17">
        <v>1</v>
      </c>
      <c r="F289" s="49" t="s">
        <v>126</v>
      </c>
      <c r="G289" s="17" t="s">
        <v>215</v>
      </c>
      <c r="H289" s="17">
        <v>148</v>
      </c>
    </row>
    <row r="290" spans="1:8">
      <c r="A290" s="17">
        <v>289</v>
      </c>
      <c r="B290" s="17">
        <v>400801</v>
      </c>
      <c r="C290" s="45">
        <v>40</v>
      </c>
      <c r="D290" s="17">
        <v>35</v>
      </c>
      <c r="E290" s="17">
        <v>1</v>
      </c>
      <c r="F290" s="49" t="s">
        <v>127</v>
      </c>
      <c r="G290" s="17" t="s">
        <v>216</v>
      </c>
      <c r="H290" s="17">
        <v>146</v>
      </c>
    </row>
    <row r="291" spans="1:8">
      <c r="A291" s="17">
        <v>290</v>
      </c>
      <c r="B291" s="25">
        <v>501001</v>
      </c>
      <c r="C291" s="34">
        <v>6</v>
      </c>
      <c r="D291" s="17">
        <v>35</v>
      </c>
      <c r="E291" s="17">
        <v>1</v>
      </c>
      <c r="F291" s="49" t="s">
        <v>128</v>
      </c>
      <c r="G291" s="17" t="s">
        <v>217</v>
      </c>
      <c r="H291" s="17">
        <v>7</v>
      </c>
    </row>
    <row r="292" spans="1:8">
      <c r="A292" s="17">
        <v>291</v>
      </c>
      <c r="B292" s="25">
        <v>500901</v>
      </c>
      <c r="C292" s="34">
        <v>6</v>
      </c>
      <c r="D292" s="17">
        <v>35</v>
      </c>
      <c r="E292" s="17">
        <v>1</v>
      </c>
      <c r="F292" s="49" t="s">
        <v>129</v>
      </c>
      <c r="G292" s="17" t="s">
        <v>218</v>
      </c>
      <c r="H292" s="17">
        <v>7</v>
      </c>
    </row>
    <row r="293" spans="1:8">
      <c r="A293" s="17">
        <v>292</v>
      </c>
      <c r="B293" s="31">
        <v>401401</v>
      </c>
      <c r="C293" s="34">
        <v>6</v>
      </c>
      <c r="D293" s="17">
        <v>35</v>
      </c>
      <c r="E293" s="34">
        <v>1</v>
      </c>
      <c r="F293" s="53" t="s">
        <v>130</v>
      </c>
      <c r="G293" s="17" t="s">
        <v>219</v>
      </c>
      <c r="H293" s="34">
        <v>3</v>
      </c>
    </row>
    <row r="294" spans="1:8">
      <c r="A294" s="17">
        <v>293</v>
      </c>
      <c r="B294" s="33">
        <v>500801</v>
      </c>
      <c r="C294" s="17">
        <v>10</v>
      </c>
      <c r="D294" s="17">
        <v>35</v>
      </c>
      <c r="E294" s="34">
        <v>1</v>
      </c>
      <c r="F294" s="53" t="s">
        <v>131</v>
      </c>
      <c r="G294" s="17" t="s">
        <v>220</v>
      </c>
      <c r="H294" s="17">
        <v>3</v>
      </c>
    </row>
    <row r="295" spans="1:8">
      <c r="A295" s="17">
        <v>294</v>
      </c>
      <c r="B295" s="33">
        <v>401001</v>
      </c>
      <c r="C295" s="17">
        <v>10</v>
      </c>
      <c r="D295" s="17">
        <v>35</v>
      </c>
      <c r="E295" s="34">
        <v>1</v>
      </c>
      <c r="F295" s="53" t="s">
        <v>132</v>
      </c>
      <c r="G295" s="17" t="s">
        <v>221</v>
      </c>
      <c r="H295" s="17">
        <v>3</v>
      </c>
    </row>
    <row r="296" spans="1:8">
      <c r="A296" s="17">
        <v>295</v>
      </c>
      <c r="B296" s="33">
        <v>501301</v>
      </c>
      <c r="C296" s="34">
        <v>6</v>
      </c>
      <c r="D296" s="17">
        <v>35</v>
      </c>
      <c r="E296" s="34">
        <v>1</v>
      </c>
      <c r="F296" s="16" t="s">
        <v>133</v>
      </c>
      <c r="G296" s="35" t="s">
        <v>222</v>
      </c>
      <c r="H296" s="17">
        <v>3</v>
      </c>
    </row>
    <row r="297" spans="1:8">
      <c r="A297" s="17">
        <v>296</v>
      </c>
      <c r="B297" s="33">
        <v>501401</v>
      </c>
      <c r="C297" s="34">
        <v>6</v>
      </c>
      <c r="D297" s="17">
        <v>35</v>
      </c>
      <c r="E297" s="34">
        <v>1</v>
      </c>
      <c r="F297" s="16" t="s">
        <v>134</v>
      </c>
      <c r="G297" s="35" t="s">
        <v>223</v>
      </c>
      <c r="H297" s="17">
        <v>3</v>
      </c>
    </row>
    <row r="298" spans="1:8">
      <c r="A298" s="17">
        <v>297</v>
      </c>
      <c r="B298" s="37">
        <v>501501</v>
      </c>
      <c r="C298" s="17">
        <v>6</v>
      </c>
      <c r="D298" s="17">
        <v>35</v>
      </c>
      <c r="E298" s="34">
        <v>1</v>
      </c>
      <c r="F298" s="16" t="s">
        <v>136</v>
      </c>
      <c r="G298" s="35">
        <v>0</v>
      </c>
      <c r="H298" s="17">
        <v>3</v>
      </c>
    </row>
    <row r="299" spans="1:8">
      <c r="A299" s="17">
        <v>298</v>
      </c>
      <c r="B299" s="37">
        <v>501601</v>
      </c>
      <c r="C299" s="17">
        <v>6</v>
      </c>
      <c r="D299" s="17">
        <v>35</v>
      </c>
      <c r="E299" s="34">
        <v>1</v>
      </c>
      <c r="F299" s="38" t="s">
        <v>137</v>
      </c>
      <c r="G299" s="35">
        <v>0</v>
      </c>
      <c r="H299" s="17">
        <v>3</v>
      </c>
    </row>
    <row r="300" spans="1:8">
      <c r="A300" s="17">
        <v>299</v>
      </c>
      <c r="B300" s="37">
        <v>401501</v>
      </c>
      <c r="C300" s="17">
        <v>6</v>
      </c>
      <c r="D300" s="17">
        <v>35</v>
      </c>
      <c r="E300" s="34">
        <v>1</v>
      </c>
      <c r="F300" s="38" t="s">
        <v>138</v>
      </c>
      <c r="G300" s="35">
        <v>0</v>
      </c>
      <c r="H300" s="17">
        <v>3</v>
      </c>
    </row>
    <row r="301" spans="1:8">
      <c r="A301" s="17">
        <v>300</v>
      </c>
      <c r="B301" s="37">
        <v>401601</v>
      </c>
      <c r="C301" s="17">
        <v>6</v>
      </c>
      <c r="D301" s="17">
        <v>35</v>
      </c>
      <c r="E301" s="34">
        <v>1</v>
      </c>
      <c r="F301" s="38" t="s">
        <v>139</v>
      </c>
      <c r="G301" s="35">
        <v>0</v>
      </c>
      <c r="H301" s="17">
        <v>3</v>
      </c>
    </row>
    <row r="302" spans="1:8">
      <c r="A302" s="17">
        <v>301</v>
      </c>
      <c r="B302" s="37">
        <v>401701</v>
      </c>
      <c r="C302" s="17">
        <v>6</v>
      </c>
      <c r="D302" s="17">
        <v>35</v>
      </c>
      <c r="E302" s="34">
        <v>1</v>
      </c>
      <c r="F302" s="38" t="s">
        <v>140</v>
      </c>
      <c r="G302" s="35">
        <v>0</v>
      </c>
      <c r="H302" s="17">
        <v>3</v>
      </c>
    </row>
    <row r="303" spans="1:8">
      <c r="A303" s="17">
        <v>302</v>
      </c>
      <c r="B303" s="37">
        <v>501701</v>
      </c>
      <c r="C303" s="17">
        <v>6</v>
      </c>
      <c r="D303" s="17">
        <v>35</v>
      </c>
      <c r="E303" s="34">
        <v>1</v>
      </c>
      <c r="F303" s="38" t="s">
        <v>141</v>
      </c>
      <c r="G303" s="35">
        <v>0</v>
      </c>
      <c r="H303" s="17">
        <v>3</v>
      </c>
    </row>
    <row r="304" spans="1:8" s="13" customFormat="1">
      <c r="A304" s="17">
        <v>303</v>
      </c>
      <c r="B304" s="39">
        <v>401901</v>
      </c>
      <c r="C304" s="39">
        <v>6</v>
      </c>
      <c r="D304" s="13">
        <v>35</v>
      </c>
      <c r="E304" s="39">
        <v>1</v>
      </c>
      <c r="F304" s="13" t="s">
        <v>142</v>
      </c>
      <c r="G304" s="39" t="s">
        <v>188</v>
      </c>
      <c r="H304" s="39">
        <v>3</v>
      </c>
    </row>
    <row r="305" spans="1:8" s="13" customFormat="1">
      <c r="A305" s="17">
        <v>304</v>
      </c>
      <c r="B305" s="39">
        <v>302401</v>
      </c>
      <c r="C305" s="39">
        <v>6</v>
      </c>
      <c r="D305" s="13">
        <v>35</v>
      </c>
      <c r="E305" s="39">
        <v>1</v>
      </c>
      <c r="F305" s="13" t="s">
        <v>143</v>
      </c>
      <c r="G305" s="39" t="s">
        <v>188</v>
      </c>
      <c r="H305" s="39">
        <v>3</v>
      </c>
    </row>
    <row r="306" spans="1:8" s="13" customFormat="1">
      <c r="A306" s="17">
        <v>305</v>
      </c>
      <c r="B306" s="40">
        <v>401801</v>
      </c>
      <c r="C306" s="39">
        <v>6</v>
      </c>
      <c r="D306" s="13">
        <v>35</v>
      </c>
      <c r="E306" s="39">
        <v>1</v>
      </c>
      <c r="F306" s="13" t="s">
        <v>144</v>
      </c>
      <c r="G306" s="39" t="s">
        <v>188</v>
      </c>
      <c r="H306" s="39">
        <v>3</v>
      </c>
    </row>
    <row r="307" spans="1:8" s="13" customFormat="1">
      <c r="A307" s="17">
        <v>306</v>
      </c>
      <c r="B307" s="40">
        <v>501801</v>
      </c>
      <c r="C307" s="39">
        <v>6</v>
      </c>
      <c r="D307" s="13">
        <v>35</v>
      </c>
      <c r="E307" s="39">
        <v>1</v>
      </c>
      <c r="F307" s="13" t="s">
        <v>145</v>
      </c>
      <c r="G307" s="39" t="s">
        <v>188</v>
      </c>
      <c r="H307" s="39">
        <v>3</v>
      </c>
    </row>
    <row r="308" spans="1:8">
      <c r="A308" s="17">
        <v>307</v>
      </c>
      <c r="B308" s="54">
        <v>102201</v>
      </c>
      <c r="C308" s="54">
        <v>252</v>
      </c>
      <c r="D308" s="54">
        <v>4</v>
      </c>
      <c r="E308" s="54">
        <v>1</v>
      </c>
      <c r="F308" s="55" t="s">
        <v>90</v>
      </c>
      <c r="G308" s="54" t="s">
        <v>180</v>
      </c>
      <c r="H308" s="43">
        <v>255</v>
      </c>
    </row>
    <row r="309" spans="1:8">
      <c r="A309" s="17">
        <v>308</v>
      </c>
      <c r="B309" s="54">
        <v>101401</v>
      </c>
      <c r="C309" s="54">
        <v>140</v>
      </c>
      <c r="D309" s="54">
        <v>4</v>
      </c>
      <c r="E309" s="54">
        <v>1</v>
      </c>
      <c r="F309" s="55" t="s">
        <v>91</v>
      </c>
      <c r="G309" s="54" t="s">
        <v>181</v>
      </c>
      <c r="H309" s="43">
        <v>100</v>
      </c>
    </row>
    <row r="310" spans="1:8">
      <c r="A310" s="17">
        <v>309</v>
      </c>
      <c r="B310" s="56">
        <v>101801</v>
      </c>
      <c r="C310" s="54">
        <v>160</v>
      </c>
      <c r="D310" s="54">
        <v>4</v>
      </c>
      <c r="E310" s="54">
        <v>1</v>
      </c>
      <c r="F310" s="55" t="s">
        <v>92</v>
      </c>
      <c r="G310" s="54" t="s">
        <v>182</v>
      </c>
      <c r="H310" s="43">
        <v>100</v>
      </c>
    </row>
    <row r="311" spans="1:8">
      <c r="A311" s="17">
        <v>310</v>
      </c>
      <c r="B311" s="56">
        <v>102001</v>
      </c>
      <c r="C311" s="54">
        <v>15</v>
      </c>
      <c r="D311" s="54">
        <v>4</v>
      </c>
      <c r="E311" s="54">
        <v>1</v>
      </c>
      <c r="F311" s="55" t="s">
        <v>93</v>
      </c>
      <c r="G311" s="54" t="s">
        <v>183</v>
      </c>
      <c r="H311" s="43">
        <v>30</v>
      </c>
    </row>
    <row r="312" spans="1:8">
      <c r="A312" s="17">
        <v>311</v>
      </c>
      <c r="B312" s="56">
        <v>102101</v>
      </c>
      <c r="C312" s="54">
        <v>70</v>
      </c>
      <c r="D312" s="54">
        <v>4</v>
      </c>
      <c r="E312" s="54">
        <v>1</v>
      </c>
      <c r="F312" s="55" t="s">
        <v>94</v>
      </c>
      <c r="G312" s="54" t="s">
        <v>184</v>
      </c>
      <c r="H312" s="43">
        <v>30</v>
      </c>
    </row>
    <row r="313" spans="1:8">
      <c r="A313" s="17">
        <v>312</v>
      </c>
      <c r="B313" s="54">
        <v>101601</v>
      </c>
      <c r="C313" s="54">
        <v>15</v>
      </c>
      <c r="D313" s="54">
        <v>4</v>
      </c>
      <c r="E313" s="54">
        <v>1</v>
      </c>
      <c r="F313" s="55" t="s">
        <v>95</v>
      </c>
      <c r="G313" s="54" t="s">
        <v>185</v>
      </c>
      <c r="H313" s="43">
        <v>100</v>
      </c>
    </row>
    <row r="314" spans="1:8">
      <c r="A314" s="17">
        <v>313</v>
      </c>
      <c r="B314" s="57">
        <v>101501</v>
      </c>
      <c r="C314" s="54">
        <v>253</v>
      </c>
      <c r="D314" s="54">
        <v>4</v>
      </c>
      <c r="E314" s="54">
        <v>1</v>
      </c>
      <c r="F314" s="55" t="s">
        <v>96</v>
      </c>
      <c r="G314" s="54" t="s">
        <v>186</v>
      </c>
      <c r="H314" s="43">
        <v>255</v>
      </c>
    </row>
    <row r="315" spans="1:8">
      <c r="A315" s="17">
        <v>314</v>
      </c>
      <c r="B315" s="57">
        <v>101701</v>
      </c>
      <c r="C315" s="54">
        <v>50</v>
      </c>
      <c r="D315" s="54">
        <v>4</v>
      </c>
      <c r="E315" s="54">
        <v>1</v>
      </c>
      <c r="F315" s="55" t="s">
        <v>97</v>
      </c>
      <c r="G315" s="54" t="s">
        <v>187</v>
      </c>
      <c r="H315" s="43">
        <v>30</v>
      </c>
    </row>
    <row r="316" spans="1:8">
      <c r="A316" s="17">
        <v>315</v>
      </c>
      <c r="B316" s="20">
        <v>102301</v>
      </c>
      <c r="C316" s="45">
        <v>15</v>
      </c>
      <c r="D316" s="54">
        <v>4</v>
      </c>
      <c r="E316" s="23">
        <v>1</v>
      </c>
      <c r="F316" s="24" t="s">
        <v>98</v>
      </c>
      <c r="G316" s="17" t="s">
        <v>188</v>
      </c>
      <c r="H316" s="43">
        <v>30</v>
      </c>
    </row>
    <row r="317" spans="1:8">
      <c r="A317" s="17">
        <v>316</v>
      </c>
      <c r="B317" s="58">
        <v>301401</v>
      </c>
      <c r="C317" s="54">
        <v>15</v>
      </c>
      <c r="D317" s="54">
        <v>4</v>
      </c>
      <c r="E317" s="54">
        <v>1</v>
      </c>
      <c r="F317" s="55" t="s">
        <v>99</v>
      </c>
      <c r="G317" s="54" t="s">
        <v>189</v>
      </c>
      <c r="H317" s="7">
        <v>40</v>
      </c>
    </row>
    <row r="318" spans="1:8">
      <c r="A318" s="17">
        <v>317</v>
      </c>
      <c r="B318" s="54">
        <v>301701</v>
      </c>
      <c r="C318" s="54">
        <v>150</v>
      </c>
      <c r="D318" s="54">
        <v>4</v>
      </c>
      <c r="E318" s="54">
        <v>1</v>
      </c>
      <c r="F318" s="55" t="s">
        <v>100</v>
      </c>
      <c r="G318" s="54" t="s">
        <v>190</v>
      </c>
      <c r="H318" s="7">
        <v>185</v>
      </c>
    </row>
    <row r="319" spans="1:8">
      <c r="A319" s="17">
        <v>318</v>
      </c>
      <c r="B319" s="54">
        <v>301601</v>
      </c>
      <c r="C319" s="54">
        <v>15</v>
      </c>
      <c r="D319" s="54">
        <v>4</v>
      </c>
      <c r="E319" s="54">
        <v>1</v>
      </c>
      <c r="F319" s="55" t="s">
        <v>101</v>
      </c>
      <c r="G319" s="54" t="s">
        <v>191</v>
      </c>
      <c r="H319" s="7">
        <v>15</v>
      </c>
    </row>
    <row r="320" spans="1:8">
      <c r="A320" s="17">
        <v>319</v>
      </c>
      <c r="B320" s="57">
        <v>301801</v>
      </c>
      <c r="C320" s="54">
        <v>257</v>
      </c>
      <c r="D320" s="54">
        <v>4</v>
      </c>
      <c r="E320" s="54">
        <v>1</v>
      </c>
      <c r="F320" s="55" t="s">
        <v>102</v>
      </c>
      <c r="G320" s="54" t="s">
        <v>192</v>
      </c>
      <c r="H320" s="7">
        <v>200</v>
      </c>
    </row>
    <row r="321" spans="1:8">
      <c r="A321" s="17">
        <v>320</v>
      </c>
      <c r="B321" s="57">
        <v>302001</v>
      </c>
      <c r="C321" s="54">
        <v>22</v>
      </c>
      <c r="D321" s="54">
        <v>4</v>
      </c>
      <c r="E321" s="54">
        <v>1</v>
      </c>
      <c r="F321" s="55" t="s">
        <v>103</v>
      </c>
      <c r="G321" s="54" t="s">
        <v>193</v>
      </c>
      <c r="H321" s="7">
        <v>15</v>
      </c>
    </row>
    <row r="322" spans="1:8">
      <c r="A322" s="17">
        <v>321</v>
      </c>
      <c r="B322" s="54">
        <v>302101</v>
      </c>
      <c r="C322" s="54">
        <v>15</v>
      </c>
      <c r="D322" s="54">
        <v>4</v>
      </c>
      <c r="E322" s="54">
        <v>1</v>
      </c>
      <c r="F322" s="55" t="s">
        <v>104</v>
      </c>
      <c r="G322" s="54" t="s">
        <v>194</v>
      </c>
      <c r="H322" s="7">
        <v>160</v>
      </c>
    </row>
    <row r="323" spans="1:8">
      <c r="A323" s="17">
        <v>322</v>
      </c>
      <c r="B323" s="54">
        <v>301901</v>
      </c>
      <c r="C323" s="54">
        <v>265</v>
      </c>
      <c r="D323" s="54">
        <v>4</v>
      </c>
      <c r="E323" s="54">
        <v>1</v>
      </c>
      <c r="F323" s="55" t="s">
        <v>105</v>
      </c>
      <c r="G323" s="54" t="s">
        <v>195</v>
      </c>
      <c r="H323" s="7">
        <v>200</v>
      </c>
    </row>
    <row r="324" spans="1:8">
      <c r="A324" s="17">
        <v>323</v>
      </c>
      <c r="B324" s="54">
        <v>302201</v>
      </c>
      <c r="C324" s="54">
        <v>150</v>
      </c>
      <c r="D324" s="54">
        <v>4</v>
      </c>
      <c r="E324" s="54">
        <v>1</v>
      </c>
      <c r="F324" s="55" t="s">
        <v>106</v>
      </c>
      <c r="G324" s="54" t="s">
        <v>196</v>
      </c>
      <c r="H324" s="7">
        <v>40</v>
      </c>
    </row>
    <row r="325" spans="1:8">
      <c r="A325" s="17">
        <v>324</v>
      </c>
      <c r="B325" s="54">
        <v>301501</v>
      </c>
      <c r="C325" s="54">
        <v>120</v>
      </c>
      <c r="D325" s="54">
        <v>4</v>
      </c>
      <c r="E325" s="54">
        <v>1</v>
      </c>
      <c r="F325" s="55" t="s">
        <v>107</v>
      </c>
      <c r="G325" s="54" t="s">
        <v>197</v>
      </c>
      <c r="H325" s="7">
        <v>40</v>
      </c>
    </row>
    <row r="326" spans="1:8">
      <c r="A326" s="17">
        <v>325</v>
      </c>
      <c r="B326" s="54">
        <v>201401</v>
      </c>
      <c r="C326" s="54">
        <v>220</v>
      </c>
      <c r="D326" s="54">
        <v>4</v>
      </c>
      <c r="E326" s="54">
        <v>1</v>
      </c>
      <c r="F326" s="55" t="s">
        <v>108</v>
      </c>
      <c r="G326" s="54" t="s">
        <v>198</v>
      </c>
      <c r="H326" s="47">
        <v>215</v>
      </c>
    </row>
    <row r="327" spans="1:8">
      <c r="A327" s="17">
        <v>326</v>
      </c>
      <c r="B327" s="54">
        <v>202001</v>
      </c>
      <c r="C327" s="54">
        <v>100</v>
      </c>
      <c r="D327" s="54">
        <v>4</v>
      </c>
      <c r="E327" s="54">
        <v>1</v>
      </c>
      <c r="F327" s="55" t="s">
        <v>109</v>
      </c>
      <c r="G327" s="54" t="s">
        <v>199</v>
      </c>
      <c r="H327" s="47">
        <v>50</v>
      </c>
    </row>
    <row r="328" spans="1:8">
      <c r="A328" s="17">
        <v>327</v>
      </c>
      <c r="B328" s="57">
        <v>201601</v>
      </c>
      <c r="C328" s="54">
        <v>220</v>
      </c>
      <c r="D328" s="54">
        <v>4</v>
      </c>
      <c r="E328" s="54">
        <v>1</v>
      </c>
      <c r="F328" s="55" t="s">
        <v>110</v>
      </c>
      <c r="G328" s="54" t="s">
        <v>200</v>
      </c>
      <c r="H328" s="47">
        <v>215</v>
      </c>
    </row>
    <row r="329" spans="1:8">
      <c r="A329" s="17">
        <v>328</v>
      </c>
      <c r="B329" s="54">
        <v>202101</v>
      </c>
      <c r="C329" s="54">
        <v>60</v>
      </c>
      <c r="D329" s="54">
        <v>4</v>
      </c>
      <c r="E329" s="54">
        <v>1</v>
      </c>
      <c r="F329" s="55" t="s">
        <v>111</v>
      </c>
      <c r="G329" s="54" t="s">
        <v>201</v>
      </c>
      <c r="H329" s="47">
        <v>50</v>
      </c>
    </row>
    <row r="330" spans="1:8">
      <c r="A330" s="17">
        <v>329</v>
      </c>
      <c r="B330" s="54">
        <v>202201</v>
      </c>
      <c r="C330" s="54">
        <v>220</v>
      </c>
      <c r="D330" s="54">
        <v>4</v>
      </c>
      <c r="E330" s="54">
        <v>1</v>
      </c>
      <c r="F330" s="55" t="s">
        <v>112</v>
      </c>
      <c r="G330" s="54" t="s">
        <v>202</v>
      </c>
      <c r="H330" s="47">
        <v>215</v>
      </c>
    </row>
    <row r="331" spans="1:8">
      <c r="A331" s="17">
        <v>330</v>
      </c>
      <c r="B331" s="56">
        <v>201801</v>
      </c>
      <c r="C331" s="54">
        <v>15</v>
      </c>
      <c r="D331" s="54">
        <v>4</v>
      </c>
      <c r="E331" s="54">
        <v>1</v>
      </c>
      <c r="F331" s="55" t="s">
        <v>113</v>
      </c>
      <c r="G331" s="54" t="s">
        <v>203</v>
      </c>
      <c r="H331" s="47">
        <v>15</v>
      </c>
    </row>
    <row r="332" spans="1:8">
      <c r="A332" s="17">
        <v>331</v>
      </c>
      <c r="B332" s="54">
        <v>201701</v>
      </c>
      <c r="C332" s="54">
        <v>80</v>
      </c>
      <c r="D332" s="54">
        <v>4</v>
      </c>
      <c r="E332" s="54">
        <v>1</v>
      </c>
      <c r="F332" s="55" t="s">
        <v>114</v>
      </c>
      <c r="G332" s="54" t="s">
        <v>204</v>
      </c>
      <c r="H332" s="47">
        <v>50</v>
      </c>
    </row>
    <row r="333" spans="1:8">
      <c r="A333" s="17">
        <v>332</v>
      </c>
      <c r="B333" s="56">
        <v>201501</v>
      </c>
      <c r="C333" s="54">
        <v>130</v>
      </c>
      <c r="D333" s="54">
        <v>4</v>
      </c>
      <c r="E333" s="54">
        <v>1</v>
      </c>
      <c r="F333" s="55" t="s">
        <v>115</v>
      </c>
      <c r="G333" s="54" t="s">
        <v>205</v>
      </c>
      <c r="H333" s="47">
        <v>190</v>
      </c>
    </row>
    <row r="334" spans="1:8">
      <c r="A334" s="17">
        <v>333</v>
      </c>
      <c r="B334" s="54">
        <v>202401</v>
      </c>
      <c r="C334" s="54">
        <v>70</v>
      </c>
      <c r="D334" s="54">
        <v>4</v>
      </c>
      <c r="E334" s="54">
        <v>1</v>
      </c>
      <c r="F334" s="59" t="s">
        <v>116</v>
      </c>
      <c r="G334" s="54" t="s">
        <v>206</v>
      </c>
      <c r="H334" s="47">
        <v>50</v>
      </c>
    </row>
    <row r="335" spans="1:8">
      <c r="A335" s="17">
        <v>334</v>
      </c>
      <c r="B335" s="54">
        <v>202301</v>
      </c>
      <c r="C335" s="54">
        <v>60</v>
      </c>
      <c r="D335" s="54">
        <v>4</v>
      </c>
      <c r="E335" s="54">
        <v>1</v>
      </c>
      <c r="F335" s="59" t="s">
        <v>117</v>
      </c>
      <c r="G335" s="54" t="s">
        <v>188</v>
      </c>
      <c r="H335" s="47">
        <v>15</v>
      </c>
    </row>
    <row r="336" spans="1:8">
      <c r="A336" s="17">
        <v>335</v>
      </c>
      <c r="B336" s="54">
        <v>100901</v>
      </c>
      <c r="C336" s="54">
        <v>600</v>
      </c>
      <c r="D336" s="54">
        <v>4</v>
      </c>
      <c r="E336" s="54">
        <v>1</v>
      </c>
      <c r="F336" s="60" t="s">
        <v>75</v>
      </c>
      <c r="G336" s="54" t="s">
        <v>165</v>
      </c>
      <c r="H336" s="17">
        <v>600</v>
      </c>
    </row>
    <row r="337" spans="1:8">
      <c r="A337" s="17">
        <v>336</v>
      </c>
      <c r="B337" s="54">
        <v>101301</v>
      </c>
      <c r="C337" s="54">
        <v>600</v>
      </c>
      <c r="D337" s="54">
        <v>4</v>
      </c>
      <c r="E337" s="54">
        <v>1</v>
      </c>
      <c r="F337" s="60" t="s">
        <v>76</v>
      </c>
      <c r="G337" s="54" t="s">
        <v>166</v>
      </c>
      <c r="H337" s="17">
        <v>600</v>
      </c>
    </row>
    <row r="338" spans="1:8">
      <c r="A338" s="17">
        <v>337</v>
      </c>
      <c r="B338" s="54">
        <v>500401</v>
      </c>
      <c r="C338" s="54">
        <v>350</v>
      </c>
      <c r="D338" s="54">
        <v>4</v>
      </c>
      <c r="E338" s="54">
        <v>1</v>
      </c>
      <c r="F338" s="60" t="s">
        <v>77</v>
      </c>
      <c r="G338" s="54" t="s">
        <v>167</v>
      </c>
      <c r="H338" s="17">
        <v>250</v>
      </c>
    </row>
    <row r="339" spans="1:8">
      <c r="A339" s="17">
        <v>338</v>
      </c>
      <c r="B339" s="54">
        <v>500501</v>
      </c>
      <c r="C339" s="54">
        <v>350</v>
      </c>
      <c r="D339" s="54">
        <v>4</v>
      </c>
      <c r="E339" s="54">
        <v>1</v>
      </c>
      <c r="F339" s="60" t="s">
        <v>78</v>
      </c>
      <c r="G339" s="54" t="s">
        <v>168</v>
      </c>
      <c r="H339" s="17">
        <v>250</v>
      </c>
    </row>
    <row r="340" spans="1:8">
      <c r="A340" s="17">
        <v>339</v>
      </c>
      <c r="B340" s="54">
        <v>201101</v>
      </c>
      <c r="C340" s="54">
        <v>600</v>
      </c>
      <c r="D340" s="54">
        <v>4</v>
      </c>
      <c r="E340" s="54">
        <v>1</v>
      </c>
      <c r="F340" s="60" t="s">
        <v>79</v>
      </c>
      <c r="G340" s="54" t="s">
        <v>169</v>
      </c>
      <c r="H340" s="17">
        <v>600</v>
      </c>
    </row>
    <row r="341" spans="1:8">
      <c r="A341" s="17">
        <v>340</v>
      </c>
      <c r="B341" s="54">
        <v>301001</v>
      </c>
      <c r="C341" s="54">
        <v>600</v>
      </c>
      <c r="D341" s="54">
        <v>4</v>
      </c>
      <c r="E341" s="54">
        <v>1</v>
      </c>
      <c r="F341" s="60" t="s">
        <v>80</v>
      </c>
      <c r="G341" s="54" t="s">
        <v>170</v>
      </c>
      <c r="H341" s="17">
        <v>600</v>
      </c>
    </row>
    <row r="342" spans="1:8">
      <c r="A342" s="17">
        <v>341</v>
      </c>
      <c r="B342" s="54">
        <v>400501</v>
      </c>
      <c r="C342" s="54">
        <v>350</v>
      </c>
      <c r="D342" s="54">
        <v>4</v>
      </c>
      <c r="E342" s="54">
        <v>1</v>
      </c>
      <c r="F342" s="60" t="s">
        <v>81</v>
      </c>
      <c r="G342" s="54" t="s">
        <v>171</v>
      </c>
      <c r="H342" s="17">
        <v>250</v>
      </c>
    </row>
    <row r="343" spans="1:8">
      <c r="A343" s="17">
        <v>342</v>
      </c>
      <c r="B343" s="54">
        <v>200901</v>
      </c>
      <c r="C343" s="54">
        <v>600</v>
      </c>
      <c r="D343" s="54">
        <v>4</v>
      </c>
      <c r="E343" s="54">
        <v>1</v>
      </c>
      <c r="F343" s="60" t="s">
        <v>82</v>
      </c>
      <c r="G343" s="54" t="s">
        <v>172</v>
      </c>
      <c r="H343" s="17">
        <v>600</v>
      </c>
    </row>
    <row r="344" spans="1:8">
      <c r="A344" s="17">
        <v>343</v>
      </c>
      <c r="B344" s="54">
        <v>201301</v>
      </c>
      <c r="C344" s="54">
        <v>600</v>
      </c>
      <c r="D344" s="54">
        <v>4</v>
      </c>
      <c r="E344" s="54">
        <v>1</v>
      </c>
      <c r="F344" s="60" t="s">
        <v>60</v>
      </c>
      <c r="G344" s="54" t="s">
        <v>150</v>
      </c>
      <c r="H344" s="17">
        <v>600</v>
      </c>
    </row>
    <row r="345" spans="1:8">
      <c r="A345" s="17">
        <v>344</v>
      </c>
      <c r="B345" s="54">
        <v>500301</v>
      </c>
      <c r="C345" s="54">
        <v>350</v>
      </c>
      <c r="D345" s="54">
        <v>4</v>
      </c>
      <c r="E345" s="54">
        <v>1</v>
      </c>
      <c r="F345" s="60" t="s">
        <v>83</v>
      </c>
      <c r="G345" s="54" t="s">
        <v>173</v>
      </c>
      <c r="H345" s="17">
        <v>250</v>
      </c>
    </row>
    <row r="346" spans="1:8">
      <c r="A346" s="17">
        <v>345</v>
      </c>
      <c r="B346" s="54">
        <v>400301</v>
      </c>
      <c r="C346" s="54">
        <v>350</v>
      </c>
      <c r="D346" s="54">
        <v>4</v>
      </c>
      <c r="E346" s="54">
        <v>1</v>
      </c>
      <c r="F346" s="60" t="s">
        <v>84</v>
      </c>
      <c r="G346" s="54" t="s">
        <v>174</v>
      </c>
      <c r="H346" s="17">
        <v>250</v>
      </c>
    </row>
    <row r="347" spans="1:8">
      <c r="A347" s="17">
        <v>346</v>
      </c>
      <c r="B347" s="54">
        <v>301201</v>
      </c>
      <c r="C347" s="54">
        <v>600</v>
      </c>
      <c r="D347" s="54">
        <v>4</v>
      </c>
      <c r="E347" s="54">
        <v>1</v>
      </c>
      <c r="F347" s="60" t="s">
        <v>85</v>
      </c>
      <c r="G347" s="54" t="s">
        <v>175</v>
      </c>
      <c r="H347" s="17">
        <v>600</v>
      </c>
    </row>
    <row r="348" spans="1:8">
      <c r="A348" s="17">
        <v>347</v>
      </c>
      <c r="B348" s="54">
        <v>400401</v>
      </c>
      <c r="C348" s="54">
        <v>350</v>
      </c>
      <c r="D348" s="54">
        <v>4</v>
      </c>
      <c r="E348" s="54">
        <v>1</v>
      </c>
      <c r="F348" s="60" t="s">
        <v>86</v>
      </c>
      <c r="G348" s="54" t="s">
        <v>176</v>
      </c>
      <c r="H348" s="17">
        <v>250</v>
      </c>
    </row>
    <row r="349" spans="1:8">
      <c r="A349" s="17">
        <v>348</v>
      </c>
      <c r="B349" s="57">
        <v>101101</v>
      </c>
      <c r="C349" s="54">
        <v>600</v>
      </c>
      <c r="D349" s="54">
        <v>4</v>
      </c>
      <c r="E349" s="54">
        <v>1</v>
      </c>
      <c r="F349" s="60" t="s">
        <v>87</v>
      </c>
      <c r="G349" s="54" t="s">
        <v>177</v>
      </c>
      <c r="H349" s="17">
        <v>600</v>
      </c>
    </row>
    <row r="350" spans="1:8">
      <c r="A350" s="17">
        <v>349</v>
      </c>
      <c r="B350" s="57">
        <v>101201</v>
      </c>
      <c r="C350" s="54">
        <v>600</v>
      </c>
      <c r="D350" s="54">
        <v>4</v>
      </c>
      <c r="E350" s="54">
        <v>1</v>
      </c>
      <c r="F350" s="60" t="s">
        <v>88</v>
      </c>
      <c r="G350" s="54" t="s">
        <v>178</v>
      </c>
      <c r="H350" s="17">
        <v>600</v>
      </c>
    </row>
    <row r="351" spans="1:8">
      <c r="A351" s="17">
        <v>350</v>
      </c>
      <c r="B351" s="54">
        <v>301101</v>
      </c>
      <c r="C351" s="54">
        <v>600</v>
      </c>
      <c r="D351" s="54">
        <v>4</v>
      </c>
      <c r="E351" s="54">
        <v>1</v>
      </c>
      <c r="F351" s="60" t="s">
        <v>89</v>
      </c>
      <c r="G351" s="54" t="s">
        <v>179</v>
      </c>
      <c r="H351" s="17">
        <v>600</v>
      </c>
    </row>
    <row r="352" spans="1:8">
      <c r="A352" s="17">
        <v>351</v>
      </c>
      <c r="B352" s="17">
        <v>300701</v>
      </c>
      <c r="C352" s="17">
        <v>1000</v>
      </c>
      <c r="D352" s="17">
        <v>5</v>
      </c>
      <c r="E352" s="17">
        <v>1</v>
      </c>
      <c r="F352" s="16" t="s">
        <v>67</v>
      </c>
      <c r="G352" s="17" t="s">
        <v>157</v>
      </c>
      <c r="H352" s="17">
        <v>1000</v>
      </c>
    </row>
    <row r="353" spans="1:8">
      <c r="A353" s="17">
        <v>352</v>
      </c>
      <c r="B353" s="17">
        <v>200801</v>
      </c>
      <c r="C353" s="17">
        <v>1000</v>
      </c>
      <c r="D353" s="17">
        <v>5</v>
      </c>
      <c r="E353" s="17">
        <v>1</v>
      </c>
      <c r="F353" s="16" t="s">
        <v>68</v>
      </c>
      <c r="G353" s="17" t="s">
        <v>158</v>
      </c>
      <c r="H353" s="17">
        <v>1000</v>
      </c>
    </row>
    <row r="354" spans="1:8">
      <c r="A354" s="17">
        <v>353</v>
      </c>
      <c r="B354" s="17">
        <v>100601</v>
      </c>
      <c r="C354" s="17">
        <v>1000</v>
      </c>
      <c r="D354" s="17">
        <v>5</v>
      </c>
      <c r="E354" s="17">
        <v>1</v>
      </c>
      <c r="F354" s="16" t="s">
        <v>69</v>
      </c>
      <c r="G354" s="17" t="s">
        <v>159</v>
      </c>
      <c r="H354" s="17">
        <v>1000</v>
      </c>
    </row>
    <row r="355" spans="1:8">
      <c r="A355" s="17">
        <v>354</v>
      </c>
      <c r="B355" s="17">
        <v>300401</v>
      </c>
      <c r="C355" s="17">
        <v>1000</v>
      </c>
      <c r="D355" s="17">
        <v>5</v>
      </c>
      <c r="E355" s="17">
        <v>1</v>
      </c>
      <c r="F355" s="16" t="s">
        <v>70</v>
      </c>
      <c r="G355" s="17" t="s">
        <v>160</v>
      </c>
      <c r="H355" s="17">
        <v>1000</v>
      </c>
    </row>
    <row r="356" spans="1:8">
      <c r="A356" s="17">
        <v>355</v>
      </c>
      <c r="B356" s="17">
        <v>100801</v>
      </c>
      <c r="C356" s="17">
        <v>1000</v>
      </c>
      <c r="D356" s="17">
        <v>5</v>
      </c>
      <c r="E356" s="17">
        <v>1</v>
      </c>
      <c r="F356" s="16" t="s">
        <v>71</v>
      </c>
      <c r="G356" s="17" t="s">
        <v>161</v>
      </c>
      <c r="H356" s="17">
        <v>1000</v>
      </c>
    </row>
    <row r="357" spans="1:8">
      <c r="A357" s="17">
        <v>356</v>
      </c>
      <c r="B357" s="17">
        <v>500101</v>
      </c>
      <c r="C357" s="17">
        <v>1000</v>
      </c>
      <c r="D357" s="17">
        <v>5</v>
      </c>
      <c r="E357" s="17">
        <v>1</v>
      </c>
      <c r="F357" s="16" t="s">
        <v>72</v>
      </c>
      <c r="G357" s="17" t="s">
        <v>162</v>
      </c>
      <c r="H357" s="17">
        <v>1000</v>
      </c>
    </row>
    <row r="358" spans="1:8">
      <c r="A358" s="17">
        <v>357</v>
      </c>
      <c r="B358" s="17">
        <v>400101</v>
      </c>
      <c r="C358" s="17">
        <v>1000</v>
      </c>
      <c r="D358" s="17">
        <v>5</v>
      </c>
      <c r="E358" s="17">
        <v>1</v>
      </c>
      <c r="F358" s="16" t="s">
        <v>73</v>
      </c>
      <c r="G358" s="17" t="s">
        <v>163</v>
      </c>
      <c r="H358" s="17">
        <v>1000</v>
      </c>
    </row>
    <row r="359" spans="1:8">
      <c r="A359" s="17">
        <v>358</v>
      </c>
      <c r="B359" s="19">
        <v>200501</v>
      </c>
      <c r="C359" s="17">
        <v>1000</v>
      </c>
      <c r="D359" s="17">
        <v>5</v>
      </c>
      <c r="E359" s="17">
        <v>1</v>
      </c>
      <c r="F359" s="16" t="s">
        <v>74</v>
      </c>
      <c r="G359" s="17" t="s">
        <v>164</v>
      </c>
      <c r="H359" s="17">
        <v>1000</v>
      </c>
    </row>
    <row r="360" spans="1:8">
      <c r="A360" s="17">
        <v>359</v>
      </c>
      <c r="B360" s="1">
        <v>102201</v>
      </c>
      <c r="C360" s="17">
        <v>40</v>
      </c>
      <c r="D360" s="17">
        <v>5</v>
      </c>
      <c r="E360" s="17">
        <v>1</v>
      </c>
      <c r="F360" s="16" t="s">
        <v>90</v>
      </c>
      <c r="G360" s="17" t="s">
        <v>180</v>
      </c>
      <c r="H360" s="17">
        <v>40</v>
      </c>
    </row>
    <row r="361" spans="1:8">
      <c r="A361" s="17">
        <v>360</v>
      </c>
      <c r="B361" s="20">
        <v>101501</v>
      </c>
      <c r="C361" s="17">
        <v>40</v>
      </c>
      <c r="D361" s="17">
        <v>5</v>
      </c>
      <c r="E361" s="17">
        <v>1</v>
      </c>
      <c r="F361" s="16" t="s">
        <v>96</v>
      </c>
      <c r="G361" s="17" t="s">
        <v>186</v>
      </c>
      <c r="H361" s="17">
        <v>40</v>
      </c>
    </row>
    <row r="362" spans="1:8">
      <c r="A362" s="17">
        <v>361</v>
      </c>
      <c r="B362" s="20">
        <v>301801</v>
      </c>
      <c r="C362" s="17">
        <v>40</v>
      </c>
      <c r="D362" s="17">
        <v>5</v>
      </c>
      <c r="E362" s="17">
        <v>1</v>
      </c>
      <c r="F362" s="16" t="s">
        <v>102</v>
      </c>
      <c r="G362" s="17" t="s">
        <v>192</v>
      </c>
      <c r="H362" s="17">
        <v>40</v>
      </c>
    </row>
    <row r="363" spans="1:8">
      <c r="A363" s="17">
        <v>362</v>
      </c>
      <c r="B363" s="1">
        <v>301901</v>
      </c>
      <c r="C363" s="17">
        <v>40</v>
      </c>
      <c r="D363" s="17">
        <v>5</v>
      </c>
      <c r="E363" s="17">
        <v>1</v>
      </c>
      <c r="F363" s="16" t="s">
        <v>105</v>
      </c>
      <c r="G363" s="17" t="s">
        <v>195</v>
      </c>
      <c r="H363" s="17">
        <v>40</v>
      </c>
    </row>
    <row r="364" spans="1:8">
      <c r="A364" s="17">
        <v>363</v>
      </c>
      <c r="B364" s="17">
        <v>201401</v>
      </c>
      <c r="C364" s="17">
        <v>40</v>
      </c>
      <c r="D364" s="17">
        <v>5</v>
      </c>
      <c r="E364" s="17">
        <v>1</v>
      </c>
      <c r="F364" s="16" t="s">
        <v>108</v>
      </c>
      <c r="G364" s="17" t="s">
        <v>198</v>
      </c>
      <c r="H364" s="17">
        <v>40</v>
      </c>
    </row>
    <row r="365" spans="1:8">
      <c r="A365" s="17">
        <v>364</v>
      </c>
      <c r="B365" s="17">
        <v>202201</v>
      </c>
      <c r="C365" s="17">
        <v>40</v>
      </c>
      <c r="D365" s="17">
        <v>5</v>
      </c>
      <c r="E365" s="17">
        <v>1</v>
      </c>
      <c r="F365" s="16" t="s">
        <v>112</v>
      </c>
      <c r="G365" s="17" t="s">
        <v>202</v>
      </c>
      <c r="H365" s="17">
        <v>40</v>
      </c>
    </row>
    <row r="366" spans="1:8">
      <c r="A366" s="17">
        <v>365</v>
      </c>
      <c r="B366" s="1">
        <v>100901</v>
      </c>
      <c r="C366" s="17">
        <v>120</v>
      </c>
      <c r="D366" s="17">
        <v>5</v>
      </c>
      <c r="E366" s="17">
        <v>1</v>
      </c>
      <c r="F366" s="16" t="s">
        <v>75</v>
      </c>
      <c r="G366" s="17" t="s">
        <v>165</v>
      </c>
      <c r="H366" s="17">
        <v>120</v>
      </c>
    </row>
    <row r="367" spans="1:8">
      <c r="A367" s="17">
        <v>366</v>
      </c>
      <c r="B367" s="1">
        <v>101301</v>
      </c>
      <c r="C367" s="17">
        <v>120</v>
      </c>
      <c r="D367" s="17">
        <v>5</v>
      </c>
      <c r="E367" s="17">
        <v>1</v>
      </c>
      <c r="F367" s="16" t="s">
        <v>76</v>
      </c>
      <c r="G367" s="17" t="s">
        <v>166</v>
      </c>
      <c r="H367" s="17">
        <v>120</v>
      </c>
    </row>
    <row r="368" spans="1:8">
      <c r="A368" s="17">
        <v>367</v>
      </c>
      <c r="B368" s="1">
        <v>500401</v>
      </c>
      <c r="C368" s="17">
        <v>115</v>
      </c>
      <c r="D368" s="17">
        <v>5</v>
      </c>
      <c r="E368" s="17">
        <v>1</v>
      </c>
      <c r="F368" s="16" t="s">
        <v>77</v>
      </c>
      <c r="G368" s="17" t="s">
        <v>167</v>
      </c>
      <c r="H368" s="17">
        <v>115</v>
      </c>
    </row>
    <row r="369" spans="1:8">
      <c r="A369" s="17">
        <v>368</v>
      </c>
      <c r="B369" s="1">
        <v>500501</v>
      </c>
      <c r="C369" s="17">
        <v>115</v>
      </c>
      <c r="D369" s="17">
        <v>5</v>
      </c>
      <c r="E369" s="17">
        <v>1</v>
      </c>
      <c r="F369" s="16" t="s">
        <v>78</v>
      </c>
      <c r="G369" s="17" t="s">
        <v>168</v>
      </c>
      <c r="H369" s="17">
        <v>115</v>
      </c>
    </row>
    <row r="370" spans="1:8">
      <c r="A370" s="17">
        <v>369</v>
      </c>
      <c r="B370" s="17">
        <v>201101</v>
      </c>
      <c r="C370" s="17">
        <v>120</v>
      </c>
      <c r="D370" s="17">
        <v>5</v>
      </c>
      <c r="E370" s="17">
        <v>1</v>
      </c>
      <c r="F370" s="16" t="s">
        <v>79</v>
      </c>
      <c r="G370" s="17" t="s">
        <v>169</v>
      </c>
      <c r="H370" s="17">
        <v>120</v>
      </c>
    </row>
    <row r="371" spans="1:8">
      <c r="A371" s="17">
        <v>370</v>
      </c>
      <c r="B371" s="17">
        <v>301001</v>
      </c>
      <c r="C371" s="17">
        <v>115</v>
      </c>
      <c r="D371" s="17">
        <v>5</v>
      </c>
      <c r="E371" s="17">
        <v>1</v>
      </c>
      <c r="F371" s="16" t="s">
        <v>80</v>
      </c>
      <c r="G371" s="17" t="s">
        <v>170</v>
      </c>
      <c r="H371" s="17">
        <v>115</v>
      </c>
    </row>
    <row r="372" spans="1:8">
      <c r="A372" s="17">
        <v>371</v>
      </c>
      <c r="B372" s="17">
        <v>400501</v>
      </c>
      <c r="C372" s="17">
        <v>115</v>
      </c>
      <c r="D372" s="17">
        <v>5</v>
      </c>
      <c r="E372" s="17">
        <v>1</v>
      </c>
      <c r="F372" s="16" t="s">
        <v>81</v>
      </c>
      <c r="G372" s="17" t="s">
        <v>171</v>
      </c>
      <c r="H372" s="17">
        <v>115</v>
      </c>
    </row>
    <row r="373" spans="1:8">
      <c r="A373" s="17">
        <v>372</v>
      </c>
      <c r="B373" s="1">
        <v>200901</v>
      </c>
      <c r="C373" s="17">
        <v>120</v>
      </c>
      <c r="D373" s="17">
        <v>5</v>
      </c>
      <c r="E373" s="17">
        <v>1</v>
      </c>
      <c r="F373" s="16" t="s">
        <v>82</v>
      </c>
      <c r="G373" s="17" t="s">
        <v>172</v>
      </c>
      <c r="H373" s="17">
        <v>120</v>
      </c>
    </row>
    <row r="374" spans="1:8">
      <c r="A374" s="17">
        <v>373</v>
      </c>
      <c r="B374" s="1">
        <v>201301</v>
      </c>
      <c r="C374" s="17">
        <v>120</v>
      </c>
      <c r="D374" s="17">
        <v>5</v>
      </c>
      <c r="E374" s="17">
        <v>1</v>
      </c>
      <c r="F374" s="16" t="s">
        <v>60</v>
      </c>
      <c r="G374" s="17" t="s">
        <v>150</v>
      </c>
      <c r="H374" s="17">
        <v>120</v>
      </c>
    </row>
    <row r="375" spans="1:8">
      <c r="A375" s="17">
        <v>374</v>
      </c>
      <c r="B375" s="17">
        <v>500301</v>
      </c>
      <c r="C375" s="17">
        <v>115</v>
      </c>
      <c r="D375" s="17">
        <v>5</v>
      </c>
      <c r="E375" s="17">
        <v>1</v>
      </c>
      <c r="F375" s="16" t="s">
        <v>83</v>
      </c>
      <c r="G375" s="17" t="s">
        <v>173</v>
      </c>
      <c r="H375" s="17">
        <v>115</v>
      </c>
    </row>
    <row r="376" spans="1:8">
      <c r="A376" s="17">
        <v>375</v>
      </c>
      <c r="B376" s="17">
        <v>400301</v>
      </c>
      <c r="C376" s="17">
        <v>115</v>
      </c>
      <c r="D376" s="17">
        <v>5</v>
      </c>
      <c r="E376" s="17">
        <v>1</v>
      </c>
      <c r="F376" s="16" t="s">
        <v>84</v>
      </c>
      <c r="G376" s="17" t="s">
        <v>174</v>
      </c>
      <c r="H376" s="17">
        <v>115</v>
      </c>
    </row>
    <row r="377" spans="1:8">
      <c r="A377" s="17">
        <v>376</v>
      </c>
      <c r="B377" s="17">
        <v>301201</v>
      </c>
      <c r="C377" s="17">
        <v>115</v>
      </c>
      <c r="D377" s="17">
        <v>5</v>
      </c>
      <c r="E377" s="17">
        <v>1</v>
      </c>
      <c r="F377" s="16" t="s">
        <v>85</v>
      </c>
      <c r="G377" s="17" t="s">
        <v>175</v>
      </c>
      <c r="H377" s="17">
        <v>115</v>
      </c>
    </row>
    <row r="378" spans="1:8">
      <c r="A378" s="17">
        <v>377</v>
      </c>
      <c r="B378" s="17">
        <v>400401</v>
      </c>
      <c r="C378" s="17">
        <v>115</v>
      </c>
      <c r="D378" s="17">
        <v>5</v>
      </c>
      <c r="E378" s="17">
        <v>1</v>
      </c>
      <c r="F378" s="16" t="s">
        <v>86</v>
      </c>
      <c r="G378" s="17" t="s">
        <v>176</v>
      </c>
      <c r="H378" s="17">
        <v>115</v>
      </c>
    </row>
    <row r="379" spans="1:8">
      <c r="A379" s="17">
        <v>378</v>
      </c>
      <c r="B379" s="20">
        <v>101101</v>
      </c>
      <c r="C379" s="17">
        <v>120</v>
      </c>
      <c r="D379" s="17">
        <v>5</v>
      </c>
      <c r="E379" s="17">
        <v>1</v>
      </c>
      <c r="F379" s="16" t="s">
        <v>87</v>
      </c>
      <c r="G379" s="17" t="s">
        <v>177</v>
      </c>
      <c r="H379" s="17">
        <v>120</v>
      </c>
    </row>
    <row r="380" spans="1:8">
      <c r="A380" s="17">
        <v>379</v>
      </c>
      <c r="B380" s="20">
        <v>101201</v>
      </c>
      <c r="C380" s="17">
        <v>120</v>
      </c>
      <c r="D380" s="17">
        <v>5</v>
      </c>
      <c r="E380" s="17">
        <v>1</v>
      </c>
      <c r="F380" s="16" t="s">
        <v>88</v>
      </c>
      <c r="G380" s="17" t="s">
        <v>178</v>
      </c>
      <c r="H380" s="17">
        <v>120</v>
      </c>
    </row>
    <row r="381" spans="1:8">
      <c r="A381" s="17">
        <v>380</v>
      </c>
      <c r="B381" s="1">
        <v>100901</v>
      </c>
      <c r="C381" s="17">
        <v>600</v>
      </c>
      <c r="D381" s="17">
        <v>98</v>
      </c>
      <c r="E381" s="17">
        <v>1</v>
      </c>
      <c r="F381" s="16" t="s">
        <v>75</v>
      </c>
      <c r="G381" s="17" t="s">
        <v>165</v>
      </c>
      <c r="H381" s="17">
        <v>600</v>
      </c>
    </row>
    <row r="382" spans="1:8">
      <c r="A382" s="17">
        <v>381</v>
      </c>
      <c r="B382" s="1">
        <v>101301</v>
      </c>
      <c r="C382" s="17">
        <v>600</v>
      </c>
      <c r="D382" s="17">
        <v>98</v>
      </c>
      <c r="E382" s="17">
        <v>1</v>
      </c>
      <c r="F382" s="16" t="s">
        <v>76</v>
      </c>
      <c r="G382" s="17" t="s">
        <v>166</v>
      </c>
      <c r="H382" s="17">
        <v>600</v>
      </c>
    </row>
    <row r="383" spans="1:8">
      <c r="A383" s="17">
        <v>382</v>
      </c>
      <c r="B383" s="1">
        <v>500401</v>
      </c>
      <c r="C383" s="17">
        <v>250</v>
      </c>
      <c r="D383" s="17">
        <v>98</v>
      </c>
      <c r="E383" s="17">
        <v>1</v>
      </c>
      <c r="F383" s="16" t="s">
        <v>77</v>
      </c>
      <c r="G383" s="17" t="s">
        <v>167</v>
      </c>
      <c r="H383" s="17">
        <v>250</v>
      </c>
    </row>
    <row r="384" spans="1:8">
      <c r="A384" s="17">
        <v>383</v>
      </c>
      <c r="B384" s="1">
        <v>500501</v>
      </c>
      <c r="C384" s="17">
        <v>250</v>
      </c>
      <c r="D384" s="17">
        <v>98</v>
      </c>
      <c r="E384" s="17">
        <v>1</v>
      </c>
      <c r="F384" s="16" t="s">
        <v>78</v>
      </c>
      <c r="G384" s="17" t="s">
        <v>168</v>
      </c>
      <c r="H384" s="17">
        <v>250</v>
      </c>
    </row>
    <row r="385" spans="1:8">
      <c r="A385" s="17">
        <v>384</v>
      </c>
      <c r="B385" s="17">
        <v>201101</v>
      </c>
      <c r="C385" s="17">
        <v>600</v>
      </c>
      <c r="D385" s="17">
        <v>98</v>
      </c>
      <c r="E385" s="17">
        <v>1</v>
      </c>
      <c r="F385" s="16" t="s">
        <v>79</v>
      </c>
      <c r="G385" s="17" t="s">
        <v>169</v>
      </c>
      <c r="H385" s="17">
        <v>600</v>
      </c>
    </row>
    <row r="386" spans="1:8">
      <c r="A386" s="17">
        <v>385</v>
      </c>
      <c r="B386" s="17">
        <v>301001</v>
      </c>
      <c r="C386" s="17">
        <v>600</v>
      </c>
      <c r="D386" s="17">
        <v>98</v>
      </c>
      <c r="E386" s="17">
        <v>1</v>
      </c>
      <c r="F386" s="16" t="s">
        <v>80</v>
      </c>
      <c r="G386" s="17" t="s">
        <v>170</v>
      </c>
      <c r="H386" s="17">
        <v>600</v>
      </c>
    </row>
    <row r="387" spans="1:8">
      <c r="A387" s="17">
        <v>386</v>
      </c>
      <c r="B387" s="17">
        <v>400501</v>
      </c>
      <c r="C387" s="17">
        <v>250</v>
      </c>
      <c r="D387" s="17">
        <v>98</v>
      </c>
      <c r="E387" s="17">
        <v>1</v>
      </c>
      <c r="F387" s="16" t="s">
        <v>81</v>
      </c>
      <c r="G387" s="17" t="s">
        <v>171</v>
      </c>
      <c r="H387" s="17">
        <v>250</v>
      </c>
    </row>
    <row r="388" spans="1:8">
      <c r="A388" s="17">
        <v>387</v>
      </c>
      <c r="B388" s="1">
        <v>200901</v>
      </c>
      <c r="C388" s="17">
        <v>600</v>
      </c>
      <c r="D388" s="17">
        <v>98</v>
      </c>
      <c r="E388" s="17">
        <v>1</v>
      </c>
      <c r="F388" s="16" t="s">
        <v>82</v>
      </c>
      <c r="G388" s="17" t="s">
        <v>172</v>
      </c>
      <c r="H388" s="17">
        <v>600</v>
      </c>
    </row>
    <row r="389" spans="1:8">
      <c r="A389" s="17">
        <v>388</v>
      </c>
      <c r="B389" s="1">
        <v>201301</v>
      </c>
      <c r="C389" s="17">
        <v>600</v>
      </c>
      <c r="D389" s="17">
        <v>98</v>
      </c>
      <c r="E389" s="17">
        <v>1</v>
      </c>
      <c r="F389" s="16" t="s">
        <v>60</v>
      </c>
      <c r="G389" s="17" t="s">
        <v>150</v>
      </c>
      <c r="H389" s="17">
        <v>600</v>
      </c>
    </row>
    <row r="390" spans="1:8">
      <c r="A390" s="17">
        <v>389</v>
      </c>
      <c r="B390" s="17">
        <v>500301</v>
      </c>
      <c r="C390" s="17">
        <v>250</v>
      </c>
      <c r="D390" s="17">
        <v>98</v>
      </c>
      <c r="E390" s="17">
        <v>1</v>
      </c>
      <c r="F390" s="16" t="s">
        <v>83</v>
      </c>
      <c r="G390" s="17" t="s">
        <v>173</v>
      </c>
      <c r="H390" s="17">
        <v>250</v>
      </c>
    </row>
    <row r="391" spans="1:8">
      <c r="A391" s="17">
        <v>390</v>
      </c>
      <c r="B391" s="17">
        <v>400301</v>
      </c>
      <c r="C391" s="17">
        <v>250</v>
      </c>
      <c r="D391" s="17">
        <v>98</v>
      </c>
      <c r="E391" s="17">
        <v>1</v>
      </c>
      <c r="F391" s="16" t="s">
        <v>84</v>
      </c>
      <c r="G391" s="17" t="s">
        <v>174</v>
      </c>
      <c r="H391" s="17">
        <v>250</v>
      </c>
    </row>
    <row r="392" spans="1:8">
      <c r="A392" s="17">
        <v>391</v>
      </c>
      <c r="B392" s="17">
        <v>301201</v>
      </c>
      <c r="C392" s="17">
        <v>600</v>
      </c>
      <c r="D392" s="17">
        <v>98</v>
      </c>
      <c r="E392" s="17">
        <v>1</v>
      </c>
      <c r="F392" s="16" t="s">
        <v>85</v>
      </c>
      <c r="G392" s="17" t="s">
        <v>175</v>
      </c>
      <c r="H392" s="17">
        <v>600</v>
      </c>
    </row>
    <row r="393" spans="1:8">
      <c r="A393" s="17">
        <v>392</v>
      </c>
      <c r="B393" s="17">
        <v>400401</v>
      </c>
      <c r="C393" s="17">
        <v>250</v>
      </c>
      <c r="D393" s="17">
        <v>98</v>
      </c>
      <c r="E393" s="17">
        <v>1</v>
      </c>
      <c r="F393" s="16" t="s">
        <v>86</v>
      </c>
      <c r="G393" s="17" t="s">
        <v>176</v>
      </c>
      <c r="H393" s="17">
        <v>250</v>
      </c>
    </row>
    <row r="394" spans="1:8">
      <c r="A394" s="17">
        <v>393</v>
      </c>
      <c r="B394" s="20">
        <v>101101</v>
      </c>
      <c r="C394" s="17">
        <v>600</v>
      </c>
      <c r="D394" s="17">
        <v>98</v>
      </c>
      <c r="E394" s="17">
        <v>1</v>
      </c>
      <c r="F394" s="16" t="s">
        <v>87</v>
      </c>
      <c r="G394" s="17" t="s">
        <v>177</v>
      </c>
      <c r="H394" s="17">
        <v>600</v>
      </c>
    </row>
    <row r="395" spans="1:8">
      <c r="A395" s="17">
        <v>394</v>
      </c>
      <c r="B395" s="20">
        <v>101201</v>
      </c>
      <c r="C395" s="17">
        <v>600</v>
      </c>
      <c r="D395" s="17">
        <v>98</v>
      </c>
      <c r="E395" s="17">
        <v>1</v>
      </c>
      <c r="F395" s="16" t="s">
        <v>88</v>
      </c>
      <c r="G395" s="17" t="s">
        <v>178</v>
      </c>
      <c r="H395" s="17">
        <v>600</v>
      </c>
    </row>
    <row r="396" spans="1:8">
      <c r="A396" s="17">
        <v>395</v>
      </c>
      <c r="B396" s="17">
        <v>301101</v>
      </c>
      <c r="C396" s="17">
        <v>600</v>
      </c>
      <c r="D396" s="17">
        <v>98</v>
      </c>
      <c r="E396" s="17">
        <v>1</v>
      </c>
      <c r="F396" s="16" t="s">
        <v>89</v>
      </c>
      <c r="G396" s="17" t="s">
        <v>179</v>
      </c>
      <c r="H396" s="17">
        <v>600</v>
      </c>
    </row>
    <row r="397" spans="1:8">
      <c r="A397" s="17">
        <v>396</v>
      </c>
      <c r="B397" s="43">
        <v>300701</v>
      </c>
      <c r="C397" s="43">
        <v>6000</v>
      </c>
      <c r="D397" s="43">
        <v>100</v>
      </c>
      <c r="E397" s="43">
        <v>1</v>
      </c>
      <c r="F397" s="61" t="s">
        <v>67</v>
      </c>
      <c r="G397" s="43" t="s">
        <v>157</v>
      </c>
      <c r="H397" s="43">
        <v>6000</v>
      </c>
    </row>
    <row r="398" spans="1:8">
      <c r="A398" s="17">
        <v>397</v>
      </c>
      <c r="B398" s="43">
        <v>200801</v>
      </c>
      <c r="C398" s="43">
        <v>6000</v>
      </c>
      <c r="D398" s="43">
        <v>100</v>
      </c>
      <c r="E398" s="43">
        <v>1</v>
      </c>
      <c r="F398" s="61" t="s">
        <v>68</v>
      </c>
      <c r="G398" s="43" t="s">
        <v>158</v>
      </c>
      <c r="H398" s="43">
        <v>6000</v>
      </c>
    </row>
    <row r="399" spans="1:8">
      <c r="A399" s="17">
        <v>398</v>
      </c>
      <c r="B399" s="43">
        <v>100601</v>
      </c>
      <c r="C399" s="43">
        <v>6000</v>
      </c>
      <c r="D399" s="43">
        <v>100</v>
      </c>
      <c r="E399" s="43">
        <v>1</v>
      </c>
      <c r="F399" s="61" t="s">
        <v>69</v>
      </c>
      <c r="G399" s="43" t="s">
        <v>159</v>
      </c>
      <c r="H399" s="43">
        <v>6000</v>
      </c>
    </row>
    <row r="400" spans="1:8">
      <c r="A400" s="17">
        <v>399</v>
      </c>
      <c r="B400" s="43">
        <v>300401</v>
      </c>
      <c r="C400" s="43">
        <v>6000</v>
      </c>
      <c r="D400" s="43">
        <v>100</v>
      </c>
      <c r="E400" s="43">
        <v>1</v>
      </c>
      <c r="F400" s="61" t="s">
        <v>70</v>
      </c>
      <c r="G400" s="43" t="s">
        <v>160</v>
      </c>
      <c r="H400" s="43">
        <v>6000</v>
      </c>
    </row>
    <row r="401" spans="1:8">
      <c r="A401" s="17">
        <v>400</v>
      </c>
      <c r="B401" s="43">
        <v>100801</v>
      </c>
      <c r="C401" s="43">
        <v>6000</v>
      </c>
      <c r="D401" s="43">
        <v>100</v>
      </c>
      <c r="E401" s="43">
        <v>1</v>
      </c>
      <c r="F401" s="61" t="s">
        <v>71</v>
      </c>
      <c r="G401" s="43" t="s">
        <v>161</v>
      </c>
      <c r="H401" s="43">
        <v>6000</v>
      </c>
    </row>
    <row r="402" spans="1:8">
      <c r="A402" s="17">
        <v>401</v>
      </c>
      <c r="B402" s="43">
        <v>500101</v>
      </c>
      <c r="C402" s="43">
        <v>6000</v>
      </c>
      <c r="D402" s="43">
        <v>100</v>
      </c>
      <c r="E402" s="43">
        <v>1</v>
      </c>
      <c r="F402" s="61" t="s">
        <v>72</v>
      </c>
      <c r="G402" s="43" t="s">
        <v>162</v>
      </c>
      <c r="H402" s="43">
        <v>6000</v>
      </c>
    </row>
    <row r="403" spans="1:8">
      <c r="A403" s="17">
        <v>402</v>
      </c>
      <c r="B403" s="43">
        <v>400101</v>
      </c>
      <c r="C403" s="43">
        <v>2000</v>
      </c>
      <c r="D403" s="43">
        <v>100</v>
      </c>
      <c r="E403" s="43">
        <v>1</v>
      </c>
      <c r="F403" s="61" t="s">
        <v>73</v>
      </c>
      <c r="G403" s="43" t="s">
        <v>163</v>
      </c>
      <c r="H403" s="43">
        <v>2000</v>
      </c>
    </row>
    <row r="404" spans="1:8">
      <c r="A404" s="17">
        <v>403</v>
      </c>
      <c r="B404" s="62">
        <v>200501</v>
      </c>
      <c r="C404" s="43">
        <v>2000</v>
      </c>
      <c r="D404" s="43">
        <v>100</v>
      </c>
      <c r="E404" s="43">
        <v>1</v>
      </c>
      <c r="F404" s="61" t="s">
        <v>74</v>
      </c>
      <c r="G404" s="43" t="s">
        <v>164</v>
      </c>
      <c r="H404" s="43">
        <v>2000</v>
      </c>
    </row>
    <row r="405" spans="1:8">
      <c r="A405" s="17">
        <v>404</v>
      </c>
      <c r="B405" s="43">
        <v>100901</v>
      </c>
      <c r="C405" s="43">
        <v>600</v>
      </c>
      <c r="D405" s="43">
        <v>100</v>
      </c>
      <c r="E405" s="43">
        <v>1</v>
      </c>
      <c r="F405" s="61" t="s">
        <v>75</v>
      </c>
      <c r="G405" s="43" t="s">
        <v>165</v>
      </c>
      <c r="H405" s="43">
        <v>600</v>
      </c>
    </row>
    <row r="406" spans="1:8">
      <c r="A406" s="17">
        <v>405</v>
      </c>
      <c r="B406" s="43">
        <v>101301</v>
      </c>
      <c r="C406" s="43">
        <v>600</v>
      </c>
      <c r="D406" s="43">
        <v>100</v>
      </c>
      <c r="E406" s="43">
        <v>1</v>
      </c>
      <c r="F406" s="61" t="s">
        <v>76</v>
      </c>
      <c r="G406" s="43" t="s">
        <v>166</v>
      </c>
      <c r="H406" s="43">
        <v>600</v>
      </c>
    </row>
    <row r="407" spans="1:8">
      <c r="A407" s="17">
        <v>406</v>
      </c>
      <c r="B407" s="43">
        <v>500401</v>
      </c>
      <c r="C407" s="43">
        <v>300</v>
      </c>
      <c r="D407" s="43">
        <v>100</v>
      </c>
      <c r="E407" s="43">
        <v>1</v>
      </c>
      <c r="F407" s="61" t="s">
        <v>77</v>
      </c>
      <c r="G407" s="43" t="s">
        <v>167</v>
      </c>
      <c r="H407" s="43">
        <v>250</v>
      </c>
    </row>
    <row r="408" spans="1:8">
      <c r="A408" s="17">
        <v>407</v>
      </c>
      <c r="B408" s="43">
        <v>500501</v>
      </c>
      <c r="C408" s="43">
        <v>300</v>
      </c>
      <c r="D408" s="43">
        <v>100</v>
      </c>
      <c r="E408" s="43">
        <v>1</v>
      </c>
      <c r="F408" s="61" t="s">
        <v>78</v>
      </c>
      <c r="G408" s="43" t="s">
        <v>168</v>
      </c>
      <c r="H408" s="43">
        <v>250</v>
      </c>
    </row>
    <row r="409" spans="1:8">
      <c r="A409" s="17">
        <v>408</v>
      </c>
      <c r="B409" s="43">
        <v>201101</v>
      </c>
      <c r="C409" s="43">
        <v>600</v>
      </c>
      <c r="D409" s="43">
        <v>100</v>
      </c>
      <c r="E409" s="43">
        <v>1</v>
      </c>
      <c r="F409" s="61" t="s">
        <v>79</v>
      </c>
      <c r="G409" s="43" t="s">
        <v>169</v>
      </c>
      <c r="H409" s="43">
        <v>600</v>
      </c>
    </row>
    <row r="410" spans="1:8">
      <c r="A410" s="17">
        <v>409</v>
      </c>
      <c r="B410" s="43">
        <v>301001</v>
      </c>
      <c r="C410" s="43">
        <v>600</v>
      </c>
      <c r="D410" s="43">
        <v>100</v>
      </c>
      <c r="E410" s="43">
        <v>1</v>
      </c>
      <c r="F410" s="61" t="s">
        <v>80</v>
      </c>
      <c r="G410" s="43" t="s">
        <v>170</v>
      </c>
      <c r="H410" s="43">
        <v>600</v>
      </c>
    </row>
    <row r="411" spans="1:8">
      <c r="A411" s="17">
        <v>410</v>
      </c>
      <c r="B411" s="43">
        <v>400501</v>
      </c>
      <c r="C411" s="43">
        <v>300</v>
      </c>
      <c r="D411" s="43">
        <v>100</v>
      </c>
      <c r="E411" s="43">
        <v>1</v>
      </c>
      <c r="F411" s="61" t="s">
        <v>81</v>
      </c>
      <c r="G411" s="43" t="s">
        <v>171</v>
      </c>
      <c r="H411" s="43">
        <v>250</v>
      </c>
    </row>
    <row r="412" spans="1:8">
      <c r="A412" s="17">
        <v>411</v>
      </c>
      <c r="B412" s="43">
        <v>200901</v>
      </c>
      <c r="C412" s="43">
        <v>600</v>
      </c>
      <c r="D412" s="43">
        <v>100</v>
      </c>
      <c r="E412" s="43">
        <v>1</v>
      </c>
      <c r="F412" s="61" t="s">
        <v>82</v>
      </c>
      <c r="G412" s="43" t="s">
        <v>172</v>
      </c>
      <c r="H412" s="43">
        <v>600</v>
      </c>
    </row>
    <row r="413" spans="1:8">
      <c r="A413" s="17">
        <v>412</v>
      </c>
      <c r="B413" s="43">
        <v>201301</v>
      </c>
      <c r="C413" s="43">
        <v>600</v>
      </c>
      <c r="D413" s="43">
        <v>100</v>
      </c>
      <c r="E413" s="43">
        <v>1</v>
      </c>
      <c r="F413" s="61" t="s">
        <v>60</v>
      </c>
      <c r="G413" s="43" t="s">
        <v>150</v>
      </c>
      <c r="H413" s="43">
        <v>600</v>
      </c>
    </row>
    <row r="414" spans="1:8">
      <c r="A414" s="17">
        <v>413</v>
      </c>
      <c r="B414" s="43">
        <v>500301</v>
      </c>
      <c r="C414" s="43">
        <v>300</v>
      </c>
      <c r="D414" s="43">
        <v>100</v>
      </c>
      <c r="E414" s="43">
        <v>1</v>
      </c>
      <c r="F414" s="61" t="s">
        <v>83</v>
      </c>
      <c r="G414" s="43" t="s">
        <v>173</v>
      </c>
      <c r="H414" s="43">
        <v>250</v>
      </c>
    </row>
    <row r="415" spans="1:8">
      <c r="A415" s="17">
        <v>414</v>
      </c>
      <c r="B415" s="43">
        <v>400301</v>
      </c>
      <c r="C415" s="43">
        <v>300</v>
      </c>
      <c r="D415" s="43">
        <v>100</v>
      </c>
      <c r="E415" s="43">
        <v>1</v>
      </c>
      <c r="F415" s="61" t="s">
        <v>84</v>
      </c>
      <c r="G415" s="43" t="s">
        <v>174</v>
      </c>
      <c r="H415" s="43">
        <v>250</v>
      </c>
    </row>
    <row r="416" spans="1:8">
      <c r="A416" s="17">
        <v>415</v>
      </c>
      <c r="B416" s="43">
        <v>301201</v>
      </c>
      <c r="C416" s="43">
        <v>600</v>
      </c>
      <c r="D416" s="43">
        <v>100</v>
      </c>
      <c r="E416" s="43">
        <v>1</v>
      </c>
      <c r="F416" s="61" t="s">
        <v>85</v>
      </c>
      <c r="G416" s="43" t="s">
        <v>175</v>
      </c>
      <c r="H416" s="43">
        <v>600</v>
      </c>
    </row>
    <row r="417" spans="1:8">
      <c r="A417" s="17">
        <v>416</v>
      </c>
      <c r="B417" s="43">
        <v>400401</v>
      </c>
      <c r="C417" s="43">
        <v>300</v>
      </c>
      <c r="D417" s="43">
        <v>100</v>
      </c>
      <c r="E417" s="43">
        <v>1</v>
      </c>
      <c r="F417" s="61" t="s">
        <v>86</v>
      </c>
      <c r="G417" s="43" t="s">
        <v>176</v>
      </c>
      <c r="H417" s="43">
        <v>250</v>
      </c>
    </row>
    <row r="418" spans="1:8">
      <c r="A418" s="17">
        <v>417</v>
      </c>
      <c r="B418" s="63">
        <v>101101</v>
      </c>
      <c r="C418" s="43">
        <v>600</v>
      </c>
      <c r="D418" s="43">
        <v>100</v>
      </c>
      <c r="E418" s="43">
        <v>1</v>
      </c>
      <c r="F418" s="61" t="s">
        <v>87</v>
      </c>
      <c r="G418" s="43" t="s">
        <v>177</v>
      </c>
      <c r="H418" s="43">
        <v>600</v>
      </c>
    </row>
    <row r="419" spans="1:8">
      <c r="A419" s="17">
        <v>418</v>
      </c>
      <c r="B419" s="63">
        <v>101201</v>
      </c>
      <c r="C419" s="43">
        <v>600</v>
      </c>
      <c r="D419" s="43">
        <v>100</v>
      </c>
      <c r="E419" s="43">
        <v>1</v>
      </c>
      <c r="F419" s="61" t="s">
        <v>88</v>
      </c>
      <c r="G419" s="43" t="s">
        <v>178</v>
      </c>
      <c r="H419" s="43">
        <v>600</v>
      </c>
    </row>
    <row r="420" spans="1:8">
      <c r="A420" s="17">
        <v>419</v>
      </c>
      <c r="B420" s="43">
        <v>301101</v>
      </c>
      <c r="C420" s="43">
        <v>600</v>
      </c>
      <c r="D420" s="43">
        <v>100</v>
      </c>
      <c r="E420" s="43">
        <v>1</v>
      </c>
      <c r="F420" s="61" t="s">
        <v>89</v>
      </c>
      <c r="G420" s="43" t="s">
        <v>179</v>
      </c>
      <c r="H420" s="43">
        <v>600</v>
      </c>
    </row>
    <row r="421" spans="1:8">
      <c r="A421" s="17">
        <v>420</v>
      </c>
      <c r="B421" s="43">
        <v>102201</v>
      </c>
      <c r="C421" s="43">
        <v>260</v>
      </c>
      <c r="D421" s="43">
        <v>100</v>
      </c>
      <c r="E421" s="43">
        <v>1</v>
      </c>
      <c r="F421" s="61" t="s">
        <v>90</v>
      </c>
      <c r="G421" s="43" t="s">
        <v>180</v>
      </c>
      <c r="H421" s="43">
        <v>270</v>
      </c>
    </row>
    <row r="422" spans="1:8">
      <c r="A422" s="17">
        <v>421</v>
      </c>
      <c r="B422" s="43">
        <v>101401</v>
      </c>
      <c r="C422" s="43">
        <v>140</v>
      </c>
      <c r="D422" s="43">
        <v>100</v>
      </c>
      <c r="E422" s="43">
        <v>1</v>
      </c>
      <c r="F422" s="61" t="s">
        <v>91</v>
      </c>
      <c r="G422" s="43" t="s">
        <v>181</v>
      </c>
      <c r="H422" s="43">
        <v>100</v>
      </c>
    </row>
    <row r="423" spans="1:8">
      <c r="A423" s="17">
        <v>422</v>
      </c>
      <c r="B423" s="62">
        <v>101801</v>
      </c>
      <c r="C423" s="43">
        <v>160</v>
      </c>
      <c r="D423" s="43">
        <v>100</v>
      </c>
      <c r="E423" s="43">
        <v>1</v>
      </c>
      <c r="F423" s="61" t="s">
        <v>92</v>
      </c>
      <c r="G423" s="43" t="s">
        <v>182</v>
      </c>
      <c r="H423" s="43">
        <v>100</v>
      </c>
    </row>
    <row r="424" spans="1:8">
      <c r="A424" s="17">
        <v>423</v>
      </c>
      <c r="B424" s="62">
        <v>102001</v>
      </c>
      <c r="C424" s="43">
        <v>0</v>
      </c>
      <c r="D424" s="43">
        <v>100</v>
      </c>
      <c r="E424" s="43">
        <v>1</v>
      </c>
      <c r="F424" s="61" t="s">
        <v>93</v>
      </c>
      <c r="G424" s="43" t="s">
        <v>183</v>
      </c>
      <c r="H424" s="43">
        <v>30</v>
      </c>
    </row>
    <row r="425" spans="1:8">
      <c r="A425" s="17">
        <v>424</v>
      </c>
      <c r="B425" s="62">
        <v>102101</v>
      </c>
      <c r="C425" s="43">
        <v>70</v>
      </c>
      <c r="D425" s="43">
        <v>100</v>
      </c>
      <c r="E425" s="43">
        <v>1</v>
      </c>
      <c r="F425" s="61" t="s">
        <v>94</v>
      </c>
      <c r="G425" s="43" t="s">
        <v>184</v>
      </c>
      <c r="H425" s="43">
        <v>30</v>
      </c>
    </row>
    <row r="426" spans="1:8">
      <c r="A426" s="17">
        <v>425</v>
      </c>
      <c r="B426" s="43">
        <v>101601</v>
      </c>
      <c r="C426" s="43">
        <v>0</v>
      </c>
      <c r="D426" s="43">
        <v>100</v>
      </c>
      <c r="E426" s="43">
        <v>1</v>
      </c>
      <c r="F426" s="61" t="s">
        <v>95</v>
      </c>
      <c r="G426" s="43" t="s">
        <v>185</v>
      </c>
      <c r="H426" s="43">
        <v>100</v>
      </c>
    </row>
    <row r="427" spans="1:8">
      <c r="A427" s="17">
        <v>426</v>
      </c>
      <c r="B427" s="63">
        <v>101501</v>
      </c>
      <c r="C427" s="43">
        <v>260</v>
      </c>
      <c r="D427" s="43">
        <v>100</v>
      </c>
      <c r="E427" s="43">
        <v>1</v>
      </c>
      <c r="F427" s="61" t="s">
        <v>96</v>
      </c>
      <c r="G427" s="43" t="s">
        <v>186</v>
      </c>
      <c r="H427" s="43">
        <v>270</v>
      </c>
    </row>
    <row r="428" spans="1:8">
      <c r="A428" s="17">
        <v>427</v>
      </c>
      <c r="B428" s="63">
        <v>101701</v>
      </c>
      <c r="C428" s="43">
        <v>50</v>
      </c>
      <c r="D428" s="43">
        <v>100</v>
      </c>
      <c r="E428" s="43">
        <v>1</v>
      </c>
      <c r="F428" s="61" t="s">
        <v>97</v>
      </c>
      <c r="G428" s="43" t="s">
        <v>187</v>
      </c>
      <c r="H428" s="43">
        <v>30</v>
      </c>
    </row>
    <row r="429" spans="1:8">
      <c r="A429" s="17">
        <v>428</v>
      </c>
      <c r="B429" s="43">
        <v>301401</v>
      </c>
      <c r="C429" s="43">
        <v>0</v>
      </c>
      <c r="D429" s="43">
        <v>100</v>
      </c>
      <c r="E429" s="43">
        <v>1</v>
      </c>
      <c r="F429" s="61" t="s">
        <v>99</v>
      </c>
      <c r="G429" s="43" t="s">
        <v>189</v>
      </c>
      <c r="H429" s="43">
        <v>40</v>
      </c>
    </row>
    <row r="430" spans="1:8">
      <c r="A430" s="17">
        <v>429</v>
      </c>
      <c r="B430" s="43">
        <v>301701</v>
      </c>
      <c r="C430" s="43">
        <v>150</v>
      </c>
      <c r="D430" s="43">
        <v>100</v>
      </c>
      <c r="E430" s="43">
        <v>1</v>
      </c>
      <c r="F430" s="61" t="s">
        <v>100</v>
      </c>
      <c r="G430" s="43" t="s">
        <v>190</v>
      </c>
      <c r="H430" s="43">
        <v>185</v>
      </c>
    </row>
    <row r="431" spans="1:8">
      <c r="A431" s="17">
        <v>430</v>
      </c>
      <c r="B431" s="43">
        <v>301601</v>
      </c>
      <c r="C431" s="43">
        <v>0</v>
      </c>
      <c r="D431" s="43">
        <v>100</v>
      </c>
      <c r="E431" s="43">
        <v>1</v>
      </c>
      <c r="F431" s="61" t="s">
        <v>101</v>
      </c>
      <c r="G431" s="43" t="s">
        <v>191</v>
      </c>
      <c r="H431" s="43">
        <v>15</v>
      </c>
    </row>
    <row r="432" spans="1:8">
      <c r="A432" s="17">
        <v>431</v>
      </c>
      <c r="B432" s="63">
        <v>301801</v>
      </c>
      <c r="C432" s="43">
        <v>260</v>
      </c>
      <c r="D432" s="43">
        <v>100</v>
      </c>
      <c r="E432" s="43">
        <v>1</v>
      </c>
      <c r="F432" s="61" t="s">
        <v>102</v>
      </c>
      <c r="G432" s="43" t="s">
        <v>192</v>
      </c>
      <c r="H432" s="43">
        <v>200</v>
      </c>
    </row>
    <row r="433" spans="1:8">
      <c r="A433" s="17">
        <v>432</v>
      </c>
      <c r="B433" s="63">
        <v>302001</v>
      </c>
      <c r="C433" s="43">
        <v>0</v>
      </c>
      <c r="D433" s="43">
        <v>100</v>
      </c>
      <c r="E433" s="43">
        <v>1</v>
      </c>
      <c r="F433" s="61" t="s">
        <v>103</v>
      </c>
      <c r="G433" s="43" t="s">
        <v>193</v>
      </c>
      <c r="H433" s="43">
        <v>15</v>
      </c>
    </row>
    <row r="434" spans="1:8">
      <c r="A434" s="17">
        <v>433</v>
      </c>
      <c r="B434" s="43">
        <v>302101</v>
      </c>
      <c r="C434" s="43">
        <v>0</v>
      </c>
      <c r="D434" s="43">
        <v>100</v>
      </c>
      <c r="E434" s="43">
        <v>1</v>
      </c>
      <c r="F434" s="61" t="s">
        <v>104</v>
      </c>
      <c r="G434" s="43" t="s">
        <v>194</v>
      </c>
      <c r="H434" s="43">
        <v>160</v>
      </c>
    </row>
    <row r="435" spans="1:8">
      <c r="A435" s="17">
        <v>434</v>
      </c>
      <c r="B435" s="43">
        <v>301901</v>
      </c>
      <c r="C435" s="43">
        <v>270</v>
      </c>
      <c r="D435" s="43">
        <v>100</v>
      </c>
      <c r="E435" s="43">
        <v>1</v>
      </c>
      <c r="F435" s="61" t="s">
        <v>105</v>
      </c>
      <c r="G435" s="43" t="s">
        <v>195</v>
      </c>
      <c r="H435" s="43">
        <v>200</v>
      </c>
    </row>
    <row r="436" spans="1:8">
      <c r="A436" s="17">
        <v>435</v>
      </c>
      <c r="B436" s="43">
        <v>302201</v>
      </c>
      <c r="C436" s="43">
        <v>150</v>
      </c>
      <c r="D436" s="43">
        <v>100</v>
      </c>
      <c r="E436" s="43">
        <v>1</v>
      </c>
      <c r="F436" s="61" t="s">
        <v>106</v>
      </c>
      <c r="G436" s="43" t="s">
        <v>196</v>
      </c>
      <c r="H436" s="43">
        <v>40</v>
      </c>
    </row>
    <row r="437" spans="1:8">
      <c r="A437" s="17">
        <v>436</v>
      </c>
      <c r="B437" s="43">
        <v>301501</v>
      </c>
      <c r="C437" s="43">
        <v>120</v>
      </c>
      <c r="D437" s="43">
        <v>100</v>
      </c>
      <c r="E437" s="43">
        <v>1</v>
      </c>
      <c r="F437" s="61" t="s">
        <v>107</v>
      </c>
      <c r="G437" s="43" t="s">
        <v>197</v>
      </c>
      <c r="H437" s="43">
        <v>40</v>
      </c>
    </row>
    <row r="438" spans="1:8">
      <c r="A438" s="17">
        <v>437</v>
      </c>
      <c r="B438" s="43">
        <v>201401</v>
      </c>
      <c r="C438" s="43">
        <v>220</v>
      </c>
      <c r="D438" s="43">
        <v>100</v>
      </c>
      <c r="E438" s="43">
        <v>1</v>
      </c>
      <c r="F438" s="61" t="s">
        <v>108</v>
      </c>
      <c r="G438" s="43" t="s">
        <v>198</v>
      </c>
      <c r="H438" s="43">
        <v>215</v>
      </c>
    </row>
    <row r="439" spans="1:8">
      <c r="A439" s="17">
        <v>438</v>
      </c>
      <c r="B439" s="43">
        <v>202001</v>
      </c>
      <c r="C439" s="43">
        <v>100</v>
      </c>
      <c r="D439" s="43">
        <v>100</v>
      </c>
      <c r="E439" s="43">
        <v>1</v>
      </c>
      <c r="F439" s="61" t="s">
        <v>109</v>
      </c>
      <c r="G439" s="43" t="s">
        <v>199</v>
      </c>
      <c r="H439" s="43">
        <v>50</v>
      </c>
    </row>
    <row r="440" spans="1:8">
      <c r="A440" s="17">
        <v>439</v>
      </c>
      <c r="B440" s="63">
        <v>201601</v>
      </c>
      <c r="C440" s="43">
        <v>220</v>
      </c>
      <c r="D440" s="43">
        <v>100</v>
      </c>
      <c r="E440" s="43">
        <v>1</v>
      </c>
      <c r="F440" s="61" t="s">
        <v>110</v>
      </c>
      <c r="G440" s="43" t="s">
        <v>200</v>
      </c>
      <c r="H440" s="43">
        <v>215</v>
      </c>
    </row>
    <row r="441" spans="1:8">
      <c r="A441" s="17">
        <v>440</v>
      </c>
      <c r="B441" s="43">
        <v>202101</v>
      </c>
      <c r="C441" s="43">
        <v>60</v>
      </c>
      <c r="D441" s="43">
        <v>100</v>
      </c>
      <c r="E441" s="43">
        <v>1</v>
      </c>
      <c r="F441" s="61" t="s">
        <v>111</v>
      </c>
      <c r="G441" s="43" t="s">
        <v>201</v>
      </c>
      <c r="H441" s="43">
        <v>50</v>
      </c>
    </row>
    <row r="442" spans="1:8">
      <c r="A442" s="17">
        <v>441</v>
      </c>
      <c r="B442" s="43">
        <v>202201</v>
      </c>
      <c r="C442" s="43">
        <v>220</v>
      </c>
      <c r="D442" s="43">
        <v>100</v>
      </c>
      <c r="E442" s="43">
        <v>1</v>
      </c>
      <c r="F442" s="61" t="s">
        <v>112</v>
      </c>
      <c r="G442" s="43" t="s">
        <v>202</v>
      </c>
      <c r="H442" s="43">
        <v>215</v>
      </c>
    </row>
    <row r="443" spans="1:8">
      <c r="A443" s="17">
        <v>442</v>
      </c>
      <c r="B443" s="62">
        <v>201801</v>
      </c>
      <c r="C443" s="43">
        <v>0</v>
      </c>
      <c r="D443" s="43">
        <v>100</v>
      </c>
      <c r="E443" s="43">
        <v>1</v>
      </c>
      <c r="F443" s="61" t="s">
        <v>113</v>
      </c>
      <c r="G443" s="43" t="s">
        <v>203</v>
      </c>
      <c r="H443" s="43">
        <v>15</v>
      </c>
    </row>
    <row r="444" spans="1:8">
      <c r="A444" s="17">
        <v>443</v>
      </c>
      <c r="B444" s="43">
        <v>201701</v>
      </c>
      <c r="C444" s="43">
        <v>80</v>
      </c>
      <c r="D444" s="43">
        <v>100</v>
      </c>
      <c r="E444" s="43">
        <v>1</v>
      </c>
      <c r="F444" s="61" t="s">
        <v>114</v>
      </c>
      <c r="G444" s="43" t="s">
        <v>204</v>
      </c>
      <c r="H444" s="43">
        <v>50</v>
      </c>
    </row>
    <row r="445" spans="1:8">
      <c r="A445" s="17">
        <v>444</v>
      </c>
      <c r="B445" s="62">
        <v>201501</v>
      </c>
      <c r="C445" s="43">
        <v>130</v>
      </c>
      <c r="D445" s="43">
        <v>100</v>
      </c>
      <c r="E445" s="43">
        <v>1</v>
      </c>
      <c r="F445" s="61" t="s">
        <v>115</v>
      </c>
      <c r="G445" s="43" t="s">
        <v>205</v>
      </c>
      <c r="H445" s="43">
        <v>190</v>
      </c>
    </row>
    <row r="446" spans="1:8">
      <c r="A446" s="17">
        <v>445</v>
      </c>
      <c r="B446" s="63">
        <v>202401</v>
      </c>
      <c r="C446" s="43">
        <v>70</v>
      </c>
      <c r="D446" s="43">
        <v>100</v>
      </c>
      <c r="E446" s="43">
        <v>1</v>
      </c>
      <c r="F446" s="61" t="s">
        <v>116</v>
      </c>
      <c r="G446" s="43" t="s">
        <v>206</v>
      </c>
      <c r="H446" s="43">
        <v>50</v>
      </c>
    </row>
    <row r="447" spans="1:8">
      <c r="A447" s="17">
        <v>446</v>
      </c>
      <c r="B447" s="43">
        <v>202301</v>
      </c>
      <c r="C447" s="43">
        <v>60</v>
      </c>
      <c r="D447" s="43">
        <v>100</v>
      </c>
      <c r="E447" s="43">
        <v>1</v>
      </c>
      <c r="F447" s="61" t="s">
        <v>117</v>
      </c>
      <c r="G447" s="43" t="s">
        <v>188</v>
      </c>
      <c r="H447" s="43">
        <v>15</v>
      </c>
    </row>
    <row r="448" spans="1:8">
      <c r="A448" s="17">
        <v>447</v>
      </c>
      <c r="B448" s="62">
        <v>501201</v>
      </c>
      <c r="C448" s="43">
        <v>50</v>
      </c>
      <c r="D448" s="43">
        <v>100</v>
      </c>
      <c r="E448" s="43">
        <v>1</v>
      </c>
      <c r="F448" s="61" t="s">
        <v>118</v>
      </c>
      <c r="G448" s="43" t="s">
        <v>207</v>
      </c>
      <c r="H448" s="43">
        <v>75</v>
      </c>
    </row>
    <row r="449" spans="1:8">
      <c r="A449" s="17">
        <v>448</v>
      </c>
      <c r="B449" s="62">
        <v>500701</v>
      </c>
      <c r="C449" s="43">
        <v>0</v>
      </c>
      <c r="D449" s="43">
        <v>100</v>
      </c>
      <c r="E449" s="43">
        <v>1</v>
      </c>
      <c r="F449" s="61" t="s">
        <v>119</v>
      </c>
      <c r="G449" s="43" t="s">
        <v>208</v>
      </c>
      <c r="H449" s="43">
        <v>7</v>
      </c>
    </row>
    <row r="450" spans="1:8">
      <c r="A450" s="17">
        <v>449</v>
      </c>
      <c r="B450" s="62">
        <v>400701</v>
      </c>
      <c r="C450" s="43">
        <v>0</v>
      </c>
      <c r="D450" s="43">
        <v>100</v>
      </c>
      <c r="E450" s="43">
        <v>1</v>
      </c>
      <c r="F450" s="61" t="s">
        <v>120</v>
      </c>
      <c r="G450" s="43" t="s">
        <v>209</v>
      </c>
      <c r="H450" s="43">
        <v>7</v>
      </c>
    </row>
    <row r="451" spans="1:8">
      <c r="A451" s="17">
        <v>450</v>
      </c>
      <c r="B451" s="62">
        <v>401201</v>
      </c>
      <c r="C451" s="43">
        <v>0</v>
      </c>
      <c r="D451" s="43">
        <v>100</v>
      </c>
      <c r="E451" s="43">
        <v>1</v>
      </c>
      <c r="F451" s="61" t="s">
        <v>121</v>
      </c>
      <c r="G451" s="43" t="s">
        <v>210</v>
      </c>
      <c r="H451" s="43">
        <v>40</v>
      </c>
    </row>
    <row r="452" spans="1:8">
      <c r="A452" s="17">
        <v>451</v>
      </c>
      <c r="B452" s="62">
        <v>401301</v>
      </c>
      <c r="C452" s="43">
        <v>0</v>
      </c>
      <c r="D452" s="43">
        <v>100</v>
      </c>
      <c r="E452" s="43">
        <v>1</v>
      </c>
      <c r="F452" s="61" t="s">
        <v>122</v>
      </c>
      <c r="G452" s="43" t="s">
        <v>211</v>
      </c>
      <c r="H452" s="43">
        <v>40</v>
      </c>
    </row>
    <row r="453" spans="1:8">
      <c r="A453" s="17">
        <v>452</v>
      </c>
      <c r="B453" s="62">
        <v>400601</v>
      </c>
      <c r="C453" s="43">
        <v>0</v>
      </c>
      <c r="D453" s="43">
        <v>100</v>
      </c>
      <c r="E453" s="43">
        <v>1</v>
      </c>
      <c r="F453" s="61" t="s">
        <v>123</v>
      </c>
      <c r="G453" s="43" t="s">
        <v>212</v>
      </c>
      <c r="H453" s="43">
        <v>7</v>
      </c>
    </row>
    <row r="454" spans="1:8">
      <c r="A454" s="17">
        <v>453</v>
      </c>
      <c r="B454" s="64">
        <v>500601</v>
      </c>
      <c r="C454" s="43">
        <v>0</v>
      </c>
      <c r="D454" s="43">
        <v>100</v>
      </c>
      <c r="E454" s="43">
        <v>1</v>
      </c>
      <c r="F454" s="61" t="s">
        <v>124</v>
      </c>
      <c r="G454" s="43" t="s">
        <v>213</v>
      </c>
      <c r="H454" s="43">
        <v>75</v>
      </c>
    </row>
    <row r="455" spans="1:8">
      <c r="A455" s="17">
        <v>454</v>
      </c>
      <c r="B455" s="43">
        <v>400901</v>
      </c>
      <c r="C455" s="43">
        <v>0</v>
      </c>
      <c r="D455" s="43">
        <v>100</v>
      </c>
      <c r="E455" s="43">
        <v>1</v>
      </c>
      <c r="F455" s="61" t="s">
        <v>125</v>
      </c>
      <c r="G455" s="43" t="s">
        <v>214</v>
      </c>
      <c r="H455" s="43">
        <v>7</v>
      </c>
    </row>
    <row r="456" spans="1:8">
      <c r="A456" s="17">
        <v>455</v>
      </c>
      <c r="B456" s="43">
        <v>501101</v>
      </c>
      <c r="C456" s="43">
        <v>60</v>
      </c>
      <c r="D456" s="43">
        <v>100</v>
      </c>
      <c r="E456" s="43">
        <v>1</v>
      </c>
      <c r="F456" s="61" t="s">
        <v>126</v>
      </c>
      <c r="G456" s="43" t="s">
        <v>215</v>
      </c>
      <c r="H456" s="43">
        <v>150</v>
      </c>
    </row>
    <row r="457" spans="1:8">
      <c r="A457" s="17">
        <v>456</v>
      </c>
      <c r="B457" s="43">
        <v>400801</v>
      </c>
      <c r="C457" s="43">
        <v>50</v>
      </c>
      <c r="D457" s="43">
        <v>100</v>
      </c>
      <c r="E457" s="43">
        <v>1</v>
      </c>
      <c r="F457" s="61" t="s">
        <v>127</v>
      </c>
      <c r="G457" s="43" t="s">
        <v>216</v>
      </c>
      <c r="H457" s="43">
        <v>150</v>
      </c>
    </row>
    <row r="458" spans="1:8">
      <c r="A458" s="17">
        <v>457</v>
      </c>
      <c r="B458" s="43">
        <v>501001</v>
      </c>
      <c r="C458" s="43">
        <v>0</v>
      </c>
      <c r="D458" s="43">
        <v>100</v>
      </c>
      <c r="E458" s="43">
        <v>1</v>
      </c>
      <c r="F458" s="61" t="s">
        <v>128</v>
      </c>
      <c r="G458" s="43" t="s">
        <v>217</v>
      </c>
      <c r="H458" s="43">
        <v>7</v>
      </c>
    </row>
    <row r="459" spans="1:8">
      <c r="A459" s="17">
        <v>458</v>
      </c>
      <c r="B459" s="43">
        <v>500901</v>
      </c>
      <c r="C459" s="43">
        <v>0</v>
      </c>
      <c r="D459" s="43">
        <v>100</v>
      </c>
      <c r="E459" s="43">
        <v>1</v>
      </c>
      <c r="F459" s="65" t="s">
        <v>129</v>
      </c>
      <c r="G459" s="43" t="s">
        <v>218</v>
      </c>
      <c r="H459" s="43">
        <v>7</v>
      </c>
    </row>
    <row r="460" spans="1:8">
      <c r="A460" s="17">
        <v>459</v>
      </c>
      <c r="B460" s="43">
        <v>401401</v>
      </c>
      <c r="C460" s="43">
        <v>0</v>
      </c>
      <c r="D460" s="43">
        <v>100</v>
      </c>
      <c r="E460" s="43">
        <v>1</v>
      </c>
      <c r="F460" s="65" t="s">
        <v>130</v>
      </c>
      <c r="G460" s="43" t="s">
        <v>219</v>
      </c>
      <c r="H460" s="43">
        <v>3</v>
      </c>
    </row>
    <row r="461" spans="1:8">
      <c r="A461" s="17">
        <v>460</v>
      </c>
      <c r="B461" s="43">
        <v>500801</v>
      </c>
      <c r="C461" s="43">
        <v>0</v>
      </c>
      <c r="D461" s="43">
        <v>100</v>
      </c>
      <c r="E461" s="43">
        <v>1</v>
      </c>
      <c r="F461" s="65" t="s">
        <v>131</v>
      </c>
      <c r="G461" s="43" t="s">
        <v>220</v>
      </c>
      <c r="H461" s="43">
        <v>3</v>
      </c>
    </row>
    <row r="462" spans="1:8">
      <c r="A462" s="17">
        <v>461</v>
      </c>
      <c r="B462" s="43">
        <v>401001</v>
      </c>
      <c r="C462" s="43">
        <v>0</v>
      </c>
      <c r="D462" s="43">
        <v>100</v>
      </c>
      <c r="E462" s="43">
        <v>1</v>
      </c>
      <c r="F462" s="65" t="s">
        <v>132</v>
      </c>
      <c r="G462" s="43" t="s">
        <v>221</v>
      </c>
      <c r="H462" s="43">
        <v>3</v>
      </c>
    </row>
    <row r="463" spans="1:8">
      <c r="A463" s="17">
        <v>462</v>
      </c>
      <c r="B463" s="43">
        <v>501301</v>
      </c>
      <c r="C463" s="43">
        <v>0</v>
      </c>
      <c r="D463" s="43">
        <v>100</v>
      </c>
      <c r="E463" s="43">
        <v>1</v>
      </c>
      <c r="F463" s="65" t="s">
        <v>133</v>
      </c>
      <c r="G463" s="43" t="s">
        <v>222</v>
      </c>
      <c r="H463" s="43">
        <v>7</v>
      </c>
    </row>
    <row r="464" spans="1:8">
      <c r="A464" s="17">
        <v>463</v>
      </c>
      <c r="B464" s="43">
        <v>102301</v>
      </c>
      <c r="C464" s="43">
        <v>0</v>
      </c>
      <c r="D464" s="43">
        <v>100</v>
      </c>
      <c r="E464" s="43">
        <v>1</v>
      </c>
      <c r="F464" s="65" t="s">
        <v>98</v>
      </c>
      <c r="G464" s="43" t="s">
        <v>188</v>
      </c>
      <c r="H464" s="43">
        <v>15</v>
      </c>
    </row>
    <row r="465" spans="1:8">
      <c r="A465" s="17">
        <v>464</v>
      </c>
      <c r="B465" s="43">
        <v>501401</v>
      </c>
      <c r="C465" s="43">
        <v>0</v>
      </c>
      <c r="D465" s="43">
        <v>100</v>
      </c>
      <c r="E465" s="43">
        <v>1</v>
      </c>
      <c r="F465" s="65" t="s">
        <v>134</v>
      </c>
      <c r="G465" s="43" t="s">
        <v>188</v>
      </c>
      <c r="H465" s="43">
        <v>15</v>
      </c>
    </row>
    <row r="466" spans="1:8">
      <c r="A466" s="17">
        <v>465</v>
      </c>
      <c r="B466" s="43">
        <v>302301</v>
      </c>
      <c r="C466" s="43">
        <v>0</v>
      </c>
      <c r="D466" s="43">
        <v>100</v>
      </c>
      <c r="E466" s="43">
        <v>1</v>
      </c>
      <c r="F466" s="65" t="s">
        <v>135</v>
      </c>
      <c r="G466" s="43" t="s">
        <v>93</v>
      </c>
      <c r="H466" s="43">
        <v>15</v>
      </c>
    </row>
    <row r="467" spans="1:8">
      <c r="A467" s="17">
        <v>466</v>
      </c>
      <c r="B467" s="43">
        <v>501501</v>
      </c>
      <c r="C467" s="43">
        <v>0</v>
      </c>
      <c r="D467" s="43">
        <v>100</v>
      </c>
      <c r="E467" s="43">
        <v>1</v>
      </c>
      <c r="F467" s="65" t="s">
        <v>146</v>
      </c>
      <c r="G467" s="43" t="s">
        <v>188</v>
      </c>
      <c r="H467" s="43">
        <v>7</v>
      </c>
    </row>
    <row r="468" spans="1:8">
      <c r="A468" s="17">
        <v>467</v>
      </c>
      <c r="B468" s="43">
        <v>501601</v>
      </c>
      <c r="C468" s="43">
        <v>0</v>
      </c>
      <c r="D468" s="43">
        <v>100</v>
      </c>
      <c r="E468" s="43">
        <v>1</v>
      </c>
      <c r="F468" s="65" t="s">
        <v>137</v>
      </c>
      <c r="G468" s="43" t="s">
        <v>188</v>
      </c>
      <c r="H468" s="43">
        <v>7</v>
      </c>
    </row>
    <row r="469" spans="1:8">
      <c r="A469" s="17">
        <v>468</v>
      </c>
      <c r="B469" s="43">
        <v>401501</v>
      </c>
      <c r="C469" s="43">
        <v>0</v>
      </c>
      <c r="D469" s="43">
        <v>100</v>
      </c>
      <c r="E469" s="43">
        <v>1</v>
      </c>
      <c r="F469" s="66" t="s">
        <v>138</v>
      </c>
      <c r="G469" s="43" t="s">
        <v>188</v>
      </c>
      <c r="H469" s="43">
        <v>7</v>
      </c>
    </row>
    <row r="470" spans="1:8">
      <c r="A470" s="17">
        <v>469</v>
      </c>
      <c r="B470" s="43">
        <v>401601</v>
      </c>
      <c r="C470" s="43">
        <v>0</v>
      </c>
      <c r="D470" s="43">
        <v>100</v>
      </c>
      <c r="E470" s="43">
        <v>1</v>
      </c>
      <c r="F470" s="66" t="s">
        <v>139</v>
      </c>
      <c r="G470" s="43" t="s">
        <v>188</v>
      </c>
      <c r="H470" s="43">
        <v>7</v>
      </c>
    </row>
    <row r="471" spans="1:8">
      <c r="A471" s="17">
        <v>470</v>
      </c>
      <c r="B471" s="43">
        <v>401701</v>
      </c>
      <c r="C471" s="43">
        <v>0</v>
      </c>
      <c r="D471" s="43">
        <v>100</v>
      </c>
      <c r="E471" s="43">
        <v>1</v>
      </c>
      <c r="F471" s="66" t="s">
        <v>140</v>
      </c>
      <c r="G471" s="43" t="s">
        <v>188</v>
      </c>
      <c r="H471" s="43">
        <v>7</v>
      </c>
    </row>
    <row r="472" spans="1:8">
      <c r="A472" s="17">
        <v>471</v>
      </c>
      <c r="B472" s="43">
        <v>501701</v>
      </c>
      <c r="C472" s="43">
        <v>0</v>
      </c>
      <c r="D472" s="43">
        <v>100</v>
      </c>
      <c r="E472" s="43">
        <v>1</v>
      </c>
      <c r="F472" s="66" t="s">
        <v>141</v>
      </c>
      <c r="G472" s="43" t="s">
        <v>188</v>
      </c>
      <c r="H472" s="43">
        <v>7</v>
      </c>
    </row>
    <row r="473" spans="1:8" s="13" customFormat="1">
      <c r="A473" s="17">
        <v>472</v>
      </c>
      <c r="B473" s="39">
        <v>401901</v>
      </c>
      <c r="C473" s="39">
        <v>0</v>
      </c>
      <c r="D473" s="13">
        <v>100</v>
      </c>
      <c r="E473" s="39">
        <v>1</v>
      </c>
      <c r="F473" s="13" t="s">
        <v>142</v>
      </c>
      <c r="G473" s="39" t="s">
        <v>188</v>
      </c>
      <c r="H473" s="39">
        <v>7</v>
      </c>
    </row>
    <row r="474" spans="1:8" s="13" customFormat="1">
      <c r="A474" s="17">
        <v>473</v>
      </c>
      <c r="B474" s="39">
        <v>302401</v>
      </c>
      <c r="C474" s="39">
        <v>0</v>
      </c>
      <c r="D474" s="13">
        <v>100</v>
      </c>
      <c r="E474" s="39">
        <v>1</v>
      </c>
      <c r="F474" s="13" t="s">
        <v>143</v>
      </c>
      <c r="G474" s="39" t="s">
        <v>188</v>
      </c>
      <c r="H474" s="39">
        <v>7</v>
      </c>
    </row>
    <row r="475" spans="1:8" s="14" customFormat="1">
      <c r="A475" s="17">
        <v>474</v>
      </c>
      <c r="B475" s="40">
        <v>401801</v>
      </c>
      <c r="C475" s="40">
        <v>0</v>
      </c>
      <c r="D475" s="14">
        <v>100</v>
      </c>
      <c r="E475" s="40">
        <v>1</v>
      </c>
      <c r="F475" s="14" t="s">
        <v>144</v>
      </c>
      <c r="G475" s="40" t="s">
        <v>188</v>
      </c>
      <c r="H475" s="40">
        <v>7</v>
      </c>
    </row>
    <row r="476" spans="1:8" s="14" customFormat="1">
      <c r="A476" s="17">
        <v>475</v>
      </c>
      <c r="B476" s="40">
        <v>501801</v>
      </c>
      <c r="C476" s="40">
        <v>0</v>
      </c>
      <c r="D476" s="14">
        <v>100</v>
      </c>
      <c r="E476" s="40">
        <v>1</v>
      </c>
      <c r="F476" s="14" t="s">
        <v>145</v>
      </c>
      <c r="G476" s="40" t="s">
        <v>188</v>
      </c>
      <c r="H476" s="40">
        <v>7</v>
      </c>
    </row>
    <row r="477" spans="1:8">
      <c r="A477" s="17">
        <v>476</v>
      </c>
      <c r="B477" s="67">
        <v>300701</v>
      </c>
      <c r="C477" s="67">
        <v>6000</v>
      </c>
      <c r="D477" s="67">
        <v>101</v>
      </c>
      <c r="E477" s="67">
        <v>1</v>
      </c>
      <c r="F477" s="68" t="s">
        <v>67</v>
      </c>
      <c r="G477" s="67" t="s">
        <v>157</v>
      </c>
      <c r="H477" s="67">
        <v>6000</v>
      </c>
    </row>
    <row r="478" spans="1:8">
      <c r="A478" s="17">
        <v>477</v>
      </c>
      <c r="B478" s="67">
        <v>200801</v>
      </c>
      <c r="C478" s="67">
        <v>6000</v>
      </c>
      <c r="D478" s="67">
        <v>101</v>
      </c>
      <c r="E478" s="67">
        <v>1</v>
      </c>
      <c r="F478" s="68" t="s">
        <v>68</v>
      </c>
      <c r="G478" s="67" t="s">
        <v>158</v>
      </c>
      <c r="H478" s="67">
        <v>6000</v>
      </c>
    </row>
    <row r="479" spans="1:8">
      <c r="A479" s="17">
        <v>478</v>
      </c>
      <c r="B479" s="67">
        <v>100601</v>
      </c>
      <c r="C479" s="67">
        <v>6000</v>
      </c>
      <c r="D479" s="67">
        <v>101</v>
      </c>
      <c r="E479" s="67">
        <v>1</v>
      </c>
      <c r="F479" s="68" t="s">
        <v>69</v>
      </c>
      <c r="G479" s="67" t="s">
        <v>159</v>
      </c>
      <c r="H479" s="67">
        <v>6000</v>
      </c>
    </row>
    <row r="480" spans="1:8">
      <c r="A480" s="17">
        <v>479</v>
      </c>
      <c r="B480" s="67">
        <v>300401</v>
      </c>
      <c r="C480" s="67">
        <v>6000</v>
      </c>
      <c r="D480" s="67">
        <v>101</v>
      </c>
      <c r="E480" s="67">
        <v>1</v>
      </c>
      <c r="F480" s="68" t="s">
        <v>70</v>
      </c>
      <c r="G480" s="67" t="s">
        <v>160</v>
      </c>
      <c r="H480" s="67">
        <v>6000</v>
      </c>
    </row>
    <row r="481" spans="1:8">
      <c r="A481" s="17">
        <v>480</v>
      </c>
      <c r="B481" s="67">
        <v>100801</v>
      </c>
      <c r="C481" s="67">
        <v>6000</v>
      </c>
      <c r="D481" s="67">
        <v>101</v>
      </c>
      <c r="E481" s="67">
        <v>1</v>
      </c>
      <c r="F481" s="68" t="s">
        <v>71</v>
      </c>
      <c r="G481" s="67" t="s">
        <v>161</v>
      </c>
      <c r="H481" s="67">
        <v>6000</v>
      </c>
    </row>
    <row r="482" spans="1:8">
      <c r="A482" s="17">
        <v>481</v>
      </c>
      <c r="B482" s="67">
        <v>500101</v>
      </c>
      <c r="C482" s="67">
        <v>6000</v>
      </c>
      <c r="D482" s="67">
        <v>101</v>
      </c>
      <c r="E482" s="67">
        <v>1</v>
      </c>
      <c r="F482" s="68" t="s">
        <v>72</v>
      </c>
      <c r="G482" s="67" t="s">
        <v>162</v>
      </c>
      <c r="H482" s="67">
        <v>6000</v>
      </c>
    </row>
    <row r="483" spans="1:8">
      <c r="A483" s="17">
        <v>482</v>
      </c>
      <c r="B483" s="67">
        <v>400101</v>
      </c>
      <c r="C483" s="67">
        <v>2000</v>
      </c>
      <c r="D483" s="67">
        <v>101</v>
      </c>
      <c r="E483" s="67">
        <v>1</v>
      </c>
      <c r="F483" s="68" t="s">
        <v>73</v>
      </c>
      <c r="G483" s="67" t="s">
        <v>163</v>
      </c>
      <c r="H483" s="67">
        <v>2000</v>
      </c>
    </row>
    <row r="484" spans="1:8">
      <c r="A484" s="17">
        <v>483</v>
      </c>
      <c r="B484" s="69">
        <v>200501</v>
      </c>
      <c r="C484" s="67">
        <v>2000</v>
      </c>
      <c r="D484" s="67">
        <v>101</v>
      </c>
      <c r="E484" s="67">
        <v>1</v>
      </c>
      <c r="F484" s="68" t="s">
        <v>74</v>
      </c>
      <c r="G484" s="67" t="s">
        <v>164</v>
      </c>
      <c r="H484" s="67">
        <v>2000</v>
      </c>
    </row>
    <row r="485" spans="1:8">
      <c r="A485" s="17">
        <v>484</v>
      </c>
      <c r="B485" s="67">
        <v>100901</v>
      </c>
      <c r="C485" s="67">
        <v>600</v>
      </c>
      <c r="D485" s="67">
        <v>101</v>
      </c>
      <c r="E485" s="67">
        <v>1</v>
      </c>
      <c r="F485" s="68" t="s">
        <v>75</v>
      </c>
      <c r="G485" s="67" t="s">
        <v>165</v>
      </c>
      <c r="H485" s="67">
        <v>600</v>
      </c>
    </row>
    <row r="486" spans="1:8">
      <c r="A486" s="17">
        <v>485</v>
      </c>
      <c r="B486" s="67">
        <v>101301</v>
      </c>
      <c r="C486" s="67">
        <v>600</v>
      </c>
      <c r="D486" s="67">
        <v>101</v>
      </c>
      <c r="E486" s="67">
        <v>1</v>
      </c>
      <c r="F486" s="68" t="s">
        <v>76</v>
      </c>
      <c r="G486" s="67" t="s">
        <v>166</v>
      </c>
      <c r="H486" s="67">
        <v>600</v>
      </c>
    </row>
    <row r="487" spans="1:8">
      <c r="A487" s="17">
        <v>486</v>
      </c>
      <c r="B487" s="67">
        <v>500401</v>
      </c>
      <c r="C487" s="67">
        <v>300</v>
      </c>
      <c r="D487" s="67">
        <v>101</v>
      </c>
      <c r="E487" s="67">
        <v>1</v>
      </c>
      <c r="F487" s="68" t="s">
        <v>77</v>
      </c>
      <c r="G487" s="67" t="s">
        <v>167</v>
      </c>
      <c r="H487" s="67">
        <v>250</v>
      </c>
    </row>
    <row r="488" spans="1:8">
      <c r="A488" s="17">
        <v>487</v>
      </c>
      <c r="B488" s="67">
        <v>500501</v>
      </c>
      <c r="C488" s="67">
        <v>300</v>
      </c>
      <c r="D488" s="67">
        <v>101</v>
      </c>
      <c r="E488" s="67">
        <v>1</v>
      </c>
      <c r="F488" s="68" t="s">
        <v>78</v>
      </c>
      <c r="G488" s="67" t="s">
        <v>168</v>
      </c>
      <c r="H488" s="67">
        <v>250</v>
      </c>
    </row>
    <row r="489" spans="1:8">
      <c r="A489" s="17">
        <v>488</v>
      </c>
      <c r="B489" s="67">
        <v>201101</v>
      </c>
      <c r="C489" s="67">
        <v>600</v>
      </c>
      <c r="D489" s="67">
        <v>101</v>
      </c>
      <c r="E489" s="67">
        <v>1</v>
      </c>
      <c r="F489" s="68" t="s">
        <v>79</v>
      </c>
      <c r="G489" s="67" t="s">
        <v>169</v>
      </c>
      <c r="H489" s="67">
        <v>600</v>
      </c>
    </row>
    <row r="490" spans="1:8">
      <c r="A490" s="17">
        <v>489</v>
      </c>
      <c r="B490" s="67">
        <v>301001</v>
      </c>
      <c r="C490" s="67">
        <v>600</v>
      </c>
      <c r="D490" s="67">
        <v>101</v>
      </c>
      <c r="E490" s="67">
        <v>1</v>
      </c>
      <c r="F490" s="68" t="s">
        <v>80</v>
      </c>
      <c r="G490" s="67" t="s">
        <v>170</v>
      </c>
      <c r="H490" s="67">
        <v>600</v>
      </c>
    </row>
    <row r="491" spans="1:8">
      <c r="A491" s="17">
        <v>490</v>
      </c>
      <c r="B491" s="67">
        <v>400501</v>
      </c>
      <c r="C491" s="67">
        <v>300</v>
      </c>
      <c r="D491" s="67">
        <v>101</v>
      </c>
      <c r="E491" s="67">
        <v>1</v>
      </c>
      <c r="F491" s="68" t="s">
        <v>81</v>
      </c>
      <c r="G491" s="67" t="s">
        <v>171</v>
      </c>
      <c r="H491" s="67">
        <v>250</v>
      </c>
    </row>
    <row r="492" spans="1:8">
      <c r="A492" s="17">
        <v>491</v>
      </c>
      <c r="B492" s="67">
        <v>200901</v>
      </c>
      <c r="C492" s="67">
        <v>600</v>
      </c>
      <c r="D492" s="67">
        <v>101</v>
      </c>
      <c r="E492" s="67">
        <v>1</v>
      </c>
      <c r="F492" s="68" t="s">
        <v>82</v>
      </c>
      <c r="G492" s="67" t="s">
        <v>172</v>
      </c>
      <c r="H492" s="67">
        <v>600</v>
      </c>
    </row>
    <row r="493" spans="1:8">
      <c r="A493" s="17">
        <v>492</v>
      </c>
      <c r="B493" s="67">
        <v>201301</v>
      </c>
      <c r="C493" s="67">
        <v>600</v>
      </c>
      <c r="D493" s="67">
        <v>101</v>
      </c>
      <c r="E493" s="67">
        <v>1</v>
      </c>
      <c r="F493" s="68" t="s">
        <v>60</v>
      </c>
      <c r="G493" s="67" t="s">
        <v>150</v>
      </c>
      <c r="H493" s="67">
        <v>600</v>
      </c>
    </row>
    <row r="494" spans="1:8">
      <c r="A494" s="17">
        <v>493</v>
      </c>
      <c r="B494" s="67">
        <v>500301</v>
      </c>
      <c r="C494" s="67">
        <v>300</v>
      </c>
      <c r="D494" s="67">
        <v>101</v>
      </c>
      <c r="E494" s="67">
        <v>1</v>
      </c>
      <c r="F494" s="68" t="s">
        <v>83</v>
      </c>
      <c r="G494" s="67" t="s">
        <v>173</v>
      </c>
      <c r="H494" s="67">
        <v>250</v>
      </c>
    </row>
    <row r="495" spans="1:8">
      <c r="A495" s="17">
        <v>494</v>
      </c>
      <c r="B495" s="67">
        <v>400301</v>
      </c>
      <c r="C495" s="67">
        <v>300</v>
      </c>
      <c r="D495" s="67">
        <v>101</v>
      </c>
      <c r="E495" s="67">
        <v>1</v>
      </c>
      <c r="F495" s="68" t="s">
        <v>84</v>
      </c>
      <c r="G495" s="67" t="s">
        <v>174</v>
      </c>
      <c r="H495" s="67">
        <v>250</v>
      </c>
    </row>
    <row r="496" spans="1:8">
      <c r="A496" s="17">
        <v>495</v>
      </c>
      <c r="B496" s="67">
        <v>301201</v>
      </c>
      <c r="C496" s="67">
        <v>600</v>
      </c>
      <c r="D496" s="67">
        <v>101</v>
      </c>
      <c r="E496" s="67">
        <v>1</v>
      </c>
      <c r="F496" s="68" t="s">
        <v>85</v>
      </c>
      <c r="G496" s="67" t="s">
        <v>175</v>
      </c>
      <c r="H496" s="67">
        <v>600</v>
      </c>
    </row>
    <row r="497" spans="1:8">
      <c r="A497" s="17">
        <v>496</v>
      </c>
      <c r="B497" s="67">
        <v>400401</v>
      </c>
      <c r="C497" s="67">
        <v>300</v>
      </c>
      <c r="D497" s="67">
        <v>101</v>
      </c>
      <c r="E497" s="67">
        <v>1</v>
      </c>
      <c r="F497" s="68" t="s">
        <v>86</v>
      </c>
      <c r="G497" s="67" t="s">
        <v>176</v>
      </c>
      <c r="H497" s="67">
        <v>250</v>
      </c>
    </row>
    <row r="498" spans="1:8">
      <c r="A498" s="17">
        <v>497</v>
      </c>
      <c r="B498" s="70">
        <v>101101</v>
      </c>
      <c r="C498" s="67">
        <v>600</v>
      </c>
      <c r="D498" s="67">
        <v>101</v>
      </c>
      <c r="E498" s="67">
        <v>1</v>
      </c>
      <c r="F498" s="68" t="s">
        <v>87</v>
      </c>
      <c r="G498" s="67" t="s">
        <v>177</v>
      </c>
      <c r="H498" s="67">
        <v>600</v>
      </c>
    </row>
    <row r="499" spans="1:8">
      <c r="A499" s="17">
        <v>498</v>
      </c>
      <c r="B499" s="70">
        <v>101201</v>
      </c>
      <c r="C499" s="67">
        <v>600</v>
      </c>
      <c r="D499" s="67">
        <v>101</v>
      </c>
      <c r="E499" s="67">
        <v>1</v>
      </c>
      <c r="F499" s="68" t="s">
        <v>88</v>
      </c>
      <c r="G499" s="67" t="s">
        <v>178</v>
      </c>
      <c r="H499" s="67">
        <v>600</v>
      </c>
    </row>
    <row r="500" spans="1:8">
      <c r="A500" s="17">
        <v>499</v>
      </c>
      <c r="B500" s="67">
        <v>301101</v>
      </c>
      <c r="C500" s="67">
        <v>600</v>
      </c>
      <c r="D500" s="67">
        <v>101</v>
      </c>
      <c r="E500" s="67">
        <v>1</v>
      </c>
      <c r="F500" s="68" t="s">
        <v>89</v>
      </c>
      <c r="G500" s="67" t="s">
        <v>179</v>
      </c>
      <c r="H500" s="67">
        <v>600</v>
      </c>
    </row>
    <row r="501" spans="1:8">
      <c r="A501" s="17">
        <v>500</v>
      </c>
      <c r="B501" s="67">
        <v>102201</v>
      </c>
      <c r="C501" s="67">
        <v>260</v>
      </c>
      <c r="D501" s="67">
        <v>101</v>
      </c>
      <c r="E501" s="67">
        <v>1</v>
      </c>
      <c r="F501" s="68" t="s">
        <v>90</v>
      </c>
      <c r="G501" s="67" t="s">
        <v>180</v>
      </c>
      <c r="H501" s="67">
        <v>270</v>
      </c>
    </row>
    <row r="502" spans="1:8">
      <c r="A502" s="17">
        <v>501</v>
      </c>
      <c r="B502" s="67">
        <v>101401</v>
      </c>
      <c r="C502" s="67">
        <v>140</v>
      </c>
      <c r="D502" s="67">
        <v>101</v>
      </c>
      <c r="E502" s="67">
        <v>1</v>
      </c>
      <c r="F502" s="68" t="s">
        <v>91</v>
      </c>
      <c r="G502" s="67" t="s">
        <v>181</v>
      </c>
      <c r="H502" s="67">
        <v>100</v>
      </c>
    </row>
    <row r="503" spans="1:8">
      <c r="A503" s="17">
        <v>502</v>
      </c>
      <c r="B503" s="69">
        <v>101801</v>
      </c>
      <c r="C503" s="67">
        <v>160</v>
      </c>
      <c r="D503" s="67">
        <v>101</v>
      </c>
      <c r="E503" s="67">
        <v>1</v>
      </c>
      <c r="F503" s="68" t="s">
        <v>92</v>
      </c>
      <c r="G503" s="67" t="s">
        <v>182</v>
      </c>
      <c r="H503" s="67">
        <v>100</v>
      </c>
    </row>
    <row r="504" spans="1:8">
      <c r="A504" s="17">
        <v>503</v>
      </c>
      <c r="B504" s="69">
        <v>102001</v>
      </c>
      <c r="C504" s="67">
        <v>0</v>
      </c>
      <c r="D504" s="67">
        <v>101</v>
      </c>
      <c r="E504" s="67">
        <v>1</v>
      </c>
      <c r="F504" s="68" t="s">
        <v>93</v>
      </c>
      <c r="G504" s="67" t="s">
        <v>183</v>
      </c>
      <c r="H504" s="67">
        <v>30</v>
      </c>
    </row>
    <row r="505" spans="1:8">
      <c r="A505" s="17">
        <v>504</v>
      </c>
      <c r="B505" s="69">
        <v>102101</v>
      </c>
      <c r="C505" s="67">
        <v>70</v>
      </c>
      <c r="D505" s="67">
        <v>101</v>
      </c>
      <c r="E505" s="67">
        <v>1</v>
      </c>
      <c r="F505" s="68" t="s">
        <v>94</v>
      </c>
      <c r="G505" s="67" t="s">
        <v>184</v>
      </c>
      <c r="H505" s="67">
        <v>30</v>
      </c>
    </row>
    <row r="506" spans="1:8">
      <c r="A506" s="17">
        <v>505</v>
      </c>
      <c r="B506" s="67">
        <v>101601</v>
      </c>
      <c r="C506" s="67">
        <v>0</v>
      </c>
      <c r="D506" s="67">
        <v>101</v>
      </c>
      <c r="E506" s="67">
        <v>1</v>
      </c>
      <c r="F506" s="68" t="s">
        <v>95</v>
      </c>
      <c r="G506" s="67" t="s">
        <v>185</v>
      </c>
      <c r="H506" s="67">
        <v>100</v>
      </c>
    </row>
    <row r="507" spans="1:8">
      <c r="A507" s="17">
        <v>506</v>
      </c>
      <c r="B507" s="70">
        <v>101501</v>
      </c>
      <c r="C507" s="67">
        <v>260</v>
      </c>
      <c r="D507" s="67">
        <v>101</v>
      </c>
      <c r="E507" s="67">
        <v>1</v>
      </c>
      <c r="F507" s="68" t="s">
        <v>96</v>
      </c>
      <c r="G507" s="67" t="s">
        <v>186</v>
      </c>
      <c r="H507" s="67">
        <v>270</v>
      </c>
    </row>
    <row r="508" spans="1:8">
      <c r="A508" s="17">
        <v>507</v>
      </c>
      <c r="B508" s="70">
        <v>101701</v>
      </c>
      <c r="C508" s="67">
        <v>50</v>
      </c>
      <c r="D508" s="67">
        <v>101</v>
      </c>
      <c r="E508" s="67">
        <v>1</v>
      </c>
      <c r="F508" s="68" t="s">
        <v>97</v>
      </c>
      <c r="G508" s="67" t="s">
        <v>187</v>
      </c>
      <c r="H508" s="67">
        <v>30</v>
      </c>
    </row>
    <row r="509" spans="1:8">
      <c r="A509" s="17">
        <v>508</v>
      </c>
      <c r="B509" s="67">
        <v>301401</v>
      </c>
      <c r="C509" s="67">
        <v>0</v>
      </c>
      <c r="D509" s="67">
        <v>101</v>
      </c>
      <c r="E509" s="67">
        <v>1</v>
      </c>
      <c r="F509" s="68" t="s">
        <v>99</v>
      </c>
      <c r="G509" s="67" t="s">
        <v>189</v>
      </c>
      <c r="H509" s="67">
        <v>40</v>
      </c>
    </row>
    <row r="510" spans="1:8">
      <c r="A510" s="17">
        <v>509</v>
      </c>
      <c r="B510" s="67">
        <v>301701</v>
      </c>
      <c r="C510" s="67">
        <v>150</v>
      </c>
      <c r="D510" s="67">
        <v>101</v>
      </c>
      <c r="E510" s="67">
        <v>1</v>
      </c>
      <c r="F510" s="68" t="s">
        <v>100</v>
      </c>
      <c r="G510" s="67" t="s">
        <v>190</v>
      </c>
      <c r="H510" s="67">
        <v>185</v>
      </c>
    </row>
    <row r="511" spans="1:8">
      <c r="A511" s="17">
        <v>510</v>
      </c>
      <c r="B511" s="67">
        <v>301601</v>
      </c>
      <c r="C511" s="67">
        <v>0</v>
      </c>
      <c r="D511" s="67">
        <v>101</v>
      </c>
      <c r="E511" s="67">
        <v>1</v>
      </c>
      <c r="F511" s="68" t="s">
        <v>101</v>
      </c>
      <c r="G511" s="67" t="s">
        <v>191</v>
      </c>
      <c r="H511" s="67">
        <v>15</v>
      </c>
    </row>
    <row r="512" spans="1:8">
      <c r="A512" s="17">
        <v>511</v>
      </c>
      <c r="B512" s="70">
        <v>301801</v>
      </c>
      <c r="C512" s="67">
        <v>260</v>
      </c>
      <c r="D512" s="67">
        <v>101</v>
      </c>
      <c r="E512" s="67">
        <v>1</v>
      </c>
      <c r="F512" s="68" t="s">
        <v>102</v>
      </c>
      <c r="G512" s="67" t="s">
        <v>192</v>
      </c>
      <c r="H512" s="67">
        <v>200</v>
      </c>
    </row>
    <row r="513" spans="1:8">
      <c r="A513" s="17">
        <v>512</v>
      </c>
      <c r="B513" s="70">
        <v>302001</v>
      </c>
      <c r="C513" s="67">
        <v>0</v>
      </c>
      <c r="D513" s="67">
        <v>101</v>
      </c>
      <c r="E513" s="67">
        <v>1</v>
      </c>
      <c r="F513" s="68" t="s">
        <v>103</v>
      </c>
      <c r="G513" s="67" t="s">
        <v>193</v>
      </c>
      <c r="H513" s="67">
        <v>15</v>
      </c>
    </row>
    <row r="514" spans="1:8">
      <c r="A514" s="17">
        <v>513</v>
      </c>
      <c r="B514" s="67">
        <v>302101</v>
      </c>
      <c r="C514" s="67">
        <v>0</v>
      </c>
      <c r="D514" s="67">
        <v>101</v>
      </c>
      <c r="E514" s="67">
        <v>1</v>
      </c>
      <c r="F514" s="68" t="s">
        <v>104</v>
      </c>
      <c r="G514" s="67" t="s">
        <v>194</v>
      </c>
      <c r="H514" s="67">
        <v>160</v>
      </c>
    </row>
    <row r="515" spans="1:8">
      <c r="A515" s="17">
        <v>514</v>
      </c>
      <c r="B515" s="67">
        <v>301901</v>
      </c>
      <c r="C515" s="67">
        <v>270</v>
      </c>
      <c r="D515" s="67">
        <v>101</v>
      </c>
      <c r="E515" s="67">
        <v>1</v>
      </c>
      <c r="F515" s="68" t="s">
        <v>105</v>
      </c>
      <c r="G515" s="67" t="s">
        <v>195</v>
      </c>
      <c r="H515" s="67">
        <v>200</v>
      </c>
    </row>
    <row r="516" spans="1:8">
      <c r="A516" s="17">
        <v>515</v>
      </c>
      <c r="B516" s="67">
        <v>302201</v>
      </c>
      <c r="C516" s="67">
        <v>150</v>
      </c>
      <c r="D516" s="67">
        <v>101</v>
      </c>
      <c r="E516" s="67">
        <v>1</v>
      </c>
      <c r="F516" s="68" t="s">
        <v>106</v>
      </c>
      <c r="G516" s="67" t="s">
        <v>196</v>
      </c>
      <c r="H516" s="67">
        <v>40</v>
      </c>
    </row>
    <row r="517" spans="1:8">
      <c r="A517" s="17">
        <v>516</v>
      </c>
      <c r="B517" s="67">
        <v>301501</v>
      </c>
      <c r="C517" s="67">
        <v>120</v>
      </c>
      <c r="D517" s="67">
        <v>101</v>
      </c>
      <c r="E517" s="67">
        <v>1</v>
      </c>
      <c r="F517" s="68" t="s">
        <v>107</v>
      </c>
      <c r="G517" s="67" t="s">
        <v>197</v>
      </c>
      <c r="H517" s="67">
        <v>40</v>
      </c>
    </row>
    <row r="518" spans="1:8">
      <c r="A518" s="17">
        <v>517</v>
      </c>
      <c r="B518" s="67">
        <v>201401</v>
      </c>
      <c r="C518" s="67">
        <v>220</v>
      </c>
      <c r="D518" s="67">
        <v>101</v>
      </c>
      <c r="E518" s="67">
        <v>1</v>
      </c>
      <c r="F518" s="68" t="s">
        <v>108</v>
      </c>
      <c r="G518" s="67" t="s">
        <v>198</v>
      </c>
      <c r="H518" s="67">
        <v>215</v>
      </c>
    </row>
    <row r="519" spans="1:8">
      <c r="A519" s="17">
        <v>518</v>
      </c>
      <c r="B519" s="67">
        <v>202001</v>
      </c>
      <c r="C519" s="67">
        <v>100</v>
      </c>
      <c r="D519" s="67">
        <v>101</v>
      </c>
      <c r="E519" s="67">
        <v>1</v>
      </c>
      <c r="F519" s="68" t="s">
        <v>109</v>
      </c>
      <c r="G519" s="67" t="s">
        <v>199</v>
      </c>
      <c r="H519" s="67">
        <v>50</v>
      </c>
    </row>
    <row r="520" spans="1:8">
      <c r="A520" s="17">
        <v>519</v>
      </c>
      <c r="B520" s="70">
        <v>201601</v>
      </c>
      <c r="C520" s="67">
        <v>220</v>
      </c>
      <c r="D520" s="67">
        <v>101</v>
      </c>
      <c r="E520" s="67">
        <v>1</v>
      </c>
      <c r="F520" s="68" t="s">
        <v>110</v>
      </c>
      <c r="G520" s="67" t="s">
        <v>200</v>
      </c>
      <c r="H520" s="67">
        <v>215</v>
      </c>
    </row>
    <row r="521" spans="1:8">
      <c r="A521" s="17">
        <v>520</v>
      </c>
      <c r="B521" s="67">
        <v>202101</v>
      </c>
      <c r="C521" s="67">
        <v>60</v>
      </c>
      <c r="D521" s="67">
        <v>101</v>
      </c>
      <c r="E521" s="67">
        <v>1</v>
      </c>
      <c r="F521" s="68" t="s">
        <v>111</v>
      </c>
      <c r="G521" s="67" t="s">
        <v>201</v>
      </c>
      <c r="H521" s="67">
        <v>50</v>
      </c>
    </row>
    <row r="522" spans="1:8">
      <c r="A522" s="17">
        <v>521</v>
      </c>
      <c r="B522" s="67">
        <v>202201</v>
      </c>
      <c r="C522" s="67">
        <v>220</v>
      </c>
      <c r="D522" s="67">
        <v>101</v>
      </c>
      <c r="E522" s="67">
        <v>1</v>
      </c>
      <c r="F522" s="68" t="s">
        <v>112</v>
      </c>
      <c r="G522" s="67" t="s">
        <v>202</v>
      </c>
      <c r="H522" s="67">
        <v>215</v>
      </c>
    </row>
    <row r="523" spans="1:8">
      <c r="A523" s="17">
        <v>522</v>
      </c>
      <c r="B523" s="69">
        <v>201801</v>
      </c>
      <c r="C523" s="67">
        <v>0</v>
      </c>
      <c r="D523" s="67">
        <v>101</v>
      </c>
      <c r="E523" s="67">
        <v>1</v>
      </c>
      <c r="F523" s="68" t="s">
        <v>113</v>
      </c>
      <c r="G523" s="67" t="s">
        <v>203</v>
      </c>
      <c r="H523" s="67">
        <v>15</v>
      </c>
    </row>
    <row r="524" spans="1:8">
      <c r="A524" s="17">
        <v>523</v>
      </c>
      <c r="B524" s="67">
        <v>201701</v>
      </c>
      <c r="C524" s="67">
        <v>80</v>
      </c>
      <c r="D524" s="67">
        <v>101</v>
      </c>
      <c r="E524" s="67">
        <v>1</v>
      </c>
      <c r="F524" s="68" t="s">
        <v>114</v>
      </c>
      <c r="G524" s="67" t="s">
        <v>204</v>
      </c>
      <c r="H524" s="67">
        <v>50</v>
      </c>
    </row>
    <row r="525" spans="1:8">
      <c r="A525" s="17">
        <v>524</v>
      </c>
      <c r="B525" s="69">
        <v>201501</v>
      </c>
      <c r="C525" s="67">
        <v>130</v>
      </c>
      <c r="D525" s="67">
        <v>101</v>
      </c>
      <c r="E525" s="67">
        <v>1</v>
      </c>
      <c r="F525" s="68" t="s">
        <v>115</v>
      </c>
      <c r="G525" s="67" t="s">
        <v>205</v>
      </c>
      <c r="H525" s="67">
        <v>190</v>
      </c>
    </row>
    <row r="526" spans="1:8">
      <c r="A526" s="17">
        <v>525</v>
      </c>
      <c r="B526" s="70">
        <v>202401</v>
      </c>
      <c r="C526" s="67">
        <v>70</v>
      </c>
      <c r="D526" s="67">
        <v>101</v>
      </c>
      <c r="E526" s="67">
        <v>1</v>
      </c>
      <c r="F526" s="68" t="s">
        <v>116</v>
      </c>
      <c r="G526" s="67" t="s">
        <v>206</v>
      </c>
      <c r="H526" s="67">
        <v>50</v>
      </c>
    </row>
    <row r="527" spans="1:8">
      <c r="A527" s="17">
        <v>526</v>
      </c>
      <c r="B527" s="67">
        <v>202301</v>
      </c>
      <c r="C527" s="67">
        <v>60</v>
      </c>
      <c r="D527" s="67">
        <v>101</v>
      </c>
      <c r="E527" s="67">
        <v>1</v>
      </c>
      <c r="F527" s="68" t="s">
        <v>117</v>
      </c>
      <c r="G527" s="67" t="s">
        <v>188</v>
      </c>
      <c r="H527" s="67">
        <v>15</v>
      </c>
    </row>
    <row r="528" spans="1:8">
      <c r="A528" s="17">
        <v>527</v>
      </c>
      <c r="B528" s="69">
        <v>501201</v>
      </c>
      <c r="C528" s="67">
        <v>50</v>
      </c>
      <c r="D528" s="67">
        <v>101</v>
      </c>
      <c r="E528" s="67">
        <v>1</v>
      </c>
      <c r="F528" s="68" t="s">
        <v>118</v>
      </c>
      <c r="G528" s="67" t="s">
        <v>207</v>
      </c>
      <c r="H528" s="67">
        <v>75</v>
      </c>
    </row>
    <row r="529" spans="1:8">
      <c r="A529" s="17">
        <v>528</v>
      </c>
      <c r="B529" s="69">
        <v>500701</v>
      </c>
      <c r="C529" s="67">
        <v>0</v>
      </c>
      <c r="D529" s="67">
        <v>101</v>
      </c>
      <c r="E529" s="67">
        <v>1</v>
      </c>
      <c r="F529" s="68" t="s">
        <v>119</v>
      </c>
      <c r="G529" s="67" t="s">
        <v>208</v>
      </c>
      <c r="H529" s="67">
        <v>7</v>
      </c>
    </row>
    <row r="530" spans="1:8">
      <c r="A530" s="17">
        <v>529</v>
      </c>
      <c r="B530" s="69">
        <v>400701</v>
      </c>
      <c r="C530" s="67">
        <v>0</v>
      </c>
      <c r="D530" s="67">
        <v>101</v>
      </c>
      <c r="E530" s="67">
        <v>1</v>
      </c>
      <c r="F530" s="68" t="s">
        <v>120</v>
      </c>
      <c r="G530" s="67" t="s">
        <v>209</v>
      </c>
      <c r="H530" s="67">
        <v>7</v>
      </c>
    </row>
    <row r="531" spans="1:8">
      <c r="A531" s="17">
        <v>530</v>
      </c>
      <c r="B531" s="69">
        <v>401201</v>
      </c>
      <c r="C531" s="67">
        <v>0</v>
      </c>
      <c r="D531" s="67">
        <v>101</v>
      </c>
      <c r="E531" s="67">
        <v>1</v>
      </c>
      <c r="F531" s="68" t="s">
        <v>121</v>
      </c>
      <c r="G531" s="67" t="s">
        <v>210</v>
      </c>
      <c r="H531" s="67">
        <v>40</v>
      </c>
    </row>
    <row r="532" spans="1:8">
      <c r="A532" s="17">
        <v>531</v>
      </c>
      <c r="B532" s="69">
        <v>401301</v>
      </c>
      <c r="C532" s="67">
        <v>0</v>
      </c>
      <c r="D532" s="67">
        <v>101</v>
      </c>
      <c r="E532" s="67">
        <v>1</v>
      </c>
      <c r="F532" s="68" t="s">
        <v>122</v>
      </c>
      <c r="G532" s="67" t="s">
        <v>211</v>
      </c>
      <c r="H532" s="67">
        <v>40</v>
      </c>
    </row>
    <row r="533" spans="1:8">
      <c r="A533" s="17">
        <v>532</v>
      </c>
      <c r="B533" s="69">
        <v>400601</v>
      </c>
      <c r="C533" s="67">
        <v>0</v>
      </c>
      <c r="D533" s="67">
        <v>101</v>
      </c>
      <c r="E533" s="67">
        <v>1</v>
      </c>
      <c r="F533" s="68" t="s">
        <v>123</v>
      </c>
      <c r="G533" s="67" t="s">
        <v>212</v>
      </c>
      <c r="H533" s="67">
        <v>7</v>
      </c>
    </row>
    <row r="534" spans="1:8">
      <c r="A534" s="17">
        <v>533</v>
      </c>
      <c r="B534" s="71">
        <v>500601</v>
      </c>
      <c r="C534" s="67">
        <v>0</v>
      </c>
      <c r="D534" s="67">
        <v>101</v>
      </c>
      <c r="E534" s="67">
        <v>1</v>
      </c>
      <c r="F534" s="68" t="s">
        <v>124</v>
      </c>
      <c r="G534" s="67" t="s">
        <v>213</v>
      </c>
      <c r="H534" s="67">
        <v>75</v>
      </c>
    </row>
    <row r="535" spans="1:8">
      <c r="A535" s="17">
        <v>534</v>
      </c>
      <c r="B535" s="67">
        <v>400901</v>
      </c>
      <c r="C535" s="67">
        <v>0</v>
      </c>
      <c r="D535" s="67">
        <v>101</v>
      </c>
      <c r="E535" s="67">
        <v>1</v>
      </c>
      <c r="F535" s="68" t="s">
        <v>125</v>
      </c>
      <c r="G535" s="67" t="s">
        <v>214</v>
      </c>
      <c r="H535" s="67">
        <v>7</v>
      </c>
    </row>
    <row r="536" spans="1:8">
      <c r="A536" s="17">
        <v>535</v>
      </c>
      <c r="B536" s="67">
        <v>501101</v>
      </c>
      <c r="C536" s="67">
        <v>60</v>
      </c>
      <c r="D536" s="67">
        <v>101</v>
      </c>
      <c r="E536" s="67">
        <v>1</v>
      </c>
      <c r="F536" s="68" t="s">
        <v>126</v>
      </c>
      <c r="G536" s="67" t="s">
        <v>215</v>
      </c>
      <c r="H536" s="67">
        <v>150</v>
      </c>
    </row>
    <row r="537" spans="1:8">
      <c r="A537" s="17">
        <v>536</v>
      </c>
      <c r="B537" s="67">
        <v>400801</v>
      </c>
      <c r="C537" s="67">
        <v>50</v>
      </c>
      <c r="D537" s="67">
        <v>101</v>
      </c>
      <c r="E537" s="67">
        <v>1</v>
      </c>
      <c r="F537" s="68" t="s">
        <v>127</v>
      </c>
      <c r="G537" s="67" t="s">
        <v>216</v>
      </c>
      <c r="H537" s="67">
        <v>150</v>
      </c>
    </row>
    <row r="538" spans="1:8">
      <c r="A538" s="17">
        <v>537</v>
      </c>
      <c r="B538" s="67">
        <v>501001</v>
      </c>
      <c r="C538" s="67">
        <v>0</v>
      </c>
      <c r="D538" s="67">
        <v>101</v>
      </c>
      <c r="E538" s="67">
        <v>1</v>
      </c>
      <c r="F538" s="68" t="s">
        <v>128</v>
      </c>
      <c r="G538" s="67" t="s">
        <v>217</v>
      </c>
      <c r="H538" s="67">
        <v>7</v>
      </c>
    </row>
    <row r="539" spans="1:8">
      <c r="A539" s="17">
        <v>538</v>
      </c>
      <c r="B539" s="67">
        <v>500901</v>
      </c>
      <c r="C539" s="67">
        <v>0</v>
      </c>
      <c r="D539" s="67">
        <v>101</v>
      </c>
      <c r="E539" s="67">
        <v>1</v>
      </c>
      <c r="F539" s="72" t="s">
        <v>129</v>
      </c>
      <c r="G539" s="67" t="s">
        <v>218</v>
      </c>
      <c r="H539" s="67">
        <v>7</v>
      </c>
    </row>
    <row r="540" spans="1:8">
      <c r="A540" s="17">
        <v>539</v>
      </c>
      <c r="B540" s="67">
        <v>401401</v>
      </c>
      <c r="C540" s="67">
        <v>0</v>
      </c>
      <c r="D540" s="67">
        <v>101</v>
      </c>
      <c r="E540" s="67">
        <v>1</v>
      </c>
      <c r="F540" s="72" t="s">
        <v>130</v>
      </c>
      <c r="G540" s="67" t="s">
        <v>219</v>
      </c>
      <c r="H540" s="67">
        <v>3</v>
      </c>
    </row>
    <row r="541" spans="1:8">
      <c r="A541" s="17">
        <v>540</v>
      </c>
      <c r="B541" s="67">
        <v>500801</v>
      </c>
      <c r="C541" s="67">
        <v>0</v>
      </c>
      <c r="D541" s="67">
        <v>101</v>
      </c>
      <c r="E541" s="67">
        <v>1</v>
      </c>
      <c r="F541" s="72" t="s">
        <v>131</v>
      </c>
      <c r="G541" s="67" t="s">
        <v>220</v>
      </c>
      <c r="H541" s="67">
        <v>3</v>
      </c>
    </row>
    <row r="542" spans="1:8">
      <c r="A542" s="17">
        <v>541</v>
      </c>
      <c r="B542" s="67">
        <v>401001</v>
      </c>
      <c r="C542" s="67">
        <v>0</v>
      </c>
      <c r="D542" s="67">
        <v>101</v>
      </c>
      <c r="E542" s="67">
        <v>1</v>
      </c>
      <c r="F542" s="72" t="s">
        <v>132</v>
      </c>
      <c r="G542" s="67" t="s">
        <v>221</v>
      </c>
      <c r="H542" s="67">
        <v>3</v>
      </c>
    </row>
    <row r="543" spans="1:8">
      <c r="A543" s="17">
        <v>542</v>
      </c>
      <c r="B543" s="67">
        <v>501301</v>
      </c>
      <c r="C543" s="67">
        <v>0</v>
      </c>
      <c r="D543" s="67">
        <v>101</v>
      </c>
      <c r="E543" s="67">
        <v>1</v>
      </c>
      <c r="F543" s="72" t="s">
        <v>133</v>
      </c>
      <c r="G543" s="67" t="s">
        <v>222</v>
      </c>
      <c r="H543" s="67">
        <v>7</v>
      </c>
    </row>
    <row r="544" spans="1:8">
      <c r="A544" s="17">
        <v>543</v>
      </c>
      <c r="B544" s="67">
        <v>102301</v>
      </c>
      <c r="C544" s="67">
        <v>0</v>
      </c>
      <c r="D544" s="67">
        <v>101</v>
      </c>
      <c r="E544" s="67">
        <v>1</v>
      </c>
      <c r="F544" s="72" t="s">
        <v>98</v>
      </c>
      <c r="G544" s="67" t="s">
        <v>188</v>
      </c>
      <c r="H544" s="67">
        <v>15</v>
      </c>
    </row>
    <row r="545" spans="1:8">
      <c r="A545" s="17">
        <v>544</v>
      </c>
      <c r="B545" s="67">
        <v>501401</v>
      </c>
      <c r="C545" s="67">
        <v>0</v>
      </c>
      <c r="D545" s="67">
        <v>101</v>
      </c>
      <c r="E545" s="67">
        <v>1</v>
      </c>
      <c r="F545" s="72" t="s">
        <v>134</v>
      </c>
      <c r="G545" s="67" t="s">
        <v>188</v>
      </c>
      <c r="H545" s="67">
        <v>15</v>
      </c>
    </row>
    <row r="546" spans="1:8">
      <c r="A546" s="17">
        <v>545</v>
      </c>
      <c r="B546" s="67">
        <v>302301</v>
      </c>
      <c r="C546" s="67">
        <v>0</v>
      </c>
      <c r="D546" s="67">
        <v>101</v>
      </c>
      <c r="E546" s="67">
        <v>1</v>
      </c>
      <c r="F546" s="72" t="s">
        <v>135</v>
      </c>
      <c r="G546" s="73" t="s">
        <v>93</v>
      </c>
      <c r="H546" s="67">
        <v>15</v>
      </c>
    </row>
    <row r="547" spans="1:8">
      <c r="A547" s="17">
        <v>546</v>
      </c>
      <c r="B547" s="67">
        <v>501501</v>
      </c>
      <c r="C547" s="67">
        <v>0</v>
      </c>
      <c r="D547" s="67">
        <v>101</v>
      </c>
      <c r="E547" s="67">
        <v>1</v>
      </c>
      <c r="F547" s="74" t="s">
        <v>146</v>
      </c>
      <c r="G547" s="67" t="s">
        <v>188</v>
      </c>
      <c r="H547" s="67">
        <v>7</v>
      </c>
    </row>
    <row r="548" spans="1:8">
      <c r="A548" s="17">
        <v>547</v>
      </c>
      <c r="B548" s="67">
        <v>501601</v>
      </c>
      <c r="C548" s="67">
        <v>0</v>
      </c>
      <c r="D548" s="67">
        <v>101</v>
      </c>
      <c r="E548" s="67">
        <v>1</v>
      </c>
      <c r="F548" s="74" t="s">
        <v>137</v>
      </c>
      <c r="G548" s="67" t="s">
        <v>188</v>
      </c>
      <c r="H548" s="67">
        <v>7</v>
      </c>
    </row>
    <row r="549" spans="1:8">
      <c r="A549" s="17">
        <v>548</v>
      </c>
      <c r="B549" s="67">
        <v>401501</v>
      </c>
      <c r="C549" s="67">
        <v>0</v>
      </c>
      <c r="D549" s="67">
        <v>101</v>
      </c>
      <c r="E549" s="67">
        <v>1</v>
      </c>
      <c r="F549" s="74" t="s">
        <v>138</v>
      </c>
      <c r="G549" s="67" t="s">
        <v>188</v>
      </c>
      <c r="H549" s="67">
        <v>7</v>
      </c>
    </row>
    <row r="550" spans="1:8">
      <c r="A550" s="17">
        <v>549</v>
      </c>
      <c r="B550" s="67">
        <v>401601</v>
      </c>
      <c r="C550" s="67">
        <v>0</v>
      </c>
      <c r="D550" s="67">
        <v>101</v>
      </c>
      <c r="E550" s="67">
        <v>1</v>
      </c>
      <c r="F550" s="74" t="s">
        <v>139</v>
      </c>
      <c r="G550" s="67" t="s">
        <v>188</v>
      </c>
      <c r="H550" s="67">
        <v>7</v>
      </c>
    </row>
    <row r="551" spans="1:8">
      <c r="A551" s="17">
        <v>550</v>
      </c>
      <c r="B551" s="67">
        <v>401701</v>
      </c>
      <c r="C551" s="67">
        <v>0</v>
      </c>
      <c r="D551" s="67">
        <v>101</v>
      </c>
      <c r="E551" s="67">
        <v>1</v>
      </c>
      <c r="F551" s="74" t="s">
        <v>140</v>
      </c>
      <c r="G551" s="67" t="s">
        <v>188</v>
      </c>
      <c r="H551" s="67">
        <v>7</v>
      </c>
    </row>
    <row r="552" spans="1:8">
      <c r="A552" s="17">
        <v>551</v>
      </c>
      <c r="B552" s="67">
        <v>501701</v>
      </c>
      <c r="C552" s="67">
        <v>0</v>
      </c>
      <c r="D552" s="67">
        <v>101</v>
      </c>
      <c r="E552" s="67">
        <v>1</v>
      </c>
      <c r="F552" s="74" t="s">
        <v>141</v>
      </c>
      <c r="G552" s="67" t="s">
        <v>188</v>
      </c>
      <c r="H552" s="67">
        <v>7</v>
      </c>
    </row>
    <row r="553" spans="1:8">
      <c r="A553" s="17">
        <v>552</v>
      </c>
      <c r="B553" s="67">
        <v>401901</v>
      </c>
      <c r="C553" s="67">
        <v>0</v>
      </c>
      <c r="D553" s="67">
        <v>101</v>
      </c>
      <c r="E553" s="67">
        <v>1</v>
      </c>
      <c r="F553" s="74" t="s">
        <v>142</v>
      </c>
      <c r="G553" s="67" t="s">
        <v>188</v>
      </c>
      <c r="H553" s="67">
        <v>7</v>
      </c>
    </row>
    <row r="554" spans="1:8">
      <c r="A554" s="17">
        <v>553</v>
      </c>
      <c r="B554" s="67">
        <v>302401</v>
      </c>
      <c r="C554" s="67">
        <v>0</v>
      </c>
      <c r="D554" s="67">
        <v>101</v>
      </c>
      <c r="E554" s="67">
        <v>1</v>
      </c>
      <c r="F554" s="74" t="s">
        <v>143</v>
      </c>
      <c r="G554" s="67" t="s">
        <v>188</v>
      </c>
      <c r="H554" s="67">
        <v>7</v>
      </c>
    </row>
    <row r="555" spans="1:8" s="15" customFormat="1">
      <c r="A555" s="17">
        <v>554</v>
      </c>
      <c r="B555" s="40">
        <v>401801</v>
      </c>
      <c r="C555" s="75">
        <v>0</v>
      </c>
      <c r="D555" s="75">
        <v>101</v>
      </c>
      <c r="E555" s="75">
        <v>1</v>
      </c>
      <c r="F555" s="76" t="s">
        <v>144</v>
      </c>
      <c r="G555" s="75" t="s">
        <v>188</v>
      </c>
      <c r="H555" s="75">
        <v>7</v>
      </c>
    </row>
    <row r="556" spans="1:8" s="15" customFormat="1">
      <c r="A556" s="17">
        <v>555</v>
      </c>
      <c r="B556" s="40">
        <v>501801</v>
      </c>
      <c r="C556" s="75">
        <v>0</v>
      </c>
      <c r="D556" s="75">
        <v>101</v>
      </c>
      <c r="E556" s="75">
        <v>1</v>
      </c>
      <c r="F556" s="76" t="s">
        <v>145</v>
      </c>
      <c r="G556" s="75" t="s">
        <v>188</v>
      </c>
      <c r="H556" s="75">
        <v>7</v>
      </c>
    </row>
    <row r="557" spans="1:8">
      <c r="A557" s="17">
        <v>556</v>
      </c>
      <c r="B557" s="67">
        <v>600101</v>
      </c>
      <c r="C557" s="67">
        <v>0</v>
      </c>
      <c r="D557" s="67">
        <v>101</v>
      </c>
      <c r="E557" s="67">
        <v>1</v>
      </c>
      <c r="F557" s="74" t="s">
        <v>147</v>
      </c>
      <c r="G557" s="67" t="s">
        <v>188</v>
      </c>
      <c r="H557" s="67">
        <v>3</v>
      </c>
    </row>
    <row r="558" spans="1:8">
      <c r="A558" s="17">
        <v>557</v>
      </c>
      <c r="B558" s="67">
        <v>600201</v>
      </c>
      <c r="C558" s="67">
        <v>0</v>
      </c>
      <c r="D558" s="67">
        <v>101</v>
      </c>
      <c r="E558" s="67">
        <v>1</v>
      </c>
      <c r="F558" s="74" t="s">
        <v>148</v>
      </c>
      <c r="G558" s="67" t="s">
        <v>188</v>
      </c>
      <c r="H558" s="67">
        <v>3</v>
      </c>
    </row>
    <row r="559" spans="1:8">
      <c r="A559" s="17">
        <v>558</v>
      </c>
      <c r="B559" s="77">
        <v>300701</v>
      </c>
      <c r="C559" s="77">
        <v>6000</v>
      </c>
      <c r="D559" s="77">
        <v>102</v>
      </c>
      <c r="E559" s="77">
        <v>1</v>
      </c>
      <c r="F559" s="78" t="s">
        <v>67</v>
      </c>
      <c r="G559" s="77" t="s">
        <v>157</v>
      </c>
      <c r="H559" s="77">
        <v>6000</v>
      </c>
    </row>
    <row r="560" spans="1:8">
      <c r="A560" s="17">
        <v>559</v>
      </c>
      <c r="B560" s="77">
        <v>200801</v>
      </c>
      <c r="C560" s="77">
        <v>6000</v>
      </c>
      <c r="D560" s="77">
        <v>102</v>
      </c>
      <c r="E560" s="77">
        <v>1</v>
      </c>
      <c r="F560" s="78" t="s">
        <v>68</v>
      </c>
      <c r="G560" s="77" t="s">
        <v>158</v>
      </c>
      <c r="H560" s="77">
        <v>6000</v>
      </c>
    </row>
    <row r="561" spans="1:8">
      <c r="A561" s="17">
        <v>560</v>
      </c>
      <c r="B561" s="77">
        <v>100601</v>
      </c>
      <c r="C561" s="77">
        <v>6000</v>
      </c>
      <c r="D561" s="77">
        <v>102</v>
      </c>
      <c r="E561" s="77">
        <v>1</v>
      </c>
      <c r="F561" s="78" t="s">
        <v>69</v>
      </c>
      <c r="G561" s="77" t="s">
        <v>159</v>
      </c>
      <c r="H561" s="77">
        <v>6000</v>
      </c>
    </row>
    <row r="562" spans="1:8">
      <c r="A562" s="17">
        <v>561</v>
      </c>
      <c r="B562" s="77">
        <v>300401</v>
      </c>
      <c r="C562" s="77">
        <v>6000</v>
      </c>
      <c r="D562" s="77">
        <v>102</v>
      </c>
      <c r="E562" s="77">
        <v>1</v>
      </c>
      <c r="F562" s="78" t="s">
        <v>70</v>
      </c>
      <c r="G562" s="77" t="s">
        <v>160</v>
      </c>
      <c r="H562" s="77">
        <v>6000</v>
      </c>
    </row>
    <row r="563" spans="1:8">
      <c r="A563" s="17">
        <v>562</v>
      </c>
      <c r="B563" s="77">
        <v>100801</v>
      </c>
      <c r="C563" s="77">
        <v>6000</v>
      </c>
      <c r="D563" s="77">
        <v>102</v>
      </c>
      <c r="E563" s="77">
        <v>1</v>
      </c>
      <c r="F563" s="78" t="s">
        <v>71</v>
      </c>
      <c r="G563" s="77" t="s">
        <v>161</v>
      </c>
      <c r="H563" s="77">
        <v>6000</v>
      </c>
    </row>
    <row r="564" spans="1:8">
      <c r="A564" s="17">
        <v>563</v>
      </c>
      <c r="B564" s="77">
        <v>500101</v>
      </c>
      <c r="C564" s="77">
        <v>6000</v>
      </c>
      <c r="D564" s="77">
        <v>102</v>
      </c>
      <c r="E564" s="77">
        <v>1</v>
      </c>
      <c r="F564" s="78" t="s">
        <v>72</v>
      </c>
      <c r="G564" s="77" t="s">
        <v>162</v>
      </c>
      <c r="H564" s="77">
        <v>6000</v>
      </c>
    </row>
    <row r="565" spans="1:8">
      <c r="A565" s="17">
        <v>564</v>
      </c>
      <c r="B565" s="77">
        <v>400101</v>
      </c>
      <c r="C565" s="77">
        <v>2000</v>
      </c>
      <c r="D565" s="77">
        <v>102</v>
      </c>
      <c r="E565" s="77">
        <v>1</v>
      </c>
      <c r="F565" s="78" t="s">
        <v>73</v>
      </c>
      <c r="G565" s="77" t="s">
        <v>163</v>
      </c>
      <c r="H565" s="77">
        <v>2000</v>
      </c>
    </row>
    <row r="566" spans="1:8">
      <c r="A566" s="17">
        <v>565</v>
      </c>
      <c r="B566" s="79">
        <v>200501</v>
      </c>
      <c r="C566" s="77">
        <v>2000</v>
      </c>
      <c r="D566" s="77">
        <v>102</v>
      </c>
      <c r="E566" s="77">
        <v>1</v>
      </c>
      <c r="F566" s="78" t="s">
        <v>74</v>
      </c>
      <c r="G566" s="77" t="s">
        <v>164</v>
      </c>
      <c r="H566" s="77">
        <v>2000</v>
      </c>
    </row>
    <row r="567" spans="1:8">
      <c r="A567" s="17">
        <v>566</v>
      </c>
      <c r="B567" s="77">
        <v>100901</v>
      </c>
      <c r="C567" s="77">
        <v>600</v>
      </c>
      <c r="D567" s="77">
        <v>102</v>
      </c>
      <c r="E567" s="77">
        <v>1</v>
      </c>
      <c r="F567" s="78" t="s">
        <v>75</v>
      </c>
      <c r="G567" s="77" t="s">
        <v>165</v>
      </c>
      <c r="H567" s="77">
        <v>600</v>
      </c>
    </row>
    <row r="568" spans="1:8">
      <c r="A568" s="17">
        <v>567</v>
      </c>
      <c r="B568" s="77">
        <v>101301</v>
      </c>
      <c r="C568" s="77">
        <v>600</v>
      </c>
      <c r="D568" s="77">
        <v>102</v>
      </c>
      <c r="E568" s="77">
        <v>1</v>
      </c>
      <c r="F568" s="78" t="s">
        <v>76</v>
      </c>
      <c r="G568" s="77" t="s">
        <v>166</v>
      </c>
      <c r="H568" s="77">
        <v>600</v>
      </c>
    </row>
    <row r="569" spans="1:8">
      <c r="A569" s="17">
        <v>568</v>
      </c>
      <c r="B569" s="77">
        <v>500401</v>
      </c>
      <c r="C569" s="77">
        <v>300</v>
      </c>
      <c r="D569" s="77">
        <v>102</v>
      </c>
      <c r="E569" s="77">
        <v>1</v>
      </c>
      <c r="F569" s="78" t="s">
        <v>77</v>
      </c>
      <c r="G569" s="77" t="s">
        <v>167</v>
      </c>
      <c r="H569" s="77">
        <v>250</v>
      </c>
    </row>
    <row r="570" spans="1:8">
      <c r="A570" s="17">
        <v>569</v>
      </c>
      <c r="B570" s="77">
        <v>500501</v>
      </c>
      <c r="C570" s="77">
        <v>300</v>
      </c>
      <c r="D570" s="77">
        <v>102</v>
      </c>
      <c r="E570" s="77">
        <v>1</v>
      </c>
      <c r="F570" s="78" t="s">
        <v>78</v>
      </c>
      <c r="G570" s="77" t="s">
        <v>168</v>
      </c>
      <c r="H570" s="77">
        <v>250</v>
      </c>
    </row>
    <row r="571" spans="1:8">
      <c r="A571" s="17">
        <v>570</v>
      </c>
      <c r="B571" s="77">
        <v>201101</v>
      </c>
      <c r="C571" s="77">
        <v>600</v>
      </c>
      <c r="D571" s="77">
        <v>102</v>
      </c>
      <c r="E571" s="77">
        <v>1</v>
      </c>
      <c r="F571" s="78" t="s">
        <v>79</v>
      </c>
      <c r="G571" s="77" t="s">
        <v>169</v>
      </c>
      <c r="H571" s="77">
        <v>600</v>
      </c>
    </row>
    <row r="572" spans="1:8">
      <c r="A572" s="17">
        <v>571</v>
      </c>
      <c r="B572" s="77">
        <v>301001</v>
      </c>
      <c r="C572" s="77">
        <v>600</v>
      </c>
      <c r="D572" s="77">
        <v>102</v>
      </c>
      <c r="E572" s="77">
        <v>1</v>
      </c>
      <c r="F572" s="78" t="s">
        <v>80</v>
      </c>
      <c r="G572" s="77" t="s">
        <v>170</v>
      </c>
      <c r="H572" s="77">
        <v>600</v>
      </c>
    </row>
    <row r="573" spans="1:8">
      <c r="A573" s="17">
        <v>572</v>
      </c>
      <c r="B573" s="77">
        <v>400501</v>
      </c>
      <c r="C573" s="77">
        <v>300</v>
      </c>
      <c r="D573" s="77">
        <v>102</v>
      </c>
      <c r="E573" s="77">
        <v>1</v>
      </c>
      <c r="F573" s="78" t="s">
        <v>81</v>
      </c>
      <c r="G573" s="77" t="s">
        <v>171</v>
      </c>
      <c r="H573" s="77">
        <v>250</v>
      </c>
    </row>
    <row r="574" spans="1:8">
      <c r="A574" s="17">
        <v>573</v>
      </c>
      <c r="B574" s="77">
        <v>200901</v>
      </c>
      <c r="C574" s="77">
        <v>600</v>
      </c>
      <c r="D574" s="77">
        <v>102</v>
      </c>
      <c r="E574" s="77">
        <v>1</v>
      </c>
      <c r="F574" s="78" t="s">
        <v>82</v>
      </c>
      <c r="G574" s="77" t="s">
        <v>172</v>
      </c>
      <c r="H574" s="77">
        <v>600</v>
      </c>
    </row>
    <row r="575" spans="1:8">
      <c r="A575" s="17">
        <v>574</v>
      </c>
      <c r="B575" s="77">
        <v>201301</v>
      </c>
      <c r="C575" s="77">
        <v>600</v>
      </c>
      <c r="D575" s="77">
        <v>102</v>
      </c>
      <c r="E575" s="77">
        <v>1</v>
      </c>
      <c r="F575" s="78" t="s">
        <v>60</v>
      </c>
      <c r="G575" s="77" t="s">
        <v>150</v>
      </c>
      <c r="H575" s="77">
        <v>600</v>
      </c>
    </row>
    <row r="576" spans="1:8">
      <c r="A576" s="17">
        <v>575</v>
      </c>
      <c r="B576" s="77">
        <v>500301</v>
      </c>
      <c r="C576" s="77">
        <v>300</v>
      </c>
      <c r="D576" s="77">
        <v>102</v>
      </c>
      <c r="E576" s="77">
        <v>1</v>
      </c>
      <c r="F576" s="78" t="s">
        <v>83</v>
      </c>
      <c r="G576" s="77" t="s">
        <v>173</v>
      </c>
      <c r="H576" s="77">
        <v>250</v>
      </c>
    </row>
    <row r="577" spans="1:8">
      <c r="A577" s="17">
        <v>576</v>
      </c>
      <c r="B577" s="77">
        <v>400301</v>
      </c>
      <c r="C577" s="77">
        <v>300</v>
      </c>
      <c r="D577" s="77">
        <v>102</v>
      </c>
      <c r="E577" s="77">
        <v>1</v>
      </c>
      <c r="F577" s="78" t="s">
        <v>84</v>
      </c>
      <c r="G577" s="77" t="s">
        <v>174</v>
      </c>
      <c r="H577" s="77">
        <v>250</v>
      </c>
    </row>
    <row r="578" spans="1:8">
      <c r="A578" s="17">
        <v>577</v>
      </c>
      <c r="B578" s="77">
        <v>301201</v>
      </c>
      <c r="C578" s="77">
        <v>600</v>
      </c>
      <c r="D578" s="77">
        <v>102</v>
      </c>
      <c r="E578" s="77">
        <v>1</v>
      </c>
      <c r="F578" s="78" t="s">
        <v>85</v>
      </c>
      <c r="G578" s="77" t="s">
        <v>175</v>
      </c>
      <c r="H578" s="77">
        <v>600</v>
      </c>
    </row>
    <row r="579" spans="1:8">
      <c r="A579" s="17">
        <v>578</v>
      </c>
      <c r="B579" s="77">
        <v>400401</v>
      </c>
      <c r="C579" s="77">
        <v>300</v>
      </c>
      <c r="D579" s="77">
        <v>102</v>
      </c>
      <c r="E579" s="77">
        <v>1</v>
      </c>
      <c r="F579" s="78" t="s">
        <v>86</v>
      </c>
      <c r="G579" s="77" t="s">
        <v>176</v>
      </c>
      <c r="H579" s="77">
        <v>250</v>
      </c>
    </row>
    <row r="580" spans="1:8">
      <c r="A580" s="17">
        <v>579</v>
      </c>
      <c r="B580" s="80">
        <v>101101</v>
      </c>
      <c r="C580" s="77">
        <v>600</v>
      </c>
      <c r="D580" s="77">
        <v>102</v>
      </c>
      <c r="E580" s="77">
        <v>1</v>
      </c>
      <c r="F580" s="78" t="s">
        <v>87</v>
      </c>
      <c r="G580" s="77" t="s">
        <v>177</v>
      </c>
      <c r="H580" s="77">
        <v>600</v>
      </c>
    </row>
    <row r="581" spans="1:8">
      <c r="A581" s="17">
        <v>580</v>
      </c>
      <c r="B581" s="80">
        <v>101201</v>
      </c>
      <c r="C581" s="77">
        <v>600</v>
      </c>
      <c r="D581" s="77">
        <v>102</v>
      </c>
      <c r="E581" s="77">
        <v>1</v>
      </c>
      <c r="F581" s="78" t="s">
        <v>88</v>
      </c>
      <c r="G581" s="77" t="s">
        <v>178</v>
      </c>
      <c r="H581" s="77">
        <v>600</v>
      </c>
    </row>
    <row r="582" spans="1:8">
      <c r="A582" s="17">
        <v>581</v>
      </c>
      <c r="B582" s="77">
        <v>301101</v>
      </c>
      <c r="C582" s="77">
        <v>600</v>
      </c>
      <c r="D582" s="77">
        <v>102</v>
      </c>
      <c r="E582" s="77">
        <v>1</v>
      </c>
      <c r="F582" s="78" t="s">
        <v>89</v>
      </c>
      <c r="G582" s="77" t="s">
        <v>179</v>
      </c>
      <c r="H582" s="77">
        <v>600</v>
      </c>
    </row>
    <row r="583" spans="1:8">
      <c r="A583" s="17">
        <v>582</v>
      </c>
      <c r="B583" s="77">
        <v>102201</v>
      </c>
      <c r="C583" s="77">
        <v>260</v>
      </c>
      <c r="D583" s="77">
        <v>102</v>
      </c>
      <c r="E583" s="77">
        <v>1</v>
      </c>
      <c r="F583" s="78" t="s">
        <v>90</v>
      </c>
      <c r="G583" s="77" t="s">
        <v>180</v>
      </c>
      <c r="H583" s="77">
        <v>270</v>
      </c>
    </row>
    <row r="584" spans="1:8">
      <c r="A584" s="17">
        <v>583</v>
      </c>
      <c r="B584" s="77">
        <v>101401</v>
      </c>
      <c r="C584" s="77">
        <v>140</v>
      </c>
      <c r="D584" s="77">
        <v>102</v>
      </c>
      <c r="E584" s="77">
        <v>1</v>
      </c>
      <c r="F584" s="78" t="s">
        <v>91</v>
      </c>
      <c r="G584" s="77" t="s">
        <v>181</v>
      </c>
      <c r="H584" s="77">
        <v>100</v>
      </c>
    </row>
    <row r="585" spans="1:8">
      <c r="A585" s="17">
        <v>584</v>
      </c>
      <c r="B585" s="79">
        <v>101801</v>
      </c>
      <c r="C585" s="77">
        <v>160</v>
      </c>
      <c r="D585" s="77">
        <v>102</v>
      </c>
      <c r="E585" s="77">
        <v>1</v>
      </c>
      <c r="F585" s="78" t="s">
        <v>92</v>
      </c>
      <c r="G585" s="77" t="s">
        <v>182</v>
      </c>
      <c r="H585" s="77">
        <v>100</v>
      </c>
    </row>
    <row r="586" spans="1:8">
      <c r="A586" s="17">
        <v>585</v>
      </c>
      <c r="B586" s="79">
        <v>102001</v>
      </c>
      <c r="C586" s="77">
        <v>0</v>
      </c>
      <c r="D586" s="77">
        <v>102</v>
      </c>
      <c r="E586" s="77">
        <v>1</v>
      </c>
      <c r="F586" s="78" t="s">
        <v>93</v>
      </c>
      <c r="G586" s="77" t="s">
        <v>183</v>
      </c>
      <c r="H586" s="77">
        <v>30</v>
      </c>
    </row>
    <row r="587" spans="1:8">
      <c r="A587" s="17">
        <v>586</v>
      </c>
      <c r="B587" s="79">
        <v>102101</v>
      </c>
      <c r="C587" s="77">
        <v>70</v>
      </c>
      <c r="D587" s="77">
        <v>102</v>
      </c>
      <c r="E587" s="77">
        <v>1</v>
      </c>
      <c r="F587" s="78" t="s">
        <v>94</v>
      </c>
      <c r="G587" s="77" t="s">
        <v>184</v>
      </c>
      <c r="H587" s="77">
        <v>30</v>
      </c>
    </row>
    <row r="588" spans="1:8">
      <c r="A588" s="17">
        <v>587</v>
      </c>
      <c r="B588" s="77">
        <v>101601</v>
      </c>
      <c r="C588" s="77">
        <v>0</v>
      </c>
      <c r="D588" s="77">
        <v>102</v>
      </c>
      <c r="E588" s="77">
        <v>1</v>
      </c>
      <c r="F588" s="78" t="s">
        <v>95</v>
      </c>
      <c r="G588" s="77" t="s">
        <v>185</v>
      </c>
      <c r="H588" s="77">
        <v>100</v>
      </c>
    </row>
    <row r="589" spans="1:8">
      <c r="A589" s="17">
        <v>588</v>
      </c>
      <c r="B589" s="80">
        <v>101501</v>
      </c>
      <c r="C589" s="77">
        <v>260</v>
      </c>
      <c r="D589" s="77">
        <v>102</v>
      </c>
      <c r="E589" s="77">
        <v>1</v>
      </c>
      <c r="F589" s="78" t="s">
        <v>96</v>
      </c>
      <c r="G589" s="77" t="s">
        <v>186</v>
      </c>
      <c r="H589" s="77">
        <v>270</v>
      </c>
    </row>
    <row r="590" spans="1:8">
      <c r="A590" s="17">
        <v>589</v>
      </c>
      <c r="B590" s="80">
        <v>101701</v>
      </c>
      <c r="C590" s="77">
        <v>50</v>
      </c>
      <c r="D590" s="77">
        <v>102</v>
      </c>
      <c r="E590" s="77">
        <v>1</v>
      </c>
      <c r="F590" s="78" t="s">
        <v>97</v>
      </c>
      <c r="G590" s="77" t="s">
        <v>187</v>
      </c>
      <c r="H590" s="77">
        <v>30</v>
      </c>
    </row>
    <row r="591" spans="1:8">
      <c r="A591" s="17">
        <v>590</v>
      </c>
      <c r="B591" s="77">
        <v>301401</v>
      </c>
      <c r="C591" s="77">
        <v>0</v>
      </c>
      <c r="D591" s="77">
        <v>102</v>
      </c>
      <c r="E591" s="77">
        <v>1</v>
      </c>
      <c r="F591" s="78" t="s">
        <v>99</v>
      </c>
      <c r="G591" s="77" t="s">
        <v>189</v>
      </c>
      <c r="H591" s="77">
        <v>40</v>
      </c>
    </row>
    <row r="592" spans="1:8">
      <c r="A592" s="17">
        <v>591</v>
      </c>
      <c r="B592" s="77">
        <v>301701</v>
      </c>
      <c r="C592" s="77">
        <v>150</v>
      </c>
      <c r="D592" s="77">
        <v>102</v>
      </c>
      <c r="E592" s="77">
        <v>1</v>
      </c>
      <c r="F592" s="78" t="s">
        <v>100</v>
      </c>
      <c r="G592" s="77" t="s">
        <v>190</v>
      </c>
      <c r="H592" s="77">
        <v>185</v>
      </c>
    </row>
    <row r="593" spans="1:8">
      <c r="A593" s="17">
        <v>592</v>
      </c>
      <c r="B593" s="77">
        <v>301601</v>
      </c>
      <c r="C593" s="77">
        <v>0</v>
      </c>
      <c r="D593" s="77">
        <v>102</v>
      </c>
      <c r="E593" s="77">
        <v>1</v>
      </c>
      <c r="F593" s="78" t="s">
        <v>101</v>
      </c>
      <c r="G593" s="77" t="s">
        <v>191</v>
      </c>
      <c r="H593" s="77">
        <v>15</v>
      </c>
    </row>
    <row r="594" spans="1:8">
      <c r="A594" s="17">
        <v>593</v>
      </c>
      <c r="B594" s="80">
        <v>301801</v>
      </c>
      <c r="C594" s="77">
        <v>260</v>
      </c>
      <c r="D594" s="77">
        <v>102</v>
      </c>
      <c r="E594" s="77">
        <v>1</v>
      </c>
      <c r="F594" s="78" t="s">
        <v>102</v>
      </c>
      <c r="G594" s="77" t="s">
        <v>192</v>
      </c>
      <c r="H594" s="77">
        <v>200</v>
      </c>
    </row>
    <row r="595" spans="1:8">
      <c r="A595" s="17">
        <v>594</v>
      </c>
      <c r="B595" s="80">
        <v>302001</v>
      </c>
      <c r="C595" s="77">
        <v>0</v>
      </c>
      <c r="D595" s="77">
        <v>102</v>
      </c>
      <c r="E595" s="77">
        <v>1</v>
      </c>
      <c r="F595" s="78" t="s">
        <v>103</v>
      </c>
      <c r="G595" s="77" t="s">
        <v>193</v>
      </c>
      <c r="H595" s="77">
        <v>15</v>
      </c>
    </row>
    <row r="596" spans="1:8">
      <c r="A596" s="17">
        <v>595</v>
      </c>
      <c r="B596" s="77">
        <v>302101</v>
      </c>
      <c r="C596" s="77">
        <v>0</v>
      </c>
      <c r="D596" s="77">
        <v>102</v>
      </c>
      <c r="E596" s="77">
        <v>1</v>
      </c>
      <c r="F596" s="78" t="s">
        <v>104</v>
      </c>
      <c r="G596" s="77" t="s">
        <v>194</v>
      </c>
      <c r="H596" s="77">
        <v>160</v>
      </c>
    </row>
    <row r="597" spans="1:8">
      <c r="A597" s="17">
        <v>596</v>
      </c>
      <c r="B597" s="77">
        <v>301901</v>
      </c>
      <c r="C597" s="77">
        <v>270</v>
      </c>
      <c r="D597" s="77">
        <v>102</v>
      </c>
      <c r="E597" s="77">
        <v>1</v>
      </c>
      <c r="F597" s="78" t="s">
        <v>105</v>
      </c>
      <c r="G597" s="77" t="s">
        <v>195</v>
      </c>
      <c r="H597" s="77">
        <v>200</v>
      </c>
    </row>
    <row r="598" spans="1:8">
      <c r="A598" s="17">
        <v>597</v>
      </c>
      <c r="B598" s="77">
        <v>302201</v>
      </c>
      <c r="C598" s="77">
        <v>150</v>
      </c>
      <c r="D598" s="77">
        <v>102</v>
      </c>
      <c r="E598" s="77">
        <v>1</v>
      </c>
      <c r="F598" s="78" t="s">
        <v>106</v>
      </c>
      <c r="G598" s="77" t="s">
        <v>196</v>
      </c>
      <c r="H598" s="77">
        <v>40</v>
      </c>
    </row>
    <row r="599" spans="1:8">
      <c r="A599" s="17">
        <v>598</v>
      </c>
      <c r="B599" s="77">
        <v>301501</v>
      </c>
      <c r="C599" s="77">
        <v>120</v>
      </c>
      <c r="D599" s="77">
        <v>102</v>
      </c>
      <c r="E599" s="77">
        <v>1</v>
      </c>
      <c r="F599" s="78" t="s">
        <v>107</v>
      </c>
      <c r="G599" s="77" t="s">
        <v>197</v>
      </c>
      <c r="H599" s="77">
        <v>40</v>
      </c>
    </row>
    <row r="600" spans="1:8">
      <c r="A600" s="17">
        <v>599</v>
      </c>
      <c r="B600" s="77">
        <v>201401</v>
      </c>
      <c r="C600" s="77">
        <v>220</v>
      </c>
      <c r="D600" s="77">
        <v>102</v>
      </c>
      <c r="E600" s="77">
        <v>1</v>
      </c>
      <c r="F600" s="78" t="s">
        <v>108</v>
      </c>
      <c r="G600" s="77" t="s">
        <v>198</v>
      </c>
      <c r="H600" s="77">
        <v>215</v>
      </c>
    </row>
    <row r="601" spans="1:8">
      <c r="A601" s="17">
        <v>600</v>
      </c>
      <c r="B601" s="77">
        <v>202001</v>
      </c>
      <c r="C601" s="77">
        <v>100</v>
      </c>
      <c r="D601" s="77">
        <v>102</v>
      </c>
      <c r="E601" s="77">
        <v>1</v>
      </c>
      <c r="F601" s="78" t="s">
        <v>109</v>
      </c>
      <c r="G601" s="77" t="s">
        <v>199</v>
      </c>
      <c r="H601" s="77">
        <v>50</v>
      </c>
    </row>
    <row r="602" spans="1:8">
      <c r="A602" s="17">
        <v>601</v>
      </c>
      <c r="B602" s="80">
        <v>201601</v>
      </c>
      <c r="C602" s="77">
        <v>220</v>
      </c>
      <c r="D602" s="77">
        <v>102</v>
      </c>
      <c r="E602" s="77">
        <v>1</v>
      </c>
      <c r="F602" s="78" t="s">
        <v>110</v>
      </c>
      <c r="G602" s="77" t="s">
        <v>200</v>
      </c>
      <c r="H602" s="77">
        <v>215</v>
      </c>
    </row>
    <row r="603" spans="1:8">
      <c r="A603" s="17">
        <v>602</v>
      </c>
      <c r="B603" s="77">
        <v>202101</v>
      </c>
      <c r="C603" s="77">
        <v>60</v>
      </c>
      <c r="D603" s="77">
        <v>102</v>
      </c>
      <c r="E603" s="77">
        <v>1</v>
      </c>
      <c r="F603" s="78" t="s">
        <v>111</v>
      </c>
      <c r="G603" s="77" t="s">
        <v>201</v>
      </c>
      <c r="H603" s="77">
        <v>50</v>
      </c>
    </row>
    <row r="604" spans="1:8">
      <c r="A604" s="17">
        <v>603</v>
      </c>
      <c r="B604" s="77">
        <v>202201</v>
      </c>
      <c r="C604" s="77">
        <v>220</v>
      </c>
      <c r="D604" s="77">
        <v>102</v>
      </c>
      <c r="E604" s="77">
        <v>1</v>
      </c>
      <c r="F604" s="78" t="s">
        <v>112</v>
      </c>
      <c r="G604" s="77" t="s">
        <v>202</v>
      </c>
      <c r="H604" s="77">
        <v>215</v>
      </c>
    </row>
    <row r="605" spans="1:8">
      <c r="A605" s="17">
        <v>604</v>
      </c>
      <c r="B605" s="79">
        <v>201801</v>
      </c>
      <c r="C605" s="77">
        <v>0</v>
      </c>
      <c r="D605" s="77">
        <v>102</v>
      </c>
      <c r="E605" s="77">
        <v>1</v>
      </c>
      <c r="F605" s="78" t="s">
        <v>113</v>
      </c>
      <c r="G605" s="77" t="s">
        <v>203</v>
      </c>
      <c r="H605" s="77">
        <v>15</v>
      </c>
    </row>
    <row r="606" spans="1:8">
      <c r="A606" s="17">
        <v>605</v>
      </c>
      <c r="B606" s="77">
        <v>201701</v>
      </c>
      <c r="C606" s="77">
        <v>80</v>
      </c>
      <c r="D606" s="77">
        <v>102</v>
      </c>
      <c r="E606" s="77">
        <v>1</v>
      </c>
      <c r="F606" s="78" t="s">
        <v>114</v>
      </c>
      <c r="G606" s="77" t="s">
        <v>204</v>
      </c>
      <c r="H606" s="77">
        <v>50</v>
      </c>
    </row>
    <row r="607" spans="1:8">
      <c r="A607" s="17">
        <v>606</v>
      </c>
      <c r="B607" s="79">
        <v>201501</v>
      </c>
      <c r="C607" s="77">
        <v>130</v>
      </c>
      <c r="D607" s="77">
        <v>102</v>
      </c>
      <c r="E607" s="77">
        <v>1</v>
      </c>
      <c r="F607" s="78" t="s">
        <v>115</v>
      </c>
      <c r="G607" s="77" t="s">
        <v>205</v>
      </c>
      <c r="H607" s="77">
        <v>190</v>
      </c>
    </row>
    <row r="608" spans="1:8">
      <c r="A608" s="17">
        <v>607</v>
      </c>
      <c r="B608" s="80">
        <v>202401</v>
      </c>
      <c r="C608" s="77">
        <v>70</v>
      </c>
      <c r="D608" s="77">
        <v>102</v>
      </c>
      <c r="E608" s="77">
        <v>1</v>
      </c>
      <c r="F608" s="78" t="s">
        <v>116</v>
      </c>
      <c r="G608" s="77" t="s">
        <v>206</v>
      </c>
      <c r="H608" s="77">
        <v>50</v>
      </c>
    </row>
    <row r="609" spans="1:8">
      <c r="A609" s="17">
        <v>608</v>
      </c>
      <c r="B609" s="77">
        <v>202301</v>
      </c>
      <c r="C609" s="77">
        <v>60</v>
      </c>
      <c r="D609" s="77">
        <v>102</v>
      </c>
      <c r="E609" s="77">
        <v>1</v>
      </c>
      <c r="F609" s="78" t="s">
        <v>117</v>
      </c>
      <c r="G609" s="77" t="s">
        <v>188</v>
      </c>
      <c r="H609" s="77">
        <v>15</v>
      </c>
    </row>
    <row r="610" spans="1:8">
      <c r="A610" s="17">
        <v>609</v>
      </c>
      <c r="B610" s="79">
        <v>501201</v>
      </c>
      <c r="C610" s="77">
        <v>50</v>
      </c>
      <c r="D610" s="77">
        <v>102</v>
      </c>
      <c r="E610" s="77">
        <v>1</v>
      </c>
      <c r="F610" s="78" t="s">
        <v>118</v>
      </c>
      <c r="G610" s="77" t="s">
        <v>207</v>
      </c>
      <c r="H610" s="77">
        <v>75</v>
      </c>
    </row>
    <row r="611" spans="1:8">
      <c r="A611" s="17">
        <v>610</v>
      </c>
      <c r="B611" s="79">
        <v>500701</v>
      </c>
      <c r="C611" s="77">
        <v>0</v>
      </c>
      <c r="D611" s="77">
        <v>102</v>
      </c>
      <c r="E611" s="77">
        <v>1</v>
      </c>
      <c r="F611" s="78" t="s">
        <v>119</v>
      </c>
      <c r="G611" s="77" t="s">
        <v>208</v>
      </c>
      <c r="H611" s="77">
        <v>7</v>
      </c>
    </row>
    <row r="612" spans="1:8">
      <c r="A612" s="17">
        <v>611</v>
      </c>
      <c r="B612" s="79">
        <v>400701</v>
      </c>
      <c r="C612" s="77">
        <v>0</v>
      </c>
      <c r="D612" s="77">
        <v>102</v>
      </c>
      <c r="E612" s="77">
        <v>1</v>
      </c>
      <c r="F612" s="78" t="s">
        <v>120</v>
      </c>
      <c r="G612" s="77" t="s">
        <v>209</v>
      </c>
      <c r="H612" s="77">
        <v>7</v>
      </c>
    </row>
    <row r="613" spans="1:8">
      <c r="A613" s="17">
        <v>612</v>
      </c>
      <c r="B613" s="79">
        <v>401201</v>
      </c>
      <c r="C613" s="77">
        <v>0</v>
      </c>
      <c r="D613" s="77">
        <v>102</v>
      </c>
      <c r="E613" s="77">
        <v>1</v>
      </c>
      <c r="F613" s="78" t="s">
        <v>121</v>
      </c>
      <c r="G613" s="77" t="s">
        <v>210</v>
      </c>
      <c r="H613" s="77">
        <v>40</v>
      </c>
    </row>
    <row r="614" spans="1:8">
      <c r="A614" s="17">
        <v>613</v>
      </c>
      <c r="B614" s="79">
        <v>401301</v>
      </c>
      <c r="C614" s="77">
        <v>0</v>
      </c>
      <c r="D614" s="77">
        <v>102</v>
      </c>
      <c r="E614" s="77">
        <v>1</v>
      </c>
      <c r="F614" s="78" t="s">
        <v>122</v>
      </c>
      <c r="G614" s="77" t="s">
        <v>211</v>
      </c>
      <c r="H614" s="77">
        <v>40</v>
      </c>
    </row>
    <row r="615" spans="1:8">
      <c r="A615" s="17">
        <v>614</v>
      </c>
      <c r="B615" s="79">
        <v>400601</v>
      </c>
      <c r="C615" s="77">
        <v>0</v>
      </c>
      <c r="D615" s="77">
        <v>102</v>
      </c>
      <c r="E615" s="77">
        <v>1</v>
      </c>
      <c r="F615" s="78" t="s">
        <v>123</v>
      </c>
      <c r="G615" s="77" t="s">
        <v>212</v>
      </c>
      <c r="H615" s="77">
        <v>7</v>
      </c>
    </row>
    <row r="616" spans="1:8">
      <c r="A616" s="17">
        <v>615</v>
      </c>
      <c r="B616" s="81">
        <v>500601</v>
      </c>
      <c r="C616" s="77">
        <v>0</v>
      </c>
      <c r="D616" s="77">
        <v>102</v>
      </c>
      <c r="E616" s="77">
        <v>1</v>
      </c>
      <c r="F616" s="78" t="s">
        <v>124</v>
      </c>
      <c r="G616" s="77" t="s">
        <v>213</v>
      </c>
      <c r="H616" s="77">
        <v>75</v>
      </c>
    </row>
    <row r="617" spans="1:8">
      <c r="A617" s="17">
        <v>616</v>
      </c>
      <c r="B617" s="77">
        <v>400901</v>
      </c>
      <c r="C617" s="77">
        <v>0</v>
      </c>
      <c r="D617" s="77">
        <v>102</v>
      </c>
      <c r="E617" s="77">
        <v>1</v>
      </c>
      <c r="F617" s="78" t="s">
        <v>125</v>
      </c>
      <c r="G617" s="77" t="s">
        <v>214</v>
      </c>
      <c r="H617" s="77">
        <v>7</v>
      </c>
    </row>
    <row r="618" spans="1:8">
      <c r="A618" s="17">
        <v>617</v>
      </c>
      <c r="B618" s="77">
        <v>501101</v>
      </c>
      <c r="C618" s="77">
        <v>60</v>
      </c>
      <c r="D618" s="77">
        <v>102</v>
      </c>
      <c r="E618" s="77">
        <v>1</v>
      </c>
      <c r="F618" s="78" t="s">
        <v>126</v>
      </c>
      <c r="G618" s="77" t="s">
        <v>215</v>
      </c>
      <c r="H618" s="77">
        <v>150</v>
      </c>
    </row>
    <row r="619" spans="1:8">
      <c r="A619" s="17">
        <v>618</v>
      </c>
      <c r="B619" s="77">
        <v>400801</v>
      </c>
      <c r="C619" s="77">
        <v>50</v>
      </c>
      <c r="D619" s="77">
        <v>102</v>
      </c>
      <c r="E619" s="77">
        <v>1</v>
      </c>
      <c r="F619" s="78" t="s">
        <v>127</v>
      </c>
      <c r="G619" s="77" t="s">
        <v>216</v>
      </c>
      <c r="H619" s="77">
        <v>150</v>
      </c>
    </row>
    <row r="620" spans="1:8">
      <c r="A620" s="17">
        <v>619</v>
      </c>
      <c r="B620" s="77">
        <v>501001</v>
      </c>
      <c r="C620" s="77">
        <v>0</v>
      </c>
      <c r="D620" s="77">
        <v>102</v>
      </c>
      <c r="E620" s="77">
        <v>1</v>
      </c>
      <c r="F620" s="78" t="s">
        <v>128</v>
      </c>
      <c r="G620" s="77" t="s">
        <v>217</v>
      </c>
      <c r="H620" s="77">
        <v>7</v>
      </c>
    </row>
    <row r="621" spans="1:8">
      <c r="A621" s="17">
        <v>620</v>
      </c>
      <c r="B621" s="77">
        <v>500901</v>
      </c>
      <c r="C621" s="77">
        <v>0</v>
      </c>
      <c r="D621" s="77">
        <v>102</v>
      </c>
      <c r="E621" s="77">
        <v>1</v>
      </c>
      <c r="F621" s="82" t="s">
        <v>129</v>
      </c>
      <c r="G621" s="77" t="s">
        <v>218</v>
      </c>
      <c r="H621" s="77">
        <v>7</v>
      </c>
    </row>
    <row r="622" spans="1:8">
      <c r="A622" s="17">
        <v>621</v>
      </c>
      <c r="B622" s="77">
        <v>401401</v>
      </c>
      <c r="C622" s="77">
        <v>0</v>
      </c>
      <c r="D622" s="77">
        <v>102</v>
      </c>
      <c r="E622" s="77">
        <v>1</v>
      </c>
      <c r="F622" s="82" t="s">
        <v>130</v>
      </c>
      <c r="G622" s="77" t="s">
        <v>219</v>
      </c>
      <c r="H622" s="77">
        <v>3</v>
      </c>
    </row>
    <row r="623" spans="1:8">
      <c r="A623" s="17">
        <v>622</v>
      </c>
      <c r="B623" s="77">
        <v>500801</v>
      </c>
      <c r="C623" s="77">
        <v>0</v>
      </c>
      <c r="D623" s="77">
        <v>102</v>
      </c>
      <c r="E623" s="77">
        <v>1</v>
      </c>
      <c r="F623" s="82" t="s">
        <v>131</v>
      </c>
      <c r="G623" s="77" t="s">
        <v>220</v>
      </c>
      <c r="H623" s="77">
        <v>3</v>
      </c>
    </row>
    <row r="624" spans="1:8">
      <c r="A624" s="17">
        <v>623</v>
      </c>
      <c r="B624" s="77">
        <v>401001</v>
      </c>
      <c r="C624" s="77">
        <v>0</v>
      </c>
      <c r="D624" s="77">
        <v>102</v>
      </c>
      <c r="E624" s="77">
        <v>1</v>
      </c>
      <c r="F624" s="82" t="s">
        <v>132</v>
      </c>
      <c r="G624" s="77" t="s">
        <v>221</v>
      </c>
      <c r="H624" s="77">
        <v>3</v>
      </c>
    </row>
    <row r="625" spans="1:8">
      <c r="A625" s="17">
        <v>624</v>
      </c>
      <c r="B625" s="77">
        <v>501301</v>
      </c>
      <c r="C625" s="77">
        <v>0</v>
      </c>
      <c r="D625" s="77">
        <v>102</v>
      </c>
      <c r="E625" s="77">
        <v>1</v>
      </c>
      <c r="F625" s="82" t="s">
        <v>133</v>
      </c>
      <c r="G625" s="77" t="s">
        <v>222</v>
      </c>
      <c r="H625" s="77">
        <v>7</v>
      </c>
    </row>
    <row r="626" spans="1:8">
      <c r="A626" s="17">
        <v>625</v>
      </c>
      <c r="B626" s="77">
        <v>102301</v>
      </c>
      <c r="C626" s="77">
        <v>0</v>
      </c>
      <c r="D626" s="77">
        <v>102</v>
      </c>
      <c r="E626" s="77">
        <v>1</v>
      </c>
      <c r="F626" s="82" t="s">
        <v>98</v>
      </c>
      <c r="G626" s="77" t="s">
        <v>188</v>
      </c>
      <c r="H626" s="77">
        <v>15</v>
      </c>
    </row>
    <row r="627" spans="1:8">
      <c r="A627" s="17">
        <v>626</v>
      </c>
      <c r="B627" s="77">
        <v>501401</v>
      </c>
      <c r="C627" s="77">
        <v>0</v>
      </c>
      <c r="D627" s="77">
        <v>102</v>
      </c>
      <c r="E627" s="77">
        <v>1</v>
      </c>
      <c r="F627" s="82" t="s">
        <v>134</v>
      </c>
      <c r="G627" s="77" t="s">
        <v>188</v>
      </c>
      <c r="H627" s="77">
        <v>15</v>
      </c>
    </row>
    <row r="628" spans="1:8">
      <c r="A628" s="17">
        <v>627</v>
      </c>
      <c r="B628" s="77">
        <v>302301</v>
      </c>
      <c r="C628" s="77">
        <v>0</v>
      </c>
      <c r="D628" s="77">
        <v>102</v>
      </c>
      <c r="E628" s="77">
        <v>1</v>
      </c>
      <c r="F628" s="82" t="s">
        <v>135</v>
      </c>
      <c r="G628" s="83" t="s">
        <v>93</v>
      </c>
      <c r="H628" s="77">
        <v>15</v>
      </c>
    </row>
    <row r="629" spans="1:8">
      <c r="A629" s="17">
        <v>628</v>
      </c>
      <c r="B629" s="77">
        <v>501501</v>
      </c>
      <c r="C629" s="77">
        <v>0</v>
      </c>
      <c r="D629" s="77">
        <v>102</v>
      </c>
      <c r="E629" s="77">
        <v>1</v>
      </c>
      <c r="F629" s="84" t="s">
        <v>146</v>
      </c>
      <c r="G629" s="85" t="s">
        <v>188</v>
      </c>
      <c r="H629" s="77">
        <v>7</v>
      </c>
    </row>
    <row r="630" spans="1:8">
      <c r="A630" s="17">
        <v>629</v>
      </c>
      <c r="B630" s="77">
        <v>501601</v>
      </c>
      <c r="C630" s="77">
        <v>0</v>
      </c>
      <c r="D630" s="77">
        <v>102</v>
      </c>
      <c r="E630" s="77">
        <v>1</v>
      </c>
      <c r="F630" s="84" t="s">
        <v>137</v>
      </c>
      <c r="G630" s="85" t="s">
        <v>188</v>
      </c>
      <c r="H630" s="77">
        <v>7</v>
      </c>
    </row>
    <row r="631" spans="1:8">
      <c r="A631" s="17">
        <v>630</v>
      </c>
      <c r="B631" s="77">
        <v>401501</v>
      </c>
      <c r="C631" s="77">
        <v>0</v>
      </c>
      <c r="D631" s="77">
        <v>102</v>
      </c>
      <c r="E631" s="77">
        <v>1</v>
      </c>
      <c r="F631" s="84" t="s">
        <v>138</v>
      </c>
      <c r="G631" s="85" t="s">
        <v>188</v>
      </c>
      <c r="H631" s="77">
        <v>7</v>
      </c>
    </row>
    <row r="632" spans="1:8">
      <c r="A632" s="17">
        <v>631</v>
      </c>
      <c r="B632" s="77">
        <v>401601</v>
      </c>
      <c r="C632" s="77">
        <v>0</v>
      </c>
      <c r="D632" s="77">
        <v>102</v>
      </c>
      <c r="E632" s="77">
        <v>1</v>
      </c>
      <c r="F632" s="84" t="s">
        <v>139</v>
      </c>
      <c r="G632" s="85" t="s">
        <v>188</v>
      </c>
      <c r="H632" s="77">
        <v>3</v>
      </c>
    </row>
    <row r="633" spans="1:8">
      <c r="A633" s="17">
        <v>632</v>
      </c>
      <c r="B633" s="77">
        <v>401701</v>
      </c>
      <c r="C633" s="77">
        <v>0</v>
      </c>
      <c r="D633" s="77">
        <v>102</v>
      </c>
      <c r="E633" s="77">
        <v>1</v>
      </c>
      <c r="F633" s="84" t="s">
        <v>140</v>
      </c>
      <c r="G633" s="85" t="s">
        <v>188</v>
      </c>
      <c r="H633" s="77">
        <v>7</v>
      </c>
    </row>
    <row r="634" spans="1:8">
      <c r="A634" s="17">
        <v>633</v>
      </c>
      <c r="B634" s="77">
        <v>501701</v>
      </c>
      <c r="C634" s="77">
        <v>0</v>
      </c>
      <c r="D634" s="77">
        <v>102</v>
      </c>
      <c r="E634" s="77">
        <v>1</v>
      </c>
      <c r="F634" s="84" t="s">
        <v>141</v>
      </c>
      <c r="G634" s="85" t="s">
        <v>188</v>
      </c>
      <c r="H634" s="77">
        <v>7</v>
      </c>
    </row>
    <row r="635" spans="1:8">
      <c r="A635" s="17">
        <v>634</v>
      </c>
      <c r="B635" s="77">
        <v>401901</v>
      </c>
      <c r="C635" s="77">
        <v>0</v>
      </c>
      <c r="D635" s="77">
        <v>102</v>
      </c>
      <c r="E635" s="77">
        <v>1</v>
      </c>
      <c r="F635" s="84" t="s">
        <v>142</v>
      </c>
      <c r="G635" s="85" t="s">
        <v>188</v>
      </c>
      <c r="H635" s="77">
        <v>3</v>
      </c>
    </row>
    <row r="636" spans="1:8">
      <c r="A636" s="17">
        <v>635</v>
      </c>
      <c r="B636" s="77">
        <v>302401</v>
      </c>
      <c r="C636" s="77">
        <v>0</v>
      </c>
      <c r="D636" s="77">
        <v>102</v>
      </c>
      <c r="E636" s="77">
        <v>1</v>
      </c>
      <c r="F636" s="84" t="s">
        <v>143</v>
      </c>
      <c r="G636" s="85" t="s">
        <v>188</v>
      </c>
      <c r="H636" s="77">
        <v>3</v>
      </c>
    </row>
    <row r="637" spans="1:8" s="15" customFormat="1">
      <c r="A637" s="17">
        <v>636</v>
      </c>
      <c r="B637" s="40">
        <v>401801</v>
      </c>
      <c r="C637" s="75">
        <v>0</v>
      </c>
      <c r="D637" s="75">
        <v>102</v>
      </c>
      <c r="E637" s="75">
        <v>1</v>
      </c>
      <c r="F637" s="76" t="s">
        <v>144</v>
      </c>
      <c r="G637" s="86" t="s">
        <v>188</v>
      </c>
      <c r="H637" s="75">
        <v>3</v>
      </c>
    </row>
    <row r="638" spans="1:8" s="15" customFormat="1">
      <c r="A638" s="17">
        <v>637</v>
      </c>
      <c r="B638" s="40">
        <v>501801</v>
      </c>
      <c r="C638" s="75">
        <v>0</v>
      </c>
      <c r="D638" s="75">
        <v>102</v>
      </c>
      <c r="E638" s="75">
        <v>1</v>
      </c>
      <c r="F638" s="76" t="s">
        <v>145</v>
      </c>
      <c r="G638" s="86" t="s">
        <v>188</v>
      </c>
      <c r="H638" s="75">
        <v>3</v>
      </c>
    </row>
    <row r="639" spans="1:8">
      <c r="A639" s="17">
        <v>638</v>
      </c>
      <c r="B639" s="87">
        <v>102001</v>
      </c>
      <c r="C639" s="87">
        <v>200</v>
      </c>
      <c r="D639" s="87">
        <v>1001</v>
      </c>
      <c r="E639" s="87">
        <v>1</v>
      </c>
      <c r="F639" s="88" t="s">
        <v>93</v>
      </c>
      <c r="G639" s="87" t="s">
        <v>183</v>
      </c>
      <c r="H639" s="87">
        <v>200</v>
      </c>
    </row>
    <row r="640" spans="1:8">
      <c r="A640" s="17">
        <v>639</v>
      </c>
      <c r="B640" s="87">
        <v>201801</v>
      </c>
      <c r="C640" s="87">
        <v>200</v>
      </c>
      <c r="D640" s="87">
        <v>1001</v>
      </c>
      <c r="E640" s="87">
        <v>1</v>
      </c>
      <c r="F640" s="89" t="s">
        <v>113</v>
      </c>
      <c r="G640" s="87" t="s">
        <v>203</v>
      </c>
      <c r="H640" s="87">
        <v>200</v>
      </c>
    </row>
    <row r="641" spans="1:8">
      <c r="A641" s="17">
        <v>640</v>
      </c>
      <c r="B641" s="87">
        <v>301601</v>
      </c>
      <c r="C641" s="87">
        <v>200</v>
      </c>
      <c r="D641" s="87">
        <v>1001</v>
      </c>
      <c r="E641" s="87">
        <v>1</v>
      </c>
      <c r="F641" s="89" t="s">
        <v>101</v>
      </c>
      <c r="G641" s="87" t="s">
        <v>191</v>
      </c>
      <c r="H641" s="87">
        <v>200</v>
      </c>
    </row>
    <row r="642" spans="1:8">
      <c r="A642" s="17">
        <v>641</v>
      </c>
      <c r="B642" s="87">
        <v>302001</v>
      </c>
      <c r="C642" s="87">
        <v>200</v>
      </c>
      <c r="D642" s="87">
        <v>1001</v>
      </c>
      <c r="E642" s="87">
        <v>1</v>
      </c>
      <c r="F642" s="89" t="s">
        <v>103</v>
      </c>
      <c r="G642" s="87" t="s">
        <v>193</v>
      </c>
      <c r="H642" s="87">
        <v>200</v>
      </c>
    </row>
    <row r="643" spans="1:8">
      <c r="A643" s="17">
        <v>642</v>
      </c>
      <c r="B643" s="87">
        <v>401001</v>
      </c>
      <c r="C643" s="87">
        <v>40</v>
      </c>
      <c r="D643" s="87">
        <v>1001</v>
      </c>
      <c r="E643" s="87">
        <v>1</v>
      </c>
      <c r="F643" s="89" t="s">
        <v>132</v>
      </c>
      <c r="G643" s="87" t="s">
        <v>221</v>
      </c>
      <c r="H643" s="87">
        <v>40</v>
      </c>
    </row>
    <row r="644" spans="1:8">
      <c r="A644" s="17">
        <v>643</v>
      </c>
      <c r="B644" s="87">
        <v>401201</v>
      </c>
      <c r="C644" s="87">
        <v>40</v>
      </c>
      <c r="D644" s="87">
        <v>1001</v>
      </c>
      <c r="E644" s="87">
        <v>1</v>
      </c>
      <c r="F644" s="89" t="s">
        <v>121</v>
      </c>
      <c r="G644" s="87" t="s">
        <v>210</v>
      </c>
      <c r="H644" s="87">
        <v>40</v>
      </c>
    </row>
    <row r="645" spans="1:8">
      <c r="A645" s="17">
        <v>644</v>
      </c>
      <c r="B645" s="87">
        <v>401301</v>
      </c>
      <c r="C645" s="87">
        <v>40</v>
      </c>
      <c r="D645" s="87">
        <v>1001</v>
      </c>
      <c r="E645" s="87">
        <v>1</v>
      </c>
      <c r="F645" s="89" t="s">
        <v>122</v>
      </c>
      <c r="G645" s="87" t="s">
        <v>211</v>
      </c>
      <c r="H645" s="87">
        <v>40</v>
      </c>
    </row>
    <row r="646" spans="1:8">
      <c r="A646" s="17">
        <v>645</v>
      </c>
      <c r="B646" s="87">
        <v>500801</v>
      </c>
      <c r="C646" s="87">
        <v>40</v>
      </c>
      <c r="D646" s="87">
        <v>1001</v>
      </c>
      <c r="E646" s="87">
        <v>1</v>
      </c>
      <c r="F646" s="88" t="s">
        <v>131</v>
      </c>
      <c r="G646" s="87" t="s">
        <v>220</v>
      </c>
      <c r="H646" s="87">
        <v>40</v>
      </c>
    </row>
    <row r="647" spans="1:8">
      <c r="A647" s="17">
        <v>646</v>
      </c>
      <c r="B647" s="87">
        <v>501201</v>
      </c>
      <c r="C647" s="87">
        <v>40</v>
      </c>
      <c r="D647" s="87">
        <v>1001</v>
      </c>
      <c r="E647" s="87">
        <v>1</v>
      </c>
      <c r="F647" s="90" t="s">
        <v>118</v>
      </c>
      <c r="G647" s="87" t="s">
        <v>207</v>
      </c>
      <c r="H647" s="87">
        <v>40</v>
      </c>
    </row>
    <row r="648" spans="1:8">
      <c r="A648" s="17">
        <v>647</v>
      </c>
      <c r="B648" s="91">
        <v>101601</v>
      </c>
      <c r="C648" s="91">
        <v>200</v>
      </c>
      <c r="D648" s="91">
        <v>1002</v>
      </c>
      <c r="E648" s="92">
        <v>1</v>
      </c>
      <c r="F648" s="93" t="s">
        <v>95</v>
      </c>
      <c r="G648" s="92" t="s">
        <v>185</v>
      </c>
      <c r="H648" s="91">
        <v>200</v>
      </c>
    </row>
    <row r="649" spans="1:8">
      <c r="A649" s="17">
        <v>648</v>
      </c>
      <c r="B649" s="91">
        <v>500701</v>
      </c>
      <c r="C649" s="87">
        <v>40</v>
      </c>
      <c r="D649" s="91">
        <v>1002</v>
      </c>
      <c r="E649" s="92">
        <v>1</v>
      </c>
      <c r="F649" s="93" t="s">
        <v>119</v>
      </c>
      <c r="G649" s="92" t="s">
        <v>208</v>
      </c>
      <c r="H649" s="87">
        <v>40</v>
      </c>
    </row>
    <row r="650" spans="1:8">
      <c r="A650" s="17">
        <v>649</v>
      </c>
      <c r="B650" s="91">
        <v>400801</v>
      </c>
      <c r="C650" s="87">
        <v>40</v>
      </c>
      <c r="D650" s="91">
        <v>1002</v>
      </c>
      <c r="E650" s="92">
        <v>1</v>
      </c>
      <c r="F650" s="93" t="s">
        <v>127</v>
      </c>
      <c r="G650" s="92" t="s">
        <v>216</v>
      </c>
      <c r="H650" s="87">
        <v>40</v>
      </c>
    </row>
    <row r="651" spans="1:8">
      <c r="A651" s="17">
        <v>650</v>
      </c>
      <c r="B651" s="91">
        <v>201701</v>
      </c>
      <c r="C651" s="91">
        <v>200</v>
      </c>
      <c r="D651" s="91">
        <v>1002</v>
      </c>
      <c r="E651" s="92">
        <v>1</v>
      </c>
      <c r="F651" s="94" t="s">
        <v>114</v>
      </c>
      <c r="G651" s="92" t="s">
        <v>204</v>
      </c>
      <c r="H651" s="91">
        <v>200</v>
      </c>
    </row>
    <row r="652" spans="1:8">
      <c r="A652" s="17">
        <v>651</v>
      </c>
      <c r="B652" s="91">
        <v>301501</v>
      </c>
      <c r="C652" s="91">
        <v>200</v>
      </c>
      <c r="D652" s="91">
        <v>1002</v>
      </c>
      <c r="E652" s="92">
        <v>1</v>
      </c>
      <c r="F652" s="95" t="s">
        <v>107</v>
      </c>
      <c r="G652" s="92" t="s">
        <v>197</v>
      </c>
      <c r="H652" s="91">
        <v>200</v>
      </c>
    </row>
    <row r="653" spans="1:8">
      <c r="A653" s="17">
        <v>652</v>
      </c>
      <c r="B653" s="16">
        <v>300701</v>
      </c>
      <c r="C653" s="16">
        <v>8000</v>
      </c>
      <c r="D653" s="16">
        <v>103</v>
      </c>
      <c r="E653" s="16">
        <v>1</v>
      </c>
      <c r="F653" s="16" t="s">
        <v>67</v>
      </c>
      <c r="G653" s="16" t="s">
        <v>157</v>
      </c>
      <c r="H653" s="16">
        <v>6000</v>
      </c>
    </row>
    <row r="654" spans="1:8">
      <c r="A654" s="17">
        <v>653</v>
      </c>
      <c r="B654" s="16">
        <v>200801</v>
      </c>
      <c r="C654" s="16">
        <v>8000</v>
      </c>
      <c r="D654" s="16">
        <v>103</v>
      </c>
      <c r="E654" s="16">
        <v>1</v>
      </c>
      <c r="F654" s="16" t="s">
        <v>68</v>
      </c>
      <c r="G654" s="16" t="s">
        <v>158</v>
      </c>
      <c r="H654" s="16">
        <v>6000</v>
      </c>
    </row>
    <row r="655" spans="1:8">
      <c r="A655" s="17">
        <v>654</v>
      </c>
      <c r="B655" s="16">
        <v>100601</v>
      </c>
      <c r="C655" s="16">
        <v>8000</v>
      </c>
      <c r="D655" s="16">
        <v>103</v>
      </c>
      <c r="E655" s="16">
        <v>1</v>
      </c>
      <c r="F655" s="16" t="s">
        <v>69</v>
      </c>
      <c r="G655" s="16" t="s">
        <v>159</v>
      </c>
      <c r="H655" s="16">
        <v>6000</v>
      </c>
    </row>
    <row r="656" spans="1:8">
      <c r="A656" s="17">
        <v>655</v>
      </c>
      <c r="B656" s="16">
        <v>300401</v>
      </c>
      <c r="C656" s="16">
        <v>8000</v>
      </c>
      <c r="D656" s="16">
        <v>103</v>
      </c>
      <c r="E656" s="16">
        <v>1</v>
      </c>
      <c r="F656" s="16" t="s">
        <v>70</v>
      </c>
      <c r="G656" s="16" t="s">
        <v>160</v>
      </c>
      <c r="H656" s="16">
        <v>6000</v>
      </c>
    </row>
    <row r="657" spans="1:8">
      <c r="A657" s="17">
        <v>656</v>
      </c>
      <c r="B657" s="16">
        <v>100801</v>
      </c>
      <c r="C657" s="16">
        <v>8000</v>
      </c>
      <c r="D657" s="16">
        <v>103</v>
      </c>
      <c r="E657" s="16">
        <v>1</v>
      </c>
      <c r="F657" s="16" t="s">
        <v>71</v>
      </c>
      <c r="G657" s="16" t="s">
        <v>161</v>
      </c>
      <c r="H657" s="16">
        <v>6000</v>
      </c>
    </row>
    <row r="658" spans="1:8">
      <c r="A658" s="17">
        <v>657</v>
      </c>
      <c r="B658" s="16">
        <v>500101</v>
      </c>
      <c r="C658" s="16">
        <v>8000</v>
      </c>
      <c r="D658" s="16">
        <v>103</v>
      </c>
      <c r="E658" s="16">
        <v>1</v>
      </c>
      <c r="F658" s="16" t="s">
        <v>72</v>
      </c>
      <c r="G658" s="16" t="s">
        <v>162</v>
      </c>
      <c r="H658" s="16">
        <v>6000</v>
      </c>
    </row>
    <row r="659" spans="1:8">
      <c r="A659" s="17">
        <v>658</v>
      </c>
      <c r="B659" s="16">
        <v>400101</v>
      </c>
      <c r="C659" s="16">
        <v>6000</v>
      </c>
      <c r="D659" s="16">
        <v>103</v>
      </c>
      <c r="E659" s="16">
        <v>1</v>
      </c>
      <c r="F659" s="16" t="s">
        <v>73</v>
      </c>
      <c r="G659" s="16" t="s">
        <v>163</v>
      </c>
      <c r="H659" s="16">
        <v>2000</v>
      </c>
    </row>
    <row r="660" spans="1:8">
      <c r="A660" s="17">
        <v>659</v>
      </c>
      <c r="B660" s="16">
        <v>200501</v>
      </c>
      <c r="C660" s="16">
        <v>6000</v>
      </c>
      <c r="D660" s="16">
        <v>103</v>
      </c>
      <c r="E660" s="16">
        <v>1</v>
      </c>
      <c r="F660" s="16" t="s">
        <v>74</v>
      </c>
      <c r="G660" s="16" t="s">
        <v>164</v>
      </c>
      <c r="H660" s="16">
        <v>2000</v>
      </c>
    </row>
    <row r="661" spans="1:8">
      <c r="A661" s="17">
        <v>660</v>
      </c>
      <c r="B661" s="16">
        <v>100901</v>
      </c>
      <c r="C661" s="16">
        <v>4000</v>
      </c>
      <c r="D661" s="16">
        <v>103</v>
      </c>
      <c r="E661" s="16">
        <v>1</v>
      </c>
      <c r="F661" s="16" t="s">
        <v>75</v>
      </c>
      <c r="G661" s="16" t="s">
        <v>165</v>
      </c>
      <c r="H661" s="16">
        <v>600</v>
      </c>
    </row>
    <row r="662" spans="1:8">
      <c r="A662" s="17">
        <v>661</v>
      </c>
      <c r="B662" s="16">
        <v>101301</v>
      </c>
      <c r="C662" s="16">
        <v>4000</v>
      </c>
      <c r="D662" s="16">
        <v>103</v>
      </c>
      <c r="E662" s="16">
        <v>1</v>
      </c>
      <c r="F662" s="16" t="s">
        <v>76</v>
      </c>
      <c r="G662" s="16" t="s">
        <v>166</v>
      </c>
      <c r="H662" s="16">
        <v>600</v>
      </c>
    </row>
    <row r="663" spans="1:8">
      <c r="A663" s="17">
        <v>662</v>
      </c>
      <c r="B663" s="16">
        <v>500401</v>
      </c>
      <c r="C663" s="16">
        <v>4000</v>
      </c>
      <c r="D663" s="16">
        <v>103</v>
      </c>
      <c r="E663" s="16">
        <v>1</v>
      </c>
      <c r="F663" s="16" t="s">
        <v>77</v>
      </c>
      <c r="G663" s="16" t="s">
        <v>167</v>
      </c>
      <c r="H663" s="16">
        <v>250</v>
      </c>
    </row>
    <row r="664" spans="1:8">
      <c r="A664" s="17">
        <v>663</v>
      </c>
      <c r="B664" s="16">
        <v>500501</v>
      </c>
      <c r="C664" s="16">
        <v>4000</v>
      </c>
      <c r="D664" s="16">
        <v>103</v>
      </c>
      <c r="E664" s="16">
        <v>1</v>
      </c>
      <c r="F664" s="16" t="s">
        <v>78</v>
      </c>
      <c r="G664" s="16" t="s">
        <v>168</v>
      </c>
      <c r="H664" s="16">
        <v>250</v>
      </c>
    </row>
    <row r="665" spans="1:8">
      <c r="A665" s="17">
        <v>664</v>
      </c>
      <c r="B665" s="16">
        <v>201101</v>
      </c>
      <c r="C665" s="16">
        <v>4000</v>
      </c>
      <c r="D665" s="16">
        <v>103</v>
      </c>
      <c r="E665" s="16">
        <v>1</v>
      </c>
      <c r="F665" s="16" t="s">
        <v>79</v>
      </c>
      <c r="G665" s="16" t="s">
        <v>169</v>
      </c>
      <c r="H665" s="16">
        <v>600</v>
      </c>
    </row>
    <row r="666" spans="1:8">
      <c r="A666" s="17">
        <v>665</v>
      </c>
      <c r="B666" s="16">
        <v>301001</v>
      </c>
      <c r="C666" s="16">
        <v>4000</v>
      </c>
      <c r="D666" s="16">
        <v>103</v>
      </c>
      <c r="E666" s="16">
        <v>1</v>
      </c>
      <c r="F666" s="16" t="s">
        <v>80</v>
      </c>
      <c r="G666" s="16" t="s">
        <v>170</v>
      </c>
      <c r="H666" s="16">
        <v>600</v>
      </c>
    </row>
    <row r="667" spans="1:8">
      <c r="A667" s="17">
        <v>666</v>
      </c>
      <c r="B667" s="16">
        <v>400501</v>
      </c>
      <c r="C667" s="16">
        <v>4000</v>
      </c>
      <c r="D667" s="16">
        <v>103</v>
      </c>
      <c r="E667" s="16">
        <v>1</v>
      </c>
      <c r="F667" s="16" t="s">
        <v>81</v>
      </c>
      <c r="G667" s="16" t="s">
        <v>171</v>
      </c>
      <c r="H667" s="16">
        <v>250</v>
      </c>
    </row>
    <row r="668" spans="1:8">
      <c r="A668" s="17">
        <v>667</v>
      </c>
      <c r="B668" s="16">
        <v>200901</v>
      </c>
      <c r="C668" s="16">
        <v>4000</v>
      </c>
      <c r="D668" s="16">
        <v>103</v>
      </c>
      <c r="E668" s="16">
        <v>1</v>
      </c>
      <c r="F668" s="16" t="s">
        <v>82</v>
      </c>
      <c r="G668" s="16" t="s">
        <v>172</v>
      </c>
      <c r="H668" s="16">
        <v>600</v>
      </c>
    </row>
    <row r="669" spans="1:8">
      <c r="A669" s="17">
        <v>668</v>
      </c>
      <c r="B669" s="16">
        <v>201301</v>
      </c>
      <c r="C669" s="16">
        <v>4000</v>
      </c>
      <c r="D669" s="16">
        <v>103</v>
      </c>
      <c r="E669" s="16">
        <v>1</v>
      </c>
      <c r="F669" s="16" t="s">
        <v>60</v>
      </c>
      <c r="G669" s="16" t="s">
        <v>150</v>
      </c>
      <c r="H669" s="16">
        <v>600</v>
      </c>
    </row>
    <row r="670" spans="1:8">
      <c r="A670" s="17">
        <v>669</v>
      </c>
      <c r="B670" s="16">
        <v>500301</v>
      </c>
      <c r="C670" s="16">
        <v>4000</v>
      </c>
      <c r="D670" s="16">
        <v>103</v>
      </c>
      <c r="E670" s="16">
        <v>1</v>
      </c>
      <c r="F670" s="16" t="s">
        <v>83</v>
      </c>
      <c r="G670" s="16" t="s">
        <v>173</v>
      </c>
      <c r="H670" s="16">
        <v>250</v>
      </c>
    </row>
    <row r="671" spans="1:8">
      <c r="A671" s="17">
        <v>670</v>
      </c>
      <c r="B671" s="16">
        <v>400301</v>
      </c>
      <c r="C671" s="16">
        <v>4000</v>
      </c>
      <c r="D671" s="16">
        <v>103</v>
      </c>
      <c r="E671" s="16">
        <v>1</v>
      </c>
      <c r="F671" s="16" t="s">
        <v>84</v>
      </c>
      <c r="G671" s="16" t="s">
        <v>174</v>
      </c>
      <c r="H671" s="16">
        <v>250</v>
      </c>
    </row>
    <row r="672" spans="1:8">
      <c r="A672" s="17">
        <v>671</v>
      </c>
      <c r="B672" s="16">
        <v>301201</v>
      </c>
      <c r="C672" s="16">
        <v>4000</v>
      </c>
      <c r="D672" s="16">
        <v>103</v>
      </c>
      <c r="E672" s="16">
        <v>1</v>
      </c>
      <c r="F672" s="16" t="s">
        <v>85</v>
      </c>
      <c r="G672" s="16" t="s">
        <v>175</v>
      </c>
      <c r="H672" s="16">
        <v>600</v>
      </c>
    </row>
    <row r="673" spans="1:8">
      <c r="A673" s="17">
        <v>672</v>
      </c>
      <c r="B673" s="16">
        <v>400401</v>
      </c>
      <c r="C673" s="16">
        <v>4000</v>
      </c>
      <c r="D673" s="16">
        <v>103</v>
      </c>
      <c r="E673" s="16">
        <v>1</v>
      </c>
      <c r="F673" s="16" t="s">
        <v>86</v>
      </c>
      <c r="G673" s="16" t="s">
        <v>176</v>
      </c>
      <c r="H673" s="16">
        <v>250</v>
      </c>
    </row>
    <row r="674" spans="1:8">
      <c r="A674" s="17">
        <v>673</v>
      </c>
      <c r="B674" s="16">
        <v>101101</v>
      </c>
      <c r="C674" s="16">
        <v>4000</v>
      </c>
      <c r="D674" s="16">
        <v>103</v>
      </c>
      <c r="E674" s="16">
        <v>1</v>
      </c>
      <c r="F674" s="16" t="s">
        <v>87</v>
      </c>
      <c r="G674" s="16" t="s">
        <v>177</v>
      </c>
      <c r="H674" s="16">
        <v>600</v>
      </c>
    </row>
    <row r="675" spans="1:8">
      <c r="A675" s="17">
        <v>674</v>
      </c>
      <c r="B675" s="16">
        <v>101201</v>
      </c>
      <c r="C675" s="16">
        <v>4000</v>
      </c>
      <c r="D675" s="16">
        <v>103</v>
      </c>
      <c r="E675" s="16">
        <v>1</v>
      </c>
      <c r="F675" s="16" t="s">
        <v>88</v>
      </c>
      <c r="G675" s="16" t="s">
        <v>178</v>
      </c>
      <c r="H675" s="16">
        <v>600</v>
      </c>
    </row>
    <row r="676" spans="1:8">
      <c r="A676" s="17">
        <v>675</v>
      </c>
      <c r="B676" s="16">
        <v>301101</v>
      </c>
      <c r="C676" s="16">
        <v>4000</v>
      </c>
      <c r="D676" s="16">
        <v>103</v>
      </c>
      <c r="E676" s="16">
        <v>1</v>
      </c>
      <c r="F676" s="16" t="s">
        <v>89</v>
      </c>
      <c r="G676" s="16" t="s">
        <v>179</v>
      </c>
      <c r="H676" s="16">
        <v>600</v>
      </c>
    </row>
    <row r="677" spans="1:8">
      <c r="A677" s="17">
        <v>676</v>
      </c>
      <c r="B677" s="16">
        <v>102201</v>
      </c>
      <c r="C677" s="16">
        <v>251</v>
      </c>
      <c r="D677" s="16">
        <v>103</v>
      </c>
      <c r="E677" s="16">
        <v>1</v>
      </c>
      <c r="F677" s="16" t="s">
        <v>90</v>
      </c>
      <c r="G677" s="16" t="s">
        <v>180</v>
      </c>
      <c r="H677" s="16">
        <v>255</v>
      </c>
    </row>
    <row r="678" spans="1:8">
      <c r="A678" s="17">
        <v>677</v>
      </c>
      <c r="B678" s="16">
        <v>101401</v>
      </c>
      <c r="C678" s="16">
        <v>140</v>
      </c>
      <c r="D678" s="16">
        <v>103</v>
      </c>
      <c r="E678" s="16">
        <v>1</v>
      </c>
      <c r="F678" s="16" t="s">
        <v>91</v>
      </c>
      <c r="G678" s="16" t="s">
        <v>181</v>
      </c>
      <c r="H678" s="16">
        <v>100</v>
      </c>
    </row>
    <row r="679" spans="1:8">
      <c r="A679" s="17">
        <v>678</v>
      </c>
      <c r="B679" s="16">
        <v>101801</v>
      </c>
      <c r="C679" s="16">
        <v>160</v>
      </c>
      <c r="D679" s="16">
        <v>103</v>
      </c>
      <c r="E679" s="16">
        <v>1</v>
      </c>
      <c r="F679" s="16" t="s">
        <v>92</v>
      </c>
      <c r="G679" s="16" t="s">
        <v>182</v>
      </c>
      <c r="H679" s="16">
        <v>100</v>
      </c>
    </row>
    <row r="680" spans="1:8">
      <c r="A680" s="17">
        <v>679</v>
      </c>
      <c r="B680" s="16">
        <v>102001</v>
      </c>
      <c r="C680" s="16">
        <v>15</v>
      </c>
      <c r="D680" s="16">
        <v>103</v>
      </c>
      <c r="E680" s="16">
        <v>1</v>
      </c>
      <c r="F680" s="16" t="s">
        <v>93</v>
      </c>
      <c r="G680" s="16" t="s">
        <v>183</v>
      </c>
      <c r="H680" s="16">
        <v>30</v>
      </c>
    </row>
    <row r="681" spans="1:8">
      <c r="A681" s="17">
        <v>680</v>
      </c>
      <c r="B681" s="16">
        <v>102101</v>
      </c>
      <c r="C681" s="16">
        <v>70</v>
      </c>
      <c r="D681" s="16">
        <v>103</v>
      </c>
      <c r="E681" s="16">
        <v>1</v>
      </c>
      <c r="F681" s="16" t="s">
        <v>94</v>
      </c>
      <c r="G681" s="16" t="s">
        <v>184</v>
      </c>
      <c r="H681" s="16">
        <v>30</v>
      </c>
    </row>
    <row r="682" spans="1:8">
      <c r="A682" s="17">
        <v>681</v>
      </c>
      <c r="B682" s="16">
        <v>101601</v>
      </c>
      <c r="C682" s="16">
        <v>15</v>
      </c>
      <c r="D682" s="16">
        <v>103</v>
      </c>
      <c r="E682" s="16">
        <v>1</v>
      </c>
      <c r="F682" s="16" t="s">
        <v>95</v>
      </c>
      <c r="G682" s="16" t="s">
        <v>185</v>
      </c>
      <c r="H682" s="16">
        <v>100</v>
      </c>
    </row>
    <row r="683" spans="1:8">
      <c r="A683" s="17">
        <v>682</v>
      </c>
      <c r="B683" s="16">
        <v>101501</v>
      </c>
      <c r="C683" s="16">
        <v>252</v>
      </c>
      <c r="D683" s="16">
        <v>103</v>
      </c>
      <c r="E683" s="16">
        <v>1</v>
      </c>
      <c r="F683" s="16" t="s">
        <v>96</v>
      </c>
      <c r="G683" s="16" t="s">
        <v>186</v>
      </c>
      <c r="H683" s="16">
        <v>255</v>
      </c>
    </row>
    <row r="684" spans="1:8">
      <c r="A684" s="17">
        <v>683</v>
      </c>
      <c r="B684" s="16">
        <v>101701</v>
      </c>
      <c r="C684" s="16">
        <v>50</v>
      </c>
      <c r="D684" s="16">
        <v>103</v>
      </c>
      <c r="E684" s="16">
        <v>1</v>
      </c>
      <c r="F684" s="16" t="s">
        <v>97</v>
      </c>
      <c r="G684" s="16" t="s">
        <v>187</v>
      </c>
      <c r="H684" s="16">
        <v>30</v>
      </c>
    </row>
    <row r="685" spans="1:8">
      <c r="A685" s="17">
        <v>684</v>
      </c>
      <c r="B685" s="16">
        <v>102301</v>
      </c>
      <c r="C685" s="16">
        <v>15</v>
      </c>
      <c r="D685" s="16">
        <v>103</v>
      </c>
      <c r="E685" s="16">
        <v>1</v>
      </c>
      <c r="F685" s="16" t="s">
        <v>98</v>
      </c>
      <c r="G685" s="16" t="s">
        <v>188</v>
      </c>
      <c r="H685" s="16">
        <v>30</v>
      </c>
    </row>
    <row r="686" spans="1:8">
      <c r="A686" s="17">
        <v>685</v>
      </c>
      <c r="B686" s="16">
        <v>301401</v>
      </c>
      <c r="C686" s="16">
        <v>15</v>
      </c>
      <c r="D686" s="16">
        <v>103</v>
      </c>
      <c r="E686" s="16">
        <v>1</v>
      </c>
      <c r="F686" s="16" t="s">
        <v>99</v>
      </c>
      <c r="G686" s="16" t="s">
        <v>189</v>
      </c>
      <c r="H686" s="16">
        <v>40</v>
      </c>
    </row>
    <row r="687" spans="1:8">
      <c r="A687" s="17">
        <v>686</v>
      </c>
      <c r="B687" s="16">
        <v>301701</v>
      </c>
      <c r="C687" s="16">
        <v>150</v>
      </c>
      <c r="D687" s="16">
        <v>103</v>
      </c>
      <c r="E687" s="16">
        <v>1</v>
      </c>
      <c r="F687" s="16" t="s">
        <v>100</v>
      </c>
      <c r="G687" s="16" t="s">
        <v>190</v>
      </c>
      <c r="H687" s="16">
        <v>185</v>
      </c>
    </row>
    <row r="688" spans="1:8">
      <c r="A688" s="17">
        <v>687</v>
      </c>
      <c r="B688" s="16">
        <v>301601</v>
      </c>
      <c r="C688" s="16">
        <v>15</v>
      </c>
      <c r="D688" s="16">
        <v>103</v>
      </c>
      <c r="E688" s="16">
        <v>1</v>
      </c>
      <c r="F688" s="16" t="s">
        <v>101</v>
      </c>
      <c r="G688" s="16" t="s">
        <v>191</v>
      </c>
      <c r="H688" s="16">
        <v>15</v>
      </c>
    </row>
    <row r="689" spans="1:8">
      <c r="A689" s="17">
        <v>688</v>
      </c>
      <c r="B689" s="16">
        <v>301801</v>
      </c>
      <c r="C689" s="16">
        <v>252</v>
      </c>
      <c r="D689" s="16">
        <v>103</v>
      </c>
      <c r="E689" s="16">
        <v>1</v>
      </c>
      <c r="F689" s="16" t="s">
        <v>102</v>
      </c>
      <c r="G689" s="16" t="s">
        <v>192</v>
      </c>
      <c r="H689" s="16">
        <v>185</v>
      </c>
    </row>
    <row r="690" spans="1:8">
      <c r="A690" s="17">
        <v>689</v>
      </c>
      <c r="B690" s="16">
        <v>302001</v>
      </c>
      <c r="C690" s="16">
        <v>22</v>
      </c>
      <c r="D690" s="16">
        <v>103</v>
      </c>
      <c r="E690" s="16">
        <v>1</v>
      </c>
      <c r="F690" s="16" t="s">
        <v>103</v>
      </c>
      <c r="G690" s="16" t="s">
        <v>193</v>
      </c>
      <c r="H690" s="16">
        <v>15</v>
      </c>
    </row>
    <row r="691" spans="1:8">
      <c r="A691" s="17">
        <v>690</v>
      </c>
      <c r="B691" s="16">
        <v>302101</v>
      </c>
      <c r="C691" s="16">
        <v>15</v>
      </c>
      <c r="D691" s="16">
        <v>103</v>
      </c>
      <c r="E691" s="16">
        <v>1</v>
      </c>
      <c r="F691" s="16" t="s">
        <v>104</v>
      </c>
      <c r="G691" s="16" t="s">
        <v>194</v>
      </c>
      <c r="H691" s="16">
        <v>160</v>
      </c>
    </row>
    <row r="692" spans="1:8">
      <c r="A692" s="17">
        <v>691</v>
      </c>
      <c r="B692" s="16">
        <v>301901</v>
      </c>
      <c r="C692" s="16">
        <v>253</v>
      </c>
      <c r="D692" s="16">
        <v>103</v>
      </c>
      <c r="E692" s="16">
        <v>1</v>
      </c>
      <c r="F692" s="16" t="s">
        <v>105</v>
      </c>
      <c r="G692" s="16" t="s">
        <v>195</v>
      </c>
      <c r="H692" s="16">
        <v>200</v>
      </c>
    </row>
    <row r="693" spans="1:8">
      <c r="A693" s="17">
        <v>692</v>
      </c>
      <c r="B693" s="16">
        <v>302201</v>
      </c>
      <c r="C693" s="16">
        <v>150</v>
      </c>
      <c r="D693" s="16">
        <v>103</v>
      </c>
      <c r="E693" s="16">
        <v>1</v>
      </c>
      <c r="F693" s="16" t="s">
        <v>106</v>
      </c>
      <c r="G693" s="16" t="s">
        <v>196</v>
      </c>
      <c r="H693" s="16">
        <v>40</v>
      </c>
    </row>
    <row r="694" spans="1:8">
      <c r="A694" s="17">
        <v>693</v>
      </c>
      <c r="B694" s="16">
        <v>301501</v>
      </c>
      <c r="C694" s="16">
        <v>120</v>
      </c>
      <c r="D694" s="16">
        <v>103</v>
      </c>
      <c r="E694" s="16">
        <v>1</v>
      </c>
      <c r="F694" s="16" t="s">
        <v>107</v>
      </c>
      <c r="G694" s="16" t="s">
        <v>197</v>
      </c>
      <c r="H694" s="16">
        <v>40</v>
      </c>
    </row>
    <row r="695" spans="1:8">
      <c r="A695" s="17">
        <v>694</v>
      </c>
      <c r="B695" s="16">
        <v>302301</v>
      </c>
      <c r="C695" s="16">
        <v>15</v>
      </c>
      <c r="D695" s="16">
        <v>103</v>
      </c>
      <c r="E695" s="16">
        <v>1</v>
      </c>
      <c r="F695" s="16" t="s">
        <v>135</v>
      </c>
      <c r="G695" s="16" t="s">
        <v>196</v>
      </c>
      <c r="H695" s="16">
        <v>15</v>
      </c>
    </row>
    <row r="696" spans="1:8">
      <c r="A696" s="17">
        <v>695</v>
      </c>
      <c r="B696" s="16">
        <v>201401</v>
      </c>
      <c r="C696" s="16">
        <v>219</v>
      </c>
      <c r="D696" s="16">
        <v>103</v>
      </c>
      <c r="E696" s="16">
        <v>1</v>
      </c>
      <c r="F696" s="16" t="s">
        <v>108</v>
      </c>
      <c r="G696" s="16" t="s">
        <v>198</v>
      </c>
      <c r="H696" s="16">
        <v>215</v>
      </c>
    </row>
    <row r="697" spans="1:8">
      <c r="A697" s="17">
        <v>696</v>
      </c>
      <c r="B697" s="16">
        <v>202001</v>
      </c>
      <c r="C697" s="16">
        <v>100</v>
      </c>
      <c r="D697" s="16">
        <v>103</v>
      </c>
      <c r="E697" s="16">
        <v>1</v>
      </c>
      <c r="F697" s="16" t="s">
        <v>109</v>
      </c>
      <c r="G697" s="16" t="s">
        <v>199</v>
      </c>
      <c r="H697" s="16">
        <v>50</v>
      </c>
    </row>
    <row r="698" spans="1:8">
      <c r="A698" s="17">
        <v>697</v>
      </c>
      <c r="B698" s="16">
        <v>201601</v>
      </c>
      <c r="C698" s="16">
        <v>219</v>
      </c>
      <c r="D698" s="16">
        <v>103</v>
      </c>
      <c r="E698" s="16">
        <v>1</v>
      </c>
      <c r="F698" s="16" t="s">
        <v>110</v>
      </c>
      <c r="G698" s="16" t="s">
        <v>200</v>
      </c>
      <c r="H698" s="16">
        <v>215</v>
      </c>
    </row>
    <row r="699" spans="1:8">
      <c r="A699" s="17">
        <v>698</v>
      </c>
      <c r="B699" s="16">
        <v>202101</v>
      </c>
      <c r="C699" s="16">
        <v>60</v>
      </c>
      <c r="D699" s="16">
        <v>103</v>
      </c>
      <c r="E699" s="16">
        <v>1</v>
      </c>
      <c r="F699" s="16" t="s">
        <v>111</v>
      </c>
      <c r="G699" s="16" t="s">
        <v>201</v>
      </c>
      <c r="H699" s="16">
        <v>50</v>
      </c>
    </row>
    <row r="700" spans="1:8">
      <c r="A700" s="17">
        <v>699</v>
      </c>
      <c r="B700" s="16">
        <v>202201</v>
      </c>
      <c r="C700" s="16">
        <v>220</v>
      </c>
      <c r="D700" s="16">
        <v>103</v>
      </c>
      <c r="E700" s="16">
        <v>1</v>
      </c>
      <c r="F700" s="16" t="s">
        <v>112</v>
      </c>
      <c r="G700" s="16" t="s">
        <v>202</v>
      </c>
      <c r="H700" s="16">
        <v>215</v>
      </c>
    </row>
    <row r="701" spans="1:8">
      <c r="A701" s="17">
        <v>700</v>
      </c>
      <c r="B701" s="16">
        <v>201801</v>
      </c>
      <c r="C701" s="16">
        <v>15</v>
      </c>
      <c r="D701" s="16">
        <v>103</v>
      </c>
      <c r="E701" s="16">
        <v>1</v>
      </c>
      <c r="F701" s="16" t="s">
        <v>113</v>
      </c>
      <c r="G701" s="16" t="s">
        <v>203</v>
      </c>
      <c r="H701" s="16">
        <v>15</v>
      </c>
    </row>
    <row r="702" spans="1:8">
      <c r="A702" s="17">
        <v>701</v>
      </c>
      <c r="B702" s="16">
        <v>201701</v>
      </c>
      <c r="C702" s="16">
        <v>80</v>
      </c>
      <c r="D702" s="16">
        <v>103</v>
      </c>
      <c r="E702" s="16">
        <v>1</v>
      </c>
      <c r="F702" s="16" t="s">
        <v>114</v>
      </c>
      <c r="G702" s="16" t="s">
        <v>204</v>
      </c>
      <c r="H702" s="16">
        <v>50</v>
      </c>
    </row>
    <row r="703" spans="1:8">
      <c r="A703" s="17">
        <v>702</v>
      </c>
      <c r="B703" s="16">
        <v>201501</v>
      </c>
      <c r="C703" s="16">
        <v>130</v>
      </c>
      <c r="D703" s="16">
        <v>103</v>
      </c>
      <c r="E703" s="16">
        <v>1</v>
      </c>
      <c r="F703" s="16" t="s">
        <v>115</v>
      </c>
      <c r="G703" s="16" t="s">
        <v>205</v>
      </c>
      <c r="H703" s="16">
        <v>190</v>
      </c>
    </row>
    <row r="704" spans="1:8">
      <c r="A704" s="17">
        <v>703</v>
      </c>
      <c r="B704" s="16">
        <v>202401</v>
      </c>
      <c r="C704" s="16">
        <v>70</v>
      </c>
      <c r="D704" s="16">
        <v>103</v>
      </c>
      <c r="E704" s="16">
        <v>1</v>
      </c>
      <c r="F704" s="16" t="s">
        <v>116</v>
      </c>
      <c r="G704" s="16" t="s">
        <v>206</v>
      </c>
      <c r="H704" s="16">
        <v>50</v>
      </c>
    </row>
    <row r="705" spans="1:8">
      <c r="A705" s="17">
        <v>704</v>
      </c>
      <c r="B705" s="16">
        <v>202301</v>
      </c>
      <c r="C705" s="16">
        <v>60</v>
      </c>
      <c r="D705" s="16">
        <v>103</v>
      </c>
      <c r="E705" s="16">
        <v>1</v>
      </c>
      <c r="F705" s="16" t="s">
        <v>117</v>
      </c>
      <c r="G705" s="16" t="s">
        <v>188</v>
      </c>
      <c r="H705" s="16">
        <v>15</v>
      </c>
    </row>
    <row r="706" spans="1:8">
      <c r="A706" s="17">
        <v>705</v>
      </c>
      <c r="B706" s="16">
        <v>501201</v>
      </c>
      <c r="C706" s="16">
        <v>47</v>
      </c>
      <c r="D706" s="16">
        <v>103</v>
      </c>
      <c r="E706" s="16">
        <v>1</v>
      </c>
      <c r="F706" s="16" t="s">
        <v>118</v>
      </c>
      <c r="G706" s="16" t="s">
        <v>207</v>
      </c>
      <c r="H706" s="16">
        <v>75</v>
      </c>
    </row>
    <row r="707" spans="1:8">
      <c r="A707" s="17">
        <v>706</v>
      </c>
      <c r="B707" s="16">
        <v>500701</v>
      </c>
      <c r="C707" s="16">
        <v>10</v>
      </c>
      <c r="D707" s="16">
        <v>103</v>
      </c>
      <c r="E707" s="16">
        <v>1</v>
      </c>
      <c r="F707" s="16" t="s">
        <v>119</v>
      </c>
      <c r="G707" s="16" t="s">
        <v>208</v>
      </c>
      <c r="H707" s="16">
        <v>7</v>
      </c>
    </row>
    <row r="708" spans="1:8">
      <c r="A708" s="17">
        <v>707</v>
      </c>
      <c r="B708" s="16">
        <v>400701</v>
      </c>
      <c r="C708" s="16">
        <v>6</v>
      </c>
      <c r="D708" s="16">
        <v>103</v>
      </c>
      <c r="E708" s="16">
        <v>1</v>
      </c>
      <c r="F708" s="16" t="s">
        <v>120</v>
      </c>
      <c r="G708" s="16" t="s">
        <v>209</v>
      </c>
      <c r="H708" s="16">
        <v>7</v>
      </c>
    </row>
    <row r="709" spans="1:8">
      <c r="A709" s="17">
        <v>708</v>
      </c>
      <c r="B709" s="16">
        <v>401201</v>
      </c>
      <c r="C709" s="16">
        <v>10</v>
      </c>
      <c r="D709" s="16">
        <v>103</v>
      </c>
      <c r="E709" s="16">
        <v>1</v>
      </c>
      <c r="F709" s="16" t="s">
        <v>121</v>
      </c>
      <c r="G709" s="16" t="s">
        <v>210</v>
      </c>
      <c r="H709" s="16">
        <v>40</v>
      </c>
    </row>
    <row r="710" spans="1:8">
      <c r="A710" s="17">
        <v>709</v>
      </c>
      <c r="B710" s="16">
        <v>401301</v>
      </c>
      <c r="C710" s="16">
        <v>10</v>
      </c>
      <c r="D710" s="16">
        <v>103</v>
      </c>
      <c r="E710" s="16">
        <v>1</v>
      </c>
      <c r="F710" s="16" t="s">
        <v>122</v>
      </c>
      <c r="G710" s="16" t="s">
        <v>211</v>
      </c>
      <c r="H710" s="16">
        <v>40</v>
      </c>
    </row>
    <row r="711" spans="1:8">
      <c r="A711" s="17">
        <v>710</v>
      </c>
      <c r="B711" s="16">
        <v>400601</v>
      </c>
      <c r="C711" s="16">
        <v>16</v>
      </c>
      <c r="D711" s="16">
        <v>103</v>
      </c>
      <c r="E711" s="16">
        <v>1</v>
      </c>
      <c r="F711" s="16" t="s">
        <v>123</v>
      </c>
      <c r="G711" s="16" t="s">
        <v>212</v>
      </c>
      <c r="H711" s="16">
        <v>7</v>
      </c>
    </row>
    <row r="712" spans="1:8">
      <c r="A712" s="17">
        <v>711</v>
      </c>
      <c r="B712" s="16">
        <v>500601</v>
      </c>
      <c r="C712" s="16">
        <v>10</v>
      </c>
      <c r="D712" s="16">
        <v>103</v>
      </c>
      <c r="E712" s="16">
        <v>1</v>
      </c>
      <c r="F712" s="16" t="s">
        <v>124</v>
      </c>
      <c r="G712" s="16" t="s">
        <v>213</v>
      </c>
      <c r="H712" s="16">
        <v>75</v>
      </c>
    </row>
    <row r="713" spans="1:8">
      <c r="A713" s="17">
        <v>712</v>
      </c>
      <c r="B713" s="16">
        <v>400901</v>
      </c>
      <c r="C713" s="16">
        <v>10</v>
      </c>
      <c r="D713" s="16">
        <v>103</v>
      </c>
      <c r="E713" s="16">
        <v>1</v>
      </c>
      <c r="F713" s="16" t="s">
        <v>125</v>
      </c>
      <c r="G713" s="16" t="s">
        <v>214</v>
      </c>
      <c r="H713" s="16">
        <v>7</v>
      </c>
    </row>
    <row r="714" spans="1:8">
      <c r="A714" s="17">
        <v>713</v>
      </c>
      <c r="B714" s="16">
        <v>501101</v>
      </c>
      <c r="C714" s="16">
        <v>51</v>
      </c>
      <c r="D714" s="16">
        <v>103</v>
      </c>
      <c r="E714" s="16">
        <v>1</v>
      </c>
      <c r="F714" s="16" t="s">
        <v>126</v>
      </c>
      <c r="G714" s="16" t="s">
        <v>215</v>
      </c>
      <c r="H714" s="16">
        <v>145</v>
      </c>
    </row>
    <row r="715" spans="1:8">
      <c r="A715" s="17">
        <v>714</v>
      </c>
      <c r="B715" s="16">
        <v>400801</v>
      </c>
      <c r="C715" s="16">
        <v>40</v>
      </c>
      <c r="D715" s="16">
        <v>103</v>
      </c>
      <c r="E715" s="16">
        <v>1</v>
      </c>
      <c r="F715" s="16" t="s">
        <v>127</v>
      </c>
      <c r="G715" s="16" t="s">
        <v>216</v>
      </c>
      <c r="H715" s="16">
        <v>146</v>
      </c>
    </row>
    <row r="716" spans="1:8">
      <c r="A716" s="17">
        <v>715</v>
      </c>
      <c r="B716" s="16">
        <v>501001</v>
      </c>
      <c r="C716" s="16">
        <v>0</v>
      </c>
      <c r="D716" s="16">
        <v>103</v>
      </c>
      <c r="E716" s="16">
        <v>1</v>
      </c>
      <c r="F716" s="16" t="s">
        <v>128</v>
      </c>
      <c r="G716" s="16" t="s">
        <v>217</v>
      </c>
      <c r="H716" s="16">
        <v>7</v>
      </c>
    </row>
    <row r="717" spans="1:8">
      <c r="A717" s="17">
        <v>716</v>
      </c>
      <c r="B717" s="16">
        <v>500901</v>
      </c>
      <c r="C717" s="16">
        <v>0</v>
      </c>
      <c r="D717" s="16">
        <v>103</v>
      </c>
      <c r="E717" s="16">
        <v>1</v>
      </c>
      <c r="F717" s="16" t="s">
        <v>129</v>
      </c>
      <c r="G717" s="16" t="s">
        <v>218</v>
      </c>
      <c r="H717" s="16">
        <v>7</v>
      </c>
    </row>
    <row r="718" spans="1:8">
      <c r="A718" s="17">
        <v>717</v>
      </c>
      <c r="B718" s="16">
        <v>401401</v>
      </c>
      <c r="C718" s="16">
        <v>0</v>
      </c>
      <c r="D718" s="16">
        <v>103</v>
      </c>
      <c r="E718" s="16">
        <v>1</v>
      </c>
      <c r="F718" s="16" t="s">
        <v>130</v>
      </c>
      <c r="G718" s="16" t="s">
        <v>219</v>
      </c>
      <c r="H718" s="16">
        <v>3</v>
      </c>
    </row>
    <row r="719" spans="1:8">
      <c r="A719" s="17">
        <v>718</v>
      </c>
      <c r="B719" s="16">
        <v>500801</v>
      </c>
      <c r="C719" s="16">
        <v>0</v>
      </c>
      <c r="D719" s="16">
        <v>103</v>
      </c>
      <c r="E719" s="16">
        <v>1</v>
      </c>
      <c r="F719" s="16" t="s">
        <v>131</v>
      </c>
      <c r="G719" s="16" t="s">
        <v>220</v>
      </c>
      <c r="H719" s="16">
        <v>3</v>
      </c>
    </row>
    <row r="720" spans="1:8">
      <c r="A720" s="17">
        <v>719</v>
      </c>
      <c r="B720" s="16">
        <v>401001</v>
      </c>
      <c r="C720" s="16">
        <v>10</v>
      </c>
      <c r="D720" s="16">
        <v>103</v>
      </c>
      <c r="E720" s="16">
        <v>1</v>
      </c>
      <c r="F720" s="16" t="s">
        <v>132</v>
      </c>
      <c r="G720" s="16" t="s">
        <v>221</v>
      </c>
      <c r="H720" s="16">
        <v>3</v>
      </c>
    </row>
    <row r="721" spans="1:8">
      <c r="A721" s="17">
        <v>720</v>
      </c>
      <c r="B721" s="16">
        <v>501301</v>
      </c>
      <c r="C721" s="16">
        <v>0</v>
      </c>
      <c r="D721" s="16">
        <v>103</v>
      </c>
      <c r="E721" s="16">
        <v>1</v>
      </c>
      <c r="F721" s="16" t="s">
        <v>133</v>
      </c>
      <c r="G721" s="16" t="s">
        <v>222</v>
      </c>
      <c r="H721" s="16">
        <v>3</v>
      </c>
    </row>
    <row r="722" spans="1:8">
      <c r="A722" s="17">
        <v>721</v>
      </c>
      <c r="B722" s="16">
        <v>501401</v>
      </c>
      <c r="C722" s="16">
        <v>0</v>
      </c>
      <c r="D722" s="16">
        <v>103</v>
      </c>
      <c r="E722" s="16">
        <v>1</v>
      </c>
      <c r="F722" s="16" t="s">
        <v>134</v>
      </c>
      <c r="G722" s="16" t="s">
        <v>223</v>
      </c>
      <c r="H722" s="16">
        <v>3</v>
      </c>
    </row>
    <row r="723" spans="1:8">
      <c r="A723" s="17">
        <v>722</v>
      </c>
      <c r="B723" s="16">
        <v>501501</v>
      </c>
      <c r="C723" s="16">
        <v>0</v>
      </c>
      <c r="D723" s="16">
        <v>103</v>
      </c>
      <c r="E723" s="16">
        <v>1</v>
      </c>
      <c r="F723" s="16" t="s">
        <v>136</v>
      </c>
      <c r="G723" s="17">
        <v>0</v>
      </c>
      <c r="H723" s="16">
        <v>3</v>
      </c>
    </row>
    <row r="724" spans="1:8">
      <c r="A724" s="17">
        <v>723</v>
      </c>
      <c r="B724" s="16">
        <v>501601</v>
      </c>
      <c r="C724" s="16">
        <v>0</v>
      </c>
      <c r="D724" s="16">
        <v>103</v>
      </c>
      <c r="E724" s="16">
        <v>1</v>
      </c>
      <c r="F724" s="16" t="s">
        <v>137</v>
      </c>
      <c r="G724" s="17">
        <v>0</v>
      </c>
      <c r="H724" s="16">
        <v>3</v>
      </c>
    </row>
    <row r="725" spans="1:8">
      <c r="A725" s="17">
        <v>724</v>
      </c>
      <c r="B725" s="16">
        <v>401501</v>
      </c>
      <c r="C725" s="16">
        <v>0</v>
      </c>
      <c r="D725" s="16">
        <v>103</v>
      </c>
      <c r="E725" s="16">
        <v>1</v>
      </c>
      <c r="F725" s="16" t="s">
        <v>138</v>
      </c>
      <c r="G725" s="17">
        <v>0</v>
      </c>
      <c r="H725" s="16">
        <v>3</v>
      </c>
    </row>
    <row r="726" spans="1:8">
      <c r="A726" s="17">
        <v>725</v>
      </c>
      <c r="B726" s="16">
        <v>401601</v>
      </c>
      <c r="C726" s="16">
        <v>0</v>
      </c>
      <c r="D726" s="16">
        <v>103</v>
      </c>
      <c r="E726" s="16">
        <v>1</v>
      </c>
      <c r="F726" s="16" t="s">
        <v>139</v>
      </c>
      <c r="G726" s="17">
        <v>0</v>
      </c>
      <c r="H726" s="16">
        <v>3</v>
      </c>
    </row>
    <row r="727" spans="1:8">
      <c r="A727" s="17">
        <v>726</v>
      </c>
      <c r="B727" s="16">
        <v>401701</v>
      </c>
      <c r="C727" s="16">
        <v>0</v>
      </c>
      <c r="D727" s="16">
        <v>103</v>
      </c>
      <c r="E727" s="16">
        <v>1</v>
      </c>
      <c r="F727" s="16" t="s">
        <v>140</v>
      </c>
      <c r="G727" s="17">
        <v>0</v>
      </c>
      <c r="H727" s="16">
        <v>3</v>
      </c>
    </row>
    <row r="728" spans="1:8">
      <c r="A728" s="17">
        <v>727</v>
      </c>
      <c r="B728" s="16">
        <v>501701</v>
      </c>
      <c r="C728" s="16">
        <v>0</v>
      </c>
      <c r="D728" s="16">
        <v>103</v>
      </c>
      <c r="E728" s="16">
        <v>1</v>
      </c>
      <c r="F728" s="16" t="s">
        <v>141</v>
      </c>
      <c r="G728" s="17">
        <v>0</v>
      </c>
      <c r="H728" s="16">
        <v>3</v>
      </c>
    </row>
    <row r="729" spans="1:8">
      <c r="A729" s="17">
        <v>728</v>
      </c>
      <c r="B729" s="77">
        <v>401901</v>
      </c>
      <c r="C729" s="77">
        <v>0</v>
      </c>
      <c r="D729" s="16">
        <v>103</v>
      </c>
      <c r="E729" s="77">
        <v>1</v>
      </c>
      <c r="F729" s="84" t="s">
        <v>142</v>
      </c>
      <c r="G729" s="85" t="s">
        <v>188</v>
      </c>
      <c r="H729" s="77">
        <v>3</v>
      </c>
    </row>
    <row r="730" spans="1:8">
      <c r="A730" s="17">
        <v>729</v>
      </c>
      <c r="B730" s="77">
        <v>302401</v>
      </c>
      <c r="C730" s="77">
        <v>0</v>
      </c>
      <c r="D730" s="16">
        <v>103</v>
      </c>
      <c r="E730" s="77">
        <v>1</v>
      </c>
      <c r="F730" s="84" t="s">
        <v>143</v>
      </c>
      <c r="G730" s="85" t="s">
        <v>188</v>
      </c>
      <c r="H730" s="77">
        <v>3</v>
      </c>
    </row>
    <row r="731" spans="1:8">
      <c r="A731" s="17">
        <v>730</v>
      </c>
      <c r="B731" s="40">
        <v>401801</v>
      </c>
      <c r="C731" s="77">
        <v>0</v>
      </c>
      <c r="D731" s="16">
        <v>103</v>
      </c>
      <c r="E731" s="77">
        <v>1</v>
      </c>
      <c r="F731" s="84" t="s">
        <v>144</v>
      </c>
      <c r="G731" s="85" t="s">
        <v>188</v>
      </c>
      <c r="H731" s="77">
        <v>3</v>
      </c>
    </row>
    <row r="732" spans="1:8">
      <c r="A732" s="17">
        <v>731</v>
      </c>
      <c r="B732" s="40">
        <v>501801</v>
      </c>
      <c r="C732" s="77">
        <v>0</v>
      </c>
      <c r="D732" s="16">
        <v>103</v>
      </c>
      <c r="E732" s="77">
        <v>1</v>
      </c>
      <c r="F732" s="84" t="s">
        <v>145</v>
      </c>
      <c r="G732" s="85" t="s">
        <v>188</v>
      </c>
      <c r="H732" s="77">
        <v>3</v>
      </c>
    </row>
    <row r="733" spans="1:8">
      <c r="A733" s="17">
        <v>732</v>
      </c>
      <c r="B733" s="16">
        <v>202501</v>
      </c>
      <c r="C733" s="77">
        <v>6</v>
      </c>
      <c r="D733" s="16">
        <v>3</v>
      </c>
      <c r="E733" s="77">
        <v>1</v>
      </c>
      <c r="F733" s="84" t="s">
        <v>149</v>
      </c>
      <c r="G733" s="85" t="s">
        <v>188</v>
      </c>
      <c r="H733" s="77">
        <v>6</v>
      </c>
    </row>
  </sheetData>
  <conditionalFormatting sqref="B79">
    <cfRule type="duplicateValues" dxfId="23" priority="23"/>
  </conditionalFormatting>
  <conditionalFormatting sqref="B80">
    <cfRule type="duplicateValues" dxfId="22" priority="20"/>
  </conditionalFormatting>
  <conditionalFormatting sqref="B81">
    <cfRule type="duplicateValues" dxfId="21" priority="16"/>
  </conditionalFormatting>
  <conditionalFormatting sqref="B82">
    <cfRule type="duplicateValues" dxfId="20" priority="12"/>
  </conditionalFormatting>
  <conditionalFormatting sqref="B83">
    <cfRule type="duplicateValues" dxfId="19" priority="8"/>
  </conditionalFormatting>
  <conditionalFormatting sqref="B84">
    <cfRule type="duplicateValues" dxfId="18" priority="4"/>
  </conditionalFormatting>
  <conditionalFormatting sqref="B162">
    <cfRule type="duplicateValues" dxfId="17" priority="24"/>
  </conditionalFormatting>
  <conditionalFormatting sqref="B163">
    <cfRule type="duplicateValues" dxfId="16" priority="19"/>
  </conditionalFormatting>
  <conditionalFormatting sqref="B164">
    <cfRule type="duplicateValues" dxfId="15" priority="15"/>
  </conditionalFormatting>
  <conditionalFormatting sqref="B165">
    <cfRule type="duplicateValues" dxfId="14" priority="11"/>
  </conditionalFormatting>
  <conditionalFormatting sqref="B166">
    <cfRule type="duplicateValues" dxfId="13" priority="7"/>
  </conditionalFormatting>
  <conditionalFormatting sqref="B167">
    <cfRule type="duplicateValues" dxfId="12" priority="3"/>
  </conditionalFormatting>
  <conditionalFormatting sqref="B242">
    <cfRule type="duplicateValues" dxfId="11" priority="22"/>
  </conditionalFormatting>
  <conditionalFormatting sqref="B243">
    <cfRule type="duplicateValues" dxfId="10" priority="18"/>
  </conditionalFormatting>
  <conditionalFormatting sqref="B244">
    <cfRule type="duplicateValues" dxfId="9" priority="14"/>
  </conditionalFormatting>
  <conditionalFormatting sqref="B245">
    <cfRule type="duplicateValues" dxfId="8" priority="10"/>
  </conditionalFormatting>
  <conditionalFormatting sqref="B246">
    <cfRule type="duplicateValues" dxfId="7" priority="6"/>
  </conditionalFormatting>
  <conditionalFormatting sqref="B247">
    <cfRule type="duplicateValues" dxfId="6" priority="2"/>
  </conditionalFormatting>
  <conditionalFormatting sqref="B298">
    <cfRule type="duplicateValues" dxfId="5" priority="21"/>
  </conditionalFormatting>
  <conditionalFormatting sqref="B299">
    <cfRule type="duplicateValues" dxfId="4" priority="17"/>
  </conditionalFormatting>
  <conditionalFormatting sqref="B300">
    <cfRule type="duplicateValues" dxfId="3" priority="13"/>
  </conditionalFormatting>
  <conditionalFormatting sqref="B301">
    <cfRule type="duplicateValues" dxfId="2" priority="9"/>
  </conditionalFormatting>
  <conditionalFormatting sqref="B302">
    <cfRule type="duplicateValues" dxfId="1" priority="5"/>
  </conditionalFormatting>
  <conditionalFormatting sqref="B303">
    <cfRule type="duplicateValues" dxfId="0" priority="1"/>
  </conditionalFormatting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I29" sqref="I29"/>
    </sheetView>
  </sheetViews>
  <sheetFormatPr defaultColWidth="9" defaultRowHeight="15"/>
  <cols>
    <col min="6" max="8" width="9" style="10"/>
  </cols>
  <sheetData>
    <row r="1" spans="1:6">
      <c r="A1" s="4" t="s">
        <v>42</v>
      </c>
      <c r="B1" s="4" t="s">
        <v>50</v>
      </c>
      <c r="C1" s="4" t="s">
        <v>2</v>
      </c>
      <c r="D1" s="4" t="s">
        <v>51</v>
      </c>
    </row>
    <row r="2" spans="1:6">
      <c r="A2" s="4">
        <v>1</v>
      </c>
      <c r="B2" s="4">
        <v>2</v>
      </c>
      <c r="C2" s="4">
        <v>1</v>
      </c>
      <c r="D2" s="4">
        <v>99</v>
      </c>
    </row>
    <row r="3" spans="1:6">
      <c r="A3" s="4">
        <v>2</v>
      </c>
      <c r="B3" s="4">
        <v>2</v>
      </c>
      <c r="C3" s="4">
        <v>2</v>
      </c>
      <c r="D3" s="4">
        <v>98</v>
      </c>
    </row>
    <row r="4" spans="1:6">
      <c r="A4" s="4">
        <v>3</v>
      </c>
      <c r="B4" s="4">
        <v>2</v>
      </c>
      <c r="C4" s="4">
        <v>4</v>
      </c>
      <c r="D4" s="4">
        <v>98</v>
      </c>
    </row>
    <row r="5" spans="1:6">
      <c r="A5" s="4">
        <v>4</v>
      </c>
      <c r="B5" s="4">
        <v>2</v>
      </c>
      <c r="C5" s="4">
        <v>10</v>
      </c>
      <c r="D5" s="4">
        <v>1001</v>
      </c>
      <c r="F5" s="11"/>
    </row>
    <row r="6" spans="1:6">
      <c r="A6" s="4">
        <v>5</v>
      </c>
      <c r="B6" s="4">
        <v>2</v>
      </c>
      <c r="C6" s="4">
        <v>20</v>
      </c>
      <c r="D6" s="4">
        <v>1002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5"/>
  <sheetViews>
    <sheetView topLeftCell="A22" workbookViewId="0">
      <selection activeCell="B40" sqref="B40"/>
    </sheetView>
  </sheetViews>
  <sheetFormatPr defaultColWidth="9" defaultRowHeight="15"/>
  <cols>
    <col min="1" max="1" width="10.5703125" style="1" customWidth="1"/>
    <col min="2" max="2" width="22.7109375" style="1" bestFit="1" customWidth="1"/>
    <col min="3" max="3" width="18.42578125" style="1" customWidth="1"/>
    <col min="4" max="4" width="10.85546875" style="1" customWidth="1"/>
    <col min="5" max="5" width="19" style="2" customWidth="1"/>
    <col min="6" max="6" width="13.85546875" style="3" customWidth="1"/>
    <col min="7" max="7" width="15" style="4" customWidth="1"/>
    <col min="8" max="8" width="13.42578125" style="1" customWidth="1"/>
    <col min="9" max="9" width="9.5703125" style="1" customWidth="1"/>
  </cols>
  <sheetData>
    <row r="1" spans="1:9">
      <c r="A1" s="1" t="s">
        <v>43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</row>
    <row r="2" spans="1:9">
      <c r="A2" s="5">
        <v>100101</v>
      </c>
      <c r="B2" s="5" t="s">
        <v>62</v>
      </c>
      <c r="C2" s="5" t="str">
        <f>VLOOKUP(B2,[1]英雄技能!$P:$Q,2,0)</f>
        <v>Phổ Công</v>
      </c>
      <c r="D2" s="5">
        <v>1</v>
      </c>
      <c r="E2" s="2">
        <v>0.17821000000000001</v>
      </c>
      <c r="F2" s="3">
        <f>IF(D2=1,E2/0.53,IF(D2=2,E2/0.36,IF(D2=3,E2/0.091,IF(D2=4,E2/0.015,E2/0.004))))</f>
        <v>0.33624528301886802</v>
      </c>
      <c r="G2" s="4">
        <f>ROUND(F2,4)</f>
        <v>0.3362</v>
      </c>
      <c r="H2" s="1">
        <f>G2*10000</f>
        <v>3362</v>
      </c>
      <c r="I2" s="1">
        <v>3334</v>
      </c>
    </row>
    <row r="3" spans="1:9">
      <c r="A3" s="5">
        <v>100201</v>
      </c>
      <c r="B3" s="5" t="s">
        <v>225</v>
      </c>
      <c r="C3" s="5" t="str">
        <f>VLOOKUP(B3,[1]英雄技能!$P:$Q,2,0)</f>
        <v>Y Sư</v>
      </c>
      <c r="D3" s="5">
        <v>2</v>
      </c>
      <c r="E3" s="2">
        <v>0.06</v>
      </c>
      <c r="F3" s="3">
        <f t="shared" ref="F3:F66" si="0">IF(D3=1,E3/0.53,IF(D3=2,E3/0.36,IF(D3=3,E3/0.091,IF(D3=4,E3/0.015,E3/0.004))))</f>
        <v>0.16666666666666699</v>
      </c>
      <c r="G3" s="4">
        <f t="shared" ref="G3:G66" si="1">ROUND(F3,4)</f>
        <v>0.16669999999999999</v>
      </c>
      <c r="H3" s="1">
        <f t="shared" ref="H3:H66" si="2">G3*10000</f>
        <v>1667</v>
      </c>
      <c r="I3" s="1">
        <v>1667</v>
      </c>
    </row>
    <row r="4" spans="1:9">
      <c r="A4" s="5">
        <v>100301</v>
      </c>
      <c r="B4" s="5" t="s">
        <v>66</v>
      </c>
      <c r="C4" s="5" t="str">
        <f>VLOOKUP(B4,[1]英雄技能!$P:$Q,2,0)</f>
        <v>Phổ Công</v>
      </c>
      <c r="D4" s="5">
        <v>2</v>
      </c>
      <c r="E4" s="2">
        <v>0.06</v>
      </c>
      <c r="F4" s="3">
        <f t="shared" si="0"/>
        <v>0.16666666666666699</v>
      </c>
      <c r="G4" s="4">
        <f t="shared" si="1"/>
        <v>0.16669999999999999</v>
      </c>
      <c r="H4" s="1">
        <f t="shared" si="2"/>
        <v>1667</v>
      </c>
      <c r="I4" s="1">
        <v>1667</v>
      </c>
    </row>
    <row r="5" spans="1:9">
      <c r="A5" s="5">
        <v>100401</v>
      </c>
      <c r="B5" s="5" t="s">
        <v>226</v>
      </c>
      <c r="C5" s="5" t="str">
        <f>VLOOKUP(B5,[1]英雄技能!$P:$Q,2,0)</f>
        <v>Kim Ngô Vệ</v>
      </c>
      <c r="D5" s="5">
        <v>3</v>
      </c>
      <c r="E5" s="2">
        <v>5.3499999999999997E-3</v>
      </c>
      <c r="F5" s="3">
        <f t="shared" si="0"/>
        <v>5.8791208791208797E-2</v>
      </c>
      <c r="G5" s="4">
        <f t="shared" si="1"/>
        <v>5.8799999999999998E-2</v>
      </c>
      <c r="H5" s="1">
        <f t="shared" si="2"/>
        <v>588</v>
      </c>
      <c r="I5" s="1">
        <v>625</v>
      </c>
    </row>
    <row r="6" spans="1:9">
      <c r="A6" s="5">
        <v>100501</v>
      </c>
      <c r="B6" s="5" t="s">
        <v>69</v>
      </c>
      <c r="C6" s="5" t="str">
        <f>VLOOKUP(B6,[1]英雄技能!$P:$Q,2,0)</f>
        <v>Phổ Công</v>
      </c>
      <c r="D6" s="5">
        <v>3</v>
      </c>
      <c r="E6" s="2">
        <v>5.3499999999999997E-3</v>
      </c>
      <c r="F6" s="3">
        <f t="shared" si="0"/>
        <v>5.8791208791208797E-2</v>
      </c>
      <c r="G6" s="4">
        <f t="shared" si="1"/>
        <v>5.8799999999999998E-2</v>
      </c>
      <c r="H6" s="1">
        <f t="shared" si="2"/>
        <v>588</v>
      </c>
      <c r="I6" s="1">
        <v>625</v>
      </c>
    </row>
    <row r="7" spans="1:9">
      <c r="A7" s="5">
        <v>100601</v>
      </c>
      <c r="B7" s="5" t="s">
        <v>227</v>
      </c>
      <c r="C7" s="5" t="str">
        <f>VLOOKUP(B7,[1]英雄技能!$P:$Q,2,0)</f>
        <v>Điện Tiền Cấm Vệ</v>
      </c>
      <c r="D7" s="5">
        <v>3</v>
      </c>
      <c r="E7" s="2">
        <v>5.3499999999999997E-3</v>
      </c>
      <c r="F7" s="3">
        <f t="shared" si="0"/>
        <v>5.8791208791208797E-2</v>
      </c>
      <c r="G7" s="4">
        <f t="shared" si="1"/>
        <v>5.8799999999999998E-2</v>
      </c>
      <c r="H7" s="1">
        <f t="shared" si="2"/>
        <v>588</v>
      </c>
      <c r="I7" s="1">
        <v>625</v>
      </c>
    </row>
    <row r="8" spans="1:9">
      <c r="A8" s="5">
        <v>100701</v>
      </c>
      <c r="B8" s="5" t="s">
        <v>228</v>
      </c>
      <c r="C8" s="5" t="str">
        <f>VLOOKUP(B8,[1]英雄技能!$P:$Q,2,0)</f>
        <v>Yến Xích Hà</v>
      </c>
      <c r="D8" s="5">
        <v>3</v>
      </c>
      <c r="E8" s="2">
        <v>5.3499999999999997E-3</v>
      </c>
      <c r="F8" s="3">
        <f t="shared" si="0"/>
        <v>5.8791208791208797E-2</v>
      </c>
      <c r="G8" s="4">
        <f t="shared" si="1"/>
        <v>5.8799999999999998E-2</v>
      </c>
      <c r="H8" s="1">
        <f t="shared" si="2"/>
        <v>588</v>
      </c>
      <c r="I8" s="1">
        <v>625</v>
      </c>
    </row>
    <row r="9" spans="1:9">
      <c r="A9" s="5">
        <v>100801</v>
      </c>
      <c r="B9" s="5" t="s">
        <v>71</v>
      </c>
      <c r="C9" s="5" t="str">
        <f>VLOOKUP(B9,[1]英雄技能!$P:$Q,2,0)</f>
        <v>Phổ Công</v>
      </c>
      <c r="D9" s="5">
        <v>3</v>
      </c>
      <c r="E9" s="2">
        <v>5.3499999999999997E-3</v>
      </c>
      <c r="F9" s="3">
        <f t="shared" si="0"/>
        <v>5.8791208791208797E-2</v>
      </c>
      <c r="G9" s="4">
        <f t="shared" si="1"/>
        <v>5.8799999999999998E-2</v>
      </c>
      <c r="H9" s="1">
        <f t="shared" si="2"/>
        <v>588</v>
      </c>
      <c r="I9" s="1">
        <v>625</v>
      </c>
    </row>
    <row r="10" spans="1:9">
      <c r="A10" s="5">
        <v>100901</v>
      </c>
      <c r="B10" s="5" t="s">
        <v>88</v>
      </c>
      <c r="C10" s="5" t="str">
        <f>VLOOKUP(B10,[1]英雄技能!$P:$Q,2,0)</f>
        <v>Phổ Công</v>
      </c>
      <c r="D10" s="5">
        <v>4</v>
      </c>
      <c r="E10" s="2">
        <v>6.6E-4</v>
      </c>
      <c r="F10" s="3">
        <f t="shared" si="0"/>
        <v>4.3999999999999997E-2</v>
      </c>
      <c r="G10" s="4">
        <f t="shared" si="1"/>
        <v>4.3999999999999997E-2</v>
      </c>
      <c r="H10" s="1">
        <f t="shared" si="2"/>
        <v>440</v>
      </c>
      <c r="I10" s="1">
        <v>417</v>
      </c>
    </row>
    <row r="11" spans="1:9">
      <c r="A11" s="5">
        <v>101001</v>
      </c>
      <c r="B11" s="5" t="s">
        <v>229</v>
      </c>
      <c r="C11" s="5" t="str">
        <f>VLOOKUP(B11,[1]英雄技能!$P:$Q,2,0)</f>
        <v>Kim Trá</v>
      </c>
      <c r="D11" s="5">
        <v>4</v>
      </c>
      <c r="E11" s="2">
        <v>6.6E-4</v>
      </c>
      <c r="F11" s="3">
        <f t="shared" si="0"/>
        <v>4.3999999999999997E-2</v>
      </c>
      <c r="G11" s="4">
        <f t="shared" si="1"/>
        <v>4.3999999999999997E-2</v>
      </c>
      <c r="H11" s="1">
        <f t="shared" si="2"/>
        <v>440</v>
      </c>
      <c r="I11" s="1">
        <v>417</v>
      </c>
    </row>
    <row r="12" spans="1:9">
      <c r="A12" s="5">
        <v>101101</v>
      </c>
      <c r="B12" s="5" t="s">
        <v>230</v>
      </c>
      <c r="C12" s="5" t="e">
        <f>VLOOKUP(B12,[1]英雄技能!$P:$Q,2,0)</f>
        <v>#N/A</v>
      </c>
      <c r="D12" s="5">
        <v>4</v>
      </c>
      <c r="E12" s="2">
        <v>6.6E-4</v>
      </c>
      <c r="F12" s="3">
        <f t="shared" si="0"/>
        <v>4.3999999999999997E-2</v>
      </c>
      <c r="G12" s="4">
        <f t="shared" si="1"/>
        <v>4.3999999999999997E-2</v>
      </c>
      <c r="H12" s="1">
        <f t="shared" si="2"/>
        <v>440</v>
      </c>
      <c r="I12" s="1">
        <v>417</v>
      </c>
    </row>
    <row r="13" spans="1:9">
      <c r="A13" s="5">
        <v>101201</v>
      </c>
      <c r="B13" s="5" t="s">
        <v>75</v>
      </c>
      <c r="C13" s="5" t="str">
        <f>VLOOKUP(B13,[1]英雄技能!$P:$Q,2,0)</f>
        <v>Phổ Công</v>
      </c>
      <c r="D13" s="5">
        <v>4</v>
      </c>
      <c r="E13" s="2">
        <v>6.6E-4</v>
      </c>
      <c r="F13" s="3">
        <f t="shared" si="0"/>
        <v>4.3999999999999997E-2</v>
      </c>
      <c r="G13" s="4">
        <f t="shared" si="1"/>
        <v>4.3999999999999997E-2</v>
      </c>
      <c r="H13" s="1">
        <f t="shared" si="2"/>
        <v>440</v>
      </c>
      <c r="I13" s="1">
        <v>417</v>
      </c>
    </row>
    <row r="14" spans="1:9">
      <c r="A14" s="5">
        <v>101301</v>
      </c>
      <c r="B14" s="5" t="s">
        <v>92</v>
      </c>
      <c r="C14" s="5" t="str">
        <f>VLOOKUP(B14,[1]英雄技能!$P:$Q,2,0)</f>
        <v>Chính Nghĩa Thẩm Phán</v>
      </c>
      <c r="D14" s="5">
        <v>4</v>
      </c>
      <c r="E14" s="2">
        <v>6.6E-4</v>
      </c>
      <c r="F14" s="3">
        <f t="shared" si="0"/>
        <v>4.3999999999999997E-2</v>
      </c>
      <c r="G14" s="4">
        <f t="shared" si="1"/>
        <v>4.3999999999999997E-2</v>
      </c>
      <c r="H14" s="1">
        <f t="shared" si="2"/>
        <v>440</v>
      </c>
      <c r="I14" s="1">
        <v>417</v>
      </c>
    </row>
    <row r="15" spans="1:9">
      <c r="A15" s="5">
        <v>101401</v>
      </c>
      <c r="B15" s="5" t="s">
        <v>138</v>
      </c>
      <c r="C15" s="5" t="str">
        <f>VLOOKUP(B15,[1]英雄技能!$P:$Q,2,0)</f>
        <v>Đấu Đế</v>
      </c>
      <c r="D15" s="5">
        <v>5</v>
      </c>
      <c r="E15" s="2">
        <v>1.1E-4</v>
      </c>
      <c r="F15" s="3">
        <f t="shared" si="0"/>
        <v>2.75E-2</v>
      </c>
      <c r="G15" s="4">
        <f t="shared" si="1"/>
        <v>2.75E-2</v>
      </c>
      <c r="H15" s="1">
        <f t="shared" si="2"/>
        <v>275</v>
      </c>
      <c r="I15" s="1">
        <f>H15</f>
        <v>275</v>
      </c>
    </row>
    <row r="16" spans="1:9">
      <c r="A16" s="5">
        <v>101501</v>
      </c>
      <c r="B16" s="5" t="s">
        <v>96</v>
      </c>
      <c r="C16" s="5" t="str">
        <f>VLOOKUP(B16,[1]英雄技能!$P:$Q,2,0)</f>
        <v>Phổ Công</v>
      </c>
      <c r="D16" s="5">
        <v>5</v>
      </c>
      <c r="E16" s="2">
        <v>2.3000000000000001E-4</v>
      </c>
      <c r="F16" s="3">
        <f t="shared" si="0"/>
        <v>5.7500000000000002E-2</v>
      </c>
      <c r="G16" s="4">
        <f t="shared" si="1"/>
        <v>5.7500000000000002E-2</v>
      </c>
      <c r="H16" s="1">
        <f t="shared" si="2"/>
        <v>575</v>
      </c>
      <c r="I16" s="1">
        <f t="shared" ref="I16:I23" si="3">H16</f>
        <v>575</v>
      </c>
    </row>
    <row r="17" spans="1:9">
      <c r="A17" s="5">
        <v>101601</v>
      </c>
      <c r="B17" s="5" t="s">
        <v>95</v>
      </c>
      <c r="C17" s="5" t="str">
        <f>VLOOKUP(B17,[1]英雄技能!$P:$Q,2,0)</f>
        <v>Phổ Công</v>
      </c>
      <c r="D17" s="5">
        <v>5</v>
      </c>
      <c r="E17" s="2">
        <v>3.0000000000000001E-5</v>
      </c>
      <c r="F17" s="3">
        <f t="shared" si="0"/>
        <v>7.4999999999999997E-3</v>
      </c>
      <c r="G17" s="4">
        <f t="shared" si="1"/>
        <v>7.4999999999999997E-3</v>
      </c>
      <c r="H17" s="1">
        <f t="shared" si="2"/>
        <v>75</v>
      </c>
      <c r="I17" s="1">
        <f t="shared" si="3"/>
        <v>75</v>
      </c>
    </row>
    <row r="18" spans="1:9">
      <c r="A18" s="5">
        <v>101701</v>
      </c>
      <c r="B18" s="103" t="s">
        <v>76</v>
      </c>
      <c r="C18" s="5" t="str">
        <f>VLOOKUP(B18,[1]英雄技能!$P:$Q,2,0)</f>
        <v>Phổ Công</v>
      </c>
      <c r="D18" s="5">
        <v>5</v>
      </c>
      <c r="E18" s="2">
        <v>3.0000000000000001E-5</v>
      </c>
      <c r="F18" s="3">
        <f t="shared" si="0"/>
        <v>7.4999999999999997E-3</v>
      </c>
      <c r="G18" s="4">
        <f t="shared" si="1"/>
        <v>7.4999999999999997E-3</v>
      </c>
      <c r="H18" s="1">
        <f t="shared" si="2"/>
        <v>75</v>
      </c>
      <c r="I18" s="1">
        <f t="shared" si="3"/>
        <v>75</v>
      </c>
    </row>
    <row r="19" spans="1:9">
      <c r="A19" s="5">
        <v>101801</v>
      </c>
      <c r="B19" s="5" t="s">
        <v>97</v>
      </c>
      <c r="C19" s="5" t="str">
        <f>VLOOKUP(B19,[1]英雄技能!$P:$Q,2,0)</f>
        <v>Phổ Công</v>
      </c>
      <c r="D19" s="5">
        <v>5</v>
      </c>
      <c r="E19" s="2">
        <v>1.1E-4</v>
      </c>
      <c r="F19" s="3">
        <f t="shared" si="0"/>
        <v>2.75E-2</v>
      </c>
      <c r="G19" s="4">
        <f t="shared" si="1"/>
        <v>2.75E-2</v>
      </c>
      <c r="H19" s="1">
        <f t="shared" si="2"/>
        <v>275</v>
      </c>
      <c r="I19" s="1">
        <f t="shared" si="3"/>
        <v>275</v>
      </c>
    </row>
    <row r="20" spans="1:9">
      <c r="A20" s="5">
        <v>101901</v>
      </c>
      <c r="B20" s="5" t="s">
        <v>91</v>
      </c>
      <c r="C20" s="5" t="str">
        <f>VLOOKUP(B20,[1]英雄技能!$P:$Q,2,0)</f>
        <v>Phổ Công</v>
      </c>
      <c r="D20" s="5">
        <v>5</v>
      </c>
      <c r="E20" s="2">
        <v>3.0000000000000001E-5</v>
      </c>
      <c r="F20" s="3">
        <f t="shared" si="0"/>
        <v>7.4999999999999997E-3</v>
      </c>
      <c r="G20" s="4">
        <f t="shared" si="1"/>
        <v>7.4999999999999997E-3</v>
      </c>
      <c r="H20" s="1">
        <f t="shared" si="2"/>
        <v>75</v>
      </c>
      <c r="I20" s="1">
        <f t="shared" si="3"/>
        <v>75</v>
      </c>
    </row>
    <row r="21" spans="1:9">
      <c r="A21" s="5">
        <v>102001</v>
      </c>
      <c r="B21" s="5" t="s">
        <v>93</v>
      </c>
      <c r="C21" s="5" t="str">
        <f>VLOOKUP(B21,[1]英雄技能!$P:$Q,2,0)</f>
        <v>Phổ Công</v>
      </c>
      <c r="D21" s="5">
        <v>5</v>
      </c>
      <c r="E21" s="2">
        <v>3.0000000000000001E-5</v>
      </c>
      <c r="F21" s="3">
        <f t="shared" si="0"/>
        <v>7.4999999999999997E-3</v>
      </c>
      <c r="G21" s="4">
        <f t="shared" si="1"/>
        <v>7.4999999999999997E-3</v>
      </c>
      <c r="H21" s="1">
        <f t="shared" si="2"/>
        <v>75</v>
      </c>
      <c r="I21" s="1">
        <f t="shared" si="3"/>
        <v>75</v>
      </c>
    </row>
    <row r="22" spans="1:9">
      <c r="A22" s="5">
        <v>102101</v>
      </c>
      <c r="B22" s="5" t="s">
        <v>94</v>
      </c>
      <c r="C22" s="5" t="str">
        <f>VLOOKUP(B22,[1]英雄技能!$P:$Q,2,0)</f>
        <v>Phổ Công</v>
      </c>
      <c r="D22" s="5">
        <v>5</v>
      </c>
      <c r="E22" s="2">
        <v>1.1E-4</v>
      </c>
      <c r="F22" s="3">
        <f t="shared" si="0"/>
        <v>2.75E-2</v>
      </c>
      <c r="G22" s="4">
        <f t="shared" si="1"/>
        <v>2.75E-2</v>
      </c>
      <c r="H22" s="1">
        <f t="shared" si="2"/>
        <v>275</v>
      </c>
      <c r="I22" s="1">
        <f t="shared" si="3"/>
        <v>275</v>
      </c>
    </row>
    <row r="23" spans="1:9">
      <c r="A23" s="5">
        <v>102201</v>
      </c>
      <c r="B23" s="5" t="s">
        <v>90</v>
      </c>
      <c r="C23" s="5" t="str">
        <f>VLOOKUP(B23,[1]英雄技能!$P:$Q,2,0)</f>
        <v>Phổ Công</v>
      </c>
      <c r="D23" s="5">
        <v>5</v>
      </c>
      <c r="E23" s="2">
        <v>2.3000000000000001E-4</v>
      </c>
      <c r="F23" s="3">
        <f t="shared" si="0"/>
        <v>5.7500000000000002E-2</v>
      </c>
      <c r="G23" s="4">
        <f t="shared" si="1"/>
        <v>5.7500000000000002E-2</v>
      </c>
      <c r="H23" s="1">
        <f t="shared" si="2"/>
        <v>575</v>
      </c>
      <c r="I23" s="1">
        <f t="shared" si="3"/>
        <v>575</v>
      </c>
    </row>
    <row r="24" spans="1:9">
      <c r="A24" s="6">
        <v>200101</v>
      </c>
      <c r="B24" s="6" t="s">
        <v>61</v>
      </c>
      <c r="C24" s="5" t="str">
        <f>VLOOKUP(B24,[1]英雄技能!$P:$Q,2,0)</f>
        <v>Phổ Công</v>
      </c>
      <c r="D24" s="6">
        <v>1</v>
      </c>
      <c r="E24" s="2">
        <v>0.17821000000000001</v>
      </c>
      <c r="F24" s="3">
        <f t="shared" si="0"/>
        <v>0.33624528301886802</v>
      </c>
      <c r="G24" s="4">
        <f t="shared" si="1"/>
        <v>0.3362</v>
      </c>
      <c r="H24" s="1">
        <f t="shared" si="2"/>
        <v>3362</v>
      </c>
      <c r="I24" s="1">
        <v>3333</v>
      </c>
    </row>
    <row r="25" spans="1:9">
      <c r="A25" s="6">
        <v>200201</v>
      </c>
      <c r="B25" s="6" t="s">
        <v>64</v>
      </c>
      <c r="C25" s="5" t="str">
        <f>VLOOKUP(B25,[1]英雄技能!$P:$Q,2,0)</f>
        <v>Phổ Công</v>
      </c>
      <c r="D25" s="6">
        <v>2</v>
      </c>
      <c r="E25" s="2">
        <v>0.06</v>
      </c>
      <c r="F25" s="3">
        <f t="shared" si="0"/>
        <v>0.16666666666666699</v>
      </c>
      <c r="G25" s="4">
        <f t="shared" si="1"/>
        <v>0.16669999999999999</v>
      </c>
      <c r="H25" s="1">
        <f t="shared" si="2"/>
        <v>1667</v>
      </c>
      <c r="I25" s="1">
        <v>1667</v>
      </c>
    </row>
    <row r="26" spans="1:9">
      <c r="A26" s="6">
        <v>200301</v>
      </c>
      <c r="B26" s="6" t="s">
        <v>232</v>
      </c>
      <c r="C26" s="5" t="str">
        <f>VLOOKUP(B26,[1]英雄技能!$P:$Q,2,0)</f>
        <v>Phù Dung Tiên Tử</v>
      </c>
      <c r="D26" s="6">
        <v>2</v>
      </c>
      <c r="E26" s="2">
        <v>0.06</v>
      </c>
      <c r="F26" s="3">
        <f t="shared" si="0"/>
        <v>0.16666666666666699</v>
      </c>
      <c r="G26" s="4">
        <f t="shared" si="1"/>
        <v>0.16669999999999999</v>
      </c>
      <c r="H26" s="1">
        <f t="shared" si="2"/>
        <v>1667</v>
      </c>
      <c r="I26" s="1">
        <v>1667</v>
      </c>
    </row>
    <row r="27" spans="1:9">
      <c r="A27" s="6">
        <v>200401</v>
      </c>
      <c r="B27" s="6" t="s">
        <v>233</v>
      </c>
      <c r="C27" s="5" t="str">
        <f>VLOOKUP(B27,[1]英雄技能!$P:$Q,2,0)</f>
        <v>Thiên Tương</v>
      </c>
      <c r="D27" s="6">
        <v>3</v>
      </c>
      <c r="E27" s="2">
        <v>5.3499999999999997E-3</v>
      </c>
      <c r="F27" s="3">
        <f t="shared" si="0"/>
        <v>5.8791208791208797E-2</v>
      </c>
      <c r="G27" s="4">
        <f t="shared" si="1"/>
        <v>5.8799999999999998E-2</v>
      </c>
      <c r="H27" s="1">
        <f t="shared" si="2"/>
        <v>588</v>
      </c>
      <c r="I27" s="1">
        <v>625</v>
      </c>
    </row>
    <row r="28" spans="1:9">
      <c r="A28" s="6">
        <v>200501</v>
      </c>
      <c r="B28" s="6" t="s">
        <v>74</v>
      </c>
      <c r="C28" s="5" t="str">
        <f>VLOOKUP(B28,[1]英雄技能!$P:$Q,2,0)</f>
        <v>Phổ Công</v>
      </c>
      <c r="D28" s="6">
        <v>3</v>
      </c>
      <c r="E28" s="2">
        <v>5.3499999999999997E-3</v>
      </c>
      <c r="F28" s="3">
        <f t="shared" si="0"/>
        <v>5.8791208791208797E-2</v>
      </c>
      <c r="G28" s="4">
        <f t="shared" si="1"/>
        <v>5.8799999999999998E-2</v>
      </c>
      <c r="H28" s="1">
        <f t="shared" si="2"/>
        <v>588</v>
      </c>
      <c r="I28" s="1">
        <v>625</v>
      </c>
    </row>
    <row r="29" spans="1:9">
      <c r="A29" s="6">
        <v>200601</v>
      </c>
      <c r="B29" s="6" t="s">
        <v>234</v>
      </c>
      <c r="C29" s="5" t="str">
        <f>VLOOKUP(B29,[1]英雄技能!$P:$Q,2,0)</f>
        <v>Vụ Trung Tiên</v>
      </c>
      <c r="D29" s="6">
        <v>3</v>
      </c>
      <c r="E29" s="2">
        <v>5.3499999999999997E-3</v>
      </c>
      <c r="F29" s="3">
        <f t="shared" si="0"/>
        <v>5.8791208791208797E-2</v>
      </c>
      <c r="G29" s="4">
        <f t="shared" si="1"/>
        <v>5.8799999999999998E-2</v>
      </c>
      <c r="H29" s="1">
        <f t="shared" si="2"/>
        <v>588</v>
      </c>
      <c r="I29" s="1">
        <v>625</v>
      </c>
    </row>
    <row r="30" spans="1:9">
      <c r="A30" s="6">
        <v>200701</v>
      </c>
      <c r="B30" s="6" t="s">
        <v>235</v>
      </c>
      <c r="C30" s="5" t="str">
        <f>VLOOKUP(B30,[1]英雄技能!$P:$Q,2,0)</f>
        <v>Tiểu Long Nữ</v>
      </c>
      <c r="D30" s="6">
        <v>3</v>
      </c>
      <c r="E30" s="2">
        <v>5.3499999999999997E-3</v>
      </c>
      <c r="F30" s="3">
        <f t="shared" si="0"/>
        <v>5.8791208791208797E-2</v>
      </c>
      <c r="G30" s="4">
        <f t="shared" si="1"/>
        <v>5.8799999999999998E-2</v>
      </c>
      <c r="H30" s="1">
        <f t="shared" si="2"/>
        <v>588</v>
      </c>
      <c r="I30" s="1">
        <v>625</v>
      </c>
    </row>
    <row r="31" spans="1:9">
      <c r="A31" s="6">
        <v>200801</v>
      </c>
      <c r="B31" s="6" t="s">
        <v>117</v>
      </c>
      <c r="C31" s="5" t="str">
        <f>VLOOKUP(B31,[1]英雄技能!$P:$Q,2,0)</f>
        <v>Phổ Công</v>
      </c>
      <c r="D31" s="6">
        <v>3</v>
      </c>
      <c r="E31" s="2">
        <v>5.3499999999999997E-3</v>
      </c>
      <c r="F31" s="3">
        <f t="shared" si="0"/>
        <v>5.8791208791208797E-2</v>
      </c>
      <c r="G31" s="4">
        <f t="shared" si="1"/>
        <v>5.8799999999999998E-2</v>
      </c>
      <c r="H31" s="1">
        <f t="shared" si="2"/>
        <v>588</v>
      </c>
      <c r="I31" s="1">
        <v>625</v>
      </c>
    </row>
    <row r="32" spans="1:9">
      <c r="A32" s="6">
        <v>200901</v>
      </c>
      <c r="B32" s="6" t="s">
        <v>82</v>
      </c>
      <c r="C32" s="5" t="str">
        <f>VLOOKUP(B32,[1]英雄技能!$P:$Q,2,0)</f>
        <v>Phổ Công</v>
      </c>
      <c r="D32" s="6">
        <v>4</v>
      </c>
      <c r="E32" s="2">
        <v>6.6E-4</v>
      </c>
      <c r="F32" s="3">
        <f t="shared" si="0"/>
        <v>4.3999999999999997E-2</v>
      </c>
      <c r="G32" s="4">
        <f t="shared" si="1"/>
        <v>4.3999999999999997E-2</v>
      </c>
      <c r="H32" s="1">
        <f t="shared" si="2"/>
        <v>440</v>
      </c>
      <c r="I32" s="1">
        <v>417</v>
      </c>
    </row>
    <row r="33" spans="1:9">
      <c r="A33" s="6">
        <v>201001</v>
      </c>
      <c r="B33" s="6" t="s">
        <v>236</v>
      </c>
      <c r="C33" s="5" t="str">
        <f>VLOOKUP(B33,[1]英雄技能!$P:$Q,2,0)</f>
        <v>Lữ Động Tân</v>
      </c>
      <c r="D33" s="6">
        <v>4</v>
      </c>
      <c r="E33" s="2">
        <v>6.6E-4</v>
      </c>
      <c r="F33" s="3">
        <f t="shared" si="0"/>
        <v>4.3999999999999997E-2</v>
      </c>
      <c r="G33" s="4">
        <f t="shared" si="1"/>
        <v>4.3999999999999997E-2</v>
      </c>
      <c r="H33" s="1">
        <f t="shared" si="2"/>
        <v>440</v>
      </c>
      <c r="I33" s="1">
        <v>417</v>
      </c>
    </row>
    <row r="34" spans="1:9">
      <c r="A34" s="6">
        <v>201101</v>
      </c>
      <c r="B34" s="6" t="s">
        <v>79</v>
      </c>
      <c r="C34" s="5" t="str">
        <f>VLOOKUP(B34,[1]英雄技能!$P:$Q,2,0)</f>
        <v>Phổ Công</v>
      </c>
      <c r="D34" s="6">
        <v>4</v>
      </c>
      <c r="E34" s="2">
        <v>6.6E-4</v>
      </c>
      <c r="F34" s="3">
        <f t="shared" si="0"/>
        <v>4.3999999999999997E-2</v>
      </c>
      <c r="G34" s="4">
        <f t="shared" si="1"/>
        <v>4.3999999999999997E-2</v>
      </c>
      <c r="H34" s="1">
        <f t="shared" si="2"/>
        <v>440</v>
      </c>
      <c r="I34" s="1">
        <v>417</v>
      </c>
    </row>
    <row r="35" spans="1:9">
      <c r="A35" s="6">
        <v>201201</v>
      </c>
      <c r="B35" s="6" t="s">
        <v>237</v>
      </c>
      <c r="C35" s="5" t="str">
        <f>VLOOKUP(B35,[1]英雄技能!$P:$Q,2,0)</f>
        <v>Phong Bá</v>
      </c>
      <c r="D35" s="6">
        <v>4</v>
      </c>
      <c r="E35" s="2">
        <v>6.6E-4</v>
      </c>
      <c r="F35" s="3">
        <f t="shared" si="0"/>
        <v>4.3999999999999997E-2</v>
      </c>
      <c r="G35" s="4">
        <f t="shared" si="1"/>
        <v>4.3999999999999997E-2</v>
      </c>
      <c r="H35" s="1">
        <f t="shared" si="2"/>
        <v>440</v>
      </c>
      <c r="I35" s="1">
        <v>417</v>
      </c>
    </row>
    <row r="36" spans="1:9">
      <c r="A36" s="6">
        <v>201301</v>
      </c>
      <c r="B36" s="6" t="s">
        <v>60</v>
      </c>
      <c r="C36" s="5" t="str">
        <f>VLOOKUP(B36,[1]英雄技能!$P:$Q,2,0)</f>
        <v>Phổ Công</v>
      </c>
      <c r="D36" s="6">
        <v>4</v>
      </c>
      <c r="E36" s="2">
        <v>6.6E-4</v>
      </c>
      <c r="F36" s="3">
        <f t="shared" si="0"/>
        <v>4.3999999999999997E-2</v>
      </c>
      <c r="G36" s="4">
        <f t="shared" si="1"/>
        <v>4.3999999999999997E-2</v>
      </c>
      <c r="H36" s="1">
        <f t="shared" si="2"/>
        <v>440</v>
      </c>
      <c r="I36" s="1">
        <v>417</v>
      </c>
    </row>
    <row r="37" spans="1:9">
      <c r="A37" s="6">
        <v>201401</v>
      </c>
      <c r="B37" s="6" t="s">
        <v>115</v>
      </c>
      <c r="C37" s="5" t="str">
        <f>VLOOKUP(B37,[1]英雄技能!$P:$Q,2,0)</f>
        <v>Phổ Công</v>
      </c>
      <c r="D37" s="6">
        <v>5</v>
      </c>
      <c r="E37" s="2">
        <v>2.3000000000000001E-4</v>
      </c>
      <c r="F37" s="3">
        <f t="shared" si="0"/>
        <v>5.7500000000000002E-2</v>
      </c>
      <c r="G37" s="4">
        <f t="shared" si="1"/>
        <v>5.7500000000000002E-2</v>
      </c>
      <c r="H37" s="1">
        <f t="shared" si="2"/>
        <v>575</v>
      </c>
      <c r="I37" s="1">
        <f t="shared" ref="I37:I46" si="4">H37</f>
        <v>575</v>
      </c>
    </row>
    <row r="38" spans="1:9">
      <c r="A38" s="6">
        <v>201501</v>
      </c>
      <c r="B38" s="6" t="s">
        <v>108</v>
      </c>
      <c r="C38" s="5" t="str">
        <f>VLOOKUP(B38,[1]英雄技能!$P:$Q,2,0)</f>
        <v>Phổ Công</v>
      </c>
      <c r="D38" s="6">
        <v>5</v>
      </c>
      <c r="E38" s="2">
        <v>3.0000000000000001E-5</v>
      </c>
      <c r="F38" s="3">
        <f t="shared" si="0"/>
        <v>7.4999999999999997E-3</v>
      </c>
      <c r="G38" s="4">
        <f t="shared" si="1"/>
        <v>7.4999999999999997E-3</v>
      </c>
      <c r="H38" s="1">
        <f t="shared" si="2"/>
        <v>75</v>
      </c>
      <c r="I38" s="1">
        <f t="shared" si="4"/>
        <v>75</v>
      </c>
    </row>
    <row r="39" spans="1:9">
      <c r="A39" s="6">
        <v>201601</v>
      </c>
      <c r="B39" s="6" t="s">
        <v>238</v>
      </c>
      <c r="C39" s="5" t="e">
        <f>VLOOKUP(B39,[1]英雄技能!$P:$Q,2,0)</f>
        <v>#N/A</v>
      </c>
      <c r="D39" s="6">
        <v>5</v>
      </c>
      <c r="E39" s="2">
        <v>1.1E-4</v>
      </c>
      <c r="F39" s="3">
        <f t="shared" si="0"/>
        <v>2.75E-2</v>
      </c>
      <c r="G39" s="4">
        <f t="shared" si="1"/>
        <v>2.75E-2</v>
      </c>
      <c r="H39" s="1">
        <f t="shared" si="2"/>
        <v>275</v>
      </c>
      <c r="I39" s="1">
        <f t="shared" si="4"/>
        <v>275</v>
      </c>
    </row>
    <row r="40" spans="1:9">
      <c r="A40" s="6">
        <v>201701</v>
      </c>
      <c r="B40" s="6" t="s">
        <v>239</v>
      </c>
      <c r="C40" s="5" t="e">
        <f>VLOOKUP(B40,[1]英雄技能!$P:$Q,2,0)</f>
        <v>#N/A</v>
      </c>
      <c r="D40" s="6">
        <v>5</v>
      </c>
      <c r="E40" s="2">
        <v>2.3000000000000001E-4</v>
      </c>
      <c r="F40" s="3">
        <f t="shared" si="0"/>
        <v>5.7500000000000002E-2</v>
      </c>
      <c r="G40" s="4">
        <f t="shared" si="1"/>
        <v>5.7500000000000002E-2</v>
      </c>
      <c r="H40" s="1">
        <f t="shared" si="2"/>
        <v>575</v>
      </c>
      <c r="I40" s="1">
        <f t="shared" si="4"/>
        <v>575</v>
      </c>
    </row>
    <row r="41" spans="1:9">
      <c r="A41" s="6">
        <v>201801</v>
      </c>
      <c r="B41" s="6" t="s">
        <v>113</v>
      </c>
      <c r="C41" s="5" t="str">
        <f>VLOOKUP(B41,[1]英雄技能!$P:$Q,2,0)</f>
        <v>Đấu Chiến Thắng Phật</v>
      </c>
      <c r="D41" s="6">
        <v>5</v>
      </c>
      <c r="E41" s="2">
        <v>3.0000000000000001E-5</v>
      </c>
      <c r="F41" s="3">
        <f t="shared" si="0"/>
        <v>7.4999999999999997E-3</v>
      </c>
      <c r="G41" s="4">
        <f t="shared" si="1"/>
        <v>7.4999999999999997E-3</v>
      </c>
      <c r="H41" s="1">
        <f t="shared" si="2"/>
        <v>75</v>
      </c>
      <c r="I41" s="1">
        <f t="shared" si="4"/>
        <v>75</v>
      </c>
    </row>
    <row r="42" spans="1:9">
      <c r="A42" s="6">
        <v>201901</v>
      </c>
      <c r="B42" s="6" t="s">
        <v>240</v>
      </c>
      <c r="C42" s="5" t="str">
        <f>VLOOKUP(B42,[1]英雄技能!$P:$Q,2,0)</f>
        <v>Cửu Phượng</v>
      </c>
      <c r="D42" s="6">
        <v>5</v>
      </c>
      <c r="E42" s="2">
        <v>3.0000000000000001E-5</v>
      </c>
      <c r="F42" s="3">
        <f t="shared" si="0"/>
        <v>7.4999999999999997E-3</v>
      </c>
      <c r="G42" s="4">
        <f t="shared" si="1"/>
        <v>7.4999999999999997E-3</v>
      </c>
      <c r="H42" s="1">
        <f t="shared" si="2"/>
        <v>75</v>
      </c>
      <c r="I42" s="1">
        <f t="shared" si="4"/>
        <v>75</v>
      </c>
    </row>
    <row r="43" spans="1:9">
      <c r="A43" s="6">
        <v>202001</v>
      </c>
      <c r="B43" s="6" t="s">
        <v>241</v>
      </c>
      <c r="C43" s="5" t="e">
        <f>VLOOKUP(B43,[1]英雄技能!$P:$Q,2,0)</f>
        <v>#N/A</v>
      </c>
      <c r="D43" s="6">
        <v>5</v>
      </c>
      <c r="E43" s="2">
        <v>1.1E-4</v>
      </c>
      <c r="F43" s="3">
        <f t="shared" si="0"/>
        <v>2.75E-2</v>
      </c>
      <c r="G43" s="4">
        <f t="shared" si="1"/>
        <v>2.75E-2</v>
      </c>
      <c r="H43" s="1">
        <f t="shared" si="2"/>
        <v>275</v>
      </c>
      <c r="I43" s="1">
        <f t="shared" si="4"/>
        <v>275</v>
      </c>
    </row>
    <row r="44" spans="1:9">
      <c r="A44" s="6">
        <v>202101</v>
      </c>
      <c r="B44" s="6" t="s">
        <v>111</v>
      </c>
      <c r="C44" s="5" t="str">
        <f>VLOOKUP(B44,[1]英雄技能!$P:$Q,2,0)</f>
        <v>Phổ Công</v>
      </c>
      <c r="D44" s="6">
        <v>5</v>
      </c>
      <c r="E44" s="2">
        <v>1.1E-4</v>
      </c>
      <c r="F44" s="3">
        <f t="shared" si="0"/>
        <v>2.75E-2</v>
      </c>
      <c r="G44" s="4">
        <f t="shared" si="1"/>
        <v>2.75E-2</v>
      </c>
      <c r="H44" s="1">
        <f t="shared" si="2"/>
        <v>275</v>
      </c>
      <c r="I44" s="1">
        <f t="shared" si="4"/>
        <v>275</v>
      </c>
    </row>
    <row r="45" spans="1:9">
      <c r="A45" s="6">
        <v>202201</v>
      </c>
      <c r="B45" s="6" t="s">
        <v>112</v>
      </c>
      <c r="C45" s="5" t="str">
        <f>VLOOKUP(B45,[1]英雄技能!$P:$Q,2,0)</f>
        <v>Phổ Công</v>
      </c>
      <c r="D45" s="6">
        <v>5</v>
      </c>
      <c r="E45" s="2">
        <v>2.3000000000000001E-4</v>
      </c>
      <c r="F45" s="3">
        <f t="shared" si="0"/>
        <v>5.7500000000000002E-2</v>
      </c>
      <c r="G45" s="4">
        <f t="shared" si="1"/>
        <v>5.7500000000000002E-2</v>
      </c>
      <c r="H45" s="1">
        <f t="shared" si="2"/>
        <v>575</v>
      </c>
      <c r="I45" s="1">
        <f t="shared" si="4"/>
        <v>575</v>
      </c>
    </row>
    <row r="46" spans="1:9">
      <c r="A46" s="6">
        <v>202301</v>
      </c>
      <c r="B46" s="6" t="s">
        <v>130</v>
      </c>
      <c r="C46" s="5" t="str">
        <f>VLOOKUP(B46,[1]英雄技能!$P:$Q,2,0)</f>
        <v>Phổ Công</v>
      </c>
      <c r="D46" s="6">
        <v>5</v>
      </c>
      <c r="E46" s="2">
        <v>3.0000000000000001E-5</v>
      </c>
      <c r="F46" s="3">
        <f t="shared" si="0"/>
        <v>7.4999999999999997E-3</v>
      </c>
      <c r="G46" s="4">
        <f t="shared" si="1"/>
        <v>7.4999999999999997E-3</v>
      </c>
      <c r="H46" s="1">
        <f t="shared" si="2"/>
        <v>75</v>
      </c>
      <c r="I46" s="1">
        <f t="shared" si="4"/>
        <v>75</v>
      </c>
    </row>
    <row r="47" spans="1:9">
      <c r="A47" s="7">
        <v>300101</v>
      </c>
      <c r="B47" s="7" t="s">
        <v>63</v>
      </c>
      <c r="C47" s="5" t="str">
        <f>VLOOKUP(B47,[1]英雄技能!$P:$Q,2,0)</f>
        <v>Phổ Công</v>
      </c>
      <c r="D47" s="7">
        <v>1</v>
      </c>
      <c r="E47" s="2">
        <v>0.17821999999999999</v>
      </c>
      <c r="F47" s="3">
        <f t="shared" si="0"/>
        <v>0.33626415094339601</v>
      </c>
      <c r="G47" s="4">
        <f t="shared" si="1"/>
        <v>0.33629999999999999</v>
      </c>
      <c r="H47" s="1">
        <f t="shared" si="2"/>
        <v>3363</v>
      </c>
      <c r="I47" s="1">
        <v>3333</v>
      </c>
    </row>
    <row r="48" spans="1:9">
      <c r="A48" s="7">
        <v>300201</v>
      </c>
      <c r="B48" s="7" t="s">
        <v>242</v>
      </c>
      <c r="C48" s="5" t="str">
        <f>VLOOKUP(B48,[1]英雄技能!$P:$Q,2,0)</f>
        <v>U Linh</v>
      </c>
      <c r="D48" s="7">
        <v>2</v>
      </c>
      <c r="E48" s="2">
        <v>0.06</v>
      </c>
      <c r="F48" s="3">
        <f t="shared" si="0"/>
        <v>0.16666666666666699</v>
      </c>
      <c r="G48" s="4">
        <f t="shared" si="1"/>
        <v>0.16669999999999999</v>
      </c>
      <c r="H48" s="1">
        <f t="shared" si="2"/>
        <v>1667</v>
      </c>
      <c r="I48" s="1">
        <v>1666</v>
      </c>
    </row>
    <row r="49" spans="1:9">
      <c r="A49" s="7">
        <v>300301</v>
      </c>
      <c r="B49" s="7" t="s">
        <v>65</v>
      </c>
      <c r="C49" s="5" t="str">
        <f>VLOOKUP(B49,[1]英雄技能!$P:$Q,2,0)</f>
        <v>Phổ Công</v>
      </c>
      <c r="D49" s="7">
        <v>2</v>
      </c>
      <c r="E49" s="2">
        <v>0.06</v>
      </c>
      <c r="F49" s="3">
        <f t="shared" si="0"/>
        <v>0.16666666666666699</v>
      </c>
      <c r="G49" s="4">
        <f t="shared" si="1"/>
        <v>0.16669999999999999</v>
      </c>
      <c r="H49" s="1">
        <f t="shared" si="2"/>
        <v>1667</v>
      </c>
      <c r="I49" s="1">
        <v>1666</v>
      </c>
    </row>
    <row r="50" spans="1:9">
      <c r="A50" s="7">
        <v>300401</v>
      </c>
      <c r="B50" s="7" t="s">
        <v>70</v>
      </c>
      <c r="C50" s="5" t="str">
        <f>VLOOKUP(B50,[1]英雄技能!$P:$Q,2,0)</f>
        <v>Phổ Công</v>
      </c>
      <c r="D50" s="7">
        <v>3</v>
      </c>
      <c r="E50" s="2">
        <v>5.3499999999999997E-3</v>
      </c>
      <c r="F50" s="3">
        <f t="shared" si="0"/>
        <v>5.8791208791208797E-2</v>
      </c>
      <c r="G50" s="4">
        <f t="shared" si="1"/>
        <v>5.8799999999999998E-2</v>
      </c>
      <c r="H50" s="1">
        <f t="shared" si="2"/>
        <v>588</v>
      </c>
      <c r="I50" s="1">
        <v>625</v>
      </c>
    </row>
    <row r="51" spans="1:9">
      <c r="A51" s="7">
        <v>300501</v>
      </c>
      <c r="B51" s="7" t="s">
        <v>243</v>
      </c>
      <c r="C51" s="5" t="str">
        <f>VLOOKUP(B51,[1]英雄技能!$P:$Q,2,0)</f>
        <v>Ngưu Yêu</v>
      </c>
      <c r="D51" s="7">
        <v>3</v>
      </c>
      <c r="E51" s="2">
        <v>5.3499999999999997E-3</v>
      </c>
      <c r="F51" s="3">
        <f t="shared" si="0"/>
        <v>5.8791208791208797E-2</v>
      </c>
      <c r="G51" s="4">
        <f t="shared" si="1"/>
        <v>5.8799999999999998E-2</v>
      </c>
      <c r="H51" s="1">
        <f t="shared" si="2"/>
        <v>588</v>
      </c>
      <c r="I51" s="1">
        <v>625</v>
      </c>
    </row>
    <row r="52" spans="1:9">
      <c r="A52" s="7">
        <v>300601</v>
      </c>
      <c r="B52" s="7" t="s">
        <v>244</v>
      </c>
      <c r="C52" s="5" t="str">
        <f>VLOOKUP(B52,[1]英雄技能!$P:$Q,2,0)</f>
        <v>Dạ Xoa</v>
      </c>
      <c r="D52" s="7">
        <v>3</v>
      </c>
      <c r="E52" s="2">
        <v>5.3499999999999997E-3</v>
      </c>
      <c r="F52" s="3">
        <f t="shared" si="0"/>
        <v>5.8791208791208797E-2</v>
      </c>
      <c r="G52" s="4">
        <f t="shared" si="1"/>
        <v>5.8799999999999998E-2</v>
      </c>
      <c r="H52" s="1">
        <f t="shared" si="2"/>
        <v>588</v>
      </c>
      <c r="I52" s="1">
        <v>625</v>
      </c>
    </row>
    <row r="53" spans="1:9">
      <c r="A53" s="7">
        <v>300701</v>
      </c>
      <c r="B53" s="7" t="s">
        <v>67</v>
      </c>
      <c r="C53" s="5" t="str">
        <f>VLOOKUP(B53,[1]英雄技能!$P:$Q,2,0)</f>
        <v>Phổ Công</v>
      </c>
      <c r="D53" s="7">
        <v>3</v>
      </c>
      <c r="E53" s="2">
        <v>5.3499999999999997E-3</v>
      </c>
      <c r="F53" s="3">
        <f t="shared" si="0"/>
        <v>5.8791208791208797E-2</v>
      </c>
      <c r="G53" s="4">
        <f t="shared" si="1"/>
        <v>5.8799999999999998E-2</v>
      </c>
      <c r="H53" s="1">
        <f t="shared" si="2"/>
        <v>588</v>
      </c>
      <c r="I53" s="1">
        <v>625</v>
      </c>
    </row>
    <row r="54" spans="1:9">
      <c r="A54" s="7">
        <v>300801</v>
      </c>
      <c r="B54" s="7" t="s">
        <v>245</v>
      </c>
      <c r="C54" s="5" t="str">
        <f>VLOOKUP(B54,[1]英雄技能!$P:$Q,2,0)</f>
        <v>Nhiếp Tiểu Thanh</v>
      </c>
      <c r="D54" s="7">
        <v>4</v>
      </c>
      <c r="E54" s="2">
        <v>6.6E-4</v>
      </c>
      <c r="F54" s="3">
        <f t="shared" si="0"/>
        <v>4.3999999999999997E-2</v>
      </c>
      <c r="G54" s="4">
        <f t="shared" si="1"/>
        <v>4.3999999999999997E-2</v>
      </c>
      <c r="H54" s="1">
        <f t="shared" si="2"/>
        <v>440</v>
      </c>
      <c r="I54" s="1">
        <v>417</v>
      </c>
    </row>
    <row r="55" spans="1:9">
      <c r="A55" s="7">
        <v>300901</v>
      </c>
      <c r="B55" s="7" t="s">
        <v>246</v>
      </c>
      <c r="C55" s="5" t="str">
        <f>VLOOKUP(B55,[1]英雄技能!$P:$Q,2,0)</f>
        <v>Ngân Giác Đại Vương</v>
      </c>
      <c r="D55" s="7">
        <v>4</v>
      </c>
      <c r="E55" s="2">
        <v>6.6E-4</v>
      </c>
      <c r="F55" s="3">
        <f t="shared" si="0"/>
        <v>4.3999999999999997E-2</v>
      </c>
      <c r="G55" s="4">
        <f t="shared" si="1"/>
        <v>4.3999999999999997E-2</v>
      </c>
      <c r="H55" s="1">
        <f t="shared" si="2"/>
        <v>440</v>
      </c>
      <c r="I55" s="1">
        <v>417</v>
      </c>
    </row>
    <row r="56" spans="1:9">
      <c r="A56" s="7">
        <v>301001</v>
      </c>
      <c r="B56" s="7" t="s">
        <v>80</v>
      </c>
      <c r="C56" s="5" t="str">
        <f>VLOOKUP(B56,[1]英雄技能!$P:$Q,2,0)</f>
        <v>Phổ Công</v>
      </c>
      <c r="D56" s="7">
        <v>4</v>
      </c>
      <c r="E56" s="2">
        <v>6.6E-4</v>
      </c>
      <c r="F56" s="3">
        <f t="shared" si="0"/>
        <v>4.3999999999999997E-2</v>
      </c>
      <c r="G56" s="4">
        <f t="shared" si="1"/>
        <v>4.3999999999999997E-2</v>
      </c>
      <c r="H56" s="1">
        <f t="shared" si="2"/>
        <v>440</v>
      </c>
      <c r="I56" s="1">
        <v>417</v>
      </c>
    </row>
    <row r="57" spans="1:9">
      <c r="A57" s="7">
        <v>301101</v>
      </c>
      <c r="B57" s="7" t="s">
        <v>134</v>
      </c>
      <c r="C57" s="5" t="str">
        <f>VLOOKUP(B57,[1]英雄技能!$P:$Q,2,0)</f>
        <v>Phổ Công</v>
      </c>
      <c r="D57" s="7">
        <v>4</v>
      </c>
      <c r="E57" s="2">
        <v>6.6E-4</v>
      </c>
      <c r="F57" s="3">
        <f t="shared" si="0"/>
        <v>4.3999999999999997E-2</v>
      </c>
      <c r="G57" s="4">
        <f t="shared" si="1"/>
        <v>4.3999999999999997E-2</v>
      </c>
      <c r="H57" s="1">
        <f t="shared" si="2"/>
        <v>440</v>
      </c>
      <c r="I57" s="1">
        <v>417</v>
      </c>
    </row>
    <row r="58" spans="1:9">
      <c r="A58" s="7">
        <v>301201</v>
      </c>
      <c r="B58" s="7" t="s">
        <v>85</v>
      </c>
      <c r="C58" s="5" t="str">
        <f>VLOOKUP(B58,[1]英雄技能!$P:$Q,2,0)</f>
        <v>Phổ Công</v>
      </c>
      <c r="D58" s="7">
        <v>4</v>
      </c>
      <c r="E58" s="2">
        <v>6.6E-4</v>
      </c>
      <c r="F58" s="3">
        <f t="shared" si="0"/>
        <v>4.3999999999999997E-2</v>
      </c>
      <c r="G58" s="4">
        <f t="shared" si="1"/>
        <v>4.3999999999999997E-2</v>
      </c>
      <c r="H58" s="1">
        <f t="shared" si="2"/>
        <v>440</v>
      </c>
      <c r="I58" s="1">
        <v>417</v>
      </c>
    </row>
    <row r="59" spans="1:9">
      <c r="A59" s="7">
        <v>301301</v>
      </c>
      <c r="B59" s="7" t="s">
        <v>247</v>
      </c>
      <c r="C59" s="5" t="str">
        <f>VLOOKUP(B59,[1]英雄技能!$P:$Q,2,0)</f>
        <v>Bạch Cốt Tinh</v>
      </c>
      <c r="D59" s="7">
        <v>4</v>
      </c>
      <c r="E59" s="2">
        <v>6.6E-4</v>
      </c>
      <c r="F59" s="3">
        <f t="shared" si="0"/>
        <v>4.3999999999999997E-2</v>
      </c>
      <c r="G59" s="4">
        <f t="shared" si="1"/>
        <v>4.3999999999999997E-2</v>
      </c>
      <c r="H59" s="1">
        <f t="shared" si="2"/>
        <v>440</v>
      </c>
      <c r="I59" s="1">
        <v>417</v>
      </c>
    </row>
    <row r="60" spans="1:9">
      <c r="A60" s="7">
        <v>301401</v>
      </c>
      <c r="B60" s="7" t="s">
        <v>100</v>
      </c>
      <c r="C60" s="5" t="str">
        <f>VLOOKUP(B60,[1]英雄技能!$P:$Q,2,0)</f>
        <v>Phổ Công</v>
      </c>
      <c r="D60" s="7">
        <v>5</v>
      </c>
      <c r="E60" s="2">
        <v>1.1E-4</v>
      </c>
      <c r="F60" s="3">
        <f t="shared" si="0"/>
        <v>2.75E-2</v>
      </c>
      <c r="G60" s="4">
        <f t="shared" si="1"/>
        <v>2.75E-2</v>
      </c>
      <c r="H60" s="1">
        <f t="shared" si="2"/>
        <v>275</v>
      </c>
      <c r="I60" s="1">
        <f t="shared" ref="I60:I68" si="5">H60</f>
        <v>275</v>
      </c>
    </row>
    <row r="61" spans="1:9">
      <c r="A61" s="7">
        <v>301501</v>
      </c>
      <c r="B61" s="7" t="s">
        <v>125</v>
      </c>
      <c r="C61" s="5" t="str">
        <f>VLOOKUP(B61,[1]英雄技能!$P:$Q,2,0)</f>
        <v>Phổ Công</v>
      </c>
      <c r="D61" s="7">
        <v>5</v>
      </c>
      <c r="E61" s="2">
        <v>3.0000000000000001E-5</v>
      </c>
      <c r="F61" s="3">
        <f t="shared" si="0"/>
        <v>7.4999999999999997E-3</v>
      </c>
      <c r="G61" s="4">
        <f t="shared" si="1"/>
        <v>7.4999999999999997E-3</v>
      </c>
      <c r="H61" s="1">
        <f t="shared" si="2"/>
        <v>75</v>
      </c>
      <c r="I61" s="1">
        <f t="shared" si="5"/>
        <v>75</v>
      </c>
    </row>
    <row r="62" spans="1:9">
      <c r="A62" s="7">
        <v>301601</v>
      </c>
      <c r="B62" s="7" t="s">
        <v>101</v>
      </c>
      <c r="C62" s="5" t="str">
        <f>VLOOKUP(B62,[1]英雄技能!$P:$Q,2,0)</f>
        <v>Phổ Công</v>
      </c>
      <c r="D62" s="7">
        <v>5</v>
      </c>
      <c r="E62" s="2">
        <v>3.0000000000000001E-5</v>
      </c>
      <c r="F62" s="3">
        <f t="shared" si="0"/>
        <v>7.4999999999999997E-3</v>
      </c>
      <c r="G62" s="4">
        <f t="shared" si="1"/>
        <v>7.4999999999999997E-3</v>
      </c>
      <c r="H62" s="1">
        <f t="shared" si="2"/>
        <v>75</v>
      </c>
      <c r="I62" s="1">
        <f t="shared" si="5"/>
        <v>75</v>
      </c>
    </row>
    <row r="63" spans="1:9">
      <c r="A63" s="7">
        <v>301701</v>
      </c>
      <c r="B63" s="7" t="s">
        <v>99</v>
      </c>
      <c r="C63" s="5" t="str">
        <f>VLOOKUP(B63,[1]英雄技能!$P:$Q,2,0)</f>
        <v>Phổ Công</v>
      </c>
      <c r="D63" s="7">
        <v>5</v>
      </c>
      <c r="E63" s="2">
        <v>1.1E-4</v>
      </c>
      <c r="F63" s="3">
        <f t="shared" si="0"/>
        <v>2.75E-2</v>
      </c>
      <c r="G63" s="4">
        <f t="shared" si="1"/>
        <v>2.75E-2</v>
      </c>
      <c r="H63" s="1">
        <f t="shared" si="2"/>
        <v>275</v>
      </c>
      <c r="I63" s="1">
        <f t="shared" si="5"/>
        <v>275</v>
      </c>
    </row>
    <row r="64" spans="1:9">
      <c r="A64" s="7">
        <v>301801</v>
      </c>
      <c r="B64" s="7" t="s">
        <v>102</v>
      </c>
      <c r="C64" s="5" t="str">
        <f>VLOOKUP(B64,[1]英雄技能!$P:$Q,2,0)</f>
        <v>Phổ Công</v>
      </c>
      <c r="D64" s="7">
        <v>5</v>
      </c>
      <c r="E64" s="2">
        <v>2.3000000000000001E-4</v>
      </c>
      <c r="F64" s="3">
        <f t="shared" si="0"/>
        <v>5.7500000000000002E-2</v>
      </c>
      <c r="G64" s="4">
        <f t="shared" si="1"/>
        <v>5.7500000000000002E-2</v>
      </c>
      <c r="H64" s="1">
        <f t="shared" si="2"/>
        <v>575</v>
      </c>
      <c r="I64" s="1">
        <f t="shared" si="5"/>
        <v>575</v>
      </c>
    </row>
    <row r="65" spans="1:9">
      <c r="A65" s="7">
        <v>301901</v>
      </c>
      <c r="B65" s="7" t="s">
        <v>248</v>
      </c>
      <c r="C65" s="5" t="e">
        <f>VLOOKUP(B65,[1]英雄技能!$P:$Q,2,0)</f>
        <v>#N/A</v>
      </c>
      <c r="D65" s="7">
        <v>5</v>
      </c>
      <c r="E65" s="2">
        <v>2.3000000000000001E-4</v>
      </c>
      <c r="F65" s="3">
        <f t="shared" si="0"/>
        <v>5.7500000000000002E-2</v>
      </c>
      <c r="G65" s="4">
        <f t="shared" si="1"/>
        <v>5.7500000000000002E-2</v>
      </c>
      <c r="H65" s="1">
        <f t="shared" si="2"/>
        <v>575</v>
      </c>
      <c r="I65" s="1">
        <f t="shared" si="5"/>
        <v>575</v>
      </c>
    </row>
    <row r="66" spans="1:9">
      <c r="A66" s="7">
        <v>302001</v>
      </c>
      <c r="B66" s="7" t="s">
        <v>105</v>
      </c>
      <c r="C66" s="5" t="str">
        <f>VLOOKUP(B66,[1]英雄技能!$P:$Q,2,0)</f>
        <v>Phổ Công</v>
      </c>
      <c r="D66" s="7">
        <v>5</v>
      </c>
      <c r="E66" s="2">
        <v>3.0000000000000001E-5</v>
      </c>
      <c r="F66" s="3">
        <f t="shared" si="0"/>
        <v>7.4999999999999997E-3</v>
      </c>
      <c r="G66" s="4">
        <f t="shared" si="1"/>
        <v>7.4999999999999997E-3</v>
      </c>
      <c r="H66" s="1">
        <f t="shared" si="2"/>
        <v>75</v>
      </c>
      <c r="I66" s="1">
        <f t="shared" si="5"/>
        <v>75</v>
      </c>
    </row>
    <row r="67" spans="1:9">
      <c r="A67" s="7">
        <v>302101</v>
      </c>
      <c r="B67" s="7" t="s">
        <v>104</v>
      </c>
      <c r="C67" s="5" t="str">
        <f>VLOOKUP(B67,[1]英雄技能!$P:$Q,2,0)</f>
        <v>Phổ Công</v>
      </c>
      <c r="D67" s="7">
        <v>5</v>
      </c>
      <c r="E67" s="2">
        <v>1.1E-4</v>
      </c>
      <c r="F67" s="3">
        <f t="shared" ref="F67:F93" si="6">IF(D67=1,E67/0.53,IF(D67=2,E67/0.36,IF(D67=3,E67/0.091,IF(D67=4,E67/0.015,E67/0.004))))</f>
        <v>2.75E-2</v>
      </c>
      <c r="G67" s="4">
        <f t="shared" ref="G67:G93" si="7">ROUND(F67,4)</f>
        <v>2.75E-2</v>
      </c>
      <c r="H67" s="1">
        <f t="shared" ref="H67:H93" si="8">G67*10000</f>
        <v>275</v>
      </c>
      <c r="I67" s="1">
        <f t="shared" si="5"/>
        <v>275</v>
      </c>
    </row>
    <row r="68" spans="1:9">
      <c r="A68" s="7">
        <v>302201</v>
      </c>
      <c r="B68" s="7" t="s">
        <v>106</v>
      </c>
      <c r="C68" s="5" t="str">
        <f>VLOOKUP(B68,[1]英雄技能!$P:$Q,2,0)</f>
        <v>Phổ Công</v>
      </c>
      <c r="D68" s="7">
        <v>5</v>
      </c>
      <c r="E68" s="2">
        <v>1.1E-4</v>
      </c>
      <c r="F68" s="3">
        <f t="shared" si="6"/>
        <v>2.75E-2</v>
      </c>
      <c r="G68" s="4">
        <f t="shared" si="7"/>
        <v>2.75E-2</v>
      </c>
      <c r="H68" s="1">
        <f t="shared" si="8"/>
        <v>275</v>
      </c>
      <c r="I68" s="1">
        <f t="shared" si="5"/>
        <v>275</v>
      </c>
    </row>
    <row r="69" spans="1:9">
      <c r="A69" s="8">
        <v>400101</v>
      </c>
      <c r="B69" s="8" t="s">
        <v>73</v>
      </c>
      <c r="C69" s="5" t="str">
        <f>VLOOKUP(B69,[1]英雄技能!$P:$Q,2,0)</f>
        <v>Phổ Công</v>
      </c>
      <c r="D69" s="8">
        <v>3</v>
      </c>
      <c r="E69" s="2">
        <v>5.3499999999999997E-3</v>
      </c>
      <c r="F69" s="3">
        <f t="shared" si="6"/>
        <v>5.8791208791208797E-2</v>
      </c>
      <c r="G69" s="4">
        <f t="shared" si="7"/>
        <v>5.8799999999999998E-2</v>
      </c>
      <c r="H69" s="1">
        <f t="shared" si="8"/>
        <v>588</v>
      </c>
      <c r="I69" s="1">
        <v>625</v>
      </c>
    </row>
    <row r="70" spans="1:9">
      <c r="A70" s="8">
        <v>400201</v>
      </c>
      <c r="B70" s="8" t="s">
        <v>249</v>
      </c>
      <c r="C70" s="5" t="str">
        <f>VLOOKUP(B70,[1]英雄技能!$P:$Q,2,0)</f>
        <v>Tuần Du Thiên Thần</v>
      </c>
      <c r="D70" s="8">
        <v>4</v>
      </c>
      <c r="E70" s="2">
        <v>6.4000000000000005E-4</v>
      </c>
      <c r="F70" s="3">
        <f t="shared" si="6"/>
        <v>4.26666666666667E-2</v>
      </c>
      <c r="G70" s="4">
        <f t="shared" si="7"/>
        <v>4.2700000000000002E-2</v>
      </c>
      <c r="H70" s="1">
        <f t="shared" si="8"/>
        <v>427</v>
      </c>
      <c r="I70" s="1">
        <v>416</v>
      </c>
    </row>
    <row r="71" spans="1:9">
      <c r="A71" s="8">
        <v>400301</v>
      </c>
      <c r="B71" s="8" t="s">
        <v>250</v>
      </c>
      <c r="C71" s="5" t="e">
        <f>VLOOKUP(B71,[1]英雄技能!$P:$Q,2,0)</f>
        <v>#N/A</v>
      </c>
      <c r="D71" s="8">
        <v>4</v>
      </c>
      <c r="E71" s="2">
        <v>6.4999999999999997E-4</v>
      </c>
      <c r="F71" s="3">
        <f t="shared" si="6"/>
        <v>4.33333333333333E-2</v>
      </c>
      <c r="G71" s="4">
        <f t="shared" si="7"/>
        <v>4.3299999999999998E-2</v>
      </c>
      <c r="H71" s="1">
        <f t="shared" si="8"/>
        <v>433</v>
      </c>
      <c r="I71" s="1">
        <v>416</v>
      </c>
    </row>
    <row r="72" spans="1:9">
      <c r="A72" s="8">
        <v>400401</v>
      </c>
      <c r="B72" s="8" t="s">
        <v>86</v>
      </c>
      <c r="C72" s="5" t="str">
        <f>VLOOKUP(B72,[1]英雄技能!$P:$Q,2,0)</f>
        <v>Phổ Công</v>
      </c>
      <c r="D72" s="8">
        <v>4</v>
      </c>
      <c r="E72" s="2">
        <v>6.4999999999999997E-4</v>
      </c>
      <c r="F72" s="3">
        <f t="shared" si="6"/>
        <v>4.33333333333333E-2</v>
      </c>
      <c r="G72" s="4">
        <f t="shared" si="7"/>
        <v>4.3299999999999998E-2</v>
      </c>
      <c r="H72" s="1">
        <f t="shared" si="8"/>
        <v>433</v>
      </c>
      <c r="I72" s="1">
        <v>416</v>
      </c>
    </row>
    <row r="73" spans="1:9">
      <c r="A73" s="8">
        <v>400501</v>
      </c>
      <c r="B73" s="8" t="s">
        <v>81</v>
      </c>
      <c r="C73" s="5" t="str">
        <f>VLOOKUP(B73,[1]英雄技能!$P:$Q,2,0)</f>
        <v>Phổ Công</v>
      </c>
      <c r="D73" s="8">
        <v>4</v>
      </c>
      <c r="E73" s="2">
        <v>6.4999999999999997E-4</v>
      </c>
      <c r="F73" s="3">
        <f t="shared" si="6"/>
        <v>4.33333333333333E-2</v>
      </c>
      <c r="G73" s="4">
        <f t="shared" si="7"/>
        <v>4.3299999999999998E-2</v>
      </c>
      <c r="H73" s="1">
        <f t="shared" si="8"/>
        <v>433</v>
      </c>
      <c r="I73" s="1">
        <v>416</v>
      </c>
    </row>
    <row r="74" spans="1:9">
      <c r="A74" s="8">
        <v>400601</v>
      </c>
      <c r="B74" s="8" t="s">
        <v>123</v>
      </c>
      <c r="C74" s="5" t="str">
        <f>VLOOKUP(B74,[1]英雄技能!$P:$Q,2,0)</f>
        <v>Phổ Công</v>
      </c>
      <c r="D74" s="8">
        <v>5</v>
      </c>
      <c r="E74" s="2">
        <v>1.1E-4</v>
      </c>
      <c r="F74" s="3">
        <f t="shared" si="6"/>
        <v>2.75E-2</v>
      </c>
      <c r="G74" s="4">
        <f t="shared" si="7"/>
        <v>2.75E-2</v>
      </c>
      <c r="H74" s="1">
        <f t="shared" si="8"/>
        <v>275</v>
      </c>
      <c r="I74" s="1">
        <f t="shared" ref="I74:I81" si="9">H74</f>
        <v>275</v>
      </c>
    </row>
    <row r="75" spans="1:9">
      <c r="A75" s="8">
        <v>400701</v>
      </c>
      <c r="B75" s="8" t="s">
        <v>120</v>
      </c>
      <c r="C75" s="5" t="str">
        <f>VLOOKUP(B75,[1]英雄技能!$P:$Q,2,0)</f>
        <v>Phổ Công</v>
      </c>
      <c r="D75" s="8">
        <v>5</v>
      </c>
      <c r="E75" s="2">
        <v>2.0000000000000002E-5</v>
      </c>
      <c r="F75" s="3">
        <f t="shared" si="6"/>
        <v>5.0000000000000001E-3</v>
      </c>
      <c r="G75" s="4">
        <f t="shared" si="7"/>
        <v>5.0000000000000001E-3</v>
      </c>
      <c r="H75" s="1">
        <f t="shared" si="8"/>
        <v>50</v>
      </c>
      <c r="I75" s="1">
        <f t="shared" si="9"/>
        <v>50</v>
      </c>
    </row>
    <row r="76" spans="1:9">
      <c r="A76" s="8">
        <v>400801</v>
      </c>
      <c r="B76" s="8" t="s">
        <v>127</v>
      </c>
      <c r="C76" s="5" t="str">
        <f>VLOOKUP(B76,[1]英雄技能!$P:$Q,2,0)</f>
        <v>Phổ Công</v>
      </c>
      <c r="D76" s="8">
        <v>5</v>
      </c>
      <c r="E76" s="2">
        <v>8.0000000000000007E-5</v>
      </c>
      <c r="F76" s="3">
        <f t="shared" si="6"/>
        <v>0.02</v>
      </c>
      <c r="G76" s="4">
        <f t="shared" si="7"/>
        <v>0.02</v>
      </c>
      <c r="H76" s="1">
        <f t="shared" si="8"/>
        <v>200</v>
      </c>
      <c r="I76" s="1">
        <f t="shared" si="9"/>
        <v>200</v>
      </c>
    </row>
    <row r="77" spans="1:9">
      <c r="A77" s="8">
        <v>400901</v>
      </c>
      <c r="B77" s="8" t="s">
        <v>125</v>
      </c>
      <c r="C77" s="5" t="str">
        <f>VLOOKUP(B77,[1]英雄技能!$P:$Q,2,0)</f>
        <v>Phổ Công</v>
      </c>
      <c r="D77" s="8">
        <v>5</v>
      </c>
      <c r="E77" s="2">
        <v>2.0000000000000002E-5</v>
      </c>
      <c r="F77" s="3">
        <f t="shared" si="6"/>
        <v>5.0000000000000001E-3</v>
      </c>
      <c r="G77" s="4">
        <f t="shared" si="7"/>
        <v>5.0000000000000001E-3</v>
      </c>
      <c r="H77" s="1">
        <f t="shared" si="8"/>
        <v>50</v>
      </c>
      <c r="I77" s="1">
        <f t="shared" si="9"/>
        <v>50</v>
      </c>
    </row>
    <row r="78" spans="1:9">
      <c r="A78" s="8">
        <v>401001</v>
      </c>
      <c r="B78" s="8" t="s">
        <v>132</v>
      </c>
      <c r="C78" s="5" t="str">
        <f>VLOOKUP(B78,[1]英雄技能!$P:$Q,2,0)</f>
        <v>Phổ Công</v>
      </c>
      <c r="D78" s="8">
        <v>5</v>
      </c>
      <c r="E78" s="2">
        <v>1.1E-4</v>
      </c>
      <c r="F78" s="3">
        <f t="shared" si="6"/>
        <v>2.75E-2</v>
      </c>
      <c r="G78" s="4">
        <f t="shared" si="7"/>
        <v>2.75E-2</v>
      </c>
      <c r="H78" s="1">
        <f t="shared" si="8"/>
        <v>275</v>
      </c>
      <c r="I78" s="1">
        <f t="shared" si="9"/>
        <v>275</v>
      </c>
    </row>
    <row r="79" spans="1:9">
      <c r="A79" s="8">
        <v>401101</v>
      </c>
      <c r="B79" s="8" t="s">
        <v>251</v>
      </c>
      <c r="C79" s="5" t="str">
        <f>VLOOKUP(B79,[1]英雄技能!$P:$Q,2,0)</f>
        <v>Lôi Trạch Chi Thần</v>
      </c>
      <c r="D79" s="8">
        <v>5</v>
      </c>
      <c r="E79" s="2">
        <v>8.0000000000000007E-5</v>
      </c>
      <c r="F79" s="3">
        <f t="shared" si="6"/>
        <v>0.02</v>
      </c>
      <c r="G79" s="4">
        <f t="shared" si="7"/>
        <v>0.02</v>
      </c>
      <c r="H79" s="1">
        <f t="shared" si="8"/>
        <v>200</v>
      </c>
      <c r="I79" s="1">
        <f t="shared" si="9"/>
        <v>200</v>
      </c>
    </row>
    <row r="80" spans="1:9">
      <c r="A80" s="8">
        <v>401201</v>
      </c>
      <c r="B80" s="8" t="s">
        <v>121</v>
      </c>
      <c r="C80" s="5" t="str">
        <f>VLOOKUP(B80,[1]英雄技能!$P:$Q,2,0)</f>
        <v>Phổ Công</v>
      </c>
      <c r="D80" s="8">
        <v>5</v>
      </c>
      <c r="E80" s="2">
        <v>8.0000000000000007E-5</v>
      </c>
      <c r="F80" s="3">
        <f t="shared" si="6"/>
        <v>0.02</v>
      </c>
      <c r="G80" s="4">
        <f t="shared" si="7"/>
        <v>0.02</v>
      </c>
      <c r="H80" s="1">
        <f t="shared" si="8"/>
        <v>200</v>
      </c>
      <c r="I80" s="1">
        <f t="shared" si="9"/>
        <v>200</v>
      </c>
    </row>
    <row r="81" spans="1:9">
      <c r="A81" s="8">
        <v>401301</v>
      </c>
      <c r="B81" s="8" t="s">
        <v>122</v>
      </c>
      <c r="C81" s="5" t="str">
        <f>VLOOKUP(B81,[1]英雄技能!$P:$Q,2,0)</f>
        <v>Phổ Công</v>
      </c>
      <c r="D81" s="8">
        <v>5</v>
      </c>
      <c r="E81" s="2">
        <v>2.0000000000000002E-5</v>
      </c>
      <c r="F81" s="3">
        <f t="shared" si="6"/>
        <v>5.0000000000000001E-3</v>
      </c>
      <c r="G81" s="4">
        <f t="shared" si="7"/>
        <v>5.0000000000000001E-3</v>
      </c>
      <c r="H81" s="1">
        <f t="shared" si="8"/>
        <v>50</v>
      </c>
      <c r="I81" s="1">
        <f t="shared" si="9"/>
        <v>50</v>
      </c>
    </row>
    <row r="82" spans="1:9">
      <c r="A82" s="9">
        <v>500101</v>
      </c>
      <c r="B82" s="9" t="s">
        <v>72</v>
      </c>
      <c r="C82" s="5" t="str">
        <f>VLOOKUP(B82,[1]英雄技能!$P:$Q,2,0)</f>
        <v>Phổ Công</v>
      </c>
      <c r="D82" s="9">
        <v>3</v>
      </c>
      <c r="E82" s="2">
        <v>5.3499999999999997E-3</v>
      </c>
      <c r="F82" s="3">
        <f t="shared" si="6"/>
        <v>5.8791208791208797E-2</v>
      </c>
      <c r="G82" s="4">
        <f t="shared" si="7"/>
        <v>5.8799999999999998E-2</v>
      </c>
      <c r="H82" s="1">
        <f t="shared" si="8"/>
        <v>588</v>
      </c>
      <c r="I82" s="1">
        <v>625</v>
      </c>
    </row>
    <row r="83" spans="1:9">
      <c r="A83" s="9">
        <v>500201</v>
      </c>
      <c r="B83" s="9" t="s">
        <v>252</v>
      </c>
      <c r="C83" s="5" t="str">
        <f>VLOOKUP(B83,[1]英雄技能!$P:$Q,2,0)</f>
        <v>Ngưu Đầu</v>
      </c>
      <c r="D83" s="9">
        <v>4</v>
      </c>
      <c r="E83" s="2">
        <v>6.4999999999999997E-4</v>
      </c>
      <c r="F83" s="3">
        <f t="shared" si="6"/>
        <v>4.33333333333333E-2</v>
      </c>
      <c r="G83" s="4">
        <f t="shared" si="7"/>
        <v>4.3299999999999998E-2</v>
      </c>
      <c r="H83" s="1">
        <f t="shared" si="8"/>
        <v>433</v>
      </c>
      <c r="I83" s="1">
        <v>416</v>
      </c>
    </row>
    <row r="84" spans="1:9">
      <c r="A84" s="9">
        <v>500301</v>
      </c>
      <c r="B84" s="9" t="s">
        <v>83</v>
      </c>
      <c r="C84" s="5" t="str">
        <f>VLOOKUP(B84,[1]英雄技能!$P:$Q,2,0)</f>
        <v>Phổ Công</v>
      </c>
      <c r="D84" s="9">
        <v>4</v>
      </c>
      <c r="E84" s="2">
        <v>6.4999999999999997E-4</v>
      </c>
      <c r="F84" s="3">
        <f t="shared" si="6"/>
        <v>4.33333333333333E-2</v>
      </c>
      <c r="G84" s="4">
        <f t="shared" si="7"/>
        <v>4.3299999999999998E-2</v>
      </c>
      <c r="H84" s="1">
        <f t="shared" si="8"/>
        <v>433</v>
      </c>
      <c r="I84" s="1">
        <v>416</v>
      </c>
    </row>
    <row r="85" spans="1:9">
      <c r="A85" s="9">
        <v>500401</v>
      </c>
      <c r="B85" s="9" t="s">
        <v>77</v>
      </c>
      <c r="C85" s="5" t="str">
        <f>VLOOKUP(B85,[1]英雄技能!$P:$Q,2,0)</f>
        <v>Phổ Công</v>
      </c>
      <c r="D85" s="9">
        <v>4</v>
      </c>
      <c r="E85" s="2">
        <v>6.4000000000000005E-4</v>
      </c>
      <c r="F85" s="3">
        <f t="shared" si="6"/>
        <v>4.26666666666667E-2</v>
      </c>
      <c r="G85" s="4">
        <f t="shared" si="7"/>
        <v>4.2700000000000002E-2</v>
      </c>
      <c r="H85" s="1">
        <f t="shared" si="8"/>
        <v>427</v>
      </c>
      <c r="I85" s="1">
        <v>416</v>
      </c>
    </row>
    <row r="86" spans="1:9">
      <c r="A86" s="9">
        <v>500501</v>
      </c>
      <c r="B86" s="9" t="s">
        <v>78</v>
      </c>
      <c r="C86" s="5" t="str">
        <f>VLOOKUP(B86,[1]英雄技能!$P:$Q,2,0)</f>
        <v>Phổ Công</v>
      </c>
      <c r="D86" s="9">
        <v>4</v>
      </c>
      <c r="E86" s="2">
        <v>6.4999999999999997E-4</v>
      </c>
      <c r="F86" s="3">
        <f t="shared" si="6"/>
        <v>4.33333333333333E-2</v>
      </c>
      <c r="G86" s="4">
        <f t="shared" si="7"/>
        <v>4.3299999999999998E-2</v>
      </c>
      <c r="H86" s="1">
        <f t="shared" si="8"/>
        <v>433</v>
      </c>
      <c r="I86" s="1">
        <v>416</v>
      </c>
    </row>
    <row r="87" spans="1:9">
      <c r="A87" s="9">
        <v>500601</v>
      </c>
      <c r="B87" s="9" t="s">
        <v>124</v>
      </c>
      <c r="C87" s="5" t="str">
        <f>VLOOKUP(B87,[1]英雄技能!$P:$Q,2,0)</f>
        <v>Phổ Công</v>
      </c>
      <c r="D87" s="9">
        <v>5</v>
      </c>
      <c r="E87" s="2">
        <v>8.0000000000000007E-5</v>
      </c>
      <c r="F87" s="3">
        <f t="shared" si="6"/>
        <v>0.02</v>
      </c>
      <c r="G87" s="4">
        <f t="shared" si="7"/>
        <v>0.02</v>
      </c>
      <c r="H87" s="1">
        <f t="shared" si="8"/>
        <v>200</v>
      </c>
      <c r="I87" s="1">
        <f t="shared" ref="I87:I93" si="10">H87</f>
        <v>200</v>
      </c>
    </row>
    <row r="88" spans="1:9">
      <c r="A88" s="9">
        <v>500701</v>
      </c>
      <c r="B88" s="9" t="s">
        <v>119</v>
      </c>
      <c r="C88" s="5" t="str">
        <f>VLOOKUP(B88,[1]英雄技能!$P:$Q,2,0)</f>
        <v>Phổ Công</v>
      </c>
      <c r="D88" s="9">
        <v>5</v>
      </c>
      <c r="E88" s="2">
        <v>2.0000000000000002E-5</v>
      </c>
      <c r="F88" s="3">
        <f t="shared" si="6"/>
        <v>5.0000000000000001E-3</v>
      </c>
      <c r="G88" s="4">
        <f t="shared" si="7"/>
        <v>5.0000000000000001E-3</v>
      </c>
      <c r="H88" s="1">
        <f t="shared" si="8"/>
        <v>50</v>
      </c>
      <c r="I88" s="1">
        <f t="shared" si="10"/>
        <v>50</v>
      </c>
    </row>
    <row r="89" spans="1:9">
      <c r="A89" s="9">
        <v>500801</v>
      </c>
      <c r="B89" s="9" t="s">
        <v>131</v>
      </c>
      <c r="C89" s="5" t="str">
        <f>VLOOKUP(B89,[1]英雄技能!$P:$Q,2,0)</f>
        <v>Phổ Công</v>
      </c>
      <c r="D89" s="9">
        <v>5</v>
      </c>
      <c r="E89" s="2">
        <v>2.0000000000000002E-5</v>
      </c>
      <c r="F89" s="3">
        <f t="shared" si="6"/>
        <v>5.0000000000000001E-3</v>
      </c>
      <c r="G89" s="4">
        <f t="shared" si="7"/>
        <v>5.0000000000000001E-3</v>
      </c>
      <c r="H89" s="1">
        <f t="shared" si="8"/>
        <v>50</v>
      </c>
      <c r="I89" s="1">
        <f t="shared" si="10"/>
        <v>50</v>
      </c>
    </row>
    <row r="90" spans="1:9">
      <c r="A90" s="9">
        <v>500901</v>
      </c>
      <c r="B90" s="9" t="s">
        <v>129</v>
      </c>
      <c r="C90" s="5" t="str">
        <f>VLOOKUP(B90,[1]英雄技能!$P:$Q,2,0)</f>
        <v>Phổ Công</v>
      </c>
      <c r="D90" s="9">
        <v>5</v>
      </c>
      <c r="E90" s="2">
        <v>2.0000000000000002E-5</v>
      </c>
      <c r="F90" s="3">
        <f t="shared" si="6"/>
        <v>5.0000000000000001E-3</v>
      </c>
      <c r="G90" s="4">
        <f t="shared" si="7"/>
        <v>5.0000000000000001E-3</v>
      </c>
      <c r="H90" s="1">
        <f t="shared" si="8"/>
        <v>50</v>
      </c>
      <c r="I90" s="1">
        <f t="shared" si="10"/>
        <v>50</v>
      </c>
    </row>
    <row r="91" spans="1:9">
      <c r="A91" s="9">
        <v>501001</v>
      </c>
      <c r="B91" s="9" t="s">
        <v>128</v>
      </c>
      <c r="C91" s="5" t="str">
        <f>VLOOKUP(B91,[1]英雄技能!$P:$Q,2,0)</f>
        <v>Phổ Công</v>
      </c>
      <c r="D91" s="9">
        <v>5</v>
      </c>
      <c r="E91" s="2">
        <v>1.2E-4</v>
      </c>
      <c r="F91" s="3">
        <f t="shared" si="6"/>
        <v>0.03</v>
      </c>
      <c r="G91" s="4">
        <f t="shared" si="7"/>
        <v>0.03</v>
      </c>
      <c r="H91" s="1">
        <f t="shared" si="8"/>
        <v>300</v>
      </c>
      <c r="I91" s="1">
        <v>275</v>
      </c>
    </row>
    <row r="92" spans="1:9">
      <c r="A92" s="9">
        <v>501101</v>
      </c>
      <c r="B92" s="9" t="s">
        <v>126</v>
      </c>
      <c r="C92" s="5" t="str">
        <f>VLOOKUP(B92,[1]英雄技能!$P:$Q,2,0)</f>
        <v>Phổ Công</v>
      </c>
      <c r="D92" s="9">
        <v>5</v>
      </c>
      <c r="E92" s="2">
        <v>1.2E-4</v>
      </c>
      <c r="F92" s="3">
        <f t="shared" si="6"/>
        <v>0.03</v>
      </c>
      <c r="G92" s="4">
        <f t="shared" si="7"/>
        <v>0.03</v>
      </c>
      <c r="H92" s="1">
        <f t="shared" si="8"/>
        <v>300</v>
      </c>
      <c r="I92" s="1">
        <v>275</v>
      </c>
    </row>
    <row r="93" spans="1:9">
      <c r="A93" s="9">
        <v>501201</v>
      </c>
      <c r="B93" s="9" t="s">
        <v>118</v>
      </c>
      <c r="C93" s="5" t="str">
        <f>VLOOKUP(B93,[1]英雄技能!$P:$Q,2,0)</f>
        <v>Phổ Công</v>
      </c>
      <c r="D93" s="9">
        <v>5</v>
      </c>
      <c r="E93" s="2">
        <v>8.0000000000000007E-5</v>
      </c>
      <c r="F93" s="3">
        <f t="shared" si="6"/>
        <v>0.02</v>
      </c>
      <c r="G93" s="4">
        <f t="shared" si="7"/>
        <v>0.02</v>
      </c>
      <c r="H93" s="1">
        <f t="shared" si="8"/>
        <v>200</v>
      </c>
      <c r="I93" s="1">
        <f t="shared" si="10"/>
        <v>200</v>
      </c>
    </row>
    <row r="95" spans="1:9">
      <c r="E95" s="2">
        <f>SUM(E2:E93)</f>
        <v>1</v>
      </c>
      <c r="I95" s="1">
        <f>SUM(I2:I93)</f>
        <v>50000</v>
      </c>
    </row>
  </sheetData>
  <autoFilter ref="A1:D93"/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2"/>
  <sheetViews>
    <sheetView topLeftCell="A64" workbookViewId="0">
      <selection activeCell="B64" sqref="B64"/>
    </sheetView>
  </sheetViews>
  <sheetFormatPr defaultColWidth="9" defaultRowHeight="15"/>
  <cols>
    <col min="1" max="1" width="10.5703125" style="1" customWidth="1"/>
    <col min="2" max="2" width="9" style="1"/>
    <col min="3" max="3" width="18.42578125" style="1" customWidth="1"/>
    <col min="4" max="4" width="10.85546875" style="1" customWidth="1"/>
    <col min="5" max="5" width="19" style="2" customWidth="1"/>
    <col min="6" max="6" width="13.85546875" style="3" customWidth="1"/>
    <col min="7" max="7" width="15" style="4" customWidth="1"/>
    <col min="8" max="8" width="13.42578125" style="1" customWidth="1"/>
  </cols>
  <sheetData>
    <row r="1" spans="1:9">
      <c r="A1" s="1" t="s">
        <v>43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</row>
    <row r="2" spans="1:9">
      <c r="A2" s="5">
        <v>100201</v>
      </c>
      <c r="B2" s="5" t="s">
        <v>225</v>
      </c>
      <c r="C2" s="5" t="str">
        <f>VLOOKUP(B2,[1]英雄技能!$P:$Q,2,0)</f>
        <v>Y Sư</v>
      </c>
      <c r="D2" s="5">
        <v>2</v>
      </c>
      <c r="E2" s="2">
        <v>5.9159999999999997E-2</v>
      </c>
      <c r="F2" s="3">
        <f>IF(D2=2,E2/0.355,IF(D2=3,E2/0.5,IF(D2=4,E2/0.135,E2/0.01)))</f>
        <v>0.16664788732394401</v>
      </c>
      <c r="G2" s="4">
        <f t="shared" ref="G2:G63" si="0">ROUND(F2,4)</f>
        <v>0.1666</v>
      </c>
      <c r="H2" s="1">
        <f t="shared" ref="H2:H63" si="1">G2*10000</f>
        <v>1666</v>
      </c>
      <c r="I2">
        <v>1667</v>
      </c>
    </row>
    <row r="3" spans="1:9">
      <c r="A3" s="5">
        <v>100301</v>
      </c>
      <c r="B3" s="5" t="s">
        <v>66</v>
      </c>
      <c r="C3" s="5" t="str">
        <f>VLOOKUP(B3,[1]英雄技能!$P:$Q,2,0)</f>
        <v>Phổ Công</v>
      </c>
      <c r="D3" s="5">
        <v>2</v>
      </c>
      <c r="E3" s="2">
        <v>5.9159999999999997E-2</v>
      </c>
      <c r="F3" s="3">
        <f t="shared" ref="F3:F66" si="2">IF(D3=2,E3/0.355,IF(D3=3,E3/0.5,IF(D3=4,E3/0.135,E3/0.01)))</f>
        <v>0.16664788732394401</v>
      </c>
      <c r="G3" s="4">
        <f t="shared" si="0"/>
        <v>0.1666</v>
      </c>
      <c r="H3" s="1">
        <f t="shared" si="1"/>
        <v>1666</v>
      </c>
      <c r="I3">
        <v>1667</v>
      </c>
    </row>
    <row r="4" spans="1:9">
      <c r="A4" s="5">
        <v>100401</v>
      </c>
      <c r="B4" s="5" t="s">
        <v>226</v>
      </c>
      <c r="C4" s="5" t="str">
        <f>VLOOKUP(B4,[1]英雄技能!$P:$Q,2,0)</f>
        <v>Kim Ngô Vệ</v>
      </c>
      <c r="D4" s="5">
        <v>3</v>
      </c>
      <c r="E4" s="2">
        <v>2.9409999999999999E-2</v>
      </c>
      <c r="F4" s="3">
        <f t="shared" si="2"/>
        <v>5.8819999999999997E-2</v>
      </c>
      <c r="G4" s="4">
        <f t="shared" si="0"/>
        <v>5.8799999999999998E-2</v>
      </c>
      <c r="H4" s="1">
        <f t="shared" si="1"/>
        <v>588</v>
      </c>
      <c r="I4">
        <v>625</v>
      </c>
    </row>
    <row r="5" spans="1:9">
      <c r="A5" s="5">
        <v>100501</v>
      </c>
      <c r="B5" s="5" t="s">
        <v>69</v>
      </c>
      <c r="C5" s="5" t="str">
        <f>VLOOKUP(B5,[1]英雄技能!$P:$Q,2,0)</f>
        <v>Phổ Công</v>
      </c>
      <c r="D5" s="5">
        <v>3</v>
      </c>
      <c r="E5" s="2">
        <v>2.9409999999999999E-2</v>
      </c>
      <c r="F5" s="3">
        <f t="shared" si="2"/>
        <v>5.8819999999999997E-2</v>
      </c>
      <c r="G5" s="4">
        <f t="shared" si="0"/>
        <v>5.8799999999999998E-2</v>
      </c>
      <c r="H5" s="1">
        <f t="shared" si="1"/>
        <v>588</v>
      </c>
      <c r="I5">
        <v>625</v>
      </c>
    </row>
    <row r="6" spans="1:9">
      <c r="A6" s="5">
        <v>100601</v>
      </c>
      <c r="B6" s="5" t="s">
        <v>227</v>
      </c>
      <c r="C6" s="5" t="str">
        <f>VLOOKUP(B6,[1]英雄技能!$P:$Q,2,0)</f>
        <v>Điện Tiền Cấm Vệ</v>
      </c>
      <c r="D6" s="5">
        <v>3</v>
      </c>
      <c r="E6" s="2">
        <v>2.9409999999999999E-2</v>
      </c>
      <c r="F6" s="3">
        <f t="shared" si="2"/>
        <v>5.8819999999999997E-2</v>
      </c>
      <c r="G6" s="4">
        <f t="shared" si="0"/>
        <v>5.8799999999999998E-2</v>
      </c>
      <c r="H6" s="1">
        <f t="shared" si="1"/>
        <v>588</v>
      </c>
      <c r="I6">
        <v>625</v>
      </c>
    </row>
    <row r="7" spans="1:9">
      <c r="A7" s="5">
        <v>100701</v>
      </c>
      <c r="B7" s="5" t="s">
        <v>228</v>
      </c>
      <c r="C7" s="5" t="str">
        <f>VLOOKUP(B7,[1]英雄技能!$P:$Q,2,0)</f>
        <v>Yến Xích Hà</v>
      </c>
      <c r="D7" s="5">
        <v>3</v>
      </c>
      <c r="E7" s="2">
        <v>2.9409999999999999E-2</v>
      </c>
      <c r="F7" s="3">
        <f t="shared" si="2"/>
        <v>5.8819999999999997E-2</v>
      </c>
      <c r="G7" s="4">
        <f t="shared" si="0"/>
        <v>5.8799999999999998E-2</v>
      </c>
      <c r="H7" s="1">
        <f t="shared" si="1"/>
        <v>588</v>
      </c>
      <c r="I7">
        <v>625</v>
      </c>
    </row>
    <row r="8" spans="1:9">
      <c r="A8" s="5">
        <v>100801</v>
      </c>
      <c r="B8" s="5" t="s">
        <v>71</v>
      </c>
      <c r="C8" s="5" t="str">
        <f>VLOOKUP(B8,[1]英雄技能!$P:$Q,2,0)</f>
        <v>Phổ Công</v>
      </c>
      <c r="D8" s="5">
        <v>3</v>
      </c>
      <c r="E8" s="2">
        <v>2.9409999999999999E-2</v>
      </c>
      <c r="F8" s="3">
        <f t="shared" si="2"/>
        <v>5.8819999999999997E-2</v>
      </c>
      <c r="G8" s="4">
        <f t="shared" si="0"/>
        <v>5.8799999999999998E-2</v>
      </c>
      <c r="H8" s="1">
        <f t="shared" si="1"/>
        <v>588</v>
      </c>
      <c r="I8">
        <v>625</v>
      </c>
    </row>
    <row r="9" spans="1:9">
      <c r="A9" s="5">
        <v>100901</v>
      </c>
      <c r="B9" s="5" t="s">
        <v>88</v>
      </c>
      <c r="C9" s="5" t="str">
        <f>VLOOKUP(B9,[1]英雄技能!$P:$Q,2,0)</f>
        <v>Phổ Công</v>
      </c>
      <c r="D9" s="5">
        <v>4</v>
      </c>
      <c r="E9" s="2">
        <v>6.0000000000000001E-3</v>
      </c>
      <c r="F9" s="3">
        <f t="shared" si="2"/>
        <v>4.4444444444444398E-2</v>
      </c>
      <c r="G9" s="4">
        <f t="shared" si="0"/>
        <v>4.4400000000000002E-2</v>
      </c>
      <c r="H9" s="1">
        <f t="shared" si="1"/>
        <v>444</v>
      </c>
      <c r="I9">
        <v>417</v>
      </c>
    </row>
    <row r="10" spans="1:9">
      <c r="A10" s="5">
        <v>101001</v>
      </c>
      <c r="B10" s="5" t="s">
        <v>229</v>
      </c>
      <c r="C10" s="5" t="str">
        <f>VLOOKUP(B10,[1]英雄技能!$P:$Q,2,0)</f>
        <v>Kim Trá</v>
      </c>
      <c r="D10" s="5">
        <v>4</v>
      </c>
      <c r="E10" s="2">
        <v>6.0000000000000001E-3</v>
      </c>
      <c r="F10" s="3">
        <f t="shared" si="2"/>
        <v>4.4444444444444398E-2</v>
      </c>
      <c r="G10" s="4">
        <f t="shared" si="0"/>
        <v>4.4400000000000002E-2</v>
      </c>
      <c r="H10" s="1">
        <f t="shared" si="1"/>
        <v>444</v>
      </c>
      <c r="I10">
        <v>417</v>
      </c>
    </row>
    <row r="11" spans="1:9">
      <c r="A11" s="5">
        <v>101101</v>
      </c>
      <c r="B11" s="5" t="s">
        <v>230</v>
      </c>
      <c r="C11" s="5" t="e">
        <f>VLOOKUP(B11,[1]英雄技能!$P:$Q,2,0)</f>
        <v>#N/A</v>
      </c>
      <c r="D11" s="5">
        <v>4</v>
      </c>
      <c r="E11" s="2">
        <v>6.0000000000000001E-3</v>
      </c>
      <c r="F11" s="3">
        <f t="shared" si="2"/>
        <v>4.4444444444444398E-2</v>
      </c>
      <c r="G11" s="4">
        <f t="shared" si="0"/>
        <v>4.4400000000000002E-2</v>
      </c>
      <c r="H11" s="1">
        <f t="shared" si="1"/>
        <v>444</v>
      </c>
      <c r="I11">
        <v>417</v>
      </c>
    </row>
    <row r="12" spans="1:9">
      <c r="A12" s="5">
        <v>101201</v>
      </c>
      <c r="B12" s="5" t="s">
        <v>75</v>
      </c>
      <c r="C12" s="5" t="str">
        <f>VLOOKUP(B12,[1]英雄技能!$P:$Q,2,0)</f>
        <v>Phổ Công</v>
      </c>
      <c r="D12" s="5">
        <v>4</v>
      </c>
      <c r="E12" s="2">
        <v>6.0000000000000001E-3</v>
      </c>
      <c r="F12" s="3">
        <f t="shared" si="2"/>
        <v>4.4444444444444398E-2</v>
      </c>
      <c r="G12" s="4">
        <f t="shared" si="0"/>
        <v>4.4400000000000002E-2</v>
      </c>
      <c r="H12" s="1">
        <f t="shared" si="1"/>
        <v>444</v>
      </c>
      <c r="I12">
        <v>417</v>
      </c>
    </row>
    <row r="13" spans="1:9">
      <c r="A13" s="5">
        <v>101301</v>
      </c>
      <c r="B13" s="5" t="s">
        <v>92</v>
      </c>
      <c r="C13" s="5" t="str">
        <f>VLOOKUP(B13,[1]英雄技能!$P:$Q,2,0)</f>
        <v>Chính Nghĩa Thẩm Phán</v>
      </c>
      <c r="D13" s="5">
        <v>4</v>
      </c>
      <c r="E13" s="2">
        <v>6.0000000000000001E-3</v>
      </c>
      <c r="F13" s="3">
        <f t="shared" si="2"/>
        <v>4.4444444444444398E-2</v>
      </c>
      <c r="G13" s="4">
        <f t="shared" si="0"/>
        <v>4.4400000000000002E-2</v>
      </c>
      <c r="H13" s="1">
        <f t="shared" si="1"/>
        <v>444</v>
      </c>
      <c r="I13">
        <v>417</v>
      </c>
    </row>
    <row r="14" spans="1:9">
      <c r="A14" s="5">
        <v>101401</v>
      </c>
      <c r="B14" s="5" t="s">
        <v>138</v>
      </c>
      <c r="C14" s="5" t="str">
        <f>VLOOKUP(B14,[1]英雄技能!$P:$Q,2,0)</f>
        <v>Đấu Đế</v>
      </c>
      <c r="D14" s="5">
        <v>5</v>
      </c>
      <c r="E14" s="2">
        <v>1.3999999999999999E-4</v>
      </c>
      <c r="F14" s="3">
        <f t="shared" si="2"/>
        <v>1.4E-2</v>
      </c>
      <c r="G14" s="4">
        <f t="shared" si="0"/>
        <v>1.4E-2</v>
      </c>
      <c r="H14" s="1">
        <f t="shared" si="1"/>
        <v>140</v>
      </c>
      <c r="I14">
        <f>IF(OR(H14=140,H14=690,H14=340),H14+10,H14)</f>
        <v>150</v>
      </c>
    </row>
    <row r="15" spans="1:9">
      <c r="A15" s="5">
        <v>101501</v>
      </c>
      <c r="B15" s="5" t="s">
        <v>96</v>
      </c>
      <c r="C15" s="5" t="str">
        <f>VLOOKUP(B15,[1]英雄技能!$P:$Q,2,0)</f>
        <v>Phổ Công</v>
      </c>
      <c r="D15" s="5">
        <v>5</v>
      </c>
      <c r="E15" s="2">
        <v>6.8999999999999997E-4</v>
      </c>
      <c r="F15" s="3">
        <f t="shared" si="2"/>
        <v>6.9000000000000006E-2</v>
      </c>
      <c r="G15" s="4">
        <f t="shared" si="0"/>
        <v>6.9000000000000006E-2</v>
      </c>
      <c r="H15" s="1">
        <f t="shared" si="1"/>
        <v>690</v>
      </c>
      <c r="I15">
        <f t="shared" ref="I15:I22" si="3">IF(OR(H15=140,H15=690,H15=340),H15+10,H15)</f>
        <v>700</v>
      </c>
    </row>
    <row r="16" spans="1:9">
      <c r="A16" s="5">
        <v>101601</v>
      </c>
      <c r="B16" s="5" t="s">
        <v>95</v>
      </c>
      <c r="C16" s="5" t="str">
        <f>VLOOKUP(B16,[1]英雄技能!$P:$Q,2,0)</f>
        <v>Phổ Công</v>
      </c>
      <c r="D16" s="5">
        <v>5</v>
      </c>
      <c r="E16" s="2">
        <v>6.0000000000000002E-5</v>
      </c>
      <c r="F16" s="3">
        <f t="shared" si="2"/>
        <v>6.0000000000000001E-3</v>
      </c>
      <c r="G16" s="4">
        <f t="shared" si="0"/>
        <v>6.0000000000000001E-3</v>
      </c>
      <c r="H16" s="1">
        <f t="shared" si="1"/>
        <v>60</v>
      </c>
      <c r="I16">
        <f t="shared" si="3"/>
        <v>60</v>
      </c>
    </row>
    <row r="17" spans="1:9">
      <c r="A17" s="5">
        <v>101701</v>
      </c>
      <c r="B17" s="103" t="s">
        <v>76</v>
      </c>
      <c r="C17" s="5" t="str">
        <f>VLOOKUP(B17,[1]英雄技能!$P:$Q,2,0)</f>
        <v>Phổ Công</v>
      </c>
      <c r="D17" s="5">
        <v>5</v>
      </c>
      <c r="E17" s="2">
        <v>6.0000000000000002E-5</v>
      </c>
      <c r="F17" s="3">
        <f t="shared" si="2"/>
        <v>6.0000000000000001E-3</v>
      </c>
      <c r="G17" s="4">
        <f t="shared" si="0"/>
        <v>6.0000000000000001E-3</v>
      </c>
      <c r="H17" s="1">
        <f t="shared" si="1"/>
        <v>60</v>
      </c>
      <c r="I17">
        <f t="shared" si="3"/>
        <v>60</v>
      </c>
    </row>
    <row r="18" spans="1:9">
      <c r="A18" s="5">
        <v>101801</v>
      </c>
      <c r="B18" s="5" t="s">
        <v>97</v>
      </c>
      <c r="C18" s="5" t="str">
        <f>VLOOKUP(B18,[1]英雄技能!$P:$Q,2,0)</f>
        <v>Phổ Công</v>
      </c>
      <c r="D18" s="5">
        <v>5</v>
      </c>
      <c r="E18" s="2">
        <v>1.3999999999999999E-4</v>
      </c>
      <c r="F18" s="3">
        <f t="shared" si="2"/>
        <v>1.4E-2</v>
      </c>
      <c r="G18" s="4">
        <f t="shared" si="0"/>
        <v>1.4E-2</v>
      </c>
      <c r="H18" s="1">
        <f t="shared" si="1"/>
        <v>140</v>
      </c>
      <c r="I18">
        <f t="shared" si="3"/>
        <v>150</v>
      </c>
    </row>
    <row r="19" spans="1:9">
      <c r="A19" s="5">
        <v>101901</v>
      </c>
      <c r="B19" s="5" t="s">
        <v>91</v>
      </c>
      <c r="C19" s="5" t="str">
        <f>VLOOKUP(B19,[1]英雄技能!$P:$Q,2,0)</f>
        <v>Phổ Công</v>
      </c>
      <c r="D19" s="5">
        <v>5</v>
      </c>
      <c r="E19" s="2">
        <v>6.0000000000000002E-5</v>
      </c>
      <c r="F19" s="3">
        <f t="shared" si="2"/>
        <v>6.0000000000000001E-3</v>
      </c>
      <c r="G19" s="4">
        <f t="shared" si="0"/>
        <v>6.0000000000000001E-3</v>
      </c>
      <c r="H19" s="1">
        <f t="shared" si="1"/>
        <v>60</v>
      </c>
      <c r="I19">
        <f t="shared" si="3"/>
        <v>60</v>
      </c>
    </row>
    <row r="20" spans="1:9">
      <c r="A20" s="5">
        <v>102001</v>
      </c>
      <c r="B20" s="5" t="s">
        <v>93</v>
      </c>
      <c r="C20" s="5" t="str">
        <f>VLOOKUP(B20,[1]英雄技能!$P:$Q,2,0)</f>
        <v>Phổ Công</v>
      </c>
      <c r="D20" s="5">
        <v>5</v>
      </c>
      <c r="E20" s="2">
        <v>6.0000000000000002E-5</v>
      </c>
      <c r="F20" s="3">
        <f t="shared" si="2"/>
        <v>6.0000000000000001E-3</v>
      </c>
      <c r="G20" s="4">
        <f t="shared" si="0"/>
        <v>6.0000000000000001E-3</v>
      </c>
      <c r="H20" s="1">
        <f t="shared" si="1"/>
        <v>60</v>
      </c>
      <c r="I20">
        <f t="shared" si="3"/>
        <v>60</v>
      </c>
    </row>
    <row r="21" spans="1:9">
      <c r="A21" s="5">
        <v>102101</v>
      </c>
      <c r="B21" s="5" t="s">
        <v>94</v>
      </c>
      <c r="C21" s="5" t="str">
        <f>VLOOKUP(B21,[1]英雄技能!$P:$Q,2,0)</f>
        <v>Phổ Công</v>
      </c>
      <c r="D21" s="5">
        <v>5</v>
      </c>
      <c r="E21" s="2">
        <v>1.3999999999999999E-4</v>
      </c>
      <c r="F21" s="3">
        <f t="shared" si="2"/>
        <v>1.4E-2</v>
      </c>
      <c r="G21" s="4">
        <f t="shared" si="0"/>
        <v>1.4E-2</v>
      </c>
      <c r="H21" s="1">
        <f t="shared" si="1"/>
        <v>140</v>
      </c>
      <c r="I21">
        <f t="shared" si="3"/>
        <v>150</v>
      </c>
    </row>
    <row r="22" spans="1:9">
      <c r="A22" s="5">
        <v>102201</v>
      </c>
      <c r="B22" s="5" t="s">
        <v>90</v>
      </c>
      <c r="C22" s="5" t="str">
        <f>VLOOKUP(B22,[1]英雄技能!$P:$Q,2,0)</f>
        <v>Phổ Công</v>
      </c>
      <c r="D22" s="5">
        <v>5</v>
      </c>
      <c r="E22" s="2">
        <v>6.8999999999999997E-4</v>
      </c>
      <c r="F22" s="3">
        <f t="shared" si="2"/>
        <v>6.9000000000000006E-2</v>
      </c>
      <c r="G22" s="4">
        <f t="shared" si="0"/>
        <v>6.9000000000000006E-2</v>
      </c>
      <c r="H22" s="1">
        <f t="shared" si="1"/>
        <v>690</v>
      </c>
      <c r="I22">
        <f t="shared" si="3"/>
        <v>700</v>
      </c>
    </row>
    <row r="23" spans="1:9">
      <c r="A23" s="6">
        <v>200201</v>
      </c>
      <c r="B23" s="6" t="s">
        <v>64</v>
      </c>
      <c r="C23" s="5" t="str">
        <f>VLOOKUP(B23,[1]英雄技能!$P:$Q,2,0)</f>
        <v>Phổ Công</v>
      </c>
      <c r="D23" s="6">
        <v>2</v>
      </c>
      <c r="E23" s="2">
        <v>5.917E-2</v>
      </c>
      <c r="F23" s="3">
        <f t="shared" si="2"/>
        <v>0.16667605633802801</v>
      </c>
      <c r="G23" s="4">
        <f t="shared" si="0"/>
        <v>0.16669999999999999</v>
      </c>
      <c r="H23" s="1">
        <v>1667</v>
      </c>
      <c r="I23">
        <v>1667</v>
      </c>
    </row>
    <row r="24" spans="1:9">
      <c r="A24" s="6">
        <v>200301</v>
      </c>
      <c r="B24" s="6" t="s">
        <v>232</v>
      </c>
      <c r="C24" s="5" t="str">
        <f>VLOOKUP(B24,[1]英雄技能!$P:$Q,2,0)</f>
        <v>Phù Dung Tiên Tử</v>
      </c>
      <c r="D24" s="6">
        <v>2</v>
      </c>
      <c r="E24" s="2">
        <v>5.917E-2</v>
      </c>
      <c r="F24" s="3">
        <f t="shared" si="2"/>
        <v>0.16667605633802801</v>
      </c>
      <c r="G24" s="4">
        <f t="shared" si="0"/>
        <v>0.16669999999999999</v>
      </c>
      <c r="H24" s="1">
        <v>1667</v>
      </c>
      <c r="I24">
        <v>1667</v>
      </c>
    </row>
    <row r="25" spans="1:9">
      <c r="A25" s="6">
        <v>200401</v>
      </c>
      <c r="B25" s="6" t="s">
        <v>233</v>
      </c>
      <c r="C25" s="5" t="str">
        <f>VLOOKUP(B25,[1]英雄技能!$P:$Q,2,0)</f>
        <v>Thiên Tương</v>
      </c>
      <c r="D25" s="6">
        <v>3</v>
      </c>
      <c r="E25" s="2">
        <v>2.9409999999999999E-2</v>
      </c>
      <c r="F25" s="3">
        <f t="shared" si="2"/>
        <v>5.8819999999999997E-2</v>
      </c>
      <c r="G25" s="4">
        <f t="shared" si="0"/>
        <v>5.8799999999999998E-2</v>
      </c>
      <c r="H25" s="1">
        <f t="shared" si="1"/>
        <v>588</v>
      </c>
      <c r="I25">
        <v>625</v>
      </c>
    </row>
    <row r="26" spans="1:9">
      <c r="A26" s="6">
        <v>200501</v>
      </c>
      <c r="B26" s="6" t="s">
        <v>74</v>
      </c>
      <c r="C26" s="5" t="str">
        <f>VLOOKUP(B26,[1]英雄技能!$P:$Q,2,0)</f>
        <v>Phổ Công</v>
      </c>
      <c r="D26" s="6">
        <v>3</v>
      </c>
      <c r="E26" s="2">
        <v>2.9409999999999999E-2</v>
      </c>
      <c r="F26" s="3">
        <f t="shared" si="2"/>
        <v>5.8819999999999997E-2</v>
      </c>
      <c r="G26" s="4">
        <f t="shared" si="0"/>
        <v>5.8799999999999998E-2</v>
      </c>
      <c r="H26" s="1">
        <f t="shared" si="1"/>
        <v>588</v>
      </c>
      <c r="I26">
        <v>625</v>
      </c>
    </row>
    <row r="27" spans="1:9">
      <c r="A27" s="6">
        <v>200601</v>
      </c>
      <c r="B27" s="6" t="s">
        <v>234</v>
      </c>
      <c r="C27" s="5" t="str">
        <f>VLOOKUP(B27,[1]英雄技能!$P:$Q,2,0)</f>
        <v>Vụ Trung Tiên</v>
      </c>
      <c r="D27" s="6">
        <v>3</v>
      </c>
      <c r="E27" s="2">
        <v>2.9409999999999999E-2</v>
      </c>
      <c r="F27" s="3">
        <f t="shared" si="2"/>
        <v>5.8819999999999997E-2</v>
      </c>
      <c r="G27" s="4">
        <f t="shared" si="0"/>
        <v>5.8799999999999998E-2</v>
      </c>
      <c r="H27" s="1">
        <f t="shared" si="1"/>
        <v>588</v>
      </c>
      <c r="I27">
        <v>625</v>
      </c>
    </row>
    <row r="28" spans="1:9">
      <c r="A28" s="6">
        <v>200701</v>
      </c>
      <c r="B28" s="6" t="s">
        <v>235</v>
      </c>
      <c r="C28" s="5" t="str">
        <f>VLOOKUP(B28,[1]英雄技能!$P:$Q,2,0)</f>
        <v>Tiểu Long Nữ</v>
      </c>
      <c r="D28" s="6">
        <v>3</v>
      </c>
      <c r="E28" s="2">
        <v>2.9409999999999999E-2</v>
      </c>
      <c r="F28" s="3">
        <f t="shared" si="2"/>
        <v>5.8819999999999997E-2</v>
      </c>
      <c r="G28" s="4">
        <f t="shared" si="0"/>
        <v>5.8799999999999998E-2</v>
      </c>
      <c r="H28" s="1">
        <f t="shared" si="1"/>
        <v>588</v>
      </c>
      <c r="I28">
        <v>625</v>
      </c>
    </row>
    <row r="29" spans="1:9">
      <c r="A29" s="6">
        <v>200801</v>
      </c>
      <c r="B29" s="6" t="s">
        <v>117</v>
      </c>
      <c r="C29" s="5" t="str">
        <f>VLOOKUP(B29,[1]英雄技能!$P:$Q,2,0)</f>
        <v>Phổ Công</v>
      </c>
      <c r="D29" s="6">
        <v>3</v>
      </c>
      <c r="E29" s="2">
        <v>2.9409999999999999E-2</v>
      </c>
      <c r="F29" s="3">
        <f t="shared" si="2"/>
        <v>5.8819999999999997E-2</v>
      </c>
      <c r="G29" s="4">
        <f t="shared" si="0"/>
        <v>5.8799999999999998E-2</v>
      </c>
      <c r="H29" s="1">
        <f t="shared" si="1"/>
        <v>588</v>
      </c>
      <c r="I29">
        <v>625</v>
      </c>
    </row>
    <row r="30" spans="1:9">
      <c r="A30" s="6">
        <v>200901</v>
      </c>
      <c r="B30" s="6" t="s">
        <v>82</v>
      </c>
      <c r="C30" s="5" t="str">
        <f>VLOOKUP(B30,[1]英雄技能!$P:$Q,2,0)</f>
        <v>Phổ Công</v>
      </c>
      <c r="D30" s="6">
        <v>4</v>
      </c>
      <c r="E30" s="2">
        <v>6.0000000000000001E-3</v>
      </c>
      <c r="F30" s="3">
        <f t="shared" si="2"/>
        <v>4.4444444444444398E-2</v>
      </c>
      <c r="G30" s="4">
        <f t="shared" si="0"/>
        <v>4.4400000000000002E-2</v>
      </c>
      <c r="H30" s="1">
        <f t="shared" si="1"/>
        <v>444</v>
      </c>
      <c r="I30">
        <v>417</v>
      </c>
    </row>
    <row r="31" spans="1:9">
      <c r="A31" s="6">
        <v>201001</v>
      </c>
      <c r="B31" s="6" t="s">
        <v>236</v>
      </c>
      <c r="C31" s="5" t="str">
        <f>VLOOKUP(B31,[1]英雄技能!$P:$Q,2,0)</f>
        <v>Lữ Động Tân</v>
      </c>
      <c r="D31" s="6">
        <v>4</v>
      </c>
      <c r="E31" s="2">
        <v>6.0000000000000001E-3</v>
      </c>
      <c r="F31" s="3">
        <f t="shared" si="2"/>
        <v>4.4444444444444398E-2</v>
      </c>
      <c r="G31" s="4">
        <f t="shared" si="0"/>
        <v>4.4400000000000002E-2</v>
      </c>
      <c r="H31" s="1">
        <f t="shared" si="1"/>
        <v>444</v>
      </c>
      <c r="I31">
        <v>417</v>
      </c>
    </row>
    <row r="32" spans="1:9">
      <c r="A32" s="6">
        <v>201101</v>
      </c>
      <c r="B32" s="6" t="s">
        <v>79</v>
      </c>
      <c r="C32" s="5" t="str">
        <f>VLOOKUP(B32,[1]英雄技能!$P:$Q,2,0)</f>
        <v>Phổ Công</v>
      </c>
      <c r="D32" s="6">
        <v>4</v>
      </c>
      <c r="E32" s="2">
        <v>6.0000000000000001E-3</v>
      </c>
      <c r="F32" s="3">
        <f t="shared" si="2"/>
        <v>4.4444444444444398E-2</v>
      </c>
      <c r="G32" s="4">
        <f t="shared" si="0"/>
        <v>4.4400000000000002E-2</v>
      </c>
      <c r="H32" s="1">
        <f t="shared" si="1"/>
        <v>444</v>
      </c>
      <c r="I32">
        <v>417</v>
      </c>
    </row>
    <row r="33" spans="1:9">
      <c r="A33" s="6">
        <v>201201</v>
      </c>
      <c r="B33" s="6" t="s">
        <v>237</v>
      </c>
      <c r="C33" s="5" t="str">
        <f>VLOOKUP(B33,[1]英雄技能!$P:$Q,2,0)</f>
        <v>Phong Bá</v>
      </c>
      <c r="D33" s="6">
        <v>4</v>
      </c>
      <c r="E33" s="2">
        <v>6.0000000000000001E-3</v>
      </c>
      <c r="F33" s="3">
        <f t="shared" si="2"/>
        <v>4.4444444444444398E-2</v>
      </c>
      <c r="G33" s="4">
        <f t="shared" si="0"/>
        <v>4.4400000000000002E-2</v>
      </c>
      <c r="H33" s="1">
        <f t="shared" si="1"/>
        <v>444</v>
      </c>
      <c r="I33">
        <v>417</v>
      </c>
    </row>
    <row r="34" spans="1:9">
      <c r="A34" s="6">
        <v>201301</v>
      </c>
      <c r="B34" s="6" t="s">
        <v>60</v>
      </c>
      <c r="C34" s="5" t="str">
        <f>VLOOKUP(B34,[1]英雄技能!$P:$Q,2,0)</f>
        <v>Phổ Công</v>
      </c>
      <c r="D34" s="6">
        <v>4</v>
      </c>
      <c r="E34" s="2">
        <v>6.0000000000000001E-3</v>
      </c>
      <c r="F34" s="3">
        <f t="shared" si="2"/>
        <v>4.4444444444444398E-2</v>
      </c>
      <c r="G34" s="4">
        <f t="shared" si="0"/>
        <v>4.4400000000000002E-2</v>
      </c>
      <c r="H34" s="1">
        <f t="shared" si="1"/>
        <v>444</v>
      </c>
      <c r="I34">
        <v>417</v>
      </c>
    </row>
    <row r="35" spans="1:9">
      <c r="A35" s="6">
        <v>201401</v>
      </c>
      <c r="B35" s="6" t="s">
        <v>115</v>
      </c>
      <c r="C35" s="5" t="str">
        <f>VLOOKUP(B35,[1]英雄技能!$P:$Q,2,0)</f>
        <v>Phổ Công</v>
      </c>
      <c r="D35" s="6">
        <v>5</v>
      </c>
      <c r="E35" s="2">
        <v>6.8999999999999997E-4</v>
      </c>
      <c r="F35" s="3">
        <f t="shared" si="2"/>
        <v>6.9000000000000006E-2</v>
      </c>
      <c r="G35" s="4">
        <f t="shared" si="0"/>
        <v>6.9000000000000006E-2</v>
      </c>
      <c r="H35" s="1">
        <f t="shared" si="1"/>
        <v>690</v>
      </c>
      <c r="I35">
        <f t="shared" ref="I35:I44" si="4">IF(OR(H35=140,H35=690,H35=340),H35+10,H35)</f>
        <v>700</v>
      </c>
    </row>
    <row r="36" spans="1:9">
      <c r="A36" s="6">
        <v>201501</v>
      </c>
      <c r="B36" s="6" t="s">
        <v>108</v>
      </c>
      <c r="C36" s="5" t="str">
        <f>VLOOKUP(B36,[1]英雄技能!$P:$Q,2,0)</f>
        <v>Phổ Công</v>
      </c>
      <c r="D36" s="6">
        <v>5</v>
      </c>
      <c r="E36" s="2">
        <v>6.0000000000000002E-5</v>
      </c>
      <c r="F36" s="3">
        <f t="shared" si="2"/>
        <v>6.0000000000000001E-3</v>
      </c>
      <c r="G36" s="4">
        <f t="shared" si="0"/>
        <v>6.0000000000000001E-3</v>
      </c>
      <c r="H36" s="1">
        <f t="shared" si="1"/>
        <v>60</v>
      </c>
      <c r="I36">
        <f t="shared" si="4"/>
        <v>60</v>
      </c>
    </row>
    <row r="37" spans="1:9">
      <c r="A37" s="6">
        <v>201601</v>
      </c>
      <c r="B37" s="6" t="s">
        <v>238</v>
      </c>
      <c r="C37" s="5" t="e">
        <f>VLOOKUP(B37,[1]英雄技能!$P:$Q,2,0)</f>
        <v>#N/A</v>
      </c>
      <c r="D37" s="6">
        <v>5</v>
      </c>
      <c r="E37" s="2">
        <v>1.3999999999999999E-4</v>
      </c>
      <c r="F37" s="3">
        <f t="shared" si="2"/>
        <v>1.4E-2</v>
      </c>
      <c r="G37" s="4">
        <f t="shared" si="0"/>
        <v>1.4E-2</v>
      </c>
      <c r="H37" s="1">
        <f t="shared" si="1"/>
        <v>140</v>
      </c>
      <c r="I37">
        <f t="shared" si="4"/>
        <v>150</v>
      </c>
    </row>
    <row r="38" spans="1:9">
      <c r="A38" s="6">
        <v>201701</v>
      </c>
      <c r="B38" s="6" t="s">
        <v>239</v>
      </c>
      <c r="C38" s="5" t="e">
        <f>VLOOKUP(B38,[1]英雄技能!$P:$Q,2,0)</f>
        <v>#N/A</v>
      </c>
      <c r="D38" s="6">
        <v>5</v>
      </c>
      <c r="E38" s="2">
        <v>6.8999999999999997E-4</v>
      </c>
      <c r="F38" s="3">
        <f t="shared" si="2"/>
        <v>6.9000000000000006E-2</v>
      </c>
      <c r="G38" s="4">
        <f t="shared" si="0"/>
        <v>6.9000000000000006E-2</v>
      </c>
      <c r="H38" s="1">
        <f t="shared" si="1"/>
        <v>690</v>
      </c>
      <c r="I38">
        <f t="shared" si="4"/>
        <v>700</v>
      </c>
    </row>
    <row r="39" spans="1:9">
      <c r="A39" s="6">
        <v>201801</v>
      </c>
      <c r="B39" s="6" t="s">
        <v>113</v>
      </c>
      <c r="C39" s="5" t="str">
        <f>VLOOKUP(B39,[1]英雄技能!$P:$Q,2,0)</f>
        <v>Đấu Chiến Thắng Phật</v>
      </c>
      <c r="D39" s="6">
        <v>5</v>
      </c>
      <c r="E39" s="2">
        <v>6.0000000000000002E-5</v>
      </c>
      <c r="F39" s="3">
        <f t="shared" si="2"/>
        <v>6.0000000000000001E-3</v>
      </c>
      <c r="G39" s="4">
        <f t="shared" si="0"/>
        <v>6.0000000000000001E-3</v>
      </c>
      <c r="H39" s="1">
        <f t="shared" si="1"/>
        <v>60</v>
      </c>
      <c r="I39">
        <f t="shared" si="4"/>
        <v>60</v>
      </c>
    </row>
    <row r="40" spans="1:9">
      <c r="A40" s="6">
        <v>201901</v>
      </c>
      <c r="B40" s="6" t="s">
        <v>240</v>
      </c>
      <c r="C40" s="5" t="str">
        <f>VLOOKUP(B40,[1]英雄技能!$P:$Q,2,0)</f>
        <v>Cửu Phượng</v>
      </c>
      <c r="D40" s="6">
        <v>5</v>
      </c>
      <c r="E40" s="2">
        <v>6.0000000000000002E-5</v>
      </c>
      <c r="F40" s="3">
        <f t="shared" si="2"/>
        <v>6.0000000000000001E-3</v>
      </c>
      <c r="G40" s="4">
        <f t="shared" si="0"/>
        <v>6.0000000000000001E-3</v>
      </c>
      <c r="H40" s="1">
        <f t="shared" si="1"/>
        <v>60</v>
      </c>
      <c r="I40">
        <f t="shared" si="4"/>
        <v>60</v>
      </c>
    </row>
    <row r="41" spans="1:9">
      <c r="A41" s="6">
        <v>202001</v>
      </c>
      <c r="B41" s="6" t="s">
        <v>241</v>
      </c>
      <c r="C41" s="5" t="e">
        <f>VLOOKUP(B41,[1]英雄技能!$P:$Q,2,0)</f>
        <v>#N/A</v>
      </c>
      <c r="D41" s="6">
        <v>5</v>
      </c>
      <c r="E41" s="2">
        <v>1.3999999999999999E-4</v>
      </c>
      <c r="F41" s="3">
        <f t="shared" si="2"/>
        <v>1.4E-2</v>
      </c>
      <c r="G41" s="4">
        <f t="shared" si="0"/>
        <v>1.4E-2</v>
      </c>
      <c r="H41" s="1">
        <f t="shared" si="1"/>
        <v>140</v>
      </c>
      <c r="I41">
        <f t="shared" si="4"/>
        <v>150</v>
      </c>
    </row>
    <row r="42" spans="1:9">
      <c r="A42" s="6">
        <v>202101</v>
      </c>
      <c r="B42" s="6" t="s">
        <v>111</v>
      </c>
      <c r="C42" s="5" t="str">
        <f>VLOOKUP(B42,[1]英雄技能!$P:$Q,2,0)</f>
        <v>Phổ Công</v>
      </c>
      <c r="D42" s="6">
        <v>5</v>
      </c>
      <c r="E42" s="2">
        <v>1.3999999999999999E-4</v>
      </c>
      <c r="F42" s="3">
        <f t="shared" si="2"/>
        <v>1.4E-2</v>
      </c>
      <c r="G42" s="4">
        <f t="shared" si="0"/>
        <v>1.4E-2</v>
      </c>
      <c r="H42" s="1">
        <f t="shared" si="1"/>
        <v>140</v>
      </c>
      <c r="I42">
        <f t="shared" si="4"/>
        <v>150</v>
      </c>
    </row>
    <row r="43" spans="1:9">
      <c r="A43" s="6">
        <v>202201</v>
      </c>
      <c r="B43" s="6" t="s">
        <v>112</v>
      </c>
      <c r="C43" s="5" t="str">
        <f>VLOOKUP(B43,[1]英雄技能!$P:$Q,2,0)</f>
        <v>Phổ Công</v>
      </c>
      <c r="D43" s="6">
        <v>5</v>
      </c>
      <c r="E43" s="2">
        <v>6.8999999999999997E-4</v>
      </c>
      <c r="F43" s="3">
        <f t="shared" si="2"/>
        <v>6.9000000000000006E-2</v>
      </c>
      <c r="G43" s="4">
        <f t="shared" si="0"/>
        <v>6.9000000000000006E-2</v>
      </c>
      <c r="H43" s="1">
        <f t="shared" si="1"/>
        <v>690</v>
      </c>
      <c r="I43">
        <f t="shared" si="4"/>
        <v>700</v>
      </c>
    </row>
    <row r="44" spans="1:9">
      <c r="A44" s="6">
        <v>202301</v>
      </c>
      <c r="B44" s="6" t="s">
        <v>130</v>
      </c>
      <c r="C44" s="5" t="str">
        <f>VLOOKUP(B44,[1]英雄技能!$P:$Q,2,0)</f>
        <v>Phổ Công</v>
      </c>
      <c r="D44" s="6">
        <v>5</v>
      </c>
      <c r="E44" s="2">
        <v>6.0000000000000002E-5</v>
      </c>
      <c r="F44" s="3">
        <f t="shared" si="2"/>
        <v>6.0000000000000001E-3</v>
      </c>
      <c r="G44" s="4">
        <f t="shared" si="0"/>
        <v>6.0000000000000001E-3</v>
      </c>
      <c r="H44" s="1">
        <f t="shared" si="1"/>
        <v>60</v>
      </c>
      <c r="I44">
        <f t="shared" si="4"/>
        <v>60</v>
      </c>
    </row>
    <row r="45" spans="1:9">
      <c r="A45" s="7">
        <v>300201</v>
      </c>
      <c r="B45" s="7" t="s">
        <v>242</v>
      </c>
      <c r="C45" s="5" t="str">
        <f>VLOOKUP(B45,[1]英雄技能!$P:$Q,2,0)</f>
        <v>U Linh</v>
      </c>
      <c r="D45" s="7">
        <v>2</v>
      </c>
      <c r="E45" s="2">
        <v>5.9159999999999997E-2</v>
      </c>
      <c r="F45" s="3">
        <f t="shared" si="2"/>
        <v>0.16664788732394401</v>
      </c>
      <c r="G45" s="4">
        <f t="shared" si="0"/>
        <v>0.1666</v>
      </c>
      <c r="H45" s="1">
        <f t="shared" si="1"/>
        <v>1666</v>
      </c>
      <c r="I45">
        <v>1666</v>
      </c>
    </row>
    <row r="46" spans="1:9">
      <c r="A46" s="7">
        <v>300301</v>
      </c>
      <c r="B46" s="7" t="s">
        <v>65</v>
      </c>
      <c r="C46" s="5" t="str">
        <f>VLOOKUP(B46,[1]英雄技能!$P:$Q,2,0)</f>
        <v>Phổ Công</v>
      </c>
      <c r="D46" s="7">
        <v>2</v>
      </c>
      <c r="E46" s="2">
        <v>5.9159999999999997E-2</v>
      </c>
      <c r="F46" s="3">
        <f t="shared" si="2"/>
        <v>0.16664788732394401</v>
      </c>
      <c r="G46" s="4">
        <f t="shared" si="0"/>
        <v>0.1666</v>
      </c>
      <c r="H46" s="1">
        <f t="shared" si="1"/>
        <v>1666</v>
      </c>
      <c r="I46">
        <v>1666</v>
      </c>
    </row>
    <row r="47" spans="1:9">
      <c r="A47" s="7">
        <v>300401</v>
      </c>
      <c r="B47" s="7" t="s">
        <v>70</v>
      </c>
      <c r="C47" s="5" t="str">
        <f>VLOOKUP(B47,[1]英雄技能!$P:$Q,2,0)</f>
        <v>Phổ Công</v>
      </c>
      <c r="D47" s="7">
        <v>3</v>
      </c>
      <c r="E47" s="2">
        <v>2.9409999999999999E-2</v>
      </c>
      <c r="F47" s="3">
        <f t="shared" si="2"/>
        <v>5.8819999999999997E-2</v>
      </c>
      <c r="G47" s="4">
        <f t="shared" si="0"/>
        <v>5.8799999999999998E-2</v>
      </c>
      <c r="H47" s="1">
        <f t="shared" si="1"/>
        <v>588</v>
      </c>
      <c r="I47">
        <v>625</v>
      </c>
    </row>
    <row r="48" spans="1:9">
      <c r="A48" s="7">
        <v>300501</v>
      </c>
      <c r="B48" s="7" t="s">
        <v>243</v>
      </c>
      <c r="C48" s="5" t="str">
        <f>VLOOKUP(B48,[1]英雄技能!$P:$Q,2,0)</f>
        <v>Ngưu Yêu</v>
      </c>
      <c r="D48" s="7">
        <v>3</v>
      </c>
      <c r="E48" s="2">
        <v>2.9409999999999999E-2</v>
      </c>
      <c r="F48" s="3">
        <f t="shared" si="2"/>
        <v>5.8819999999999997E-2</v>
      </c>
      <c r="G48" s="4">
        <f t="shared" si="0"/>
        <v>5.8799999999999998E-2</v>
      </c>
      <c r="H48" s="1">
        <f t="shared" si="1"/>
        <v>588</v>
      </c>
      <c r="I48">
        <v>625</v>
      </c>
    </row>
    <row r="49" spans="1:9">
      <c r="A49" s="7">
        <v>300601</v>
      </c>
      <c r="B49" s="7" t="s">
        <v>244</v>
      </c>
      <c r="C49" s="5" t="str">
        <f>VLOOKUP(B49,[1]英雄技能!$P:$Q,2,0)</f>
        <v>Dạ Xoa</v>
      </c>
      <c r="D49" s="7">
        <v>3</v>
      </c>
      <c r="E49" s="2">
        <v>2.9409999999999999E-2</v>
      </c>
      <c r="F49" s="3">
        <f t="shared" si="2"/>
        <v>5.8819999999999997E-2</v>
      </c>
      <c r="G49" s="4">
        <f t="shared" si="0"/>
        <v>5.8799999999999998E-2</v>
      </c>
      <c r="H49" s="1">
        <f t="shared" si="1"/>
        <v>588</v>
      </c>
      <c r="I49">
        <v>625</v>
      </c>
    </row>
    <row r="50" spans="1:9">
      <c r="A50" s="7">
        <v>300701</v>
      </c>
      <c r="B50" s="7" t="s">
        <v>67</v>
      </c>
      <c r="C50" s="5" t="str">
        <f>VLOOKUP(B50,[1]英雄技能!$P:$Q,2,0)</f>
        <v>Phổ Công</v>
      </c>
      <c r="D50" s="7">
        <v>3</v>
      </c>
      <c r="E50" s="2">
        <v>2.9409999999999999E-2</v>
      </c>
      <c r="F50" s="3">
        <f t="shared" si="2"/>
        <v>5.8819999999999997E-2</v>
      </c>
      <c r="G50" s="4">
        <f t="shared" si="0"/>
        <v>5.8799999999999998E-2</v>
      </c>
      <c r="H50" s="1">
        <f t="shared" si="1"/>
        <v>588</v>
      </c>
      <c r="I50">
        <v>625</v>
      </c>
    </row>
    <row r="51" spans="1:9">
      <c r="A51" s="7">
        <v>300801</v>
      </c>
      <c r="B51" s="7" t="s">
        <v>245</v>
      </c>
      <c r="C51" s="5" t="str">
        <f>VLOOKUP(B51,[1]英雄技能!$P:$Q,2,0)</f>
        <v>Nhiếp Tiểu Thanh</v>
      </c>
      <c r="D51" s="7">
        <v>4</v>
      </c>
      <c r="E51" s="2">
        <v>6.0000000000000001E-3</v>
      </c>
      <c r="F51" s="3">
        <f t="shared" si="2"/>
        <v>4.4444444444444398E-2</v>
      </c>
      <c r="G51" s="4">
        <f t="shared" si="0"/>
        <v>4.4400000000000002E-2</v>
      </c>
      <c r="H51" s="1">
        <f t="shared" si="1"/>
        <v>444</v>
      </c>
      <c r="I51">
        <v>417</v>
      </c>
    </row>
    <row r="52" spans="1:9">
      <c r="A52" s="7">
        <v>300901</v>
      </c>
      <c r="B52" s="7" t="s">
        <v>246</v>
      </c>
      <c r="C52" s="5" t="str">
        <f>VLOOKUP(B52,[1]英雄技能!$P:$Q,2,0)</f>
        <v>Ngân Giác Đại Vương</v>
      </c>
      <c r="D52" s="7">
        <v>4</v>
      </c>
      <c r="E52" s="2">
        <v>6.0000000000000001E-3</v>
      </c>
      <c r="F52" s="3">
        <f t="shared" si="2"/>
        <v>4.4444444444444398E-2</v>
      </c>
      <c r="G52" s="4">
        <f t="shared" si="0"/>
        <v>4.4400000000000002E-2</v>
      </c>
      <c r="H52" s="1">
        <f t="shared" si="1"/>
        <v>444</v>
      </c>
      <c r="I52">
        <v>417</v>
      </c>
    </row>
    <row r="53" spans="1:9">
      <c r="A53" s="7">
        <v>301001</v>
      </c>
      <c r="B53" s="7" t="s">
        <v>80</v>
      </c>
      <c r="C53" s="5" t="str">
        <f>VLOOKUP(B53,[1]英雄技能!$P:$Q,2,0)</f>
        <v>Phổ Công</v>
      </c>
      <c r="D53" s="7">
        <v>4</v>
      </c>
      <c r="E53" s="2">
        <v>6.0000000000000001E-3</v>
      </c>
      <c r="F53" s="3">
        <f t="shared" si="2"/>
        <v>4.4444444444444398E-2</v>
      </c>
      <c r="G53" s="4">
        <f t="shared" si="0"/>
        <v>4.4400000000000002E-2</v>
      </c>
      <c r="H53" s="1">
        <f t="shared" si="1"/>
        <v>444</v>
      </c>
      <c r="I53">
        <v>417</v>
      </c>
    </row>
    <row r="54" spans="1:9">
      <c r="A54" s="7">
        <v>301101</v>
      </c>
      <c r="B54" s="7" t="s">
        <v>134</v>
      </c>
      <c r="C54" s="5" t="str">
        <f>VLOOKUP(B54,[1]英雄技能!$P:$Q,2,0)</f>
        <v>Phổ Công</v>
      </c>
      <c r="D54" s="7">
        <v>4</v>
      </c>
      <c r="E54" s="2">
        <v>6.0000000000000001E-3</v>
      </c>
      <c r="F54" s="3">
        <f t="shared" si="2"/>
        <v>4.4444444444444398E-2</v>
      </c>
      <c r="G54" s="4">
        <f t="shared" si="0"/>
        <v>4.4400000000000002E-2</v>
      </c>
      <c r="H54" s="1">
        <f t="shared" si="1"/>
        <v>444</v>
      </c>
      <c r="I54">
        <v>417</v>
      </c>
    </row>
    <row r="55" spans="1:9">
      <c r="A55" s="7">
        <v>301201</v>
      </c>
      <c r="B55" s="7" t="s">
        <v>85</v>
      </c>
      <c r="C55" s="5" t="str">
        <f>VLOOKUP(B55,[1]英雄技能!$P:$Q,2,0)</f>
        <v>Phổ Công</v>
      </c>
      <c r="D55" s="7">
        <v>4</v>
      </c>
      <c r="E55" s="2">
        <v>6.0000000000000001E-3</v>
      </c>
      <c r="F55" s="3">
        <f t="shared" si="2"/>
        <v>4.4444444444444398E-2</v>
      </c>
      <c r="G55" s="4">
        <f t="shared" si="0"/>
        <v>4.4400000000000002E-2</v>
      </c>
      <c r="H55" s="1">
        <f t="shared" si="1"/>
        <v>444</v>
      </c>
      <c r="I55">
        <v>417</v>
      </c>
    </row>
    <row r="56" spans="1:9">
      <c r="A56" s="7">
        <v>301301</v>
      </c>
      <c r="B56" s="7" t="s">
        <v>247</v>
      </c>
      <c r="C56" s="5" t="str">
        <f>VLOOKUP(B56,[1]英雄技能!$P:$Q,2,0)</f>
        <v>Bạch Cốt Tinh</v>
      </c>
      <c r="D56" s="7">
        <v>4</v>
      </c>
      <c r="E56" s="2">
        <v>6.0000000000000001E-3</v>
      </c>
      <c r="F56" s="3">
        <f t="shared" si="2"/>
        <v>4.4444444444444398E-2</v>
      </c>
      <c r="G56" s="4">
        <f t="shared" si="0"/>
        <v>4.4400000000000002E-2</v>
      </c>
      <c r="H56" s="1">
        <f t="shared" si="1"/>
        <v>444</v>
      </c>
      <c r="I56">
        <v>417</v>
      </c>
    </row>
    <row r="57" spans="1:9">
      <c r="A57" s="7">
        <v>301401</v>
      </c>
      <c r="B57" s="7" t="s">
        <v>100</v>
      </c>
      <c r="C57" s="5" t="str">
        <f>VLOOKUP(B57,[1]英雄技能!$P:$Q,2,0)</f>
        <v>Phổ Công</v>
      </c>
      <c r="D57" s="7">
        <v>5</v>
      </c>
      <c r="E57" s="2">
        <v>1.3999999999999999E-4</v>
      </c>
      <c r="F57" s="3">
        <f t="shared" si="2"/>
        <v>1.4E-2</v>
      </c>
      <c r="G57" s="4">
        <f t="shared" si="0"/>
        <v>1.4E-2</v>
      </c>
      <c r="H57" s="1">
        <f t="shared" si="1"/>
        <v>140</v>
      </c>
      <c r="I57">
        <f t="shared" ref="I57:I65" si="5">IF(OR(H57=140,H57=690,H57=340),H57+10,H57)</f>
        <v>150</v>
      </c>
    </row>
    <row r="58" spans="1:9">
      <c r="A58" s="7">
        <v>301501</v>
      </c>
      <c r="B58" s="7" t="s">
        <v>125</v>
      </c>
      <c r="C58" s="5" t="str">
        <f>VLOOKUP(B58,[1]英雄技能!$P:$Q,2,0)</f>
        <v>Phổ Công</v>
      </c>
      <c r="D58" s="7">
        <v>5</v>
      </c>
      <c r="E58" s="2">
        <v>6.0000000000000002E-5</v>
      </c>
      <c r="F58" s="3">
        <f t="shared" si="2"/>
        <v>6.0000000000000001E-3</v>
      </c>
      <c r="G58" s="4">
        <f t="shared" si="0"/>
        <v>6.0000000000000001E-3</v>
      </c>
      <c r="H58" s="1">
        <f t="shared" si="1"/>
        <v>60</v>
      </c>
      <c r="I58">
        <f t="shared" si="5"/>
        <v>60</v>
      </c>
    </row>
    <row r="59" spans="1:9">
      <c r="A59" s="7">
        <v>301601</v>
      </c>
      <c r="B59" s="7" t="s">
        <v>101</v>
      </c>
      <c r="C59" s="5" t="str">
        <f>VLOOKUP(B59,[1]英雄技能!$P:$Q,2,0)</f>
        <v>Phổ Công</v>
      </c>
      <c r="D59" s="7">
        <v>5</v>
      </c>
      <c r="E59" s="2">
        <v>6.0000000000000002E-5</v>
      </c>
      <c r="F59" s="3">
        <f t="shared" si="2"/>
        <v>6.0000000000000001E-3</v>
      </c>
      <c r="G59" s="4">
        <f t="shared" si="0"/>
        <v>6.0000000000000001E-3</v>
      </c>
      <c r="H59" s="1">
        <f t="shared" si="1"/>
        <v>60</v>
      </c>
      <c r="I59">
        <f t="shared" si="5"/>
        <v>60</v>
      </c>
    </row>
    <row r="60" spans="1:9">
      <c r="A60" s="7">
        <v>301701</v>
      </c>
      <c r="B60" s="7" t="s">
        <v>99</v>
      </c>
      <c r="C60" s="5" t="str">
        <f>VLOOKUP(B60,[1]英雄技能!$P:$Q,2,0)</f>
        <v>Phổ Công</v>
      </c>
      <c r="D60" s="7">
        <v>5</v>
      </c>
      <c r="E60" s="2">
        <v>1.3999999999999999E-4</v>
      </c>
      <c r="F60" s="3">
        <f t="shared" si="2"/>
        <v>1.4E-2</v>
      </c>
      <c r="G60" s="4">
        <f t="shared" si="0"/>
        <v>1.4E-2</v>
      </c>
      <c r="H60" s="1">
        <f t="shared" si="1"/>
        <v>140</v>
      </c>
      <c r="I60">
        <f t="shared" si="5"/>
        <v>150</v>
      </c>
    </row>
    <row r="61" spans="1:9">
      <c r="A61" s="7">
        <v>301801</v>
      </c>
      <c r="B61" s="7" t="s">
        <v>102</v>
      </c>
      <c r="C61" s="5" t="str">
        <f>VLOOKUP(B61,[1]英雄技能!$P:$Q,2,0)</f>
        <v>Phổ Công</v>
      </c>
      <c r="D61" s="7">
        <v>5</v>
      </c>
      <c r="E61" s="2">
        <v>6.8999999999999997E-4</v>
      </c>
      <c r="F61" s="3">
        <f t="shared" si="2"/>
        <v>6.9000000000000006E-2</v>
      </c>
      <c r="G61" s="4">
        <f t="shared" si="0"/>
        <v>6.9000000000000006E-2</v>
      </c>
      <c r="H61" s="1">
        <f t="shared" si="1"/>
        <v>690</v>
      </c>
      <c r="I61">
        <f t="shared" si="5"/>
        <v>700</v>
      </c>
    </row>
    <row r="62" spans="1:9">
      <c r="A62" s="7">
        <v>301901</v>
      </c>
      <c r="B62" s="7" t="s">
        <v>248</v>
      </c>
      <c r="C62" s="5" t="e">
        <f>VLOOKUP(B62,[1]英雄技能!$P:$Q,2,0)</f>
        <v>#N/A</v>
      </c>
      <c r="D62" s="7">
        <v>5</v>
      </c>
      <c r="E62" s="2">
        <v>6.8999999999999997E-4</v>
      </c>
      <c r="F62" s="3">
        <f t="shared" si="2"/>
        <v>6.9000000000000006E-2</v>
      </c>
      <c r="G62" s="4">
        <f t="shared" si="0"/>
        <v>6.9000000000000006E-2</v>
      </c>
      <c r="H62" s="1">
        <f t="shared" si="1"/>
        <v>690</v>
      </c>
      <c r="I62">
        <f t="shared" si="5"/>
        <v>700</v>
      </c>
    </row>
    <row r="63" spans="1:9">
      <c r="A63" s="7">
        <v>302001</v>
      </c>
      <c r="B63" s="7" t="s">
        <v>105</v>
      </c>
      <c r="C63" s="5" t="str">
        <f>VLOOKUP(B63,[1]英雄技能!$P:$Q,2,0)</f>
        <v>Phổ Công</v>
      </c>
      <c r="D63" s="7">
        <v>5</v>
      </c>
      <c r="E63" s="2">
        <v>6.0000000000000002E-5</v>
      </c>
      <c r="F63" s="3">
        <f t="shared" si="2"/>
        <v>6.0000000000000001E-3</v>
      </c>
      <c r="G63" s="4">
        <f t="shared" si="0"/>
        <v>6.0000000000000001E-3</v>
      </c>
      <c r="H63" s="1">
        <f t="shared" si="1"/>
        <v>60</v>
      </c>
      <c r="I63">
        <f t="shared" si="5"/>
        <v>60</v>
      </c>
    </row>
    <row r="64" spans="1:9">
      <c r="A64" s="7">
        <v>302101</v>
      </c>
      <c r="B64" s="7" t="s">
        <v>104</v>
      </c>
      <c r="C64" s="5" t="str">
        <f>VLOOKUP(B64,[1]英雄技能!$P:$Q,2,0)</f>
        <v>Phổ Công</v>
      </c>
      <c r="D64" s="7">
        <v>5</v>
      </c>
      <c r="E64" s="2">
        <v>1.3999999999999999E-4</v>
      </c>
      <c r="F64" s="3">
        <f t="shared" si="2"/>
        <v>1.4E-2</v>
      </c>
      <c r="G64" s="4">
        <f t="shared" ref="G64:G90" si="6">ROUND(F64,4)</f>
        <v>1.4E-2</v>
      </c>
      <c r="H64" s="1">
        <f t="shared" ref="H64:H90" si="7">G64*10000</f>
        <v>140</v>
      </c>
      <c r="I64">
        <f t="shared" si="5"/>
        <v>150</v>
      </c>
    </row>
    <row r="65" spans="1:9">
      <c r="A65" s="7">
        <v>302201</v>
      </c>
      <c r="B65" s="7" t="s">
        <v>106</v>
      </c>
      <c r="C65" s="5" t="str">
        <f>VLOOKUP(B65,[1]英雄技能!$P:$Q,2,0)</f>
        <v>Phổ Công</v>
      </c>
      <c r="D65" s="7">
        <v>5</v>
      </c>
      <c r="E65" s="2">
        <v>1.3999999999999999E-4</v>
      </c>
      <c r="F65" s="3">
        <f t="shared" si="2"/>
        <v>1.4E-2</v>
      </c>
      <c r="G65" s="4">
        <f t="shared" si="6"/>
        <v>1.4E-2</v>
      </c>
      <c r="H65" s="1">
        <f t="shared" si="7"/>
        <v>140</v>
      </c>
      <c r="I65">
        <f t="shared" si="5"/>
        <v>150</v>
      </c>
    </row>
    <row r="66" spans="1:9">
      <c r="A66" s="8">
        <v>400101</v>
      </c>
      <c r="B66" s="8" t="s">
        <v>73</v>
      </c>
      <c r="C66" s="5" t="str">
        <f>VLOOKUP(B66,[1]英雄技能!$P:$Q,2,0)</f>
        <v>Phổ Công</v>
      </c>
      <c r="D66" s="8">
        <v>3</v>
      </c>
      <c r="E66" s="2">
        <v>2.9409999999999999E-2</v>
      </c>
      <c r="F66" s="3">
        <f t="shared" si="2"/>
        <v>5.8819999999999997E-2</v>
      </c>
      <c r="G66" s="4">
        <f t="shared" si="6"/>
        <v>5.8799999999999998E-2</v>
      </c>
      <c r="H66" s="1">
        <f t="shared" si="7"/>
        <v>588</v>
      </c>
      <c r="I66">
        <v>625</v>
      </c>
    </row>
    <row r="67" spans="1:9">
      <c r="A67" s="8">
        <v>400201</v>
      </c>
      <c r="B67" s="8" t="s">
        <v>249</v>
      </c>
      <c r="C67" s="5" t="str">
        <f>VLOOKUP(B67,[1]英雄技能!$P:$Q,2,0)</f>
        <v>Tuần Du Thiên Thần</v>
      </c>
      <c r="D67" s="8">
        <v>4</v>
      </c>
      <c r="E67" s="2">
        <v>5.62E-3</v>
      </c>
      <c r="F67" s="3">
        <f t="shared" ref="F67:F90" si="8">IF(D67=2,E67/0.355,IF(D67=3,E67/0.5,IF(D67=4,E67/0.135,E67/0.01)))</f>
        <v>4.16296296296296E-2</v>
      </c>
      <c r="G67" s="4">
        <f t="shared" si="6"/>
        <v>4.1599999999999998E-2</v>
      </c>
      <c r="H67" s="1">
        <f t="shared" si="7"/>
        <v>416</v>
      </c>
      <c r="I67">
        <v>416</v>
      </c>
    </row>
    <row r="68" spans="1:9">
      <c r="A68" s="8">
        <v>400301</v>
      </c>
      <c r="B68" s="8" t="s">
        <v>250</v>
      </c>
      <c r="C68" s="5" t="e">
        <f>VLOOKUP(B68,[1]英雄技能!$P:$Q,2,0)</f>
        <v>#N/A</v>
      </c>
      <c r="D68" s="8">
        <v>4</v>
      </c>
      <c r="E68" s="2">
        <v>5.62E-3</v>
      </c>
      <c r="F68" s="3">
        <f t="shared" si="8"/>
        <v>4.16296296296296E-2</v>
      </c>
      <c r="G68" s="4">
        <f t="shared" si="6"/>
        <v>4.1599999999999998E-2</v>
      </c>
      <c r="H68" s="1">
        <f t="shared" si="7"/>
        <v>416</v>
      </c>
      <c r="I68">
        <v>416</v>
      </c>
    </row>
    <row r="69" spans="1:9">
      <c r="A69" s="8">
        <v>400401</v>
      </c>
      <c r="B69" s="8" t="s">
        <v>86</v>
      </c>
      <c r="C69" s="5" t="str">
        <f>VLOOKUP(B69,[1]英雄技能!$P:$Q,2,0)</f>
        <v>Phổ Công</v>
      </c>
      <c r="D69" s="8">
        <v>4</v>
      </c>
      <c r="E69" s="2">
        <v>5.62E-3</v>
      </c>
      <c r="F69" s="3">
        <f t="shared" si="8"/>
        <v>4.16296296296296E-2</v>
      </c>
      <c r="G69" s="4">
        <f t="shared" si="6"/>
        <v>4.1599999999999998E-2</v>
      </c>
      <c r="H69" s="1">
        <f t="shared" si="7"/>
        <v>416</v>
      </c>
      <c r="I69">
        <v>416</v>
      </c>
    </row>
    <row r="70" spans="1:9">
      <c r="A70" s="8">
        <v>400501</v>
      </c>
      <c r="B70" s="8" t="s">
        <v>81</v>
      </c>
      <c r="C70" s="5" t="str">
        <f>VLOOKUP(B70,[1]英雄技能!$P:$Q,2,0)</f>
        <v>Phổ Công</v>
      </c>
      <c r="D70" s="8">
        <v>4</v>
      </c>
      <c r="E70" s="2">
        <v>5.62E-3</v>
      </c>
      <c r="F70" s="3">
        <f t="shared" si="8"/>
        <v>4.16296296296296E-2</v>
      </c>
      <c r="G70" s="4">
        <f t="shared" si="6"/>
        <v>4.1599999999999998E-2</v>
      </c>
      <c r="H70" s="1">
        <f t="shared" si="7"/>
        <v>416</v>
      </c>
      <c r="I70">
        <v>416</v>
      </c>
    </row>
    <row r="71" spans="1:9">
      <c r="A71" s="8">
        <v>400601</v>
      </c>
      <c r="B71" s="8" t="s">
        <v>123</v>
      </c>
      <c r="C71" s="5" t="str">
        <f>VLOOKUP(B71,[1]英雄技能!$P:$Q,2,0)</f>
        <v>Phổ Công</v>
      </c>
      <c r="D71" s="8">
        <v>5</v>
      </c>
      <c r="E71" s="2">
        <v>3.4000000000000002E-4</v>
      </c>
      <c r="F71" s="3">
        <f t="shared" si="8"/>
        <v>3.4000000000000002E-2</v>
      </c>
      <c r="G71" s="4">
        <f t="shared" si="6"/>
        <v>3.4000000000000002E-2</v>
      </c>
      <c r="H71" s="1">
        <f t="shared" si="7"/>
        <v>340</v>
      </c>
      <c r="I71">
        <f t="shared" ref="I71:I78" si="9">IF(OR(H71=140,H71=690,H71=340),H71+10,H71)</f>
        <v>350</v>
      </c>
    </row>
    <row r="72" spans="1:9">
      <c r="A72" s="8">
        <v>400701</v>
      </c>
      <c r="B72" s="8" t="s">
        <v>120</v>
      </c>
      <c r="C72" s="5" t="str">
        <f>VLOOKUP(B72,[1]英雄技能!$P:$Q,2,0)</f>
        <v>Phổ Công</v>
      </c>
      <c r="D72" s="8">
        <v>5</v>
      </c>
      <c r="E72" s="2">
        <v>4.0000000000000003E-5</v>
      </c>
      <c r="F72" s="3">
        <f t="shared" si="8"/>
        <v>4.0000000000000001E-3</v>
      </c>
      <c r="G72" s="4">
        <f t="shared" si="6"/>
        <v>4.0000000000000001E-3</v>
      </c>
      <c r="H72" s="1">
        <f t="shared" si="7"/>
        <v>40</v>
      </c>
      <c r="I72">
        <f t="shared" si="9"/>
        <v>40</v>
      </c>
    </row>
    <row r="73" spans="1:9">
      <c r="A73" s="8">
        <v>400801</v>
      </c>
      <c r="B73" s="8" t="s">
        <v>127</v>
      </c>
      <c r="C73" s="5" t="str">
        <f>VLOOKUP(B73,[1]英雄技能!$P:$Q,2,0)</f>
        <v>Phổ Công</v>
      </c>
      <c r="D73" s="8">
        <v>5</v>
      </c>
      <c r="E73" s="2">
        <v>2.5999999999999998E-4</v>
      </c>
      <c r="F73" s="3">
        <f t="shared" si="8"/>
        <v>2.5999999999999999E-2</v>
      </c>
      <c r="G73" s="4">
        <f t="shared" si="6"/>
        <v>2.5999999999999999E-2</v>
      </c>
      <c r="H73" s="1">
        <f t="shared" si="7"/>
        <v>260</v>
      </c>
      <c r="I73">
        <f t="shared" si="9"/>
        <v>260</v>
      </c>
    </row>
    <row r="74" spans="1:9">
      <c r="A74" s="8">
        <v>400901</v>
      </c>
      <c r="B74" s="8" t="s">
        <v>125</v>
      </c>
      <c r="C74" s="5" t="str">
        <f>VLOOKUP(B74,[1]英雄技能!$P:$Q,2,0)</f>
        <v>Phổ Công</v>
      </c>
      <c r="D74" s="8">
        <v>5</v>
      </c>
      <c r="E74" s="2">
        <v>4.0000000000000003E-5</v>
      </c>
      <c r="F74" s="3">
        <f t="shared" si="8"/>
        <v>4.0000000000000001E-3</v>
      </c>
      <c r="G74" s="4">
        <f t="shared" si="6"/>
        <v>4.0000000000000001E-3</v>
      </c>
      <c r="H74" s="1">
        <f t="shared" si="7"/>
        <v>40</v>
      </c>
      <c r="I74">
        <f t="shared" si="9"/>
        <v>40</v>
      </c>
    </row>
    <row r="75" spans="1:9">
      <c r="A75" s="8">
        <v>401001</v>
      </c>
      <c r="B75" s="8" t="s">
        <v>132</v>
      </c>
      <c r="C75" s="5" t="str">
        <f>VLOOKUP(B75,[1]英雄技能!$P:$Q,2,0)</f>
        <v>Phổ Công</v>
      </c>
      <c r="D75" s="8">
        <v>5</v>
      </c>
      <c r="E75" s="2">
        <v>3.4000000000000002E-4</v>
      </c>
      <c r="F75" s="3">
        <f t="shared" si="8"/>
        <v>3.4000000000000002E-2</v>
      </c>
      <c r="G75" s="4">
        <f t="shared" si="6"/>
        <v>3.4000000000000002E-2</v>
      </c>
      <c r="H75" s="1">
        <f t="shared" si="7"/>
        <v>340</v>
      </c>
      <c r="I75">
        <f t="shared" si="9"/>
        <v>350</v>
      </c>
    </row>
    <row r="76" spans="1:9">
      <c r="A76" s="8">
        <v>401101</v>
      </c>
      <c r="B76" s="8" t="s">
        <v>251</v>
      </c>
      <c r="C76" s="5" t="str">
        <f>VLOOKUP(B76,[1]英雄技能!$P:$Q,2,0)</f>
        <v>Lôi Trạch Chi Thần</v>
      </c>
      <c r="D76" s="8">
        <v>5</v>
      </c>
      <c r="E76" s="2">
        <v>2.5999999999999998E-4</v>
      </c>
      <c r="F76" s="3">
        <f t="shared" si="8"/>
        <v>2.5999999999999999E-2</v>
      </c>
      <c r="G76" s="4">
        <f t="shared" si="6"/>
        <v>2.5999999999999999E-2</v>
      </c>
      <c r="H76" s="1">
        <f t="shared" si="7"/>
        <v>260</v>
      </c>
      <c r="I76">
        <f t="shared" si="9"/>
        <v>260</v>
      </c>
    </row>
    <row r="77" spans="1:9">
      <c r="A77" s="8">
        <v>401201</v>
      </c>
      <c r="B77" s="8" t="s">
        <v>121</v>
      </c>
      <c r="C77" s="5" t="str">
        <f>VLOOKUP(B77,[1]英雄技能!$P:$Q,2,0)</f>
        <v>Phổ Công</v>
      </c>
      <c r="D77" s="8">
        <v>5</v>
      </c>
      <c r="E77" s="2">
        <v>2.5999999999999998E-4</v>
      </c>
      <c r="F77" s="3">
        <f t="shared" si="8"/>
        <v>2.5999999999999999E-2</v>
      </c>
      <c r="G77" s="4">
        <f t="shared" si="6"/>
        <v>2.5999999999999999E-2</v>
      </c>
      <c r="H77" s="1">
        <f t="shared" si="7"/>
        <v>260</v>
      </c>
      <c r="I77">
        <f t="shared" si="9"/>
        <v>260</v>
      </c>
    </row>
    <row r="78" spans="1:9">
      <c r="A78" s="8">
        <v>401301</v>
      </c>
      <c r="B78" s="8" t="s">
        <v>122</v>
      </c>
      <c r="C78" s="5" t="str">
        <f>VLOOKUP(B78,[1]英雄技能!$P:$Q,2,0)</f>
        <v>Phổ Công</v>
      </c>
      <c r="D78" s="8">
        <v>5</v>
      </c>
      <c r="E78" s="2">
        <v>4.0000000000000003E-5</v>
      </c>
      <c r="F78" s="3">
        <f t="shared" si="8"/>
        <v>4.0000000000000001E-3</v>
      </c>
      <c r="G78" s="4">
        <f t="shared" si="6"/>
        <v>4.0000000000000001E-3</v>
      </c>
      <c r="H78" s="1">
        <f t="shared" si="7"/>
        <v>40</v>
      </c>
      <c r="I78">
        <f t="shared" si="9"/>
        <v>40</v>
      </c>
    </row>
    <row r="79" spans="1:9">
      <c r="A79" s="9">
        <v>500101</v>
      </c>
      <c r="B79" s="9" t="s">
        <v>72</v>
      </c>
      <c r="C79" s="5" t="str">
        <f>VLOOKUP(B79,[1]英雄技能!$P:$Q,2,0)</f>
        <v>Phổ Công</v>
      </c>
      <c r="D79" s="9">
        <v>3</v>
      </c>
      <c r="E79" s="2">
        <v>2.9409999999999999E-2</v>
      </c>
      <c r="F79" s="3">
        <f t="shared" si="8"/>
        <v>5.8819999999999997E-2</v>
      </c>
      <c r="G79" s="4">
        <f t="shared" si="6"/>
        <v>5.8799999999999998E-2</v>
      </c>
      <c r="H79" s="1">
        <f t="shared" si="7"/>
        <v>588</v>
      </c>
      <c r="I79">
        <v>625</v>
      </c>
    </row>
    <row r="80" spans="1:9">
      <c r="A80" s="9">
        <v>500201</v>
      </c>
      <c r="B80" s="9" t="s">
        <v>252</v>
      </c>
      <c r="C80" s="5" t="str">
        <f>VLOOKUP(B80,[1]英雄技能!$P:$Q,2,0)</f>
        <v>Ngưu Đầu</v>
      </c>
      <c r="D80" s="9">
        <v>4</v>
      </c>
      <c r="E80" s="2">
        <v>5.62E-3</v>
      </c>
      <c r="F80" s="3">
        <f t="shared" si="8"/>
        <v>4.16296296296296E-2</v>
      </c>
      <c r="G80" s="4">
        <f t="shared" si="6"/>
        <v>4.1599999999999998E-2</v>
      </c>
      <c r="H80" s="1">
        <f t="shared" si="7"/>
        <v>416</v>
      </c>
      <c r="I80">
        <v>416</v>
      </c>
    </row>
    <row r="81" spans="1:9">
      <c r="A81" s="9">
        <v>500301</v>
      </c>
      <c r="B81" s="9" t="s">
        <v>83</v>
      </c>
      <c r="C81" s="5" t="str">
        <f>VLOOKUP(B81,[1]英雄技能!$P:$Q,2,0)</f>
        <v>Phổ Công</v>
      </c>
      <c r="D81" s="9">
        <v>4</v>
      </c>
      <c r="E81" s="2">
        <v>5.62E-3</v>
      </c>
      <c r="F81" s="3">
        <f t="shared" si="8"/>
        <v>4.16296296296296E-2</v>
      </c>
      <c r="G81" s="4">
        <f t="shared" si="6"/>
        <v>4.1599999999999998E-2</v>
      </c>
      <c r="H81" s="1">
        <f t="shared" si="7"/>
        <v>416</v>
      </c>
      <c r="I81">
        <v>416</v>
      </c>
    </row>
    <row r="82" spans="1:9">
      <c r="A82" s="9">
        <v>500401</v>
      </c>
      <c r="B82" s="9" t="s">
        <v>77</v>
      </c>
      <c r="C82" s="5" t="str">
        <f>VLOOKUP(B82,[1]英雄技能!$P:$Q,2,0)</f>
        <v>Phổ Công</v>
      </c>
      <c r="D82" s="9">
        <v>4</v>
      </c>
      <c r="E82" s="2">
        <v>5.62E-3</v>
      </c>
      <c r="F82" s="3">
        <f t="shared" si="8"/>
        <v>4.16296296296296E-2</v>
      </c>
      <c r="G82" s="4">
        <f t="shared" si="6"/>
        <v>4.1599999999999998E-2</v>
      </c>
      <c r="H82" s="1">
        <f t="shared" si="7"/>
        <v>416</v>
      </c>
      <c r="I82">
        <v>416</v>
      </c>
    </row>
    <row r="83" spans="1:9">
      <c r="A83" s="9">
        <v>500501</v>
      </c>
      <c r="B83" s="9" t="s">
        <v>78</v>
      </c>
      <c r="C83" s="5" t="str">
        <f>VLOOKUP(B83,[1]英雄技能!$P:$Q,2,0)</f>
        <v>Phổ Công</v>
      </c>
      <c r="D83" s="9">
        <v>4</v>
      </c>
      <c r="E83" s="2">
        <v>5.62E-3</v>
      </c>
      <c r="F83" s="3">
        <f t="shared" si="8"/>
        <v>4.16296296296296E-2</v>
      </c>
      <c r="G83" s="4">
        <f t="shared" si="6"/>
        <v>4.1599999999999998E-2</v>
      </c>
      <c r="H83" s="1">
        <f t="shared" si="7"/>
        <v>416</v>
      </c>
      <c r="I83">
        <v>416</v>
      </c>
    </row>
    <row r="84" spans="1:9">
      <c r="A84" s="9">
        <v>500601</v>
      </c>
      <c r="B84" s="9" t="s">
        <v>124</v>
      </c>
      <c r="C84" s="5" t="str">
        <f>VLOOKUP(B84,[1]英雄技能!$P:$Q,2,0)</f>
        <v>Phổ Công</v>
      </c>
      <c r="D84" s="9">
        <v>5</v>
      </c>
      <c r="E84" s="2">
        <v>2.5999999999999998E-4</v>
      </c>
      <c r="F84" s="3">
        <f t="shared" si="8"/>
        <v>2.5999999999999999E-2</v>
      </c>
      <c r="G84" s="4">
        <f t="shared" si="6"/>
        <v>2.5999999999999999E-2</v>
      </c>
      <c r="H84" s="1">
        <f t="shared" si="7"/>
        <v>260</v>
      </c>
      <c r="I84">
        <f t="shared" ref="I84:I90" si="10">IF(OR(H84=140,H84=690,H84=340),H84+10,H84)</f>
        <v>260</v>
      </c>
    </row>
    <row r="85" spans="1:9">
      <c r="A85" s="9">
        <v>500701</v>
      </c>
      <c r="B85" s="9" t="s">
        <v>119</v>
      </c>
      <c r="C85" s="5" t="str">
        <f>VLOOKUP(B85,[1]英雄技能!$P:$Q,2,0)</f>
        <v>Phổ Công</v>
      </c>
      <c r="D85" s="9">
        <v>5</v>
      </c>
      <c r="E85" s="2">
        <v>4.0000000000000003E-5</v>
      </c>
      <c r="F85" s="3">
        <f t="shared" si="8"/>
        <v>4.0000000000000001E-3</v>
      </c>
      <c r="G85" s="4">
        <f t="shared" si="6"/>
        <v>4.0000000000000001E-3</v>
      </c>
      <c r="H85" s="1">
        <f t="shared" si="7"/>
        <v>40</v>
      </c>
      <c r="I85">
        <f t="shared" si="10"/>
        <v>40</v>
      </c>
    </row>
    <row r="86" spans="1:9">
      <c r="A86" s="9">
        <v>500801</v>
      </c>
      <c r="B86" s="9" t="s">
        <v>131</v>
      </c>
      <c r="C86" s="5" t="str">
        <f>VLOOKUP(B86,[1]英雄技能!$P:$Q,2,0)</f>
        <v>Phổ Công</v>
      </c>
      <c r="D86" s="9">
        <v>5</v>
      </c>
      <c r="E86" s="2">
        <v>4.0000000000000003E-5</v>
      </c>
      <c r="F86" s="3">
        <f t="shared" si="8"/>
        <v>4.0000000000000001E-3</v>
      </c>
      <c r="G86" s="4">
        <f t="shared" si="6"/>
        <v>4.0000000000000001E-3</v>
      </c>
      <c r="H86" s="1">
        <f t="shared" si="7"/>
        <v>40</v>
      </c>
      <c r="I86">
        <f t="shared" si="10"/>
        <v>40</v>
      </c>
    </row>
    <row r="87" spans="1:9">
      <c r="A87" s="9">
        <v>500901</v>
      </c>
      <c r="B87" s="9" t="s">
        <v>129</v>
      </c>
      <c r="C87" s="5" t="str">
        <f>VLOOKUP(B87,[1]英雄技能!$P:$Q,2,0)</f>
        <v>Phổ Công</v>
      </c>
      <c r="D87" s="9">
        <v>5</v>
      </c>
      <c r="E87" s="2">
        <v>4.0000000000000003E-5</v>
      </c>
      <c r="F87" s="3">
        <f t="shared" si="8"/>
        <v>4.0000000000000001E-3</v>
      </c>
      <c r="G87" s="4">
        <f t="shared" si="6"/>
        <v>4.0000000000000001E-3</v>
      </c>
      <c r="H87" s="1">
        <f t="shared" si="7"/>
        <v>40</v>
      </c>
      <c r="I87">
        <f t="shared" si="10"/>
        <v>40</v>
      </c>
    </row>
    <row r="88" spans="1:9">
      <c r="A88" s="9">
        <v>501001</v>
      </c>
      <c r="B88" s="9" t="s">
        <v>128</v>
      </c>
      <c r="C88" s="5" t="str">
        <f>VLOOKUP(B88,[1]英雄技能!$P:$Q,2,0)</f>
        <v>Phổ Công</v>
      </c>
      <c r="D88" s="9">
        <v>5</v>
      </c>
      <c r="E88" s="2">
        <v>3.4000000000000002E-4</v>
      </c>
      <c r="F88" s="3">
        <f t="shared" si="8"/>
        <v>3.4000000000000002E-2</v>
      </c>
      <c r="G88" s="4">
        <f t="shared" si="6"/>
        <v>3.4000000000000002E-2</v>
      </c>
      <c r="H88" s="1">
        <f t="shared" si="7"/>
        <v>340</v>
      </c>
      <c r="I88">
        <f t="shared" si="10"/>
        <v>350</v>
      </c>
    </row>
    <row r="89" spans="1:9">
      <c r="A89" s="9">
        <v>501101</v>
      </c>
      <c r="B89" s="9" t="s">
        <v>126</v>
      </c>
      <c r="C89" s="5" t="str">
        <f>VLOOKUP(B89,[1]英雄技能!$P:$Q,2,0)</f>
        <v>Phổ Công</v>
      </c>
      <c r="D89" s="9">
        <v>5</v>
      </c>
      <c r="E89" s="2">
        <v>3.4000000000000002E-4</v>
      </c>
      <c r="F89" s="3">
        <f t="shared" si="8"/>
        <v>3.4000000000000002E-2</v>
      </c>
      <c r="G89" s="4">
        <f t="shared" si="6"/>
        <v>3.4000000000000002E-2</v>
      </c>
      <c r="H89" s="1">
        <f t="shared" si="7"/>
        <v>340</v>
      </c>
      <c r="I89">
        <f t="shared" si="10"/>
        <v>350</v>
      </c>
    </row>
    <row r="90" spans="1:9">
      <c r="A90" s="9">
        <v>501201</v>
      </c>
      <c r="B90" s="9" t="s">
        <v>118</v>
      </c>
      <c r="C90" s="5" t="str">
        <f>VLOOKUP(B90,[1]英雄技能!$P:$Q,2,0)</f>
        <v>Phổ Công</v>
      </c>
      <c r="D90" s="9">
        <v>5</v>
      </c>
      <c r="E90" s="2">
        <v>2.5999999999999998E-4</v>
      </c>
      <c r="F90" s="3">
        <f t="shared" si="8"/>
        <v>2.5999999999999999E-2</v>
      </c>
      <c r="G90" s="4">
        <f t="shared" si="6"/>
        <v>2.5999999999999999E-2</v>
      </c>
      <c r="H90" s="1">
        <f t="shared" si="7"/>
        <v>260</v>
      </c>
      <c r="I90">
        <f t="shared" si="10"/>
        <v>260</v>
      </c>
    </row>
    <row r="92" spans="1:9">
      <c r="E92" s="2">
        <f>SUM(E2:E90)</f>
        <v>0.97628999999999999</v>
      </c>
      <c r="I92">
        <f>SUM(I2:I90)</f>
        <v>40000</v>
      </c>
    </row>
  </sheetData>
  <autoFilter ref="A1:D90"/>
  <pageMargins left="0.7" right="0.7" top="0.75" bottom="0.75" header="0.3" footer="0.3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6"/>
  <sheetViews>
    <sheetView topLeftCell="A64" zoomScale="85" zoomScaleNormal="85" workbookViewId="0">
      <selection activeCell="L76" sqref="L76"/>
    </sheetView>
  </sheetViews>
  <sheetFormatPr defaultColWidth="9" defaultRowHeight="15"/>
  <cols>
    <col min="1" max="1" width="10.5703125" style="1" customWidth="1"/>
    <col min="2" max="2" width="9" style="1"/>
    <col min="3" max="3" width="18.42578125" style="1" customWidth="1"/>
    <col min="4" max="4" width="10.85546875" style="1" customWidth="1"/>
    <col min="5" max="5" width="19" style="2" customWidth="1"/>
    <col min="6" max="6" width="13.85546875" style="3" customWidth="1"/>
    <col min="7" max="7" width="15" style="4" customWidth="1"/>
    <col min="8" max="8" width="13.42578125" style="1" customWidth="1"/>
    <col min="9" max="9" width="9" style="1"/>
  </cols>
  <sheetData>
    <row r="1" spans="1:18">
      <c r="A1" s="1" t="s">
        <v>43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</row>
    <row r="2" spans="1:18">
      <c r="A2" s="5">
        <v>100401</v>
      </c>
      <c r="B2" s="5" t="s">
        <v>226</v>
      </c>
      <c r="C2" s="5" t="str">
        <f>VLOOKUP(B2,[1]英雄技能!$P:$Q,2,0)</f>
        <v>Kim Ngô Vệ</v>
      </c>
      <c r="D2" s="5">
        <v>3</v>
      </c>
      <c r="E2" s="2">
        <v>4.7E-2</v>
      </c>
      <c r="F2" s="3">
        <f>IF(D2=3,E2/0.8,IF(D2=4,E2/0.15,E2/0.05))</f>
        <v>5.8749999999999997E-2</v>
      </c>
      <c r="G2" s="4">
        <f>ROUND(F2,4)</f>
        <v>5.8799999999999998E-2</v>
      </c>
      <c r="H2" s="1">
        <f>G2*10000</f>
        <v>588</v>
      </c>
      <c r="I2" s="1">
        <v>1500</v>
      </c>
    </row>
    <row r="3" spans="1:18">
      <c r="A3" s="5">
        <v>100501</v>
      </c>
      <c r="B3" s="5" t="s">
        <v>69</v>
      </c>
      <c r="C3" s="5" t="str">
        <f>VLOOKUP(B3,[1]英雄技能!$P:$Q,2,0)</f>
        <v>Phổ Công</v>
      </c>
      <c r="D3" s="5">
        <v>3</v>
      </c>
      <c r="E3" s="2">
        <v>4.7E-2</v>
      </c>
      <c r="F3" s="3">
        <f t="shared" ref="F3:F66" si="0">IF(D3=3,E3/0.8,IF(D3=4,E3/0.15,E3/0.05))</f>
        <v>5.8749999999999997E-2</v>
      </c>
      <c r="G3" s="4">
        <f t="shared" ref="G3:G59" si="1">ROUND(F3,4)</f>
        <v>5.8799999999999998E-2</v>
      </c>
      <c r="H3" s="1">
        <f t="shared" ref="H3:H66" si="2">G3*10000</f>
        <v>588</v>
      </c>
      <c r="I3" s="1">
        <v>1500</v>
      </c>
    </row>
    <row r="4" spans="1:18">
      <c r="A4" s="5">
        <v>100601</v>
      </c>
      <c r="B4" s="5" t="s">
        <v>227</v>
      </c>
      <c r="C4" s="5" t="str">
        <f>VLOOKUP(B4,[1]英雄技能!$P:$Q,2,0)</f>
        <v>Điện Tiền Cấm Vệ</v>
      </c>
      <c r="D4" s="5">
        <v>3</v>
      </c>
      <c r="E4" s="2">
        <v>4.7E-2</v>
      </c>
      <c r="F4" s="3">
        <f t="shared" si="0"/>
        <v>5.8749999999999997E-2</v>
      </c>
      <c r="G4" s="4">
        <f t="shared" si="1"/>
        <v>5.8799999999999998E-2</v>
      </c>
      <c r="H4" s="1">
        <f t="shared" si="2"/>
        <v>588</v>
      </c>
      <c r="I4" s="1">
        <v>1500</v>
      </c>
    </row>
    <row r="5" spans="1:18">
      <c r="A5" s="5">
        <v>100701</v>
      </c>
      <c r="B5" s="5" t="s">
        <v>228</v>
      </c>
      <c r="C5" s="5" t="str">
        <f>VLOOKUP(B5,[1]英雄技能!$P:$Q,2,0)</f>
        <v>Yến Xích Hà</v>
      </c>
      <c r="D5" s="5">
        <v>3</v>
      </c>
      <c r="E5" s="2">
        <v>4.7E-2</v>
      </c>
      <c r="F5" s="3">
        <f t="shared" si="0"/>
        <v>5.8749999999999997E-2</v>
      </c>
      <c r="G5" s="4">
        <f t="shared" si="1"/>
        <v>5.8799999999999998E-2</v>
      </c>
      <c r="H5" s="1">
        <f t="shared" si="2"/>
        <v>588</v>
      </c>
      <c r="I5" s="1">
        <v>1500</v>
      </c>
    </row>
    <row r="6" spans="1:18">
      <c r="A6" s="5">
        <v>100801</v>
      </c>
      <c r="B6" s="5" t="s">
        <v>71</v>
      </c>
      <c r="C6" s="5" t="str">
        <f>VLOOKUP(B6,[1]英雄技能!$P:$Q,2,0)</f>
        <v>Phổ Công</v>
      </c>
      <c r="D6" s="5">
        <v>3</v>
      </c>
      <c r="E6" s="2">
        <v>4.7E-2</v>
      </c>
      <c r="F6" s="3">
        <f t="shared" si="0"/>
        <v>5.8749999999999997E-2</v>
      </c>
      <c r="G6" s="4">
        <f t="shared" si="1"/>
        <v>5.8799999999999998E-2</v>
      </c>
      <c r="H6" s="1">
        <f t="shared" si="2"/>
        <v>588</v>
      </c>
      <c r="I6" s="1">
        <v>1500</v>
      </c>
    </row>
    <row r="7" spans="1:18">
      <c r="A7" s="5">
        <v>100901</v>
      </c>
      <c r="B7" s="5" t="s">
        <v>88</v>
      </c>
      <c r="C7" s="5" t="str">
        <f>VLOOKUP(B7,[1]英雄技能!$P:$Q,2,0)</f>
        <v>Phổ Công</v>
      </c>
      <c r="D7" s="5">
        <v>4</v>
      </c>
      <c r="E7" s="2">
        <v>6.6699999999999997E-3</v>
      </c>
      <c r="F7" s="3">
        <f t="shared" si="0"/>
        <v>4.4466666666666703E-2</v>
      </c>
      <c r="G7" s="4">
        <f t="shared" si="1"/>
        <v>4.4499999999999998E-2</v>
      </c>
      <c r="H7" s="1">
        <f t="shared" si="2"/>
        <v>445</v>
      </c>
      <c r="I7" s="1">
        <v>188</v>
      </c>
    </row>
    <row r="8" spans="1:18">
      <c r="A8" s="5">
        <v>101001</v>
      </c>
      <c r="B8" s="5" t="s">
        <v>229</v>
      </c>
      <c r="C8" s="5" t="str">
        <f>VLOOKUP(B8,[1]英雄技能!$P:$Q,2,0)</f>
        <v>Kim Trá</v>
      </c>
      <c r="D8" s="5">
        <v>4</v>
      </c>
      <c r="E8" s="2">
        <v>6.6699999999999997E-3</v>
      </c>
      <c r="F8" s="3">
        <f t="shared" si="0"/>
        <v>4.4466666666666703E-2</v>
      </c>
      <c r="G8" s="4">
        <f t="shared" si="1"/>
        <v>4.4499999999999998E-2</v>
      </c>
      <c r="H8" s="1">
        <f t="shared" si="2"/>
        <v>445</v>
      </c>
      <c r="I8" s="1">
        <v>188</v>
      </c>
    </row>
    <row r="9" spans="1:18">
      <c r="A9" s="5">
        <v>101101</v>
      </c>
      <c r="B9" s="5" t="s">
        <v>230</v>
      </c>
      <c r="C9" s="5" t="e">
        <f>VLOOKUP(B9,[1]英雄技能!$P:$Q,2,0)</f>
        <v>#N/A</v>
      </c>
      <c r="D9" s="5">
        <v>4</v>
      </c>
      <c r="E9" s="2">
        <v>6.6699999999999997E-3</v>
      </c>
      <c r="F9" s="3">
        <f t="shared" si="0"/>
        <v>4.4466666666666703E-2</v>
      </c>
      <c r="G9" s="4">
        <f t="shared" si="1"/>
        <v>4.4499999999999998E-2</v>
      </c>
      <c r="H9" s="1">
        <f t="shared" si="2"/>
        <v>445</v>
      </c>
      <c r="I9" s="1">
        <v>188</v>
      </c>
    </row>
    <row r="10" spans="1:18">
      <c r="A10" s="5">
        <v>101201</v>
      </c>
      <c r="B10" s="5" t="s">
        <v>75</v>
      </c>
      <c r="C10" s="5" t="str">
        <f>VLOOKUP(B10,[1]英雄技能!$P:$Q,2,0)</f>
        <v>Phổ Công</v>
      </c>
      <c r="D10" s="5">
        <v>4</v>
      </c>
      <c r="E10" s="2">
        <v>6.6699999999999997E-3</v>
      </c>
      <c r="F10" s="3">
        <f t="shared" si="0"/>
        <v>4.4466666666666703E-2</v>
      </c>
      <c r="G10" s="4">
        <f t="shared" si="1"/>
        <v>4.4499999999999998E-2</v>
      </c>
      <c r="H10" s="1">
        <f t="shared" si="2"/>
        <v>445</v>
      </c>
      <c r="I10" s="1">
        <v>188</v>
      </c>
      <c r="R10">
        <v>24000</v>
      </c>
    </row>
    <row r="11" spans="1:18">
      <c r="A11" s="5">
        <v>101301</v>
      </c>
      <c r="B11" s="5" t="s">
        <v>92</v>
      </c>
      <c r="C11" s="5" t="str">
        <f>VLOOKUP(B11,[1]英雄技能!$P:$Q,2,0)</f>
        <v>Chính Nghĩa Thẩm Phán</v>
      </c>
      <c r="D11" s="5">
        <v>4</v>
      </c>
      <c r="E11" s="2">
        <v>6.6699999999999997E-3</v>
      </c>
      <c r="F11" s="3">
        <f t="shared" si="0"/>
        <v>4.4466666666666703E-2</v>
      </c>
      <c r="G11" s="4">
        <f t="shared" si="1"/>
        <v>4.4499999999999998E-2</v>
      </c>
      <c r="H11" s="1">
        <f t="shared" si="2"/>
        <v>445</v>
      </c>
      <c r="I11" s="1">
        <v>188</v>
      </c>
      <c r="R11">
        <f>30000*0.15</f>
        <v>4500</v>
      </c>
    </row>
    <row r="12" spans="1:18">
      <c r="A12" s="5">
        <v>101401</v>
      </c>
      <c r="B12" s="5" t="s">
        <v>138</v>
      </c>
      <c r="C12" s="5" t="str">
        <f>VLOOKUP(B12,[1]英雄技能!$P:$Q,2,0)</f>
        <v>Đấu Đế</v>
      </c>
      <c r="D12" s="5">
        <v>5</v>
      </c>
      <c r="E12" s="2">
        <v>7.3999999999999999E-4</v>
      </c>
      <c r="F12" s="3">
        <f t="shared" si="0"/>
        <v>1.4800000000000001E-2</v>
      </c>
      <c r="G12" s="4">
        <f t="shared" si="1"/>
        <v>1.4800000000000001E-2</v>
      </c>
      <c r="H12" s="1">
        <f t="shared" si="2"/>
        <v>148</v>
      </c>
      <c r="I12" s="1">
        <v>30</v>
      </c>
    </row>
    <row r="13" spans="1:18">
      <c r="A13" s="5">
        <v>101501</v>
      </c>
      <c r="B13" s="5" t="s">
        <v>96</v>
      </c>
      <c r="C13" s="5" t="str">
        <f>VLOOKUP(B13,[1]英雄技能!$P:$Q,2,0)</f>
        <v>Phổ Công</v>
      </c>
      <c r="D13" s="5">
        <v>5</v>
      </c>
      <c r="E13" s="2">
        <v>3.7000000000000002E-3</v>
      </c>
      <c r="F13" s="3">
        <f t="shared" si="0"/>
        <v>7.3999999999999996E-2</v>
      </c>
      <c r="G13" s="4">
        <f t="shared" si="1"/>
        <v>7.3999999999999996E-2</v>
      </c>
      <c r="H13" s="1">
        <f t="shared" si="2"/>
        <v>740</v>
      </c>
      <c r="I13" s="1">
        <v>100</v>
      </c>
    </row>
    <row r="14" spans="1:18">
      <c r="A14" s="5">
        <v>101601</v>
      </c>
      <c r="B14" s="5" t="s">
        <v>95</v>
      </c>
      <c r="C14" s="5" t="str">
        <f>VLOOKUP(B14,[1]英雄技能!$P:$Q,2,0)</f>
        <v>Phổ Công</v>
      </c>
      <c r="D14" s="5">
        <v>5</v>
      </c>
      <c r="E14" s="2">
        <v>2.9999999999999997E-4</v>
      </c>
      <c r="F14" s="3">
        <f t="shared" si="0"/>
        <v>6.0000000000000001E-3</v>
      </c>
      <c r="G14" s="4">
        <f t="shared" si="1"/>
        <v>6.0000000000000001E-3</v>
      </c>
      <c r="H14" s="1">
        <f t="shared" si="2"/>
        <v>60</v>
      </c>
      <c r="I14" s="1">
        <v>10</v>
      </c>
    </row>
    <row r="15" spans="1:18">
      <c r="A15" s="5">
        <v>101701</v>
      </c>
      <c r="B15" s="5" t="s">
        <v>231</v>
      </c>
      <c r="C15" s="5" t="e">
        <f>VLOOKUP(B15,[1]英雄技能!$P:$Q,2,0)</f>
        <v>#N/A</v>
      </c>
      <c r="D15" s="5">
        <v>5</v>
      </c>
      <c r="E15" s="2">
        <v>2.9999999999999997E-4</v>
      </c>
      <c r="F15" s="3">
        <f t="shared" si="0"/>
        <v>6.0000000000000001E-3</v>
      </c>
      <c r="G15" s="4">
        <f t="shared" si="1"/>
        <v>6.0000000000000001E-3</v>
      </c>
      <c r="H15" s="1">
        <f t="shared" si="2"/>
        <v>60</v>
      </c>
      <c r="I15" s="1">
        <v>10</v>
      </c>
    </row>
    <row r="16" spans="1:18">
      <c r="A16" s="5">
        <v>101801</v>
      </c>
      <c r="B16" s="5" t="s">
        <v>97</v>
      </c>
      <c r="C16" s="5" t="str">
        <f>VLOOKUP(B16,[1]英雄技能!$P:$Q,2,0)</f>
        <v>Phổ Công</v>
      </c>
      <c r="D16" s="5">
        <v>5</v>
      </c>
      <c r="E16" s="2">
        <v>7.3999999999999999E-4</v>
      </c>
      <c r="F16" s="3">
        <f t="shared" si="0"/>
        <v>1.4800000000000001E-2</v>
      </c>
      <c r="G16" s="4">
        <f t="shared" si="1"/>
        <v>1.4800000000000001E-2</v>
      </c>
      <c r="H16" s="1">
        <f t="shared" si="2"/>
        <v>148</v>
      </c>
      <c r="I16" s="1">
        <v>30</v>
      </c>
    </row>
    <row r="17" spans="1:18">
      <c r="A17" s="5">
        <v>101901</v>
      </c>
      <c r="B17" s="5" t="s">
        <v>91</v>
      </c>
      <c r="C17" s="5" t="str">
        <f>VLOOKUP(B17,[1]英雄技能!$P:$Q,2,0)</f>
        <v>Phổ Công</v>
      </c>
      <c r="D17" s="5">
        <v>5</v>
      </c>
      <c r="E17" s="2">
        <v>2.9999999999999997E-4</v>
      </c>
      <c r="F17" s="3">
        <f t="shared" si="0"/>
        <v>6.0000000000000001E-3</v>
      </c>
      <c r="G17" s="4">
        <f t="shared" si="1"/>
        <v>6.0000000000000001E-3</v>
      </c>
      <c r="H17" s="1">
        <f t="shared" si="2"/>
        <v>60</v>
      </c>
      <c r="I17" s="1">
        <v>10</v>
      </c>
    </row>
    <row r="18" spans="1:18">
      <c r="A18" s="5">
        <v>102001</v>
      </c>
      <c r="B18" s="5" t="s">
        <v>93</v>
      </c>
      <c r="C18" s="5" t="str">
        <f>VLOOKUP(B18,[1]英雄技能!$P:$Q,2,0)</f>
        <v>Phổ Công</v>
      </c>
      <c r="D18" s="5">
        <v>5</v>
      </c>
      <c r="E18" s="2">
        <v>2.9999999999999997E-4</v>
      </c>
      <c r="F18" s="3">
        <f t="shared" si="0"/>
        <v>6.0000000000000001E-3</v>
      </c>
      <c r="G18" s="4">
        <f t="shared" si="1"/>
        <v>6.0000000000000001E-3</v>
      </c>
      <c r="H18" s="1">
        <f t="shared" si="2"/>
        <v>60</v>
      </c>
      <c r="I18" s="1">
        <v>10</v>
      </c>
    </row>
    <row r="19" spans="1:18">
      <c r="A19" s="5">
        <v>102101</v>
      </c>
      <c r="B19" s="5" t="s">
        <v>94</v>
      </c>
      <c r="C19" s="5" t="str">
        <f>VLOOKUP(B19,[1]英雄技能!$P:$Q,2,0)</f>
        <v>Phổ Công</v>
      </c>
      <c r="D19" s="5">
        <v>5</v>
      </c>
      <c r="E19" s="2">
        <v>7.3999999999999999E-4</v>
      </c>
      <c r="F19" s="3">
        <f t="shared" si="0"/>
        <v>1.4800000000000001E-2</v>
      </c>
      <c r="G19" s="4">
        <f t="shared" si="1"/>
        <v>1.4800000000000001E-2</v>
      </c>
      <c r="H19" s="1">
        <f t="shared" si="2"/>
        <v>148</v>
      </c>
      <c r="I19" s="1">
        <v>30</v>
      </c>
    </row>
    <row r="20" spans="1:18">
      <c r="A20" s="5">
        <v>102201</v>
      </c>
      <c r="B20" s="5" t="s">
        <v>90</v>
      </c>
      <c r="C20" s="5" t="str">
        <f>VLOOKUP(B20,[1]英雄技能!$P:$Q,2,0)</f>
        <v>Phổ Công</v>
      </c>
      <c r="D20" s="5">
        <v>5</v>
      </c>
      <c r="E20" s="2">
        <v>3.7000000000000002E-3</v>
      </c>
      <c r="F20" s="3">
        <f t="shared" si="0"/>
        <v>7.3999999999999996E-2</v>
      </c>
      <c r="G20" s="4">
        <f t="shared" si="1"/>
        <v>7.3999999999999996E-2</v>
      </c>
      <c r="H20" s="1">
        <f t="shared" si="2"/>
        <v>740</v>
      </c>
      <c r="I20" s="1">
        <v>100</v>
      </c>
    </row>
    <row r="21" spans="1:18">
      <c r="A21" s="6">
        <v>200401</v>
      </c>
      <c r="B21" s="6" t="s">
        <v>233</v>
      </c>
      <c r="C21" s="5" t="str">
        <f>VLOOKUP(B21,[1]英雄技能!$P:$Q,2,0)</f>
        <v>Thiên Tương</v>
      </c>
      <c r="D21" s="6">
        <v>3</v>
      </c>
      <c r="E21" s="2">
        <v>4.7E-2</v>
      </c>
      <c r="F21" s="3">
        <f t="shared" si="0"/>
        <v>5.8749999999999997E-2</v>
      </c>
      <c r="G21" s="4">
        <f t="shared" si="1"/>
        <v>5.8799999999999998E-2</v>
      </c>
      <c r="H21" s="1">
        <f t="shared" si="2"/>
        <v>588</v>
      </c>
      <c r="I21" s="1">
        <v>1500</v>
      </c>
    </row>
    <row r="22" spans="1:18">
      <c r="A22" s="6">
        <v>200501</v>
      </c>
      <c r="B22" s="6" t="s">
        <v>74</v>
      </c>
      <c r="C22" s="5" t="str">
        <f>VLOOKUP(B22,[1]英雄技能!$P:$Q,2,0)</f>
        <v>Phổ Công</v>
      </c>
      <c r="D22" s="6">
        <v>3</v>
      </c>
      <c r="E22" s="2">
        <v>4.7E-2</v>
      </c>
      <c r="F22" s="3">
        <f t="shared" si="0"/>
        <v>5.8749999999999997E-2</v>
      </c>
      <c r="G22" s="4">
        <f t="shared" si="1"/>
        <v>5.8799999999999998E-2</v>
      </c>
      <c r="H22" s="1">
        <f t="shared" si="2"/>
        <v>588</v>
      </c>
      <c r="I22" s="1">
        <v>1500</v>
      </c>
    </row>
    <row r="23" spans="1:18">
      <c r="A23" s="6">
        <v>200601</v>
      </c>
      <c r="B23" s="6" t="s">
        <v>234</v>
      </c>
      <c r="C23" s="5" t="str">
        <f>VLOOKUP(B23,[1]英雄技能!$P:$Q,2,0)</f>
        <v>Vụ Trung Tiên</v>
      </c>
      <c r="D23" s="6">
        <v>3</v>
      </c>
      <c r="E23" s="2">
        <v>4.7E-2</v>
      </c>
      <c r="F23" s="3">
        <f t="shared" si="0"/>
        <v>5.8749999999999997E-2</v>
      </c>
      <c r="G23" s="4">
        <f t="shared" si="1"/>
        <v>5.8799999999999998E-2</v>
      </c>
      <c r="H23" s="1">
        <f t="shared" si="2"/>
        <v>588</v>
      </c>
      <c r="I23" s="1">
        <v>1500</v>
      </c>
    </row>
    <row r="24" spans="1:18">
      <c r="A24" s="6">
        <v>200701</v>
      </c>
      <c r="B24" s="6" t="s">
        <v>235</v>
      </c>
      <c r="C24" s="5" t="str">
        <f>VLOOKUP(B24,[1]英雄技能!$P:$Q,2,0)</f>
        <v>Tiểu Long Nữ</v>
      </c>
      <c r="D24" s="6">
        <v>3</v>
      </c>
      <c r="E24" s="2">
        <v>4.7E-2</v>
      </c>
      <c r="F24" s="3">
        <f t="shared" si="0"/>
        <v>5.8749999999999997E-2</v>
      </c>
      <c r="G24" s="4">
        <f t="shared" si="1"/>
        <v>5.8799999999999998E-2</v>
      </c>
      <c r="H24" s="1">
        <f t="shared" si="2"/>
        <v>588</v>
      </c>
      <c r="I24" s="1">
        <v>1500</v>
      </c>
    </row>
    <row r="25" spans="1:18">
      <c r="A25" s="6">
        <v>200801</v>
      </c>
      <c r="B25" s="6" t="s">
        <v>117</v>
      </c>
      <c r="C25" s="5" t="str">
        <f>VLOOKUP(B25,[1]英雄技能!$P:$Q,2,0)</f>
        <v>Phổ Công</v>
      </c>
      <c r="D25" s="6">
        <v>3</v>
      </c>
      <c r="E25" s="2">
        <v>4.7E-2</v>
      </c>
      <c r="F25" s="3">
        <f t="shared" si="0"/>
        <v>5.8749999999999997E-2</v>
      </c>
      <c r="G25" s="4">
        <f t="shared" si="1"/>
        <v>5.8799999999999998E-2</v>
      </c>
      <c r="H25" s="1">
        <f t="shared" si="2"/>
        <v>588</v>
      </c>
      <c r="I25" s="1">
        <v>1500</v>
      </c>
    </row>
    <row r="26" spans="1:18">
      <c r="A26" s="6">
        <v>200901</v>
      </c>
      <c r="B26" s="6" t="s">
        <v>82</v>
      </c>
      <c r="C26" s="5" t="str">
        <f>VLOOKUP(B26,[1]英雄技能!$P:$Q,2,0)</f>
        <v>Phổ Công</v>
      </c>
      <c r="D26" s="6">
        <v>4</v>
      </c>
      <c r="E26" s="2">
        <v>6.6699999999999997E-3</v>
      </c>
      <c r="F26" s="3">
        <f t="shared" si="0"/>
        <v>4.4466666666666703E-2</v>
      </c>
      <c r="G26" s="4">
        <f t="shared" si="1"/>
        <v>4.4499999999999998E-2</v>
      </c>
      <c r="H26" s="1">
        <f t="shared" si="2"/>
        <v>445</v>
      </c>
      <c r="I26" s="1">
        <v>188</v>
      </c>
      <c r="R26">
        <f>30000*0.05</f>
        <v>1500</v>
      </c>
    </row>
    <row r="27" spans="1:18">
      <c r="A27" s="6">
        <v>201001</v>
      </c>
      <c r="B27" s="6" t="s">
        <v>236</v>
      </c>
      <c r="C27" s="5" t="str">
        <f>VLOOKUP(B27,[1]英雄技能!$P:$Q,2,0)</f>
        <v>Lữ Động Tân</v>
      </c>
      <c r="D27" s="6">
        <v>4</v>
      </c>
      <c r="E27" s="2">
        <v>6.6699999999999997E-3</v>
      </c>
      <c r="F27" s="3">
        <f t="shared" si="0"/>
        <v>4.4466666666666703E-2</v>
      </c>
      <c r="G27" s="4">
        <f t="shared" si="1"/>
        <v>4.4499999999999998E-2</v>
      </c>
      <c r="H27" s="1">
        <f t="shared" si="2"/>
        <v>445</v>
      </c>
      <c r="I27" s="1">
        <v>188</v>
      </c>
    </row>
    <row r="28" spans="1:18">
      <c r="A28" s="6">
        <v>201101</v>
      </c>
      <c r="B28" s="6" t="s">
        <v>79</v>
      </c>
      <c r="C28" s="5" t="str">
        <f>VLOOKUP(B28,[1]英雄技能!$P:$Q,2,0)</f>
        <v>Phổ Công</v>
      </c>
      <c r="D28" s="6">
        <v>4</v>
      </c>
      <c r="E28" s="2">
        <v>6.6699999999999997E-3</v>
      </c>
      <c r="F28" s="3">
        <f t="shared" si="0"/>
        <v>4.4466666666666703E-2</v>
      </c>
      <c r="G28" s="4">
        <f t="shared" si="1"/>
        <v>4.4499999999999998E-2</v>
      </c>
      <c r="H28" s="1">
        <f t="shared" si="2"/>
        <v>445</v>
      </c>
      <c r="I28" s="1">
        <v>188</v>
      </c>
    </row>
    <row r="29" spans="1:18">
      <c r="A29" s="6">
        <v>201201</v>
      </c>
      <c r="B29" s="6" t="s">
        <v>237</v>
      </c>
      <c r="C29" s="5" t="str">
        <f>VLOOKUP(B29,[1]英雄技能!$P:$Q,2,0)</f>
        <v>Phong Bá</v>
      </c>
      <c r="D29" s="6">
        <v>4</v>
      </c>
      <c r="E29" s="2">
        <v>6.6699999999999997E-3</v>
      </c>
      <c r="F29" s="3">
        <f t="shared" si="0"/>
        <v>4.4466666666666703E-2</v>
      </c>
      <c r="G29" s="4">
        <f t="shared" si="1"/>
        <v>4.4499999999999998E-2</v>
      </c>
      <c r="H29" s="1">
        <f t="shared" si="2"/>
        <v>445</v>
      </c>
      <c r="I29" s="1">
        <v>188</v>
      </c>
    </row>
    <row r="30" spans="1:18">
      <c r="A30" s="6">
        <v>201301</v>
      </c>
      <c r="B30" s="6" t="s">
        <v>60</v>
      </c>
      <c r="C30" s="5" t="str">
        <f>VLOOKUP(B30,[1]英雄技能!$P:$Q,2,0)</f>
        <v>Phổ Công</v>
      </c>
      <c r="D30" s="6">
        <v>4</v>
      </c>
      <c r="E30" s="2">
        <v>6.6699999999999997E-3</v>
      </c>
      <c r="F30" s="3">
        <f t="shared" si="0"/>
        <v>4.4466666666666703E-2</v>
      </c>
      <c r="G30" s="4">
        <f t="shared" si="1"/>
        <v>4.4499999999999998E-2</v>
      </c>
      <c r="H30" s="1">
        <f t="shared" si="2"/>
        <v>445</v>
      </c>
      <c r="I30" s="1">
        <v>188</v>
      </c>
    </row>
    <row r="31" spans="1:18">
      <c r="A31" s="6">
        <v>201401</v>
      </c>
      <c r="B31" s="6" t="s">
        <v>115</v>
      </c>
      <c r="C31" s="5" t="str">
        <f>VLOOKUP(B31,[1]英雄技能!$P:$Q,2,0)</f>
        <v>Phổ Công</v>
      </c>
      <c r="D31" s="6">
        <v>5</v>
      </c>
      <c r="E31" s="2">
        <v>3.7000000000000002E-3</v>
      </c>
      <c r="F31" s="3">
        <f t="shared" si="0"/>
        <v>7.3999999999999996E-2</v>
      </c>
      <c r="G31" s="4">
        <f t="shared" si="1"/>
        <v>7.3999999999999996E-2</v>
      </c>
      <c r="H31" s="1">
        <f t="shared" si="2"/>
        <v>740</v>
      </c>
      <c r="I31" s="1">
        <v>100</v>
      </c>
    </row>
    <row r="32" spans="1:18">
      <c r="A32" s="6">
        <v>201501</v>
      </c>
      <c r="B32" s="6" t="s">
        <v>108</v>
      </c>
      <c r="C32" s="5" t="str">
        <f>VLOOKUP(B32,[1]英雄技能!$P:$Q,2,0)</f>
        <v>Phổ Công</v>
      </c>
      <c r="D32" s="6">
        <v>5</v>
      </c>
      <c r="E32" s="2">
        <v>2.9999999999999997E-4</v>
      </c>
      <c r="F32" s="3">
        <f t="shared" si="0"/>
        <v>6.0000000000000001E-3</v>
      </c>
      <c r="G32" s="4">
        <f t="shared" si="1"/>
        <v>6.0000000000000001E-3</v>
      </c>
      <c r="H32" s="1">
        <f t="shared" si="2"/>
        <v>60</v>
      </c>
      <c r="I32" s="1">
        <v>10</v>
      </c>
    </row>
    <row r="33" spans="1:9">
      <c r="A33" s="6">
        <v>201601</v>
      </c>
      <c r="B33" s="6" t="s">
        <v>238</v>
      </c>
      <c r="C33" s="5" t="e">
        <f>VLOOKUP(B33,[1]英雄技能!$P:$Q,2,0)</f>
        <v>#N/A</v>
      </c>
      <c r="D33" s="6">
        <v>5</v>
      </c>
      <c r="E33" s="2">
        <v>7.3999999999999999E-4</v>
      </c>
      <c r="F33" s="3">
        <f t="shared" si="0"/>
        <v>1.4800000000000001E-2</v>
      </c>
      <c r="G33" s="4">
        <f t="shared" si="1"/>
        <v>1.4800000000000001E-2</v>
      </c>
      <c r="H33" s="1">
        <f t="shared" si="2"/>
        <v>148</v>
      </c>
      <c r="I33" s="1">
        <v>30</v>
      </c>
    </row>
    <row r="34" spans="1:9">
      <c r="A34" s="6">
        <v>201701</v>
      </c>
      <c r="B34" s="6" t="s">
        <v>239</v>
      </c>
      <c r="C34" s="5" t="e">
        <f>VLOOKUP(B34,[1]英雄技能!$P:$Q,2,0)</f>
        <v>#N/A</v>
      </c>
      <c r="D34" s="6">
        <v>5</v>
      </c>
      <c r="E34" s="2">
        <v>3.7000000000000002E-3</v>
      </c>
      <c r="F34" s="3">
        <f t="shared" si="0"/>
        <v>7.3999999999999996E-2</v>
      </c>
      <c r="G34" s="4">
        <f t="shared" si="1"/>
        <v>7.3999999999999996E-2</v>
      </c>
      <c r="H34" s="1">
        <f t="shared" si="2"/>
        <v>740</v>
      </c>
      <c r="I34" s="1">
        <v>100</v>
      </c>
    </row>
    <row r="35" spans="1:9">
      <c r="A35" s="6">
        <v>201801</v>
      </c>
      <c r="B35" s="6" t="s">
        <v>113</v>
      </c>
      <c r="C35" s="5" t="str">
        <f>VLOOKUP(B35,[1]英雄技能!$P:$Q,2,0)</f>
        <v>Đấu Chiến Thắng Phật</v>
      </c>
      <c r="D35" s="6">
        <v>5</v>
      </c>
      <c r="E35" s="2">
        <v>2.9999999999999997E-4</v>
      </c>
      <c r="F35" s="3">
        <f t="shared" si="0"/>
        <v>6.0000000000000001E-3</v>
      </c>
      <c r="G35" s="4">
        <f t="shared" si="1"/>
        <v>6.0000000000000001E-3</v>
      </c>
      <c r="H35" s="1">
        <f t="shared" si="2"/>
        <v>60</v>
      </c>
      <c r="I35" s="1">
        <v>10</v>
      </c>
    </row>
    <row r="36" spans="1:9">
      <c r="A36" s="6">
        <v>201901</v>
      </c>
      <c r="B36" s="6" t="s">
        <v>240</v>
      </c>
      <c r="C36" s="5" t="str">
        <f>VLOOKUP(B36,[1]英雄技能!$P:$Q,2,0)</f>
        <v>Cửu Phượng</v>
      </c>
      <c r="D36" s="6">
        <v>5</v>
      </c>
      <c r="E36" s="2">
        <v>2.9999999999999997E-4</v>
      </c>
      <c r="F36" s="3">
        <f t="shared" si="0"/>
        <v>6.0000000000000001E-3</v>
      </c>
      <c r="G36" s="4">
        <f t="shared" si="1"/>
        <v>6.0000000000000001E-3</v>
      </c>
      <c r="H36" s="1">
        <f t="shared" si="2"/>
        <v>60</v>
      </c>
      <c r="I36" s="1">
        <v>10</v>
      </c>
    </row>
    <row r="37" spans="1:9">
      <c r="A37" s="6">
        <v>202001</v>
      </c>
      <c r="B37" s="6" t="s">
        <v>241</v>
      </c>
      <c r="C37" s="5" t="e">
        <f>VLOOKUP(B37,[1]英雄技能!$P:$Q,2,0)</f>
        <v>#N/A</v>
      </c>
      <c r="D37" s="6">
        <v>5</v>
      </c>
      <c r="E37" s="2">
        <v>7.3999999999999999E-4</v>
      </c>
      <c r="F37" s="3">
        <f t="shared" si="0"/>
        <v>1.4800000000000001E-2</v>
      </c>
      <c r="G37" s="4">
        <f t="shared" si="1"/>
        <v>1.4800000000000001E-2</v>
      </c>
      <c r="H37" s="1">
        <f t="shared" si="2"/>
        <v>148</v>
      </c>
      <c r="I37" s="1">
        <v>30</v>
      </c>
    </row>
    <row r="38" spans="1:9">
      <c r="A38" s="6">
        <v>202101</v>
      </c>
      <c r="B38" s="6" t="s">
        <v>111</v>
      </c>
      <c r="C38" s="5" t="str">
        <f>VLOOKUP(B38,[1]英雄技能!$P:$Q,2,0)</f>
        <v>Phổ Công</v>
      </c>
      <c r="D38" s="6">
        <v>5</v>
      </c>
      <c r="E38" s="2">
        <v>7.3999999999999999E-4</v>
      </c>
      <c r="F38" s="3">
        <f t="shared" si="0"/>
        <v>1.4800000000000001E-2</v>
      </c>
      <c r="G38" s="4">
        <f t="shared" si="1"/>
        <v>1.4800000000000001E-2</v>
      </c>
      <c r="H38" s="1">
        <f t="shared" si="2"/>
        <v>148</v>
      </c>
      <c r="I38" s="1">
        <v>30</v>
      </c>
    </row>
    <row r="39" spans="1:9">
      <c r="A39" s="6">
        <v>202201</v>
      </c>
      <c r="B39" s="6" t="s">
        <v>112</v>
      </c>
      <c r="C39" s="5" t="str">
        <f>VLOOKUP(B39,[1]英雄技能!$P:$Q,2,0)</f>
        <v>Phổ Công</v>
      </c>
      <c r="D39" s="6">
        <v>5</v>
      </c>
      <c r="E39" s="2">
        <v>3.7000000000000002E-3</v>
      </c>
      <c r="F39" s="3">
        <f t="shared" si="0"/>
        <v>7.3999999999999996E-2</v>
      </c>
      <c r="G39" s="4">
        <f t="shared" si="1"/>
        <v>7.3999999999999996E-2</v>
      </c>
      <c r="H39" s="1">
        <f t="shared" si="2"/>
        <v>740</v>
      </c>
      <c r="I39" s="1">
        <v>100</v>
      </c>
    </row>
    <row r="40" spans="1:9">
      <c r="A40" s="6">
        <v>202301</v>
      </c>
      <c r="B40" s="6" t="s">
        <v>130</v>
      </c>
      <c r="C40" s="5" t="str">
        <f>VLOOKUP(B40,[1]英雄技能!$P:$Q,2,0)</f>
        <v>Phổ Công</v>
      </c>
      <c r="D40" s="6">
        <v>5</v>
      </c>
      <c r="E40" s="2">
        <v>2.9999999999999997E-4</v>
      </c>
      <c r="F40" s="3">
        <f t="shared" si="0"/>
        <v>6.0000000000000001E-3</v>
      </c>
      <c r="G40" s="4">
        <f t="shared" si="1"/>
        <v>6.0000000000000001E-3</v>
      </c>
      <c r="H40" s="1">
        <f t="shared" si="2"/>
        <v>60</v>
      </c>
      <c r="I40" s="1">
        <v>10</v>
      </c>
    </row>
    <row r="41" spans="1:9">
      <c r="A41" s="7">
        <v>300401</v>
      </c>
      <c r="B41" s="7" t="s">
        <v>70</v>
      </c>
      <c r="C41" s="5" t="str">
        <f>VLOOKUP(B41,[1]英雄技能!$P:$Q,2,0)</f>
        <v>Phổ Công</v>
      </c>
      <c r="D41" s="7">
        <v>3</v>
      </c>
      <c r="E41" s="2">
        <v>4.7E-2</v>
      </c>
      <c r="F41" s="3">
        <f t="shared" si="0"/>
        <v>5.8749999999999997E-2</v>
      </c>
      <c r="G41" s="4">
        <f t="shared" si="1"/>
        <v>5.8799999999999998E-2</v>
      </c>
      <c r="H41" s="1">
        <f t="shared" si="2"/>
        <v>588</v>
      </c>
      <c r="I41" s="1">
        <v>1500</v>
      </c>
    </row>
    <row r="42" spans="1:9">
      <c r="A42" s="7">
        <v>300501</v>
      </c>
      <c r="B42" s="7" t="s">
        <v>243</v>
      </c>
      <c r="C42" s="5" t="str">
        <f>VLOOKUP(B42,[1]英雄技能!$P:$Q,2,0)</f>
        <v>Ngưu Yêu</v>
      </c>
      <c r="D42" s="7">
        <v>3</v>
      </c>
      <c r="E42" s="2">
        <v>4.7E-2</v>
      </c>
      <c r="F42" s="3">
        <f t="shared" si="0"/>
        <v>5.8749999999999997E-2</v>
      </c>
      <c r="G42" s="4">
        <f t="shared" si="1"/>
        <v>5.8799999999999998E-2</v>
      </c>
      <c r="H42" s="1">
        <f t="shared" si="2"/>
        <v>588</v>
      </c>
      <c r="I42" s="1">
        <v>1500</v>
      </c>
    </row>
    <row r="43" spans="1:9">
      <c r="A43" s="7">
        <v>300601</v>
      </c>
      <c r="B43" s="7" t="s">
        <v>244</v>
      </c>
      <c r="C43" s="5" t="str">
        <f>VLOOKUP(B43,[1]英雄技能!$P:$Q,2,0)</f>
        <v>Dạ Xoa</v>
      </c>
      <c r="D43" s="7">
        <v>3</v>
      </c>
      <c r="E43" s="2">
        <v>4.7E-2</v>
      </c>
      <c r="F43" s="3">
        <f t="shared" si="0"/>
        <v>5.8749999999999997E-2</v>
      </c>
      <c r="G43" s="4">
        <f t="shared" si="1"/>
        <v>5.8799999999999998E-2</v>
      </c>
      <c r="H43" s="1">
        <f t="shared" si="2"/>
        <v>588</v>
      </c>
      <c r="I43" s="1">
        <v>1500</v>
      </c>
    </row>
    <row r="44" spans="1:9">
      <c r="A44" s="7">
        <v>300701</v>
      </c>
      <c r="B44" s="7" t="s">
        <v>67</v>
      </c>
      <c r="C44" s="5" t="str">
        <f>VLOOKUP(B44,[1]英雄技能!$P:$Q,2,0)</f>
        <v>Phổ Công</v>
      </c>
      <c r="D44" s="7">
        <v>3</v>
      </c>
      <c r="E44" s="2">
        <v>4.7E-2</v>
      </c>
      <c r="F44" s="3">
        <f t="shared" si="0"/>
        <v>5.8749999999999997E-2</v>
      </c>
      <c r="G44" s="4">
        <f t="shared" si="1"/>
        <v>5.8799999999999998E-2</v>
      </c>
      <c r="H44" s="1">
        <f t="shared" si="2"/>
        <v>588</v>
      </c>
      <c r="I44" s="1">
        <v>1500</v>
      </c>
    </row>
    <row r="45" spans="1:9">
      <c r="A45" s="7">
        <v>300801</v>
      </c>
      <c r="B45" s="7" t="s">
        <v>245</v>
      </c>
      <c r="C45" s="5" t="str">
        <f>VLOOKUP(B45,[1]英雄技能!$P:$Q,2,0)</f>
        <v>Nhiếp Tiểu Thanh</v>
      </c>
      <c r="D45" s="7">
        <v>4</v>
      </c>
      <c r="E45" s="2">
        <v>6.6699999999999997E-3</v>
      </c>
      <c r="F45" s="3">
        <f t="shared" si="0"/>
        <v>4.4466666666666703E-2</v>
      </c>
      <c r="G45" s="4">
        <f t="shared" si="1"/>
        <v>4.4499999999999998E-2</v>
      </c>
      <c r="H45" s="1">
        <f t="shared" si="2"/>
        <v>445</v>
      </c>
      <c r="I45" s="1">
        <v>188</v>
      </c>
    </row>
    <row r="46" spans="1:9">
      <c r="A46" s="7">
        <v>300901</v>
      </c>
      <c r="B46" s="7" t="s">
        <v>246</v>
      </c>
      <c r="C46" s="5" t="str">
        <f>VLOOKUP(B46,[1]英雄技能!$P:$Q,2,0)</f>
        <v>Ngân Giác Đại Vương</v>
      </c>
      <c r="D46" s="7">
        <v>4</v>
      </c>
      <c r="E46" s="2">
        <v>6.6699999999999997E-3</v>
      </c>
      <c r="F46" s="3">
        <f t="shared" si="0"/>
        <v>4.4466666666666703E-2</v>
      </c>
      <c r="G46" s="4">
        <f t="shared" si="1"/>
        <v>4.4499999999999998E-2</v>
      </c>
      <c r="H46" s="1">
        <f t="shared" si="2"/>
        <v>445</v>
      </c>
      <c r="I46" s="1">
        <v>188</v>
      </c>
    </row>
    <row r="47" spans="1:9">
      <c r="A47" s="7">
        <v>301001</v>
      </c>
      <c r="B47" s="7" t="s">
        <v>80</v>
      </c>
      <c r="C47" s="5" t="str">
        <f>VLOOKUP(B47,[1]英雄技能!$P:$Q,2,0)</f>
        <v>Phổ Công</v>
      </c>
      <c r="D47" s="7">
        <v>4</v>
      </c>
      <c r="E47" s="2">
        <v>6.6699999999999997E-3</v>
      </c>
      <c r="F47" s="3">
        <f t="shared" si="0"/>
        <v>4.4466666666666703E-2</v>
      </c>
      <c r="G47" s="4">
        <f t="shared" si="1"/>
        <v>4.4499999999999998E-2</v>
      </c>
      <c r="H47" s="1">
        <f t="shared" si="2"/>
        <v>445</v>
      </c>
      <c r="I47" s="1">
        <v>187</v>
      </c>
    </row>
    <row r="48" spans="1:9">
      <c r="A48" s="7">
        <v>301101</v>
      </c>
      <c r="B48" s="7" t="s">
        <v>134</v>
      </c>
      <c r="C48" s="5" t="str">
        <f>VLOOKUP(B48,[1]英雄技能!$P:$Q,2,0)</f>
        <v>Phổ Công</v>
      </c>
      <c r="D48" s="7">
        <v>4</v>
      </c>
      <c r="E48" s="2">
        <v>6.6699999999999997E-3</v>
      </c>
      <c r="F48" s="3">
        <f t="shared" si="0"/>
        <v>4.4466666666666703E-2</v>
      </c>
      <c r="G48" s="4">
        <f t="shared" si="1"/>
        <v>4.4499999999999998E-2</v>
      </c>
      <c r="H48" s="1">
        <f t="shared" si="2"/>
        <v>445</v>
      </c>
      <c r="I48" s="1">
        <v>187</v>
      </c>
    </row>
    <row r="49" spans="1:9">
      <c r="A49" s="7">
        <v>301201</v>
      </c>
      <c r="B49" s="7" t="s">
        <v>85</v>
      </c>
      <c r="C49" s="5" t="str">
        <f>VLOOKUP(B49,[1]英雄技能!$P:$Q,2,0)</f>
        <v>Phổ Công</v>
      </c>
      <c r="D49" s="7">
        <v>4</v>
      </c>
      <c r="E49" s="2">
        <v>6.6699999999999997E-3</v>
      </c>
      <c r="F49" s="3">
        <f t="shared" si="0"/>
        <v>4.4466666666666703E-2</v>
      </c>
      <c r="G49" s="4">
        <f t="shared" si="1"/>
        <v>4.4499999999999998E-2</v>
      </c>
      <c r="H49" s="1">
        <f t="shared" si="2"/>
        <v>445</v>
      </c>
      <c r="I49" s="1">
        <v>187</v>
      </c>
    </row>
    <row r="50" spans="1:9">
      <c r="A50" s="7">
        <v>301301</v>
      </c>
      <c r="B50" s="7" t="s">
        <v>247</v>
      </c>
      <c r="C50" s="5" t="str">
        <f>VLOOKUP(B50,[1]英雄技能!$P:$Q,2,0)</f>
        <v>Bạch Cốt Tinh</v>
      </c>
      <c r="D50" s="7">
        <v>4</v>
      </c>
      <c r="E50" s="2">
        <v>6.6699999999999997E-3</v>
      </c>
      <c r="F50" s="3">
        <f t="shared" si="0"/>
        <v>4.4466666666666703E-2</v>
      </c>
      <c r="G50" s="4">
        <f t="shared" si="1"/>
        <v>4.4499999999999998E-2</v>
      </c>
      <c r="H50" s="1">
        <f t="shared" si="2"/>
        <v>445</v>
      </c>
      <c r="I50" s="1">
        <v>187</v>
      </c>
    </row>
    <row r="51" spans="1:9">
      <c r="A51" s="7">
        <v>301401</v>
      </c>
      <c r="B51" s="7" t="s">
        <v>100</v>
      </c>
      <c r="C51" s="5" t="str">
        <f>VLOOKUP(B51,[1]英雄技能!$P:$Q,2,0)</f>
        <v>Phổ Công</v>
      </c>
      <c r="D51" s="7">
        <v>5</v>
      </c>
      <c r="E51" s="2">
        <v>7.3999999999999999E-4</v>
      </c>
      <c r="F51" s="3">
        <f t="shared" si="0"/>
        <v>1.4800000000000001E-2</v>
      </c>
      <c r="G51" s="4">
        <f t="shared" si="1"/>
        <v>1.4800000000000001E-2</v>
      </c>
      <c r="H51" s="1">
        <f t="shared" si="2"/>
        <v>148</v>
      </c>
      <c r="I51" s="1">
        <v>30</v>
      </c>
    </row>
    <row r="52" spans="1:9">
      <c r="A52" s="7">
        <v>301501</v>
      </c>
      <c r="B52" s="7" t="s">
        <v>125</v>
      </c>
      <c r="C52" s="5" t="str">
        <f>VLOOKUP(B52,[1]英雄技能!$P:$Q,2,0)</f>
        <v>Phổ Công</v>
      </c>
      <c r="D52" s="7">
        <v>5</v>
      </c>
      <c r="E52" s="2">
        <v>2.9999999999999997E-4</v>
      </c>
      <c r="F52" s="3">
        <f t="shared" si="0"/>
        <v>6.0000000000000001E-3</v>
      </c>
      <c r="G52" s="4">
        <f t="shared" si="1"/>
        <v>6.0000000000000001E-3</v>
      </c>
      <c r="H52" s="1">
        <f t="shared" si="2"/>
        <v>60</v>
      </c>
      <c r="I52" s="1">
        <v>10</v>
      </c>
    </row>
    <row r="53" spans="1:9">
      <c r="A53" s="7">
        <v>301601</v>
      </c>
      <c r="B53" s="7" t="s">
        <v>101</v>
      </c>
      <c r="C53" s="5" t="str">
        <f>VLOOKUP(B53,[1]英雄技能!$P:$Q,2,0)</f>
        <v>Phổ Công</v>
      </c>
      <c r="D53" s="7">
        <v>5</v>
      </c>
      <c r="E53" s="2">
        <v>2.9999999999999997E-4</v>
      </c>
      <c r="F53" s="3">
        <f t="shared" si="0"/>
        <v>6.0000000000000001E-3</v>
      </c>
      <c r="G53" s="4">
        <f t="shared" si="1"/>
        <v>6.0000000000000001E-3</v>
      </c>
      <c r="H53" s="1">
        <f t="shared" si="2"/>
        <v>60</v>
      </c>
      <c r="I53" s="1">
        <v>10</v>
      </c>
    </row>
    <row r="54" spans="1:9">
      <c r="A54" s="7">
        <v>301701</v>
      </c>
      <c r="B54" s="7" t="s">
        <v>99</v>
      </c>
      <c r="C54" s="5" t="str">
        <f>VLOOKUP(B54,[1]英雄技能!$P:$Q,2,0)</f>
        <v>Phổ Công</v>
      </c>
      <c r="D54" s="7">
        <v>5</v>
      </c>
      <c r="E54" s="2">
        <v>7.3999999999999999E-4</v>
      </c>
      <c r="F54" s="3">
        <f t="shared" si="0"/>
        <v>1.4800000000000001E-2</v>
      </c>
      <c r="G54" s="4">
        <f t="shared" si="1"/>
        <v>1.4800000000000001E-2</v>
      </c>
      <c r="H54" s="1">
        <f t="shared" si="2"/>
        <v>148</v>
      </c>
      <c r="I54" s="1">
        <v>30</v>
      </c>
    </row>
    <row r="55" spans="1:9">
      <c r="A55" s="7">
        <v>301801</v>
      </c>
      <c r="B55" s="7" t="s">
        <v>102</v>
      </c>
      <c r="C55" s="5" t="str">
        <f>VLOOKUP(B55,[1]英雄技能!$P:$Q,2,0)</f>
        <v>Phổ Công</v>
      </c>
      <c r="D55" s="7">
        <v>5</v>
      </c>
      <c r="E55" s="2">
        <v>3.7000000000000002E-3</v>
      </c>
      <c r="F55" s="3">
        <f t="shared" si="0"/>
        <v>7.3999999999999996E-2</v>
      </c>
      <c r="G55" s="4">
        <f t="shared" si="1"/>
        <v>7.3999999999999996E-2</v>
      </c>
      <c r="H55" s="1">
        <f t="shared" si="2"/>
        <v>740</v>
      </c>
      <c r="I55" s="1">
        <v>100</v>
      </c>
    </row>
    <row r="56" spans="1:9">
      <c r="A56" s="7">
        <v>301901</v>
      </c>
      <c r="B56" s="7" t="s">
        <v>248</v>
      </c>
      <c r="C56" s="5" t="e">
        <f>VLOOKUP(B56,[1]英雄技能!$P:$Q,2,0)</f>
        <v>#N/A</v>
      </c>
      <c r="D56" s="7">
        <v>5</v>
      </c>
      <c r="E56" s="2">
        <v>3.7000000000000002E-3</v>
      </c>
      <c r="F56" s="3">
        <f t="shared" si="0"/>
        <v>7.3999999999999996E-2</v>
      </c>
      <c r="G56" s="4">
        <f t="shared" si="1"/>
        <v>7.3999999999999996E-2</v>
      </c>
      <c r="H56" s="1">
        <f t="shared" si="2"/>
        <v>740</v>
      </c>
      <c r="I56" s="1">
        <v>90</v>
      </c>
    </row>
    <row r="57" spans="1:9">
      <c r="A57" s="7">
        <v>302001</v>
      </c>
      <c r="B57" s="7" t="s">
        <v>105</v>
      </c>
      <c r="C57" s="5" t="str">
        <f>VLOOKUP(B57,[1]英雄技能!$P:$Q,2,0)</f>
        <v>Phổ Công</v>
      </c>
      <c r="D57" s="7">
        <v>5</v>
      </c>
      <c r="E57" s="2">
        <v>2.9999999999999997E-4</v>
      </c>
      <c r="F57" s="3">
        <f t="shared" si="0"/>
        <v>6.0000000000000001E-3</v>
      </c>
      <c r="G57" s="4">
        <f t="shared" si="1"/>
        <v>6.0000000000000001E-3</v>
      </c>
      <c r="H57" s="1">
        <f t="shared" si="2"/>
        <v>60</v>
      </c>
      <c r="I57" s="1">
        <v>10</v>
      </c>
    </row>
    <row r="58" spans="1:9">
      <c r="A58" s="7">
        <v>302101</v>
      </c>
      <c r="B58" s="7" t="s">
        <v>104</v>
      </c>
      <c r="C58" s="5" t="str">
        <f>VLOOKUP(B58,[1]英雄技能!$P:$Q,2,0)</f>
        <v>Phổ Công</v>
      </c>
      <c r="D58" s="7">
        <v>5</v>
      </c>
      <c r="E58" s="2">
        <v>7.3999999999999999E-4</v>
      </c>
      <c r="F58" s="3">
        <f t="shared" si="0"/>
        <v>1.4800000000000001E-2</v>
      </c>
      <c r="G58" s="4">
        <f t="shared" si="1"/>
        <v>1.4800000000000001E-2</v>
      </c>
      <c r="H58" s="1">
        <f t="shared" si="2"/>
        <v>148</v>
      </c>
      <c r="I58" s="1">
        <v>30</v>
      </c>
    </row>
    <row r="59" spans="1:9">
      <c r="A59" s="7">
        <v>302201</v>
      </c>
      <c r="B59" s="7" t="s">
        <v>106</v>
      </c>
      <c r="C59" s="5" t="str">
        <f>VLOOKUP(B59,[1]英雄技能!$P:$Q,2,0)</f>
        <v>Phổ Công</v>
      </c>
      <c r="D59" s="7">
        <v>5</v>
      </c>
      <c r="E59" s="2">
        <v>7.3999999999999999E-4</v>
      </c>
      <c r="F59" s="3">
        <f t="shared" si="0"/>
        <v>1.4800000000000001E-2</v>
      </c>
      <c r="G59" s="4">
        <f t="shared" si="1"/>
        <v>1.4800000000000001E-2</v>
      </c>
      <c r="H59" s="1">
        <f t="shared" si="2"/>
        <v>148</v>
      </c>
      <c r="I59" s="1">
        <v>30</v>
      </c>
    </row>
    <row r="60" spans="1:9">
      <c r="A60" s="8">
        <v>400101</v>
      </c>
      <c r="B60" s="8" t="s">
        <v>73</v>
      </c>
      <c r="C60" s="5" t="str">
        <f>VLOOKUP(B60,[1]英雄技能!$P:$Q,2,0)</f>
        <v>Phổ Công</v>
      </c>
      <c r="D60" s="8">
        <v>3</v>
      </c>
      <c r="E60" s="2">
        <v>4.7E-2</v>
      </c>
      <c r="F60" s="3">
        <f t="shared" si="0"/>
        <v>5.8749999999999997E-2</v>
      </c>
      <c r="G60" s="4">
        <f t="shared" ref="G60:G84" si="3">ROUND(F60,4)</f>
        <v>5.8799999999999998E-2</v>
      </c>
      <c r="H60" s="1">
        <f t="shared" si="2"/>
        <v>588</v>
      </c>
      <c r="I60" s="1">
        <v>1500</v>
      </c>
    </row>
    <row r="61" spans="1:9">
      <c r="A61" s="8">
        <v>400201</v>
      </c>
      <c r="B61" s="8" t="s">
        <v>249</v>
      </c>
      <c r="C61" s="5" t="str">
        <f>VLOOKUP(B61,[1]英雄技能!$P:$Q,2,0)</f>
        <v>Tuần Du Thiên Thần</v>
      </c>
      <c r="D61" s="8">
        <v>4</v>
      </c>
      <c r="E61" s="2">
        <v>6.3E-3</v>
      </c>
      <c r="F61" s="3">
        <f t="shared" si="0"/>
        <v>4.2000000000000003E-2</v>
      </c>
      <c r="G61" s="4">
        <f t="shared" si="3"/>
        <v>4.2000000000000003E-2</v>
      </c>
      <c r="H61" s="1">
        <f t="shared" si="2"/>
        <v>420</v>
      </c>
      <c r="I61" s="1">
        <v>187</v>
      </c>
    </row>
    <row r="62" spans="1:9">
      <c r="A62" s="8">
        <v>400301</v>
      </c>
      <c r="B62" s="8" t="s">
        <v>250</v>
      </c>
      <c r="C62" s="5" t="e">
        <f>VLOOKUP(B62,[1]英雄技能!$P:$Q,2,0)</f>
        <v>#N/A</v>
      </c>
      <c r="D62" s="8">
        <v>4</v>
      </c>
      <c r="E62" s="2">
        <v>6.3E-3</v>
      </c>
      <c r="F62" s="3">
        <f t="shared" si="0"/>
        <v>4.2000000000000003E-2</v>
      </c>
      <c r="G62" s="4">
        <f t="shared" si="3"/>
        <v>4.2000000000000003E-2</v>
      </c>
      <c r="H62" s="1">
        <f t="shared" si="2"/>
        <v>420</v>
      </c>
      <c r="I62" s="1">
        <v>187</v>
      </c>
    </row>
    <row r="63" spans="1:9">
      <c r="A63" s="8">
        <v>400401</v>
      </c>
      <c r="B63" s="8" t="s">
        <v>86</v>
      </c>
      <c r="C63" s="5" t="str">
        <f>VLOOKUP(B63,[1]英雄技能!$P:$Q,2,0)</f>
        <v>Phổ Công</v>
      </c>
      <c r="D63" s="8">
        <v>4</v>
      </c>
      <c r="E63" s="2">
        <v>6.3E-3</v>
      </c>
      <c r="F63" s="3">
        <f t="shared" si="0"/>
        <v>4.2000000000000003E-2</v>
      </c>
      <c r="G63" s="4">
        <f t="shared" si="3"/>
        <v>4.2000000000000003E-2</v>
      </c>
      <c r="H63" s="1">
        <f t="shared" si="2"/>
        <v>420</v>
      </c>
      <c r="I63" s="1">
        <v>187</v>
      </c>
    </row>
    <row r="64" spans="1:9">
      <c r="A64" s="8">
        <v>400501</v>
      </c>
      <c r="B64" s="8" t="s">
        <v>81</v>
      </c>
      <c r="C64" s="5" t="str">
        <f>VLOOKUP(B64,[1]英雄技能!$P:$Q,2,0)</f>
        <v>Phổ Công</v>
      </c>
      <c r="D64" s="8">
        <v>4</v>
      </c>
      <c r="E64" s="2">
        <v>6.3E-3</v>
      </c>
      <c r="F64" s="3">
        <f t="shared" si="0"/>
        <v>4.2000000000000003E-2</v>
      </c>
      <c r="G64" s="4">
        <f t="shared" si="3"/>
        <v>4.2000000000000003E-2</v>
      </c>
      <c r="H64" s="1">
        <f t="shared" si="2"/>
        <v>420</v>
      </c>
      <c r="I64" s="1">
        <v>187</v>
      </c>
    </row>
    <row r="65" spans="1:9">
      <c r="A65" s="8">
        <v>400601</v>
      </c>
      <c r="B65" s="8" t="s">
        <v>123</v>
      </c>
      <c r="C65" s="5" t="str">
        <f>VLOOKUP(B65,[1]英雄技能!$P:$Q,2,0)</f>
        <v>Phổ Công</v>
      </c>
      <c r="D65" s="8">
        <v>5</v>
      </c>
      <c r="E65" s="2">
        <v>1.5399999999999999E-3</v>
      </c>
      <c r="F65" s="3">
        <f t="shared" si="0"/>
        <v>3.0800000000000001E-2</v>
      </c>
      <c r="G65" s="4">
        <f t="shared" si="3"/>
        <v>3.0800000000000001E-2</v>
      </c>
      <c r="H65" s="1">
        <f t="shared" si="2"/>
        <v>308</v>
      </c>
      <c r="I65" s="1">
        <v>40</v>
      </c>
    </row>
    <row r="66" spans="1:9">
      <c r="A66" s="8">
        <v>400701</v>
      </c>
      <c r="B66" s="8" t="s">
        <v>120</v>
      </c>
      <c r="C66" s="5" t="str">
        <f>VLOOKUP(B66,[1]英雄技能!$P:$Q,2,0)</f>
        <v>Phổ Công</v>
      </c>
      <c r="D66" s="8">
        <v>5</v>
      </c>
      <c r="E66" s="2">
        <v>1.8000000000000001E-4</v>
      </c>
      <c r="F66" s="3">
        <f t="shared" si="0"/>
        <v>3.5999999999999999E-3</v>
      </c>
      <c r="G66" s="4">
        <f t="shared" si="3"/>
        <v>3.5999999999999999E-3</v>
      </c>
      <c r="H66" s="1">
        <f t="shared" si="2"/>
        <v>36</v>
      </c>
      <c r="I66" s="1">
        <v>10</v>
      </c>
    </row>
    <row r="67" spans="1:9">
      <c r="A67" s="8">
        <v>400801</v>
      </c>
      <c r="B67" s="8" t="s">
        <v>127</v>
      </c>
      <c r="C67" s="5" t="str">
        <f>VLOOKUP(B67,[1]英雄技能!$P:$Q,2,0)</f>
        <v>Phổ Công</v>
      </c>
      <c r="D67" s="8">
        <v>5</v>
      </c>
      <c r="E67" s="2">
        <v>1.16E-3</v>
      </c>
      <c r="F67" s="3">
        <f t="shared" ref="F67:F84" si="4">IF(D67=3,E67/0.8,IF(D67=4,E67/0.15,E67/0.05))</f>
        <v>2.3199999999999998E-2</v>
      </c>
      <c r="G67" s="4">
        <f t="shared" si="3"/>
        <v>2.3199999999999998E-2</v>
      </c>
      <c r="H67" s="1">
        <f t="shared" ref="H67:H84" si="5">G67*10000</f>
        <v>232</v>
      </c>
      <c r="I67" s="1">
        <v>30</v>
      </c>
    </row>
    <row r="68" spans="1:9">
      <c r="A68" s="8">
        <v>400901</v>
      </c>
      <c r="B68" s="8" t="s">
        <v>125</v>
      </c>
      <c r="C68" s="5" t="str">
        <f>VLOOKUP(B68,[1]英雄技能!$P:$Q,2,0)</f>
        <v>Phổ Công</v>
      </c>
      <c r="D68" s="8">
        <v>5</v>
      </c>
      <c r="E68" s="2">
        <v>1.8000000000000001E-4</v>
      </c>
      <c r="F68" s="3">
        <f t="shared" si="4"/>
        <v>3.5999999999999999E-3</v>
      </c>
      <c r="G68" s="4">
        <f t="shared" si="3"/>
        <v>3.5999999999999999E-3</v>
      </c>
      <c r="H68" s="1">
        <f t="shared" si="5"/>
        <v>36</v>
      </c>
      <c r="I68" s="1">
        <v>10</v>
      </c>
    </row>
    <row r="69" spans="1:9">
      <c r="A69" s="8">
        <v>401001</v>
      </c>
      <c r="B69" s="8" t="s">
        <v>132</v>
      </c>
      <c r="C69" s="5" t="str">
        <f>VLOOKUP(B69,[1]英雄技能!$P:$Q,2,0)</f>
        <v>Phổ Công</v>
      </c>
      <c r="D69" s="8">
        <v>5</v>
      </c>
      <c r="E69" s="2">
        <v>1.5399999999999999E-3</v>
      </c>
      <c r="F69" s="3">
        <f t="shared" si="4"/>
        <v>3.0800000000000001E-2</v>
      </c>
      <c r="G69" s="4">
        <f t="shared" si="3"/>
        <v>3.0800000000000001E-2</v>
      </c>
      <c r="H69" s="1">
        <f t="shared" si="5"/>
        <v>308</v>
      </c>
      <c r="I69" s="1">
        <v>40</v>
      </c>
    </row>
    <row r="70" spans="1:9">
      <c r="A70" s="8">
        <v>401101</v>
      </c>
      <c r="B70" s="8" t="s">
        <v>251</v>
      </c>
      <c r="C70" s="5" t="str">
        <f>VLOOKUP(B70,[1]英雄技能!$P:$Q,2,0)</f>
        <v>Lôi Trạch Chi Thần</v>
      </c>
      <c r="D70" s="8">
        <v>5</v>
      </c>
      <c r="E70" s="2">
        <v>1.16E-3</v>
      </c>
      <c r="F70" s="3">
        <f t="shared" si="4"/>
        <v>2.3199999999999998E-2</v>
      </c>
      <c r="G70" s="4">
        <f t="shared" si="3"/>
        <v>2.3199999999999998E-2</v>
      </c>
      <c r="H70" s="1">
        <f t="shared" si="5"/>
        <v>232</v>
      </c>
      <c r="I70" s="1">
        <v>30</v>
      </c>
    </row>
    <row r="71" spans="1:9">
      <c r="A71" s="8">
        <v>401201</v>
      </c>
      <c r="B71" s="8" t="s">
        <v>121</v>
      </c>
      <c r="C71" s="5" t="str">
        <f>VLOOKUP(B71,[1]英雄技能!$P:$Q,2,0)</f>
        <v>Phổ Công</v>
      </c>
      <c r="D71" s="8">
        <v>5</v>
      </c>
      <c r="E71" s="2">
        <v>1.16E-3</v>
      </c>
      <c r="F71" s="3">
        <f t="shared" si="4"/>
        <v>2.3199999999999998E-2</v>
      </c>
      <c r="G71" s="4">
        <f t="shared" si="3"/>
        <v>2.3199999999999998E-2</v>
      </c>
      <c r="H71" s="1">
        <f t="shared" si="5"/>
        <v>232</v>
      </c>
      <c r="I71" s="1">
        <v>30</v>
      </c>
    </row>
    <row r="72" spans="1:9">
      <c r="A72" s="8">
        <v>401301</v>
      </c>
      <c r="B72" s="8" t="s">
        <v>122</v>
      </c>
      <c r="C72" s="5" t="str">
        <f>VLOOKUP(B72,[1]英雄技能!$P:$Q,2,0)</f>
        <v>Phổ Công</v>
      </c>
      <c r="D72" s="8">
        <v>5</v>
      </c>
      <c r="E72" s="2">
        <v>1.8000000000000001E-4</v>
      </c>
      <c r="F72" s="3">
        <f t="shared" si="4"/>
        <v>3.5999999999999999E-3</v>
      </c>
      <c r="G72" s="4">
        <f t="shared" si="3"/>
        <v>3.5999999999999999E-3</v>
      </c>
      <c r="H72" s="1">
        <f t="shared" si="5"/>
        <v>36</v>
      </c>
      <c r="I72" s="1">
        <v>40</v>
      </c>
    </row>
    <row r="73" spans="1:9">
      <c r="A73" s="9">
        <v>500101</v>
      </c>
      <c r="B73" s="9" t="s">
        <v>72</v>
      </c>
      <c r="C73" s="5" t="str">
        <f>VLOOKUP(B73,[1]英雄技能!$P:$Q,2,0)</f>
        <v>Phổ Công</v>
      </c>
      <c r="D73" s="9">
        <v>3</v>
      </c>
      <c r="E73" s="2">
        <v>4.7E-2</v>
      </c>
      <c r="F73" s="3">
        <f t="shared" si="4"/>
        <v>5.8749999999999997E-2</v>
      </c>
      <c r="G73" s="4">
        <f t="shared" si="3"/>
        <v>5.8799999999999998E-2</v>
      </c>
      <c r="H73" s="1">
        <f t="shared" si="5"/>
        <v>588</v>
      </c>
      <c r="I73" s="1">
        <v>1500</v>
      </c>
    </row>
    <row r="74" spans="1:9">
      <c r="A74" s="9">
        <v>500201</v>
      </c>
      <c r="B74" s="9" t="s">
        <v>252</v>
      </c>
      <c r="C74" s="5" t="str">
        <f>VLOOKUP(B74,[1]英雄技能!$P:$Q,2,0)</f>
        <v>Ngưu Đầu</v>
      </c>
      <c r="D74" s="9">
        <v>4</v>
      </c>
      <c r="E74" s="2">
        <v>6.3E-3</v>
      </c>
      <c r="F74" s="3">
        <f t="shared" si="4"/>
        <v>4.2000000000000003E-2</v>
      </c>
      <c r="G74" s="4">
        <f t="shared" si="3"/>
        <v>4.2000000000000003E-2</v>
      </c>
      <c r="H74" s="1">
        <f t="shared" si="5"/>
        <v>420</v>
      </c>
      <c r="I74" s="1">
        <v>187</v>
      </c>
    </row>
    <row r="75" spans="1:9">
      <c r="A75" s="9">
        <v>500301</v>
      </c>
      <c r="B75" s="9" t="s">
        <v>83</v>
      </c>
      <c r="C75" s="5" t="str">
        <f>VLOOKUP(B75,[1]英雄技能!$P:$Q,2,0)</f>
        <v>Phổ Công</v>
      </c>
      <c r="D75" s="9">
        <v>4</v>
      </c>
      <c r="E75" s="2">
        <v>6.3E-3</v>
      </c>
      <c r="F75" s="3">
        <f t="shared" si="4"/>
        <v>4.2000000000000003E-2</v>
      </c>
      <c r="G75" s="4">
        <f t="shared" si="3"/>
        <v>4.2000000000000003E-2</v>
      </c>
      <c r="H75" s="1">
        <f t="shared" si="5"/>
        <v>420</v>
      </c>
      <c r="I75" s="1">
        <v>187</v>
      </c>
    </row>
    <row r="76" spans="1:9">
      <c r="A76" s="9">
        <v>500401</v>
      </c>
      <c r="B76" s="9" t="s">
        <v>77</v>
      </c>
      <c r="C76" s="5" t="str">
        <f>VLOOKUP(B76,[1]英雄技能!$P:$Q,2,0)</f>
        <v>Phổ Công</v>
      </c>
      <c r="D76" s="9">
        <v>4</v>
      </c>
      <c r="E76" s="2">
        <v>6.3E-3</v>
      </c>
      <c r="F76" s="3">
        <f t="shared" si="4"/>
        <v>4.2000000000000003E-2</v>
      </c>
      <c r="G76" s="4">
        <f t="shared" si="3"/>
        <v>4.2000000000000003E-2</v>
      </c>
      <c r="H76" s="1">
        <f t="shared" si="5"/>
        <v>420</v>
      </c>
      <c r="I76" s="1">
        <v>187</v>
      </c>
    </row>
    <row r="77" spans="1:9">
      <c r="A77" s="9">
        <v>500501</v>
      </c>
      <c r="B77" s="9" t="s">
        <v>78</v>
      </c>
      <c r="C77" s="5" t="str">
        <f>VLOOKUP(B77,[1]英雄技能!$P:$Q,2,0)</f>
        <v>Phổ Công</v>
      </c>
      <c r="D77" s="9">
        <v>4</v>
      </c>
      <c r="E77" s="2">
        <v>6.3E-3</v>
      </c>
      <c r="F77" s="3">
        <f t="shared" si="4"/>
        <v>4.2000000000000003E-2</v>
      </c>
      <c r="G77" s="4">
        <f t="shared" si="3"/>
        <v>4.2000000000000003E-2</v>
      </c>
      <c r="H77" s="1">
        <f t="shared" si="5"/>
        <v>420</v>
      </c>
      <c r="I77" s="1">
        <v>187</v>
      </c>
    </row>
    <row r="78" spans="1:9">
      <c r="A78" s="9">
        <v>500601</v>
      </c>
      <c r="B78" s="9" t="s">
        <v>124</v>
      </c>
      <c r="C78" s="5" t="str">
        <f>VLOOKUP(B78,[1]英雄技能!$P:$Q,2,0)</f>
        <v>Phổ Công</v>
      </c>
      <c r="D78" s="9">
        <v>5</v>
      </c>
      <c r="E78" s="2">
        <v>1.16E-3</v>
      </c>
      <c r="F78" s="3">
        <f t="shared" si="4"/>
        <v>2.3199999999999998E-2</v>
      </c>
      <c r="G78" s="4">
        <f t="shared" si="3"/>
        <v>2.3199999999999998E-2</v>
      </c>
      <c r="H78" s="1">
        <f t="shared" si="5"/>
        <v>232</v>
      </c>
      <c r="I78" s="1">
        <v>30</v>
      </c>
    </row>
    <row r="79" spans="1:9">
      <c r="A79" s="9">
        <v>500701</v>
      </c>
      <c r="B79" s="9" t="s">
        <v>119</v>
      </c>
      <c r="C79" s="5" t="str">
        <f>VLOOKUP(B79,[1]英雄技能!$P:$Q,2,0)</f>
        <v>Phổ Công</v>
      </c>
      <c r="D79" s="9">
        <v>5</v>
      </c>
      <c r="E79" s="2">
        <v>1.8000000000000001E-4</v>
      </c>
      <c r="F79" s="3">
        <f t="shared" si="4"/>
        <v>3.5999999999999999E-3</v>
      </c>
      <c r="G79" s="4">
        <f t="shared" si="3"/>
        <v>3.5999999999999999E-3</v>
      </c>
      <c r="H79" s="1">
        <f t="shared" si="5"/>
        <v>36</v>
      </c>
      <c r="I79" s="1">
        <v>10</v>
      </c>
    </row>
    <row r="80" spans="1:9">
      <c r="A80" s="9">
        <v>500801</v>
      </c>
      <c r="B80" s="9" t="s">
        <v>131</v>
      </c>
      <c r="C80" s="5" t="str">
        <f>VLOOKUP(B80,[1]英雄技能!$P:$Q,2,0)</f>
        <v>Phổ Công</v>
      </c>
      <c r="D80" s="9">
        <v>5</v>
      </c>
      <c r="E80" s="2">
        <v>1.8000000000000001E-4</v>
      </c>
      <c r="F80" s="3">
        <f t="shared" si="4"/>
        <v>3.5999999999999999E-3</v>
      </c>
      <c r="G80" s="4">
        <f t="shared" si="3"/>
        <v>3.5999999999999999E-3</v>
      </c>
      <c r="H80" s="1">
        <f t="shared" si="5"/>
        <v>36</v>
      </c>
      <c r="I80" s="1">
        <v>10</v>
      </c>
    </row>
    <row r="81" spans="1:9">
      <c r="A81" s="9">
        <v>500901</v>
      </c>
      <c r="B81" s="9" t="s">
        <v>129</v>
      </c>
      <c r="C81" s="5" t="str">
        <f>VLOOKUP(B81,[1]英雄技能!$P:$Q,2,0)</f>
        <v>Phổ Công</v>
      </c>
      <c r="D81" s="9">
        <v>5</v>
      </c>
      <c r="E81" s="2">
        <v>1.8000000000000001E-4</v>
      </c>
      <c r="F81" s="3">
        <f t="shared" si="4"/>
        <v>3.5999999999999999E-3</v>
      </c>
      <c r="G81" s="4">
        <f t="shared" si="3"/>
        <v>3.5999999999999999E-3</v>
      </c>
      <c r="H81" s="1">
        <f t="shared" si="5"/>
        <v>36</v>
      </c>
      <c r="I81" s="1">
        <v>10</v>
      </c>
    </row>
    <row r="82" spans="1:9">
      <c r="A82" s="9">
        <v>501001</v>
      </c>
      <c r="B82" s="9" t="s">
        <v>128</v>
      </c>
      <c r="C82" s="5" t="str">
        <f>VLOOKUP(B82,[1]英雄技能!$P:$Q,2,0)</f>
        <v>Phổ Công</v>
      </c>
      <c r="D82" s="9">
        <v>5</v>
      </c>
      <c r="E82" s="2">
        <v>1.5399999999999999E-3</v>
      </c>
      <c r="F82" s="3">
        <f t="shared" si="4"/>
        <v>3.0800000000000001E-2</v>
      </c>
      <c r="G82" s="4">
        <f t="shared" si="3"/>
        <v>3.0800000000000001E-2</v>
      </c>
      <c r="H82" s="1">
        <f t="shared" si="5"/>
        <v>308</v>
      </c>
      <c r="I82" s="1">
        <v>40</v>
      </c>
    </row>
    <row r="83" spans="1:9">
      <c r="A83" s="9">
        <v>501101</v>
      </c>
      <c r="B83" s="9" t="s">
        <v>126</v>
      </c>
      <c r="C83" s="5" t="str">
        <f>VLOOKUP(B83,[1]英雄技能!$P:$Q,2,0)</f>
        <v>Phổ Công</v>
      </c>
      <c r="D83" s="9">
        <v>5</v>
      </c>
      <c r="E83" s="2">
        <v>1.5399999999999999E-3</v>
      </c>
      <c r="F83" s="3">
        <f t="shared" si="4"/>
        <v>3.0800000000000001E-2</v>
      </c>
      <c r="G83" s="4">
        <f t="shared" si="3"/>
        <v>3.0800000000000001E-2</v>
      </c>
      <c r="H83" s="1">
        <f t="shared" si="5"/>
        <v>308</v>
      </c>
      <c r="I83" s="1">
        <v>40</v>
      </c>
    </row>
    <row r="84" spans="1:9">
      <c r="A84" s="9">
        <v>501201</v>
      </c>
      <c r="B84" s="9" t="s">
        <v>118</v>
      </c>
      <c r="C84" s="5" t="str">
        <f>VLOOKUP(B84,[1]英雄技能!$P:$Q,2,0)</f>
        <v>Phổ Công</v>
      </c>
      <c r="D84" s="9">
        <v>5</v>
      </c>
      <c r="E84" s="2">
        <v>1.16E-3</v>
      </c>
      <c r="F84" s="3">
        <f t="shared" si="4"/>
        <v>2.3199999999999998E-2</v>
      </c>
      <c r="G84" s="4">
        <f t="shared" si="3"/>
        <v>2.3199999999999998E-2</v>
      </c>
      <c r="H84" s="1">
        <f t="shared" si="5"/>
        <v>232</v>
      </c>
      <c r="I84" s="1">
        <v>30</v>
      </c>
    </row>
    <row r="86" spans="1:9">
      <c r="E86" s="2">
        <f>SUM(E2:E84)</f>
        <v>0.95875999999999895</v>
      </c>
      <c r="I86" s="1">
        <f>SUM(I2:I84)</f>
        <v>30000</v>
      </c>
    </row>
  </sheetData>
  <autoFilter ref="A1:D84"/>
  <pageMargins left="0.7" right="0.7" top="0.75" bottom="0.75" header="0.3" footer="0.3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"/>
  <sheetViews>
    <sheetView workbookViewId="0">
      <selection activeCell="F17" sqref="F17"/>
    </sheetView>
  </sheetViews>
  <sheetFormatPr defaultColWidth="9" defaultRowHeight="15"/>
  <cols>
    <col min="1" max="1" width="10.5703125" style="1" customWidth="1"/>
    <col min="2" max="2" width="22.7109375" style="1" bestFit="1" customWidth="1"/>
    <col min="3" max="3" width="18.42578125" style="1" customWidth="1"/>
    <col min="4" max="4" width="10.85546875" style="1" customWidth="1"/>
    <col min="5" max="5" width="19" style="2" customWidth="1"/>
    <col min="6" max="6" width="13.85546875" style="3" customWidth="1"/>
    <col min="7" max="7" width="15" style="4" customWidth="1"/>
    <col min="8" max="8" width="13.42578125" style="1" customWidth="1"/>
    <col min="9" max="9" width="9" style="1"/>
  </cols>
  <sheetData>
    <row r="1" spans="1:9">
      <c r="A1" s="1" t="s">
        <v>43</v>
      </c>
      <c r="B1" s="1" t="s">
        <v>52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</row>
    <row r="2" spans="1:9">
      <c r="A2" s="5">
        <v>101401</v>
      </c>
      <c r="B2" s="5" t="s">
        <v>138</v>
      </c>
      <c r="C2" s="5" t="str">
        <f>VLOOKUP(B2,[1]英雄技能!$P:$Q,2,0)</f>
        <v>Đấu Đế</v>
      </c>
      <c r="D2" s="5">
        <v>5</v>
      </c>
      <c r="E2" s="2">
        <v>1.2999999999999999E-2</v>
      </c>
      <c r="F2" s="3">
        <f>E2</f>
        <v>1.2999999999999999E-2</v>
      </c>
      <c r="G2" s="4">
        <f t="shared" ref="G2:G30" si="0">ROUND(F2,4)</f>
        <v>1.2999999999999999E-2</v>
      </c>
      <c r="H2" s="1">
        <f t="shared" ref="H2:H31" si="1">G2*10000</f>
        <v>130</v>
      </c>
      <c r="I2" s="1">
        <v>140</v>
      </c>
    </row>
    <row r="3" spans="1:9">
      <c r="A3" s="5">
        <v>101501</v>
      </c>
      <c r="B3" s="5" t="s">
        <v>96</v>
      </c>
      <c r="C3" s="5" t="str">
        <f>VLOOKUP(B3,[1]英雄技能!$P:$Q,2,0)</f>
        <v>Phổ Công</v>
      </c>
      <c r="D3" s="5">
        <v>5</v>
      </c>
      <c r="E3" s="2">
        <v>6.5000000000000002E-2</v>
      </c>
      <c r="F3" s="3">
        <f t="shared" ref="F3:F44" si="2">E3</f>
        <v>6.5000000000000002E-2</v>
      </c>
      <c r="G3" s="4">
        <f t="shared" si="0"/>
        <v>6.5000000000000002E-2</v>
      </c>
      <c r="H3" s="1">
        <f t="shared" si="1"/>
        <v>650</v>
      </c>
      <c r="I3" s="1">
        <v>650</v>
      </c>
    </row>
    <row r="4" spans="1:9">
      <c r="A4" s="5">
        <v>101601</v>
      </c>
      <c r="B4" s="5" t="s">
        <v>95</v>
      </c>
      <c r="C4" s="5" t="str">
        <f>VLOOKUP(B4,[1]英雄技能!$P:$Q,2,0)</f>
        <v>Phổ Công</v>
      </c>
      <c r="D4" s="5">
        <v>5</v>
      </c>
      <c r="E4" s="2">
        <v>5.0000000000000001E-3</v>
      </c>
      <c r="F4" s="3">
        <f t="shared" si="2"/>
        <v>5.0000000000000001E-3</v>
      </c>
      <c r="G4" s="4">
        <f t="shared" si="0"/>
        <v>5.0000000000000001E-3</v>
      </c>
      <c r="H4" s="1">
        <f t="shared" si="1"/>
        <v>50</v>
      </c>
      <c r="I4" s="1">
        <v>50</v>
      </c>
    </row>
    <row r="5" spans="1:9">
      <c r="A5" s="5">
        <v>101701</v>
      </c>
      <c r="B5" s="103" t="s">
        <v>76</v>
      </c>
      <c r="C5" s="5" t="str">
        <f>VLOOKUP(B5,[1]英雄技能!$P:$Q,2,0)</f>
        <v>Phổ Công</v>
      </c>
      <c r="D5" s="5">
        <v>5</v>
      </c>
      <c r="E5" s="2">
        <v>5.0000000000000001E-3</v>
      </c>
      <c r="F5" s="3">
        <f t="shared" si="2"/>
        <v>5.0000000000000001E-3</v>
      </c>
      <c r="G5" s="4">
        <f t="shared" si="0"/>
        <v>5.0000000000000001E-3</v>
      </c>
      <c r="H5" s="1">
        <f t="shared" si="1"/>
        <v>50</v>
      </c>
      <c r="I5" s="1">
        <v>50</v>
      </c>
    </row>
    <row r="6" spans="1:9">
      <c r="A6" s="5">
        <v>101801</v>
      </c>
      <c r="B6" s="5" t="s">
        <v>97</v>
      </c>
      <c r="C6" s="5" t="str">
        <f>VLOOKUP(B6,[1]英雄技能!$P:$Q,2,0)</f>
        <v>Phổ Công</v>
      </c>
      <c r="D6" s="5">
        <v>5</v>
      </c>
      <c r="E6" s="2">
        <v>1.2999999999999999E-2</v>
      </c>
      <c r="F6" s="3">
        <f t="shared" si="2"/>
        <v>1.2999999999999999E-2</v>
      </c>
      <c r="G6" s="4">
        <f t="shared" si="0"/>
        <v>1.2999999999999999E-2</v>
      </c>
      <c r="H6" s="1">
        <f t="shared" si="1"/>
        <v>130</v>
      </c>
      <c r="I6" s="1">
        <v>140</v>
      </c>
    </row>
    <row r="7" spans="1:9">
      <c r="A7" s="5">
        <v>101901</v>
      </c>
      <c r="B7" s="5" t="s">
        <v>91</v>
      </c>
      <c r="C7" s="5" t="str">
        <f>VLOOKUP(B7,[1]英雄技能!$P:$Q,2,0)</f>
        <v>Phổ Công</v>
      </c>
      <c r="D7" s="5">
        <v>5</v>
      </c>
      <c r="E7" s="2">
        <v>5.0000000000000001E-3</v>
      </c>
      <c r="F7" s="3">
        <f t="shared" si="2"/>
        <v>5.0000000000000001E-3</v>
      </c>
      <c r="G7" s="4">
        <f t="shared" si="0"/>
        <v>5.0000000000000001E-3</v>
      </c>
      <c r="H7" s="1">
        <f t="shared" si="1"/>
        <v>50</v>
      </c>
      <c r="I7" s="1">
        <v>50</v>
      </c>
    </row>
    <row r="8" spans="1:9">
      <c r="A8" s="5">
        <v>102001</v>
      </c>
      <c r="B8" s="5" t="s">
        <v>93</v>
      </c>
      <c r="C8" s="5" t="str">
        <f>VLOOKUP(B8,[1]英雄技能!$P:$Q,2,0)</f>
        <v>Phổ Công</v>
      </c>
      <c r="D8" s="5">
        <v>5</v>
      </c>
      <c r="E8" s="2">
        <v>5.0000000000000001E-3</v>
      </c>
      <c r="F8" s="3">
        <f t="shared" si="2"/>
        <v>5.0000000000000001E-3</v>
      </c>
      <c r="G8" s="4">
        <f t="shared" si="0"/>
        <v>5.0000000000000001E-3</v>
      </c>
      <c r="H8" s="1">
        <f t="shared" si="1"/>
        <v>50</v>
      </c>
      <c r="I8" s="1">
        <v>50</v>
      </c>
    </row>
    <row r="9" spans="1:9">
      <c r="A9" s="5">
        <v>102101</v>
      </c>
      <c r="B9" s="5" t="s">
        <v>94</v>
      </c>
      <c r="C9" s="5" t="str">
        <f>VLOOKUP(B9,[1]英雄技能!$P:$Q,2,0)</f>
        <v>Phổ Công</v>
      </c>
      <c r="D9" s="5">
        <v>5</v>
      </c>
      <c r="E9" s="2">
        <v>1.2999999999999999E-2</v>
      </c>
      <c r="F9" s="3">
        <f t="shared" si="2"/>
        <v>1.2999999999999999E-2</v>
      </c>
      <c r="G9" s="4">
        <f t="shared" si="0"/>
        <v>1.2999999999999999E-2</v>
      </c>
      <c r="H9" s="1">
        <f t="shared" si="1"/>
        <v>130</v>
      </c>
      <c r="I9" s="1">
        <v>140</v>
      </c>
    </row>
    <row r="10" spans="1:9">
      <c r="A10" s="5">
        <v>102201</v>
      </c>
      <c r="B10" s="5" t="s">
        <v>90</v>
      </c>
      <c r="C10" s="5" t="str">
        <f>VLOOKUP(B10,[1]英雄技能!$P:$Q,2,0)</f>
        <v>Phổ Công</v>
      </c>
      <c r="D10" s="5">
        <v>5</v>
      </c>
      <c r="E10" s="2">
        <v>6.5000000000000002E-2</v>
      </c>
      <c r="F10" s="3">
        <f t="shared" si="2"/>
        <v>6.5000000000000002E-2</v>
      </c>
      <c r="G10" s="4">
        <f t="shared" si="0"/>
        <v>6.5000000000000002E-2</v>
      </c>
      <c r="H10" s="1">
        <f t="shared" si="1"/>
        <v>650</v>
      </c>
      <c r="I10" s="1">
        <v>650</v>
      </c>
    </row>
    <row r="11" spans="1:9">
      <c r="A11" s="6">
        <v>201401</v>
      </c>
      <c r="B11" s="6" t="s">
        <v>115</v>
      </c>
      <c r="C11" s="5" t="str">
        <f>VLOOKUP(B11,[1]英雄技能!$P:$Q,2,0)</f>
        <v>Phổ Công</v>
      </c>
      <c r="D11" s="6">
        <v>5</v>
      </c>
      <c r="E11" s="2">
        <v>6.5000000000000002E-2</v>
      </c>
      <c r="F11" s="3">
        <f t="shared" si="2"/>
        <v>6.5000000000000002E-2</v>
      </c>
      <c r="G11" s="4">
        <f t="shared" si="0"/>
        <v>6.5000000000000002E-2</v>
      </c>
      <c r="H11" s="1">
        <f t="shared" si="1"/>
        <v>650</v>
      </c>
      <c r="I11" s="1">
        <v>650</v>
      </c>
    </row>
    <row r="12" spans="1:9">
      <c r="A12" s="6">
        <v>201501</v>
      </c>
      <c r="B12" s="6" t="s">
        <v>108</v>
      </c>
      <c r="C12" s="5" t="str">
        <f>VLOOKUP(B12,[1]英雄技能!$P:$Q,2,0)</f>
        <v>Phổ Công</v>
      </c>
      <c r="D12" s="6">
        <v>5</v>
      </c>
      <c r="E12" s="2">
        <v>5.0000000000000001E-3</v>
      </c>
      <c r="F12" s="3">
        <f t="shared" si="2"/>
        <v>5.0000000000000001E-3</v>
      </c>
      <c r="G12" s="4">
        <f t="shared" si="0"/>
        <v>5.0000000000000001E-3</v>
      </c>
      <c r="H12" s="1">
        <f t="shared" si="1"/>
        <v>50</v>
      </c>
      <c r="I12" s="1">
        <v>50</v>
      </c>
    </row>
    <row r="13" spans="1:9">
      <c r="A13" s="6">
        <v>201601</v>
      </c>
      <c r="B13" s="6" t="s">
        <v>238</v>
      </c>
      <c r="C13" s="5" t="e">
        <f>VLOOKUP(B13,[1]英雄技能!$P:$Q,2,0)</f>
        <v>#N/A</v>
      </c>
      <c r="D13" s="6">
        <v>5</v>
      </c>
      <c r="E13" s="2">
        <v>1.2999999999999999E-2</v>
      </c>
      <c r="F13" s="3">
        <f t="shared" si="2"/>
        <v>1.2999999999999999E-2</v>
      </c>
      <c r="G13" s="4">
        <f t="shared" si="0"/>
        <v>1.2999999999999999E-2</v>
      </c>
      <c r="H13" s="1">
        <f t="shared" si="1"/>
        <v>130</v>
      </c>
      <c r="I13" s="1">
        <v>140</v>
      </c>
    </row>
    <row r="14" spans="1:9">
      <c r="A14" s="6">
        <v>201701</v>
      </c>
      <c r="B14" s="6" t="s">
        <v>239</v>
      </c>
      <c r="C14" s="5" t="e">
        <f>VLOOKUP(B14,[1]英雄技能!$P:$Q,2,0)</f>
        <v>#N/A</v>
      </c>
      <c r="D14" s="6">
        <v>5</v>
      </c>
      <c r="E14" s="2">
        <v>6.5000000000000002E-2</v>
      </c>
      <c r="F14" s="3">
        <f t="shared" si="2"/>
        <v>6.5000000000000002E-2</v>
      </c>
      <c r="G14" s="4">
        <f t="shared" si="0"/>
        <v>6.5000000000000002E-2</v>
      </c>
      <c r="H14" s="1">
        <f t="shared" si="1"/>
        <v>650</v>
      </c>
      <c r="I14" s="1">
        <v>650</v>
      </c>
    </row>
    <row r="15" spans="1:9">
      <c r="A15" s="6">
        <v>201801</v>
      </c>
      <c r="B15" s="6" t="s">
        <v>113</v>
      </c>
      <c r="C15" s="5" t="str">
        <f>VLOOKUP(B15,[1]英雄技能!$P:$Q,2,0)</f>
        <v>Đấu Chiến Thắng Phật</v>
      </c>
      <c r="D15" s="6">
        <v>5</v>
      </c>
      <c r="E15" s="2">
        <v>5.0000000000000001E-3</v>
      </c>
      <c r="F15" s="3">
        <f t="shared" si="2"/>
        <v>5.0000000000000001E-3</v>
      </c>
      <c r="G15" s="4">
        <f t="shared" si="0"/>
        <v>5.0000000000000001E-3</v>
      </c>
      <c r="H15" s="1">
        <f t="shared" si="1"/>
        <v>50</v>
      </c>
      <c r="I15" s="1">
        <v>50</v>
      </c>
    </row>
    <row r="16" spans="1:9">
      <c r="A16" s="6">
        <v>201901</v>
      </c>
      <c r="B16" s="6" t="s">
        <v>240</v>
      </c>
      <c r="C16" s="5" t="str">
        <f>VLOOKUP(B16,[1]英雄技能!$P:$Q,2,0)</f>
        <v>Cửu Phượng</v>
      </c>
      <c r="D16" s="6">
        <v>5</v>
      </c>
      <c r="E16" s="2">
        <v>5.0000000000000001E-3</v>
      </c>
      <c r="F16" s="3">
        <f t="shared" si="2"/>
        <v>5.0000000000000001E-3</v>
      </c>
      <c r="G16" s="4">
        <f t="shared" si="0"/>
        <v>5.0000000000000001E-3</v>
      </c>
      <c r="H16" s="1">
        <f t="shared" si="1"/>
        <v>50</v>
      </c>
      <c r="I16" s="1">
        <v>50</v>
      </c>
    </row>
    <row r="17" spans="1:9">
      <c r="A17" s="6">
        <v>202001</v>
      </c>
      <c r="B17" s="6" t="s">
        <v>241</v>
      </c>
      <c r="C17" s="5" t="e">
        <f>VLOOKUP(B17,[1]英雄技能!$P:$Q,2,0)</f>
        <v>#N/A</v>
      </c>
      <c r="D17" s="6">
        <v>5</v>
      </c>
      <c r="E17" s="2">
        <v>1.2999999999999999E-2</v>
      </c>
      <c r="F17" s="3">
        <f t="shared" si="2"/>
        <v>1.2999999999999999E-2</v>
      </c>
      <c r="G17" s="4">
        <f t="shared" si="0"/>
        <v>1.2999999999999999E-2</v>
      </c>
      <c r="H17" s="1">
        <f t="shared" si="1"/>
        <v>130</v>
      </c>
      <c r="I17" s="1">
        <v>140</v>
      </c>
    </row>
    <row r="18" spans="1:9">
      <c r="A18" s="6">
        <v>202101</v>
      </c>
      <c r="B18" s="6" t="s">
        <v>111</v>
      </c>
      <c r="C18" s="5" t="str">
        <f>VLOOKUP(B18,[1]英雄技能!$P:$Q,2,0)</f>
        <v>Phổ Công</v>
      </c>
      <c r="D18" s="6">
        <v>5</v>
      </c>
      <c r="E18" s="2">
        <v>1.2999999999999999E-2</v>
      </c>
      <c r="F18" s="3">
        <f t="shared" si="2"/>
        <v>1.2999999999999999E-2</v>
      </c>
      <c r="G18" s="4">
        <f t="shared" si="0"/>
        <v>1.2999999999999999E-2</v>
      </c>
      <c r="H18" s="1">
        <f t="shared" si="1"/>
        <v>130</v>
      </c>
      <c r="I18" s="1">
        <v>140</v>
      </c>
    </row>
    <row r="19" spans="1:9">
      <c r="A19" s="6">
        <v>202201</v>
      </c>
      <c r="B19" s="6" t="s">
        <v>112</v>
      </c>
      <c r="C19" s="5" t="str">
        <f>VLOOKUP(B19,[1]英雄技能!$P:$Q,2,0)</f>
        <v>Phổ Công</v>
      </c>
      <c r="D19" s="6">
        <v>5</v>
      </c>
      <c r="E19" s="2">
        <v>6.5000000000000002E-2</v>
      </c>
      <c r="F19" s="3">
        <f t="shared" si="2"/>
        <v>6.5000000000000002E-2</v>
      </c>
      <c r="G19" s="4">
        <f t="shared" si="0"/>
        <v>6.5000000000000002E-2</v>
      </c>
      <c r="H19" s="1">
        <f t="shared" si="1"/>
        <v>650</v>
      </c>
      <c r="I19" s="1">
        <v>650</v>
      </c>
    </row>
    <row r="20" spans="1:9">
      <c r="A20" s="6">
        <v>202301</v>
      </c>
      <c r="B20" s="6" t="s">
        <v>130</v>
      </c>
      <c r="C20" s="5" t="str">
        <f>VLOOKUP(B20,[1]英雄技能!$P:$Q,2,0)</f>
        <v>Phổ Công</v>
      </c>
      <c r="D20" s="6">
        <v>5</v>
      </c>
      <c r="E20" s="2">
        <v>5.0000000000000001E-3</v>
      </c>
      <c r="F20" s="3">
        <f t="shared" si="2"/>
        <v>5.0000000000000001E-3</v>
      </c>
      <c r="G20" s="4">
        <f t="shared" si="0"/>
        <v>5.0000000000000001E-3</v>
      </c>
      <c r="H20" s="1">
        <f t="shared" si="1"/>
        <v>50</v>
      </c>
      <c r="I20" s="1">
        <v>50</v>
      </c>
    </row>
    <row r="21" spans="1:9">
      <c r="A21" s="7">
        <v>301401</v>
      </c>
      <c r="B21" s="7" t="s">
        <v>100</v>
      </c>
      <c r="C21" s="5" t="str">
        <f>VLOOKUP(B21,[1]英雄技能!$P:$Q,2,0)</f>
        <v>Phổ Công</v>
      </c>
      <c r="D21" s="7">
        <v>5</v>
      </c>
      <c r="E21" s="2">
        <v>1.2999999999999999E-2</v>
      </c>
      <c r="F21" s="3">
        <f t="shared" si="2"/>
        <v>1.2999999999999999E-2</v>
      </c>
      <c r="G21" s="4">
        <f t="shared" si="0"/>
        <v>1.2999999999999999E-2</v>
      </c>
      <c r="H21" s="1">
        <f t="shared" si="1"/>
        <v>130</v>
      </c>
      <c r="I21" s="1">
        <v>140</v>
      </c>
    </row>
    <row r="22" spans="1:9">
      <c r="A22" s="7">
        <v>301501</v>
      </c>
      <c r="B22" s="7" t="s">
        <v>125</v>
      </c>
      <c r="C22" s="5" t="str">
        <f>VLOOKUP(B22,[1]英雄技能!$P:$Q,2,0)</f>
        <v>Phổ Công</v>
      </c>
      <c r="D22" s="7">
        <v>5</v>
      </c>
      <c r="E22" s="2">
        <v>5.0000000000000001E-3</v>
      </c>
      <c r="F22" s="3">
        <f t="shared" si="2"/>
        <v>5.0000000000000001E-3</v>
      </c>
      <c r="G22" s="4">
        <f t="shared" si="0"/>
        <v>5.0000000000000001E-3</v>
      </c>
      <c r="H22" s="1">
        <f t="shared" si="1"/>
        <v>50</v>
      </c>
      <c r="I22" s="1">
        <v>50</v>
      </c>
    </row>
    <row r="23" spans="1:9">
      <c r="A23" s="7">
        <v>301601</v>
      </c>
      <c r="B23" s="7" t="s">
        <v>101</v>
      </c>
      <c r="C23" s="5" t="str">
        <f>VLOOKUP(B23,[1]英雄技能!$P:$Q,2,0)</f>
        <v>Phổ Công</v>
      </c>
      <c r="D23" s="7">
        <v>5</v>
      </c>
      <c r="E23" s="2">
        <v>5.0000000000000001E-3</v>
      </c>
      <c r="F23" s="3">
        <f t="shared" si="2"/>
        <v>5.0000000000000001E-3</v>
      </c>
      <c r="G23" s="4">
        <f t="shared" si="0"/>
        <v>5.0000000000000001E-3</v>
      </c>
      <c r="H23" s="1">
        <f t="shared" si="1"/>
        <v>50</v>
      </c>
      <c r="I23" s="1">
        <v>50</v>
      </c>
    </row>
    <row r="24" spans="1:9">
      <c r="A24" s="7">
        <v>301701</v>
      </c>
      <c r="B24" s="7" t="s">
        <v>99</v>
      </c>
      <c r="C24" s="5" t="str">
        <f>VLOOKUP(B24,[1]英雄技能!$P:$Q,2,0)</f>
        <v>Phổ Công</v>
      </c>
      <c r="D24" s="7">
        <v>5</v>
      </c>
      <c r="E24" s="2">
        <v>1.2999999999999999E-2</v>
      </c>
      <c r="F24" s="3">
        <f t="shared" si="2"/>
        <v>1.2999999999999999E-2</v>
      </c>
      <c r="G24" s="4">
        <f t="shared" si="0"/>
        <v>1.2999999999999999E-2</v>
      </c>
      <c r="H24" s="1">
        <f t="shared" si="1"/>
        <v>130</v>
      </c>
      <c r="I24" s="1">
        <v>140</v>
      </c>
    </row>
    <row r="25" spans="1:9">
      <c r="A25" s="7">
        <v>301801</v>
      </c>
      <c r="B25" s="7" t="s">
        <v>102</v>
      </c>
      <c r="C25" s="5" t="str">
        <f>VLOOKUP(B25,[1]英雄技能!$P:$Q,2,0)</f>
        <v>Phổ Công</v>
      </c>
      <c r="D25" s="7">
        <v>5</v>
      </c>
      <c r="E25" s="2">
        <v>6.5000000000000002E-2</v>
      </c>
      <c r="F25" s="3">
        <f t="shared" si="2"/>
        <v>6.5000000000000002E-2</v>
      </c>
      <c r="G25" s="4">
        <f t="shared" si="0"/>
        <v>6.5000000000000002E-2</v>
      </c>
      <c r="H25" s="1">
        <f t="shared" si="1"/>
        <v>650</v>
      </c>
      <c r="I25" s="1">
        <v>650</v>
      </c>
    </row>
    <row r="26" spans="1:9">
      <c r="A26" s="7">
        <v>301901</v>
      </c>
      <c r="B26" s="7" t="s">
        <v>248</v>
      </c>
      <c r="C26" s="5" t="e">
        <f>VLOOKUP(B26,[1]英雄技能!$P:$Q,2,0)</f>
        <v>#N/A</v>
      </c>
      <c r="D26" s="7">
        <v>5</v>
      </c>
      <c r="E26" s="2">
        <v>6.5000000000000002E-2</v>
      </c>
      <c r="F26" s="3">
        <f t="shared" si="2"/>
        <v>6.5000000000000002E-2</v>
      </c>
      <c r="G26" s="4">
        <f t="shared" si="0"/>
        <v>6.5000000000000002E-2</v>
      </c>
      <c r="H26" s="1">
        <f t="shared" si="1"/>
        <v>650</v>
      </c>
      <c r="I26" s="1">
        <v>650</v>
      </c>
    </row>
    <row r="27" spans="1:9">
      <c r="A27" s="7">
        <v>302001</v>
      </c>
      <c r="B27" s="7" t="s">
        <v>105</v>
      </c>
      <c r="C27" s="5" t="str">
        <f>VLOOKUP(B27,[1]英雄技能!$P:$Q,2,0)</f>
        <v>Phổ Công</v>
      </c>
      <c r="D27" s="7">
        <v>5</v>
      </c>
      <c r="E27" s="2">
        <v>5.0000000000000001E-3</v>
      </c>
      <c r="F27" s="3">
        <f t="shared" si="2"/>
        <v>5.0000000000000001E-3</v>
      </c>
      <c r="G27" s="4">
        <f t="shared" si="0"/>
        <v>5.0000000000000001E-3</v>
      </c>
      <c r="H27" s="1">
        <f t="shared" si="1"/>
        <v>50</v>
      </c>
      <c r="I27" s="1">
        <v>50</v>
      </c>
    </row>
    <row r="28" spans="1:9">
      <c r="A28" s="7">
        <v>302101</v>
      </c>
      <c r="B28" s="7" t="s">
        <v>104</v>
      </c>
      <c r="C28" s="5" t="str">
        <f>VLOOKUP(B28,[1]英雄技能!$P:$Q,2,0)</f>
        <v>Phổ Công</v>
      </c>
      <c r="D28" s="7">
        <v>5</v>
      </c>
      <c r="E28" s="2">
        <v>1.2999999999999999E-2</v>
      </c>
      <c r="F28" s="3">
        <f t="shared" si="2"/>
        <v>1.2999999999999999E-2</v>
      </c>
      <c r="G28" s="4">
        <f t="shared" si="0"/>
        <v>1.2999999999999999E-2</v>
      </c>
      <c r="H28" s="1">
        <f t="shared" si="1"/>
        <v>130</v>
      </c>
      <c r="I28" s="1">
        <v>140</v>
      </c>
    </row>
    <row r="29" spans="1:9">
      <c r="A29" s="7">
        <v>302201</v>
      </c>
      <c r="B29" s="7" t="s">
        <v>106</v>
      </c>
      <c r="C29" s="5" t="str">
        <f>VLOOKUP(B29,[1]英雄技能!$P:$Q,2,0)</f>
        <v>Phổ Công</v>
      </c>
      <c r="D29" s="7">
        <v>5</v>
      </c>
      <c r="E29" s="2">
        <v>1.2999999999999999E-2</v>
      </c>
      <c r="F29" s="3">
        <f t="shared" si="2"/>
        <v>1.2999999999999999E-2</v>
      </c>
      <c r="G29" s="4">
        <f t="shared" si="0"/>
        <v>1.2999999999999999E-2</v>
      </c>
      <c r="H29" s="1">
        <f t="shared" si="1"/>
        <v>130</v>
      </c>
      <c r="I29" s="1">
        <v>140</v>
      </c>
    </row>
    <row r="30" spans="1:9">
      <c r="A30" s="8">
        <v>400601</v>
      </c>
      <c r="B30" s="8" t="s">
        <v>123</v>
      </c>
      <c r="C30" s="5" t="str">
        <f>VLOOKUP(B30,[1]英雄技能!$P:$Q,2,0)</f>
        <v>Phổ Công</v>
      </c>
      <c r="D30" s="8">
        <v>5</v>
      </c>
      <c r="E30" s="2">
        <v>6.3740000000000005E-2</v>
      </c>
      <c r="F30" s="3">
        <f t="shared" si="2"/>
        <v>6.3740000000000005E-2</v>
      </c>
      <c r="G30" s="4">
        <f t="shared" si="0"/>
        <v>6.3700000000000007E-2</v>
      </c>
      <c r="H30" s="1">
        <f t="shared" si="1"/>
        <v>637</v>
      </c>
      <c r="I30" s="1">
        <v>650</v>
      </c>
    </row>
    <row r="31" spans="1:9">
      <c r="A31" s="8">
        <v>400701</v>
      </c>
      <c r="B31" s="8" t="s">
        <v>120</v>
      </c>
      <c r="C31" s="5" t="str">
        <f>VLOOKUP(B31,[1]英雄技能!$P:$Q,2,0)</f>
        <v>Phổ Công</v>
      </c>
      <c r="D31" s="8">
        <v>5</v>
      </c>
      <c r="E31" s="2">
        <v>4.3800000000000002E-3</v>
      </c>
      <c r="F31" s="3">
        <f t="shared" si="2"/>
        <v>4.3800000000000002E-3</v>
      </c>
      <c r="G31" s="4">
        <f t="shared" ref="G31:G44" si="3">ROUND(F31,4)</f>
        <v>4.4000000000000003E-3</v>
      </c>
      <c r="H31" s="1">
        <f t="shared" si="1"/>
        <v>44</v>
      </c>
      <c r="I31" s="1">
        <v>50</v>
      </c>
    </row>
    <row r="32" spans="1:9">
      <c r="A32" s="8">
        <v>400801</v>
      </c>
      <c r="B32" s="8" t="s">
        <v>127</v>
      </c>
      <c r="C32" s="5" t="str">
        <f>VLOOKUP(B32,[1]英雄技能!$P:$Q,2,0)</f>
        <v>Phổ Công</v>
      </c>
      <c r="D32" s="8">
        <v>5</v>
      </c>
      <c r="E32" s="2">
        <v>1.2E-2</v>
      </c>
      <c r="F32" s="3">
        <f t="shared" si="2"/>
        <v>1.2E-2</v>
      </c>
      <c r="G32" s="4">
        <f t="shared" si="3"/>
        <v>1.2E-2</v>
      </c>
      <c r="H32" s="1">
        <f t="shared" ref="H32:H44" si="4">G32*10000</f>
        <v>120</v>
      </c>
      <c r="I32" s="1">
        <v>120</v>
      </c>
    </row>
    <row r="33" spans="1:9">
      <c r="A33" s="8">
        <v>400901</v>
      </c>
      <c r="B33" s="8" t="s">
        <v>125</v>
      </c>
      <c r="C33" s="5" t="str">
        <f>VLOOKUP(B33,[1]英雄技能!$P:$Q,2,0)</f>
        <v>Phổ Công</v>
      </c>
      <c r="D33" s="8">
        <v>5</v>
      </c>
      <c r="E33" s="2">
        <v>4.3800000000000002E-3</v>
      </c>
      <c r="F33" s="3">
        <f t="shared" si="2"/>
        <v>4.3800000000000002E-3</v>
      </c>
      <c r="G33" s="4">
        <f t="shared" si="3"/>
        <v>4.4000000000000003E-3</v>
      </c>
      <c r="H33" s="1">
        <f t="shared" si="4"/>
        <v>44</v>
      </c>
      <c r="I33" s="1">
        <v>50</v>
      </c>
    </row>
    <row r="34" spans="1:9">
      <c r="A34" s="8">
        <v>401001</v>
      </c>
      <c r="B34" s="8" t="s">
        <v>132</v>
      </c>
      <c r="C34" s="5" t="str">
        <f>VLOOKUP(B34,[1]英雄技能!$P:$Q,2,0)</f>
        <v>Phổ Công</v>
      </c>
      <c r="D34" s="8">
        <v>5</v>
      </c>
      <c r="E34" s="2">
        <v>6.3740000000000005E-2</v>
      </c>
      <c r="F34" s="3">
        <f t="shared" si="2"/>
        <v>6.3740000000000005E-2</v>
      </c>
      <c r="G34" s="4">
        <f t="shared" si="3"/>
        <v>6.3700000000000007E-2</v>
      </c>
      <c r="H34" s="1">
        <f t="shared" si="4"/>
        <v>637</v>
      </c>
      <c r="I34" s="1">
        <v>650</v>
      </c>
    </row>
    <row r="35" spans="1:9">
      <c r="A35" s="8">
        <v>401101</v>
      </c>
      <c r="B35" s="8" t="s">
        <v>251</v>
      </c>
      <c r="C35" s="5" t="str">
        <f>VLOOKUP(B35,[1]英雄技能!$P:$Q,2,0)</f>
        <v>Lôi Trạch Chi Thần</v>
      </c>
      <c r="D35" s="8">
        <v>5</v>
      </c>
      <c r="E35" s="2">
        <v>1.2E-2</v>
      </c>
      <c r="F35" s="3">
        <f t="shared" si="2"/>
        <v>1.2E-2</v>
      </c>
      <c r="G35" s="4">
        <f t="shared" si="3"/>
        <v>1.2E-2</v>
      </c>
      <c r="H35" s="1">
        <f t="shared" si="4"/>
        <v>120</v>
      </c>
      <c r="I35" s="1">
        <v>120</v>
      </c>
    </row>
    <row r="36" spans="1:9">
      <c r="A36" s="8">
        <v>401201</v>
      </c>
      <c r="B36" s="8" t="s">
        <v>121</v>
      </c>
      <c r="C36" s="5" t="str">
        <f>VLOOKUP(B36,[1]英雄技能!$P:$Q,2,0)</f>
        <v>Phổ Công</v>
      </c>
      <c r="D36" s="8">
        <v>5</v>
      </c>
      <c r="E36" s="2">
        <v>1.2E-2</v>
      </c>
      <c r="F36" s="3">
        <f t="shared" si="2"/>
        <v>1.2E-2</v>
      </c>
      <c r="G36" s="4">
        <f t="shared" si="3"/>
        <v>1.2E-2</v>
      </c>
      <c r="H36" s="1">
        <f t="shared" si="4"/>
        <v>120</v>
      </c>
      <c r="I36" s="1">
        <v>120</v>
      </c>
    </row>
    <row r="37" spans="1:9">
      <c r="A37" s="8">
        <v>401301</v>
      </c>
      <c r="B37" s="8" t="s">
        <v>122</v>
      </c>
      <c r="C37" s="5" t="str">
        <f>VLOOKUP(B37,[1]英雄技能!$P:$Q,2,0)</f>
        <v>Phổ Công</v>
      </c>
      <c r="D37" s="8">
        <v>5</v>
      </c>
      <c r="E37" s="2">
        <v>4.3800000000000002E-3</v>
      </c>
      <c r="F37" s="3">
        <f t="shared" si="2"/>
        <v>4.3800000000000002E-3</v>
      </c>
      <c r="G37" s="4">
        <f t="shared" si="3"/>
        <v>4.4000000000000003E-3</v>
      </c>
      <c r="H37" s="1">
        <f t="shared" si="4"/>
        <v>44</v>
      </c>
      <c r="I37" s="1">
        <v>50</v>
      </c>
    </row>
    <row r="38" spans="1:9">
      <c r="A38" s="9">
        <v>500601</v>
      </c>
      <c r="B38" s="9" t="s">
        <v>124</v>
      </c>
      <c r="C38" s="5" t="str">
        <f>VLOOKUP(B38,[1]英雄技能!$P:$Q,2,0)</f>
        <v>Phổ Công</v>
      </c>
      <c r="D38" s="9">
        <v>5</v>
      </c>
      <c r="E38" s="2">
        <v>1.2E-2</v>
      </c>
      <c r="F38" s="3">
        <f t="shared" si="2"/>
        <v>1.2E-2</v>
      </c>
      <c r="G38" s="4">
        <f t="shared" si="3"/>
        <v>1.2E-2</v>
      </c>
      <c r="H38" s="1">
        <f t="shared" si="4"/>
        <v>120</v>
      </c>
      <c r="I38" s="1">
        <v>120</v>
      </c>
    </row>
    <row r="39" spans="1:9">
      <c r="A39" s="9">
        <v>500701</v>
      </c>
      <c r="B39" s="9" t="s">
        <v>119</v>
      </c>
      <c r="C39" s="5" t="str">
        <f>VLOOKUP(B39,[1]英雄技能!$P:$Q,2,0)</f>
        <v>Phổ Công</v>
      </c>
      <c r="D39" s="9">
        <v>5</v>
      </c>
      <c r="E39" s="2">
        <v>4.3800000000000002E-3</v>
      </c>
      <c r="F39" s="3">
        <f t="shared" si="2"/>
        <v>4.3800000000000002E-3</v>
      </c>
      <c r="G39" s="4">
        <f t="shared" si="3"/>
        <v>4.4000000000000003E-3</v>
      </c>
      <c r="H39" s="1">
        <f t="shared" si="4"/>
        <v>44</v>
      </c>
      <c r="I39" s="1">
        <v>50</v>
      </c>
    </row>
    <row r="40" spans="1:9">
      <c r="A40" s="9">
        <v>500801</v>
      </c>
      <c r="B40" s="9" t="s">
        <v>131</v>
      </c>
      <c r="C40" s="5" t="str">
        <f>VLOOKUP(B40,[1]英雄技能!$P:$Q,2,0)</f>
        <v>Phổ Công</v>
      </c>
      <c r="D40" s="9">
        <v>5</v>
      </c>
      <c r="E40" s="2">
        <v>4.3800000000000002E-3</v>
      </c>
      <c r="F40" s="3">
        <f t="shared" si="2"/>
        <v>4.3800000000000002E-3</v>
      </c>
      <c r="G40" s="4">
        <f t="shared" si="3"/>
        <v>4.4000000000000003E-3</v>
      </c>
      <c r="H40" s="1">
        <f t="shared" si="4"/>
        <v>44</v>
      </c>
      <c r="I40" s="1">
        <v>50</v>
      </c>
    </row>
    <row r="41" spans="1:9">
      <c r="A41" s="9">
        <v>500901</v>
      </c>
      <c r="B41" s="9" t="s">
        <v>129</v>
      </c>
      <c r="C41" s="5" t="str">
        <f>VLOOKUP(B41,[1]英雄技能!$P:$Q,2,0)</f>
        <v>Phổ Công</v>
      </c>
      <c r="D41" s="9">
        <v>5</v>
      </c>
      <c r="E41" s="2">
        <v>4.3800000000000002E-3</v>
      </c>
      <c r="F41" s="3">
        <f t="shared" si="2"/>
        <v>4.3800000000000002E-3</v>
      </c>
      <c r="G41" s="4">
        <f t="shared" si="3"/>
        <v>4.4000000000000003E-3</v>
      </c>
      <c r="H41" s="1">
        <f t="shared" si="4"/>
        <v>44</v>
      </c>
      <c r="I41" s="1">
        <v>50</v>
      </c>
    </row>
    <row r="42" spans="1:9">
      <c r="A42" s="9">
        <v>501001</v>
      </c>
      <c r="B42" s="9" t="s">
        <v>128</v>
      </c>
      <c r="C42" s="5" t="str">
        <f>VLOOKUP(B42,[1]英雄技能!$P:$Q,2,0)</f>
        <v>Phổ Công</v>
      </c>
      <c r="D42" s="9">
        <v>5</v>
      </c>
      <c r="E42" s="2">
        <v>6.3740000000000005E-2</v>
      </c>
      <c r="F42" s="3">
        <f t="shared" si="2"/>
        <v>6.3740000000000005E-2</v>
      </c>
      <c r="G42" s="4">
        <f t="shared" si="3"/>
        <v>6.3700000000000007E-2</v>
      </c>
      <c r="H42" s="1">
        <f t="shared" si="4"/>
        <v>637</v>
      </c>
      <c r="I42" s="1">
        <v>650</v>
      </c>
    </row>
    <row r="43" spans="1:9">
      <c r="A43" s="9">
        <v>501101</v>
      </c>
      <c r="B43" s="9" t="s">
        <v>126</v>
      </c>
      <c r="C43" s="5" t="str">
        <f>VLOOKUP(B43,[1]英雄技能!$P:$Q,2,0)</f>
        <v>Phổ Công</v>
      </c>
      <c r="D43" s="9">
        <v>5</v>
      </c>
      <c r="E43" s="2">
        <v>6.3740000000000005E-2</v>
      </c>
      <c r="F43" s="3">
        <f t="shared" si="2"/>
        <v>6.3740000000000005E-2</v>
      </c>
      <c r="G43" s="4">
        <f t="shared" si="3"/>
        <v>6.3700000000000007E-2</v>
      </c>
      <c r="H43" s="1">
        <f t="shared" si="4"/>
        <v>637</v>
      </c>
      <c r="I43" s="1">
        <v>650</v>
      </c>
    </row>
    <row r="44" spans="1:9">
      <c r="A44" s="9">
        <v>501201</v>
      </c>
      <c r="B44" s="9" t="s">
        <v>118</v>
      </c>
      <c r="C44" s="5" t="str">
        <f>VLOOKUP(B44,[1]英雄技能!$P:$Q,2,0)</f>
        <v>Phổ Công</v>
      </c>
      <c r="D44" s="9">
        <v>5</v>
      </c>
      <c r="E44" s="2">
        <v>1.2E-2</v>
      </c>
      <c r="F44" s="3">
        <f t="shared" si="2"/>
        <v>1.2E-2</v>
      </c>
      <c r="G44" s="4">
        <f t="shared" si="3"/>
        <v>1.2E-2</v>
      </c>
      <c r="H44" s="1">
        <f t="shared" si="4"/>
        <v>120</v>
      </c>
      <c r="I44" s="1">
        <v>120</v>
      </c>
    </row>
    <row r="46" spans="1:9">
      <c r="E46" s="2">
        <f>SUM(E2:E44)</f>
        <v>0.98124</v>
      </c>
      <c r="I46" s="1">
        <f>SUM(I2:I44)</f>
        <v>10000</v>
      </c>
    </row>
  </sheetData>
  <autoFilter ref="A1:D44"/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英雄召唤</vt:lpstr>
      <vt:lpstr>英雄召唤星组</vt:lpstr>
      <vt:lpstr>英雄召唤作弊</vt:lpstr>
      <vt:lpstr>Sheet(基础召唤概率)</vt:lpstr>
      <vt:lpstr>Sheet(友情召唤概率)</vt:lpstr>
      <vt:lpstr>Sheet(高级召唤概率)</vt:lpstr>
      <vt:lpstr>Sheet(积分召唤概率)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2015-06-05T18:19:00Z</dcterms:created>
  <dcterms:modified xsi:type="dcterms:W3CDTF">2023-12-22T11:57:30Z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2052-11.1.0.10667</vt:lpwstr>
  </property>
  <property fmtid="{D5CDD505-2E9C-101B-9397-08002B2CF9AE}" pid="3" name="ICV">
    <vt:lpwstr>76CA057802484E1FA720E1EA143F7E9A</vt:lpwstr>
  </property>
</Properties>
</file>