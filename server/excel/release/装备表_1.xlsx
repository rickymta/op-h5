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DESKTOP-I9TK9O0\Desktop\repository\放置封神\策划\excel\release\"/>
    </mc:Choice>
  </mc:AlternateContent>
  <bookViews>
    <workbookView xWindow="0" yWindow="0" windowWidth="26265" windowHeight="13140"/>
  </bookViews>
  <sheets>
    <sheet name="装备表" sheetId="1" r:id="rId1"/>
    <sheet name="装备进阶" sheetId="11" r:id="rId2"/>
    <sheet name="装备套装" sheetId="2" r:id="rId3"/>
    <sheet name="精炼合成印记概率" sheetId="3" r:id="rId4"/>
    <sheet name="附魔套装" sheetId="8" r:id="rId5"/>
    <sheet name="附魔卷轴" sheetId="4" r:id="rId6"/>
    <sheet name="附魔大类名称" sheetId="9" r:id="rId7"/>
    <sheet name="附魔属性分组概率" sheetId="7" r:id="rId8"/>
    <sheet name="附魔属性" sheetId="6" r:id="rId9"/>
    <sheet name="新版附魔属性变更概率" sheetId="12" r:id="rId10"/>
    <sheet name="Sheet1" sheetId="13" r:id="rId11"/>
  </sheets>
  <definedNames>
    <definedName name="_xlnm._FilterDatabase" localSheetId="8" hidden="1">附魔属性!$A$1:$F$1</definedName>
    <definedName name="_xlnm._FilterDatabase" localSheetId="0" hidden="1">装备表!$A$1:$AF$94</definedName>
    <definedName name="mydb_item_equip_tbl">#REF!</definedName>
  </definedNames>
  <calcPr calcId="162913"/>
</workbook>
</file>

<file path=xl/calcChain.xml><?xml version="1.0" encoding="utf-8"?>
<calcChain xmlns="http://schemas.openxmlformats.org/spreadsheetml/2006/main">
  <c r="N23" i="13" l="1"/>
  <c r="N22" i="13"/>
  <c r="N21" i="13"/>
  <c r="N20" i="13"/>
  <c r="N17" i="13"/>
  <c r="N16" i="13"/>
  <c r="N15" i="13"/>
  <c r="N14" i="13"/>
  <c r="N11" i="13"/>
  <c r="N10" i="13"/>
  <c r="N9" i="13"/>
  <c r="N8" i="13"/>
  <c r="N5" i="13"/>
  <c r="N4" i="13"/>
  <c r="N3" i="13"/>
  <c r="N2" i="13"/>
  <c r="E3" i="13"/>
  <c r="E4" i="13"/>
  <c r="E5" i="13"/>
  <c r="E8" i="13"/>
  <c r="E9" i="13"/>
  <c r="E10" i="13"/>
  <c r="E11" i="13"/>
  <c r="E13" i="13"/>
  <c r="E14" i="13"/>
  <c r="E15" i="13"/>
  <c r="E16" i="13"/>
  <c r="E17" i="13"/>
  <c r="E20" i="13"/>
  <c r="E21" i="13"/>
  <c r="E22" i="13"/>
  <c r="E23" i="13"/>
  <c r="E2" i="13"/>
  <c r="M24" i="13"/>
  <c r="M25" i="13" s="1"/>
  <c r="K24" i="13"/>
  <c r="K25" i="13" s="1"/>
  <c r="N25" i="13" s="1"/>
  <c r="M18" i="13"/>
  <c r="M19" i="13" s="1"/>
  <c r="K18" i="13"/>
  <c r="K19" i="13" s="1"/>
  <c r="N19" i="13" s="1"/>
  <c r="M12" i="13"/>
  <c r="M13" i="13" s="1"/>
  <c r="K12" i="13"/>
  <c r="K13" i="13" s="1"/>
  <c r="N13" i="13" s="1"/>
  <c r="M6" i="13"/>
  <c r="M7" i="13" s="1"/>
  <c r="K6" i="13"/>
  <c r="K7" i="13" s="1"/>
  <c r="N7" i="13" s="1"/>
  <c r="D24" i="13"/>
  <c r="D25" i="13" s="1"/>
  <c r="B24" i="13"/>
  <c r="E24" i="13" s="1"/>
  <c r="D18" i="13"/>
  <c r="D19" i="13" s="1"/>
  <c r="E19" i="13" s="1"/>
  <c r="B18" i="13"/>
  <c r="B19" i="13" s="1"/>
  <c r="D12" i="13"/>
  <c r="D13" i="13" s="1"/>
  <c r="B12" i="13"/>
  <c r="B13" i="13" s="1"/>
  <c r="D6" i="13"/>
  <c r="D7" i="13" s="1"/>
  <c r="B6" i="13"/>
  <c r="B7" i="13" s="1"/>
  <c r="E7" i="13" s="1"/>
  <c r="F4" i="12"/>
  <c r="G4" i="12" s="1"/>
  <c r="E4" i="12"/>
  <c r="F3" i="12"/>
  <c r="G3" i="12" s="1"/>
  <c r="E3" i="12"/>
  <c r="E2" i="12"/>
  <c r="F2" i="12" s="1"/>
  <c r="G2" i="12" s="1"/>
  <c r="B22" i="6"/>
  <c r="B31" i="6" s="1"/>
  <c r="B40" i="6" s="1"/>
  <c r="B49" i="6" s="1"/>
  <c r="B58" i="6" s="1"/>
  <c r="B67" i="6" s="1"/>
  <c r="B76" i="6" s="1"/>
  <c r="B85" i="6" s="1"/>
  <c r="B94" i="6" s="1"/>
  <c r="B103" i="6" s="1"/>
  <c r="B112" i="6" s="1"/>
  <c r="B121" i="6" s="1"/>
  <c r="B130" i="6" s="1"/>
  <c r="B139" i="6" s="1"/>
  <c r="B148" i="6" s="1"/>
  <c r="B157" i="6" s="1"/>
  <c r="B166" i="6" s="1"/>
  <c r="B175" i="6" s="1"/>
  <c r="B184" i="6" s="1"/>
  <c r="B193" i="6" s="1"/>
  <c r="B202" i="6" s="1"/>
  <c r="B211" i="6" s="1"/>
  <c r="B220" i="6" s="1"/>
  <c r="B229" i="6" s="1"/>
  <c r="B238" i="6" s="1"/>
  <c r="B247" i="6" s="1"/>
  <c r="B256" i="6" s="1"/>
  <c r="B265" i="6" s="1"/>
  <c r="B274" i="6" s="1"/>
  <c r="B283" i="6" s="1"/>
  <c r="B292" i="6" s="1"/>
  <c r="B301" i="6" s="1"/>
  <c r="B310" i="6" s="1"/>
  <c r="B319" i="6" s="1"/>
  <c r="B328" i="6" s="1"/>
  <c r="B337" i="6" s="1"/>
  <c r="B346" i="6" s="1"/>
  <c r="B355" i="6" s="1"/>
  <c r="B364" i="6" s="1"/>
  <c r="B373" i="6" s="1"/>
  <c r="B382" i="6" s="1"/>
  <c r="B391" i="6" s="1"/>
  <c r="B400" i="6" s="1"/>
  <c r="B409" i="6" s="1"/>
  <c r="B418" i="6" s="1"/>
  <c r="B427" i="6" s="1"/>
  <c r="B436" i="6" s="1"/>
  <c r="B445" i="6" s="1"/>
  <c r="B454" i="6" s="1"/>
  <c r="B463" i="6" s="1"/>
  <c r="B472" i="6" s="1"/>
  <c r="B481" i="6" s="1"/>
  <c r="B490" i="6" s="1"/>
  <c r="B499" i="6" s="1"/>
  <c r="B508" i="6" s="1"/>
  <c r="B517" i="6" s="1"/>
  <c r="B526" i="6" s="1"/>
  <c r="B535" i="6" s="1"/>
  <c r="B544" i="6" s="1"/>
  <c r="B553" i="6" s="1"/>
  <c r="B562" i="6" s="1"/>
  <c r="B571" i="6" s="1"/>
  <c r="B580" i="6" s="1"/>
  <c r="B589" i="6" s="1"/>
  <c r="B598" i="6" s="1"/>
  <c r="B607" i="6" s="1"/>
  <c r="B616" i="6" s="1"/>
  <c r="B625" i="6" s="1"/>
  <c r="B634" i="6" s="1"/>
  <c r="B643" i="6" s="1"/>
  <c r="B652" i="6" s="1"/>
  <c r="B661" i="6" s="1"/>
  <c r="B670" i="6" s="1"/>
  <c r="B679" i="6" s="1"/>
  <c r="B688" i="6" s="1"/>
  <c r="B697" i="6" s="1"/>
  <c r="B706" i="6" s="1"/>
  <c r="B715" i="6" s="1"/>
  <c r="B724" i="6" s="1"/>
  <c r="B733" i="6" s="1"/>
  <c r="B742" i="6" s="1"/>
  <c r="B751" i="6" s="1"/>
  <c r="B760" i="6" s="1"/>
  <c r="B769" i="6" s="1"/>
  <c r="B778" i="6" s="1"/>
  <c r="B787" i="6" s="1"/>
  <c r="B796" i="6" s="1"/>
  <c r="B805" i="6" s="1"/>
  <c r="B814" i="6" s="1"/>
  <c r="B823" i="6" s="1"/>
  <c r="B832" i="6" s="1"/>
  <c r="B841" i="6" s="1"/>
  <c r="B850" i="6" s="1"/>
  <c r="B859" i="6" s="1"/>
  <c r="B868" i="6" s="1"/>
  <c r="B877" i="6" s="1"/>
  <c r="B886" i="6" s="1"/>
  <c r="B895" i="6" s="1"/>
  <c r="B20" i="6"/>
  <c r="B29" i="6" s="1"/>
  <c r="B38" i="6" s="1"/>
  <c r="B47" i="6" s="1"/>
  <c r="B56" i="6" s="1"/>
  <c r="B65" i="6" s="1"/>
  <c r="B74" i="6" s="1"/>
  <c r="B83" i="6" s="1"/>
  <c r="B92" i="6" s="1"/>
  <c r="B101" i="6" s="1"/>
  <c r="B110" i="6" s="1"/>
  <c r="B119" i="6" s="1"/>
  <c r="B128" i="6" s="1"/>
  <c r="B137" i="6" s="1"/>
  <c r="B146" i="6" s="1"/>
  <c r="B155" i="6" s="1"/>
  <c r="B164" i="6" s="1"/>
  <c r="B173" i="6" s="1"/>
  <c r="B182" i="6" s="1"/>
  <c r="B191" i="6" s="1"/>
  <c r="B200" i="6" s="1"/>
  <c r="B209" i="6" s="1"/>
  <c r="B218" i="6" s="1"/>
  <c r="B227" i="6" s="1"/>
  <c r="B236" i="6" s="1"/>
  <c r="B245" i="6" s="1"/>
  <c r="B254" i="6" s="1"/>
  <c r="B263" i="6" s="1"/>
  <c r="B272" i="6" s="1"/>
  <c r="B281" i="6" s="1"/>
  <c r="B290" i="6" s="1"/>
  <c r="B299" i="6" s="1"/>
  <c r="B308" i="6" s="1"/>
  <c r="B317" i="6" s="1"/>
  <c r="B326" i="6" s="1"/>
  <c r="B335" i="6" s="1"/>
  <c r="B344" i="6" s="1"/>
  <c r="B353" i="6" s="1"/>
  <c r="B362" i="6" s="1"/>
  <c r="B371" i="6" s="1"/>
  <c r="B380" i="6" s="1"/>
  <c r="B389" i="6" s="1"/>
  <c r="B398" i="6" s="1"/>
  <c r="B407" i="6" s="1"/>
  <c r="B416" i="6" s="1"/>
  <c r="B425" i="6" s="1"/>
  <c r="B434" i="6" s="1"/>
  <c r="B443" i="6" s="1"/>
  <c r="B452" i="6" s="1"/>
  <c r="B461" i="6" s="1"/>
  <c r="B470" i="6" s="1"/>
  <c r="B479" i="6" s="1"/>
  <c r="B488" i="6" s="1"/>
  <c r="B497" i="6" s="1"/>
  <c r="B506" i="6" s="1"/>
  <c r="B515" i="6" s="1"/>
  <c r="B524" i="6" s="1"/>
  <c r="B533" i="6" s="1"/>
  <c r="B542" i="6" s="1"/>
  <c r="B551" i="6" s="1"/>
  <c r="B560" i="6" s="1"/>
  <c r="B569" i="6" s="1"/>
  <c r="B578" i="6" s="1"/>
  <c r="B587" i="6" s="1"/>
  <c r="B596" i="6" s="1"/>
  <c r="B605" i="6" s="1"/>
  <c r="B614" i="6" s="1"/>
  <c r="B623" i="6" s="1"/>
  <c r="B632" i="6" s="1"/>
  <c r="B641" i="6" s="1"/>
  <c r="B650" i="6" s="1"/>
  <c r="B659" i="6" s="1"/>
  <c r="B668" i="6" s="1"/>
  <c r="B677" i="6" s="1"/>
  <c r="B686" i="6" s="1"/>
  <c r="B695" i="6" s="1"/>
  <c r="B704" i="6" s="1"/>
  <c r="B713" i="6" s="1"/>
  <c r="B722" i="6" s="1"/>
  <c r="B731" i="6" s="1"/>
  <c r="B740" i="6" s="1"/>
  <c r="B749" i="6" s="1"/>
  <c r="B758" i="6" s="1"/>
  <c r="B767" i="6" s="1"/>
  <c r="B776" i="6" s="1"/>
  <c r="B785" i="6" s="1"/>
  <c r="B794" i="6" s="1"/>
  <c r="B803" i="6" s="1"/>
  <c r="B812" i="6" s="1"/>
  <c r="B821" i="6" s="1"/>
  <c r="B830" i="6" s="1"/>
  <c r="B839" i="6" s="1"/>
  <c r="B848" i="6" s="1"/>
  <c r="B857" i="6" s="1"/>
  <c r="B866" i="6" s="1"/>
  <c r="B875" i="6" s="1"/>
  <c r="B884" i="6" s="1"/>
  <c r="B893" i="6" s="1"/>
  <c r="B19" i="6"/>
  <c r="B28" i="6" s="1"/>
  <c r="B37" i="6" s="1"/>
  <c r="B46" i="6" s="1"/>
  <c r="B55" i="6" s="1"/>
  <c r="B64" i="6" s="1"/>
  <c r="B73" i="6" s="1"/>
  <c r="B82" i="6" s="1"/>
  <c r="B91" i="6" s="1"/>
  <c r="B100" i="6" s="1"/>
  <c r="B109" i="6" s="1"/>
  <c r="B118" i="6" s="1"/>
  <c r="B127" i="6" s="1"/>
  <c r="B136" i="6" s="1"/>
  <c r="B145" i="6" s="1"/>
  <c r="B154" i="6" s="1"/>
  <c r="B163" i="6" s="1"/>
  <c r="B172" i="6" s="1"/>
  <c r="B181" i="6" s="1"/>
  <c r="B190" i="6" s="1"/>
  <c r="B199" i="6" s="1"/>
  <c r="B208" i="6" s="1"/>
  <c r="B217" i="6" s="1"/>
  <c r="B226" i="6" s="1"/>
  <c r="B235" i="6" s="1"/>
  <c r="B244" i="6" s="1"/>
  <c r="B253" i="6" s="1"/>
  <c r="B262" i="6" s="1"/>
  <c r="B271" i="6" s="1"/>
  <c r="B280" i="6" s="1"/>
  <c r="B289" i="6" s="1"/>
  <c r="B298" i="6" s="1"/>
  <c r="B307" i="6" s="1"/>
  <c r="B316" i="6" s="1"/>
  <c r="B325" i="6" s="1"/>
  <c r="B334" i="6" s="1"/>
  <c r="B343" i="6" s="1"/>
  <c r="B352" i="6" s="1"/>
  <c r="B361" i="6" s="1"/>
  <c r="B370" i="6" s="1"/>
  <c r="B379" i="6" s="1"/>
  <c r="B388" i="6" s="1"/>
  <c r="B397" i="6" s="1"/>
  <c r="B406" i="6" s="1"/>
  <c r="B415" i="6" s="1"/>
  <c r="B424" i="6" s="1"/>
  <c r="B433" i="6" s="1"/>
  <c r="B442" i="6" s="1"/>
  <c r="B451" i="6" s="1"/>
  <c r="B460" i="6" s="1"/>
  <c r="B469" i="6" s="1"/>
  <c r="B478" i="6" s="1"/>
  <c r="B487" i="6" s="1"/>
  <c r="B496" i="6" s="1"/>
  <c r="B505" i="6" s="1"/>
  <c r="B514" i="6" s="1"/>
  <c r="B523" i="6" s="1"/>
  <c r="B532" i="6" s="1"/>
  <c r="B541" i="6" s="1"/>
  <c r="B550" i="6" s="1"/>
  <c r="B559" i="6" s="1"/>
  <c r="B568" i="6" s="1"/>
  <c r="B577" i="6" s="1"/>
  <c r="B586" i="6" s="1"/>
  <c r="B595" i="6" s="1"/>
  <c r="B604" i="6" s="1"/>
  <c r="B613" i="6" s="1"/>
  <c r="B622" i="6" s="1"/>
  <c r="B631" i="6" s="1"/>
  <c r="B640" i="6" s="1"/>
  <c r="B649" i="6" s="1"/>
  <c r="B658" i="6" s="1"/>
  <c r="B667" i="6" s="1"/>
  <c r="B676" i="6" s="1"/>
  <c r="B685" i="6" s="1"/>
  <c r="B694" i="6" s="1"/>
  <c r="B703" i="6" s="1"/>
  <c r="B712" i="6" s="1"/>
  <c r="B721" i="6" s="1"/>
  <c r="B730" i="6" s="1"/>
  <c r="B739" i="6" s="1"/>
  <c r="B748" i="6" s="1"/>
  <c r="B757" i="6" s="1"/>
  <c r="B766" i="6" s="1"/>
  <c r="B775" i="6" s="1"/>
  <c r="B784" i="6" s="1"/>
  <c r="B793" i="6" s="1"/>
  <c r="B802" i="6" s="1"/>
  <c r="B811" i="6" s="1"/>
  <c r="B820" i="6" s="1"/>
  <c r="B829" i="6" s="1"/>
  <c r="B838" i="6" s="1"/>
  <c r="B847" i="6" s="1"/>
  <c r="B856" i="6" s="1"/>
  <c r="B865" i="6" s="1"/>
  <c r="B874" i="6" s="1"/>
  <c r="B883" i="6" s="1"/>
  <c r="B892" i="6" s="1"/>
  <c r="B901" i="6" s="1"/>
  <c r="B18" i="6"/>
  <c r="B27" i="6" s="1"/>
  <c r="B36" i="6" s="1"/>
  <c r="B45" i="6" s="1"/>
  <c r="B54" i="6" s="1"/>
  <c r="B63" i="6" s="1"/>
  <c r="B72" i="6" s="1"/>
  <c r="B81" i="6" s="1"/>
  <c r="B90" i="6" s="1"/>
  <c r="B99" i="6" s="1"/>
  <c r="B108" i="6" s="1"/>
  <c r="B117" i="6" s="1"/>
  <c r="B126" i="6" s="1"/>
  <c r="B135" i="6" s="1"/>
  <c r="B144" i="6" s="1"/>
  <c r="B153" i="6" s="1"/>
  <c r="B162" i="6" s="1"/>
  <c r="B171" i="6" s="1"/>
  <c r="B180" i="6" s="1"/>
  <c r="B189" i="6" s="1"/>
  <c r="B198" i="6" s="1"/>
  <c r="B207" i="6" s="1"/>
  <c r="B216" i="6" s="1"/>
  <c r="B225" i="6" s="1"/>
  <c r="B234" i="6" s="1"/>
  <c r="B243" i="6" s="1"/>
  <c r="B252" i="6" s="1"/>
  <c r="B261" i="6" s="1"/>
  <c r="B270" i="6" s="1"/>
  <c r="B279" i="6" s="1"/>
  <c r="B288" i="6" s="1"/>
  <c r="B297" i="6" s="1"/>
  <c r="B306" i="6" s="1"/>
  <c r="B315" i="6" s="1"/>
  <c r="B324" i="6" s="1"/>
  <c r="B333" i="6" s="1"/>
  <c r="B342" i="6" s="1"/>
  <c r="B351" i="6" s="1"/>
  <c r="B360" i="6" s="1"/>
  <c r="B369" i="6" s="1"/>
  <c r="B378" i="6" s="1"/>
  <c r="B387" i="6" s="1"/>
  <c r="B396" i="6" s="1"/>
  <c r="B405" i="6" s="1"/>
  <c r="B414" i="6" s="1"/>
  <c r="B423" i="6" s="1"/>
  <c r="B432" i="6" s="1"/>
  <c r="B441" i="6" s="1"/>
  <c r="B450" i="6" s="1"/>
  <c r="B459" i="6" s="1"/>
  <c r="B468" i="6" s="1"/>
  <c r="B477" i="6" s="1"/>
  <c r="B486" i="6" s="1"/>
  <c r="B495" i="6" s="1"/>
  <c r="B504" i="6" s="1"/>
  <c r="B513" i="6" s="1"/>
  <c r="B522" i="6" s="1"/>
  <c r="B531" i="6" s="1"/>
  <c r="B540" i="6" s="1"/>
  <c r="B549" i="6" s="1"/>
  <c r="B558" i="6" s="1"/>
  <c r="B567" i="6" s="1"/>
  <c r="B576" i="6" s="1"/>
  <c r="B585" i="6" s="1"/>
  <c r="B594" i="6" s="1"/>
  <c r="B603" i="6" s="1"/>
  <c r="B612" i="6" s="1"/>
  <c r="B621" i="6" s="1"/>
  <c r="B630" i="6" s="1"/>
  <c r="B639" i="6" s="1"/>
  <c r="B648" i="6" s="1"/>
  <c r="B657" i="6" s="1"/>
  <c r="B666" i="6" s="1"/>
  <c r="B675" i="6" s="1"/>
  <c r="B684" i="6" s="1"/>
  <c r="B693" i="6" s="1"/>
  <c r="B702" i="6" s="1"/>
  <c r="B711" i="6" s="1"/>
  <c r="B720" i="6" s="1"/>
  <c r="B729" i="6" s="1"/>
  <c r="B738" i="6" s="1"/>
  <c r="B747" i="6" s="1"/>
  <c r="B756" i="6" s="1"/>
  <c r="B765" i="6" s="1"/>
  <c r="B774" i="6" s="1"/>
  <c r="B783" i="6" s="1"/>
  <c r="B792" i="6" s="1"/>
  <c r="B801" i="6" s="1"/>
  <c r="B810" i="6" s="1"/>
  <c r="B819" i="6" s="1"/>
  <c r="B828" i="6" s="1"/>
  <c r="B837" i="6" s="1"/>
  <c r="B846" i="6" s="1"/>
  <c r="B855" i="6" s="1"/>
  <c r="B864" i="6" s="1"/>
  <c r="B873" i="6" s="1"/>
  <c r="B882" i="6" s="1"/>
  <c r="B891" i="6" s="1"/>
  <c r="B900" i="6" s="1"/>
  <c r="B17" i="6"/>
  <c r="B26" i="6" s="1"/>
  <c r="B35" i="6" s="1"/>
  <c r="B44" i="6" s="1"/>
  <c r="B53" i="6" s="1"/>
  <c r="B62" i="6" s="1"/>
  <c r="B71" i="6" s="1"/>
  <c r="B80" i="6" s="1"/>
  <c r="B89" i="6" s="1"/>
  <c r="B98" i="6" s="1"/>
  <c r="B107" i="6" s="1"/>
  <c r="B116" i="6" s="1"/>
  <c r="B125" i="6" s="1"/>
  <c r="B134" i="6" s="1"/>
  <c r="B143" i="6" s="1"/>
  <c r="B152" i="6" s="1"/>
  <c r="B161" i="6" s="1"/>
  <c r="B170" i="6" s="1"/>
  <c r="B179" i="6" s="1"/>
  <c r="B188" i="6" s="1"/>
  <c r="B197" i="6" s="1"/>
  <c r="B206" i="6" s="1"/>
  <c r="B215" i="6" s="1"/>
  <c r="B224" i="6" s="1"/>
  <c r="B233" i="6" s="1"/>
  <c r="B242" i="6" s="1"/>
  <c r="B251" i="6" s="1"/>
  <c r="B260" i="6" s="1"/>
  <c r="B269" i="6" s="1"/>
  <c r="B278" i="6" s="1"/>
  <c r="B287" i="6" s="1"/>
  <c r="B296" i="6" s="1"/>
  <c r="B305" i="6" s="1"/>
  <c r="B314" i="6" s="1"/>
  <c r="B323" i="6" s="1"/>
  <c r="B332" i="6" s="1"/>
  <c r="B341" i="6" s="1"/>
  <c r="B350" i="6" s="1"/>
  <c r="B359" i="6" s="1"/>
  <c r="B368" i="6" s="1"/>
  <c r="B377" i="6" s="1"/>
  <c r="B386" i="6" s="1"/>
  <c r="B395" i="6" s="1"/>
  <c r="B404" i="6" s="1"/>
  <c r="B413" i="6" s="1"/>
  <c r="B422" i="6" s="1"/>
  <c r="B431" i="6" s="1"/>
  <c r="B440" i="6" s="1"/>
  <c r="B449" i="6" s="1"/>
  <c r="B458" i="6" s="1"/>
  <c r="B467" i="6" s="1"/>
  <c r="B476" i="6" s="1"/>
  <c r="B485" i="6" s="1"/>
  <c r="B494" i="6" s="1"/>
  <c r="B503" i="6" s="1"/>
  <c r="B512" i="6" s="1"/>
  <c r="B521" i="6" s="1"/>
  <c r="B530" i="6" s="1"/>
  <c r="B539" i="6" s="1"/>
  <c r="B548" i="6" s="1"/>
  <c r="B557" i="6" s="1"/>
  <c r="B566" i="6" s="1"/>
  <c r="B575" i="6" s="1"/>
  <c r="B584" i="6" s="1"/>
  <c r="B593" i="6" s="1"/>
  <c r="B602" i="6" s="1"/>
  <c r="B611" i="6" s="1"/>
  <c r="B620" i="6" s="1"/>
  <c r="B629" i="6" s="1"/>
  <c r="B638" i="6" s="1"/>
  <c r="B647" i="6" s="1"/>
  <c r="B656" i="6" s="1"/>
  <c r="B665" i="6" s="1"/>
  <c r="B674" i="6" s="1"/>
  <c r="B683" i="6" s="1"/>
  <c r="B692" i="6" s="1"/>
  <c r="B701" i="6" s="1"/>
  <c r="B710" i="6" s="1"/>
  <c r="B719" i="6" s="1"/>
  <c r="B728" i="6" s="1"/>
  <c r="B737" i="6" s="1"/>
  <c r="B746" i="6" s="1"/>
  <c r="B755" i="6" s="1"/>
  <c r="B764" i="6" s="1"/>
  <c r="B773" i="6" s="1"/>
  <c r="B782" i="6" s="1"/>
  <c r="B791" i="6" s="1"/>
  <c r="B800" i="6" s="1"/>
  <c r="B809" i="6" s="1"/>
  <c r="B818" i="6" s="1"/>
  <c r="B827" i="6" s="1"/>
  <c r="B836" i="6" s="1"/>
  <c r="B845" i="6" s="1"/>
  <c r="B854" i="6" s="1"/>
  <c r="B863" i="6" s="1"/>
  <c r="B872" i="6" s="1"/>
  <c r="B881" i="6" s="1"/>
  <c r="B890" i="6" s="1"/>
  <c r="B899" i="6" s="1"/>
  <c r="B16" i="6"/>
  <c r="B25" i="6" s="1"/>
  <c r="B34" i="6" s="1"/>
  <c r="B43" i="6" s="1"/>
  <c r="B52" i="6" s="1"/>
  <c r="B61" i="6" s="1"/>
  <c r="B70" i="6" s="1"/>
  <c r="B79" i="6" s="1"/>
  <c r="B88" i="6" s="1"/>
  <c r="B97" i="6" s="1"/>
  <c r="B106" i="6" s="1"/>
  <c r="B115" i="6" s="1"/>
  <c r="B124" i="6" s="1"/>
  <c r="B133" i="6" s="1"/>
  <c r="B142" i="6" s="1"/>
  <c r="B151" i="6" s="1"/>
  <c r="B160" i="6" s="1"/>
  <c r="B169" i="6" s="1"/>
  <c r="B178" i="6" s="1"/>
  <c r="B187" i="6" s="1"/>
  <c r="B196" i="6" s="1"/>
  <c r="B205" i="6" s="1"/>
  <c r="B214" i="6" s="1"/>
  <c r="B223" i="6" s="1"/>
  <c r="B232" i="6" s="1"/>
  <c r="B241" i="6" s="1"/>
  <c r="B250" i="6" s="1"/>
  <c r="B259" i="6" s="1"/>
  <c r="B268" i="6" s="1"/>
  <c r="B277" i="6" s="1"/>
  <c r="B286" i="6" s="1"/>
  <c r="B295" i="6" s="1"/>
  <c r="B304" i="6" s="1"/>
  <c r="B313" i="6" s="1"/>
  <c r="B322" i="6" s="1"/>
  <c r="B331" i="6" s="1"/>
  <c r="B340" i="6" s="1"/>
  <c r="B349" i="6" s="1"/>
  <c r="B358" i="6" s="1"/>
  <c r="B367" i="6" s="1"/>
  <c r="B376" i="6" s="1"/>
  <c r="B385" i="6" s="1"/>
  <c r="B394" i="6" s="1"/>
  <c r="B403" i="6" s="1"/>
  <c r="B412" i="6" s="1"/>
  <c r="B421" i="6" s="1"/>
  <c r="B430" i="6" s="1"/>
  <c r="B439" i="6" s="1"/>
  <c r="B448" i="6" s="1"/>
  <c r="B457" i="6" s="1"/>
  <c r="B466" i="6" s="1"/>
  <c r="B475" i="6" s="1"/>
  <c r="B484" i="6" s="1"/>
  <c r="B493" i="6" s="1"/>
  <c r="B502" i="6" s="1"/>
  <c r="B511" i="6" s="1"/>
  <c r="B520" i="6" s="1"/>
  <c r="B529" i="6" s="1"/>
  <c r="B538" i="6" s="1"/>
  <c r="B547" i="6" s="1"/>
  <c r="B556" i="6" s="1"/>
  <c r="B565" i="6" s="1"/>
  <c r="B574" i="6" s="1"/>
  <c r="B583" i="6" s="1"/>
  <c r="B592" i="6" s="1"/>
  <c r="B601" i="6" s="1"/>
  <c r="B610" i="6" s="1"/>
  <c r="B619" i="6" s="1"/>
  <c r="B628" i="6" s="1"/>
  <c r="B637" i="6" s="1"/>
  <c r="B646" i="6" s="1"/>
  <c r="B655" i="6" s="1"/>
  <c r="B664" i="6" s="1"/>
  <c r="B673" i="6" s="1"/>
  <c r="B682" i="6" s="1"/>
  <c r="B691" i="6" s="1"/>
  <c r="B700" i="6" s="1"/>
  <c r="B709" i="6" s="1"/>
  <c r="B718" i="6" s="1"/>
  <c r="B727" i="6" s="1"/>
  <c r="B736" i="6" s="1"/>
  <c r="B745" i="6" s="1"/>
  <c r="B754" i="6" s="1"/>
  <c r="B763" i="6" s="1"/>
  <c r="B772" i="6" s="1"/>
  <c r="B781" i="6" s="1"/>
  <c r="B790" i="6" s="1"/>
  <c r="B799" i="6" s="1"/>
  <c r="B808" i="6" s="1"/>
  <c r="B817" i="6" s="1"/>
  <c r="B826" i="6" s="1"/>
  <c r="B835" i="6" s="1"/>
  <c r="B844" i="6" s="1"/>
  <c r="B853" i="6" s="1"/>
  <c r="B862" i="6" s="1"/>
  <c r="B871" i="6" s="1"/>
  <c r="B880" i="6" s="1"/>
  <c r="B889" i="6" s="1"/>
  <c r="B898" i="6" s="1"/>
  <c r="B15" i="6"/>
  <c r="B24" i="6" s="1"/>
  <c r="B33" i="6" s="1"/>
  <c r="B42" i="6" s="1"/>
  <c r="B51" i="6" s="1"/>
  <c r="B60" i="6" s="1"/>
  <c r="B69" i="6" s="1"/>
  <c r="B78" i="6" s="1"/>
  <c r="B87" i="6" s="1"/>
  <c r="B96" i="6" s="1"/>
  <c r="B105" i="6" s="1"/>
  <c r="B114" i="6" s="1"/>
  <c r="B123" i="6" s="1"/>
  <c r="B132" i="6" s="1"/>
  <c r="B141" i="6" s="1"/>
  <c r="B150" i="6" s="1"/>
  <c r="B159" i="6" s="1"/>
  <c r="B168" i="6" s="1"/>
  <c r="B177" i="6" s="1"/>
  <c r="B186" i="6" s="1"/>
  <c r="B195" i="6" s="1"/>
  <c r="B204" i="6" s="1"/>
  <c r="B213" i="6" s="1"/>
  <c r="B222" i="6" s="1"/>
  <c r="B231" i="6" s="1"/>
  <c r="B240" i="6" s="1"/>
  <c r="B249" i="6" s="1"/>
  <c r="B258" i="6" s="1"/>
  <c r="B267" i="6" s="1"/>
  <c r="B276" i="6" s="1"/>
  <c r="B285" i="6" s="1"/>
  <c r="B294" i="6" s="1"/>
  <c r="B303" i="6" s="1"/>
  <c r="B312" i="6" s="1"/>
  <c r="B321" i="6" s="1"/>
  <c r="B330" i="6" s="1"/>
  <c r="B339" i="6" s="1"/>
  <c r="B348" i="6" s="1"/>
  <c r="B357" i="6" s="1"/>
  <c r="B366" i="6" s="1"/>
  <c r="B375" i="6" s="1"/>
  <c r="B384" i="6" s="1"/>
  <c r="B393" i="6" s="1"/>
  <c r="B402" i="6" s="1"/>
  <c r="B411" i="6" s="1"/>
  <c r="B420" i="6" s="1"/>
  <c r="B429" i="6" s="1"/>
  <c r="B438" i="6" s="1"/>
  <c r="B447" i="6" s="1"/>
  <c r="B456" i="6" s="1"/>
  <c r="B465" i="6" s="1"/>
  <c r="B474" i="6" s="1"/>
  <c r="B483" i="6" s="1"/>
  <c r="B492" i="6" s="1"/>
  <c r="B501" i="6" s="1"/>
  <c r="B510" i="6" s="1"/>
  <c r="B519" i="6" s="1"/>
  <c r="B528" i="6" s="1"/>
  <c r="B537" i="6" s="1"/>
  <c r="B546" i="6" s="1"/>
  <c r="B555" i="6" s="1"/>
  <c r="B564" i="6" s="1"/>
  <c r="B573" i="6" s="1"/>
  <c r="B582" i="6" s="1"/>
  <c r="B591" i="6" s="1"/>
  <c r="B600" i="6" s="1"/>
  <c r="B609" i="6" s="1"/>
  <c r="B618" i="6" s="1"/>
  <c r="B627" i="6" s="1"/>
  <c r="B636" i="6" s="1"/>
  <c r="B645" i="6" s="1"/>
  <c r="B654" i="6" s="1"/>
  <c r="B663" i="6" s="1"/>
  <c r="B672" i="6" s="1"/>
  <c r="B681" i="6" s="1"/>
  <c r="B690" i="6" s="1"/>
  <c r="B699" i="6" s="1"/>
  <c r="B708" i="6" s="1"/>
  <c r="B717" i="6" s="1"/>
  <c r="B726" i="6" s="1"/>
  <c r="B735" i="6" s="1"/>
  <c r="B744" i="6" s="1"/>
  <c r="B753" i="6" s="1"/>
  <c r="B762" i="6" s="1"/>
  <c r="B771" i="6" s="1"/>
  <c r="B780" i="6" s="1"/>
  <c r="B789" i="6" s="1"/>
  <c r="B798" i="6" s="1"/>
  <c r="B807" i="6" s="1"/>
  <c r="B816" i="6" s="1"/>
  <c r="B825" i="6" s="1"/>
  <c r="B834" i="6" s="1"/>
  <c r="B843" i="6" s="1"/>
  <c r="B852" i="6" s="1"/>
  <c r="B861" i="6" s="1"/>
  <c r="B870" i="6" s="1"/>
  <c r="B879" i="6" s="1"/>
  <c r="B888" i="6" s="1"/>
  <c r="B897" i="6" s="1"/>
  <c r="B14" i="6"/>
  <c r="B23" i="6" s="1"/>
  <c r="B32" i="6" s="1"/>
  <c r="B41" i="6" s="1"/>
  <c r="B50" i="6" s="1"/>
  <c r="B59" i="6" s="1"/>
  <c r="B68" i="6" s="1"/>
  <c r="B77" i="6" s="1"/>
  <c r="B86" i="6" s="1"/>
  <c r="B95" i="6" s="1"/>
  <c r="B104" i="6" s="1"/>
  <c r="B113" i="6" s="1"/>
  <c r="B122" i="6" s="1"/>
  <c r="B131" i="6" s="1"/>
  <c r="B140" i="6" s="1"/>
  <c r="B149" i="6" s="1"/>
  <c r="B158" i="6" s="1"/>
  <c r="B167" i="6" s="1"/>
  <c r="B176" i="6" s="1"/>
  <c r="B185" i="6" s="1"/>
  <c r="B194" i="6" s="1"/>
  <c r="B203" i="6" s="1"/>
  <c r="B212" i="6" s="1"/>
  <c r="B221" i="6" s="1"/>
  <c r="B230" i="6" s="1"/>
  <c r="B239" i="6" s="1"/>
  <c r="B248" i="6" s="1"/>
  <c r="B257" i="6" s="1"/>
  <c r="B266" i="6" s="1"/>
  <c r="B275" i="6" s="1"/>
  <c r="B284" i="6" s="1"/>
  <c r="B293" i="6" s="1"/>
  <c r="B302" i="6" s="1"/>
  <c r="B311" i="6" s="1"/>
  <c r="B320" i="6" s="1"/>
  <c r="B329" i="6" s="1"/>
  <c r="B338" i="6" s="1"/>
  <c r="B347" i="6" s="1"/>
  <c r="B356" i="6" s="1"/>
  <c r="B365" i="6" s="1"/>
  <c r="B374" i="6" s="1"/>
  <c r="B383" i="6" s="1"/>
  <c r="B392" i="6" s="1"/>
  <c r="B401" i="6" s="1"/>
  <c r="B410" i="6" s="1"/>
  <c r="B419" i="6" s="1"/>
  <c r="B428" i="6" s="1"/>
  <c r="B437" i="6" s="1"/>
  <c r="B446" i="6" s="1"/>
  <c r="B455" i="6" s="1"/>
  <c r="B464" i="6" s="1"/>
  <c r="B473" i="6" s="1"/>
  <c r="B482" i="6" s="1"/>
  <c r="B491" i="6" s="1"/>
  <c r="B500" i="6" s="1"/>
  <c r="B509" i="6" s="1"/>
  <c r="B518" i="6" s="1"/>
  <c r="B527" i="6" s="1"/>
  <c r="B536" i="6" s="1"/>
  <c r="B545" i="6" s="1"/>
  <c r="B554" i="6" s="1"/>
  <c r="B563" i="6" s="1"/>
  <c r="B572" i="6" s="1"/>
  <c r="B581" i="6" s="1"/>
  <c r="B590" i="6" s="1"/>
  <c r="B599" i="6" s="1"/>
  <c r="B608" i="6" s="1"/>
  <c r="B617" i="6" s="1"/>
  <c r="B626" i="6" s="1"/>
  <c r="B635" i="6" s="1"/>
  <c r="B644" i="6" s="1"/>
  <c r="B653" i="6" s="1"/>
  <c r="B662" i="6" s="1"/>
  <c r="B671" i="6" s="1"/>
  <c r="B680" i="6" s="1"/>
  <c r="B689" i="6" s="1"/>
  <c r="B698" i="6" s="1"/>
  <c r="B707" i="6" s="1"/>
  <c r="B716" i="6" s="1"/>
  <c r="B725" i="6" s="1"/>
  <c r="B734" i="6" s="1"/>
  <c r="B743" i="6" s="1"/>
  <c r="B752" i="6" s="1"/>
  <c r="B761" i="6" s="1"/>
  <c r="B770" i="6" s="1"/>
  <c r="B779" i="6" s="1"/>
  <c r="B788" i="6" s="1"/>
  <c r="B797" i="6" s="1"/>
  <c r="B806" i="6" s="1"/>
  <c r="B815" i="6" s="1"/>
  <c r="B824" i="6" s="1"/>
  <c r="B833" i="6" s="1"/>
  <c r="B842" i="6" s="1"/>
  <c r="B851" i="6" s="1"/>
  <c r="B860" i="6" s="1"/>
  <c r="B869" i="6" s="1"/>
  <c r="B878" i="6" s="1"/>
  <c r="B887" i="6" s="1"/>
  <c r="B896" i="6" s="1"/>
  <c r="B13" i="6"/>
  <c r="B12" i="6"/>
  <c r="B21" i="6" s="1"/>
  <c r="B30" i="6" s="1"/>
  <c r="B39" i="6" s="1"/>
  <c r="B48" i="6" s="1"/>
  <c r="B57" i="6" s="1"/>
  <c r="B66" i="6" s="1"/>
  <c r="B75" i="6" s="1"/>
  <c r="B84" i="6" s="1"/>
  <c r="B93" i="6" s="1"/>
  <c r="B102" i="6" s="1"/>
  <c r="B111" i="6" s="1"/>
  <c r="B120" i="6" s="1"/>
  <c r="B129" i="6" s="1"/>
  <c r="B138" i="6" s="1"/>
  <c r="B147" i="6" s="1"/>
  <c r="B156" i="6" s="1"/>
  <c r="B165" i="6" s="1"/>
  <c r="B174" i="6" s="1"/>
  <c r="B183" i="6" s="1"/>
  <c r="B192" i="6" s="1"/>
  <c r="B201" i="6" s="1"/>
  <c r="B210" i="6" s="1"/>
  <c r="B219" i="6" s="1"/>
  <c r="B228" i="6" s="1"/>
  <c r="B237" i="6" s="1"/>
  <c r="B246" i="6" s="1"/>
  <c r="B255" i="6" s="1"/>
  <c r="B264" i="6" s="1"/>
  <c r="B273" i="6" s="1"/>
  <c r="B282" i="6" s="1"/>
  <c r="B291" i="6" s="1"/>
  <c r="B300" i="6" s="1"/>
  <c r="B309" i="6" s="1"/>
  <c r="B318" i="6" s="1"/>
  <c r="B327" i="6" s="1"/>
  <c r="B336" i="6" s="1"/>
  <c r="B345" i="6" s="1"/>
  <c r="B354" i="6" s="1"/>
  <c r="B363" i="6" s="1"/>
  <c r="B372" i="6" s="1"/>
  <c r="B381" i="6" s="1"/>
  <c r="B390" i="6" s="1"/>
  <c r="B399" i="6" s="1"/>
  <c r="B408" i="6" s="1"/>
  <c r="B417" i="6" s="1"/>
  <c r="B426" i="6" s="1"/>
  <c r="B435" i="6" s="1"/>
  <c r="B444" i="6" s="1"/>
  <c r="B453" i="6" s="1"/>
  <c r="B462" i="6" s="1"/>
  <c r="B471" i="6" s="1"/>
  <c r="B480" i="6" s="1"/>
  <c r="B489" i="6" s="1"/>
  <c r="B498" i="6" s="1"/>
  <c r="B507" i="6" s="1"/>
  <c r="B516" i="6" s="1"/>
  <c r="B525" i="6" s="1"/>
  <c r="B534" i="6" s="1"/>
  <c r="B543" i="6" s="1"/>
  <c r="B552" i="6" s="1"/>
  <c r="B561" i="6" s="1"/>
  <c r="B570" i="6" s="1"/>
  <c r="B579" i="6" s="1"/>
  <c r="B588" i="6" s="1"/>
  <c r="B597" i="6" s="1"/>
  <c r="B606" i="6" s="1"/>
  <c r="B615" i="6" s="1"/>
  <c r="B624" i="6" s="1"/>
  <c r="B633" i="6" s="1"/>
  <c r="B642" i="6" s="1"/>
  <c r="B651" i="6" s="1"/>
  <c r="B660" i="6" s="1"/>
  <c r="B669" i="6" s="1"/>
  <c r="B678" i="6" s="1"/>
  <c r="B687" i="6" s="1"/>
  <c r="B696" i="6" s="1"/>
  <c r="B705" i="6" s="1"/>
  <c r="B714" i="6" s="1"/>
  <c r="B723" i="6" s="1"/>
  <c r="B732" i="6" s="1"/>
  <c r="B741" i="6" s="1"/>
  <c r="B750" i="6" s="1"/>
  <c r="B759" i="6" s="1"/>
  <c r="B768" i="6" s="1"/>
  <c r="B777" i="6" s="1"/>
  <c r="B786" i="6" s="1"/>
  <c r="B795" i="6" s="1"/>
  <c r="B804" i="6" s="1"/>
  <c r="B813" i="6" s="1"/>
  <c r="B822" i="6" s="1"/>
  <c r="B831" i="6" s="1"/>
  <c r="B840" i="6" s="1"/>
  <c r="B849" i="6" s="1"/>
  <c r="B858" i="6" s="1"/>
  <c r="B867" i="6" s="1"/>
  <c r="B876" i="6" s="1"/>
  <c r="B885" i="6" s="1"/>
  <c r="B894" i="6" s="1"/>
  <c r="B11" i="6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B25" i="13" l="1"/>
  <c r="E25" i="13" s="1"/>
  <c r="E18" i="13"/>
  <c r="E12" i="13"/>
  <c r="E6" i="13"/>
  <c r="N6" i="13"/>
  <c r="N12" i="13"/>
  <c r="N18" i="13"/>
  <c r="N24" i="13"/>
</calcChain>
</file>

<file path=xl/comments1.xml><?xml version="1.0" encoding="utf-8"?>
<comments xmlns="http://schemas.openxmlformats.org/spreadsheetml/2006/main">
  <authors>
    <author>admin</author>
  </authors>
  <commentList>
    <comment ref="C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对应附魔卷轴表中附魔类型</t>
        </r>
      </text>
    </comment>
    <comment ref="E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附魔2件套属性</t>
        </r>
      </text>
    </comment>
    <comment ref="F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附魔4件套技能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对应附魔套装表中套装类型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rFont val="宋体"/>
            <family val="3"/>
            <charset val="134"/>
          </rPr>
          <t>上线后不可变动</t>
        </r>
      </text>
    </comment>
  </commentList>
</comments>
</file>

<file path=xl/sharedStrings.xml><?xml version="1.0" encoding="utf-8"?>
<sst xmlns="http://schemas.openxmlformats.org/spreadsheetml/2006/main" count="2671" uniqueCount="1341">
  <si>
    <t>装备ID</t>
  </si>
  <si>
    <t>名称</t>
  </si>
  <si>
    <t>图标</t>
  </si>
  <si>
    <t>等级</t>
  </si>
  <si>
    <t>职业</t>
  </si>
  <si>
    <t>部位</t>
  </si>
  <si>
    <t>品质</t>
  </si>
  <si>
    <t>星级</t>
  </si>
  <si>
    <t>出售价格</t>
  </si>
  <si>
    <t>属性</t>
  </si>
  <si>
    <t>套装类型</t>
  </si>
  <si>
    <t>附加属性</t>
  </si>
  <si>
    <t>描述</t>
  </si>
  <si>
    <t>最大堆叠数量</t>
  </si>
  <si>
    <t>*是否可洗练</t>
  </si>
  <si>
    <t>*挂接技能</t>
  </si>
  <si>
    <t>*挂接状态</t>
  </si>
  <si>
    <t>*获得时特殊表现</t>
  </si>
  <si>
    <t>合成材料</t>
  </si>
  <si>
    <t>品质特效</t>
  </si>
  <si>
    <t>精炼装备id</t>
  </si>
  <si>
    <t>精炼消耗</t>
  </si>
  <si>
    <t>获得种族印记概率</t>
  </si>
  <si>
    <t>印记提升属性</t>
  </si>
  <si>
    <t>印记提升百分比</t>
  </si>
  <si>
    <t>是否是精炼装备</t>
  </si>
  <si>
    <t>重铸消耗</t>
  </si>
  <si>
    <t>拓印消耗</t>
  </si>
  <si>
    <t>*拓印成功概率</t>
  </si>
  <si>
    <t>*属性备注</t>
  </si>
  <si>
    <t>*属性值备注</t>
  </si>
  <si>
    <t>*战力备注</t>
  </si>
  <si>
    <t>*估值</t>
  </si>
  <si>
    <t>绝世好剑</t>
  </si>
  <si>
    <r>
      <rPr>
        <sz val="10"/>
        <color theme="1"/>
        <rFont val="微软雅黑"/>
        <family val="2"/>
        <charset val="134"/>
      </rPr>
      <t>3:100000000</t>
    </r>
    <r>
      <rPr>
        <sz val="10"/>
        <color theme="1"/>
        <rFont val="微软雅黑"/>
        <family val="2"/>
        <charset val="134"/>
      </rPr>
      <t>#1:</t>
    </r>
    <r>
      <rPr>
        <sz val="10"/>
        <color theme="1"/>
        <rFont val="微软雅黑"/>
        <family val="2"/>
        <charset val="134"/>
      </rPr>
      <t>900000000</t>
    </r>
    <r>
      <rPr>
        <sz val="10"/>
        <color theme="1"/>
        <rFont val="微软雅黑"/>
        <family val="2"/>
        <charset val="134"/>
      </rPr>
      <t>#2:100000</t>
    </r>
    <r>
      <rPr>
        <sz val="10"/>
        <color theme="1"/>
        <rFont val="微软雅黑"/>
        <family val="2"/>
        <charset val="134"/>
      </rPr>
      <t>#15:9000</t>
    </r>
  </si>
  <si>
    <t>锋利长剑</t>
  </si>
  <si>
    <t>3</t>
  </si>
  <si>
    <t>粗制短剑</t>
  </si>
  <si>
    <t>3:43</t>
  </si>
  <si>
    <t>精致短剑</t>
  </si>
  <si>
    <t>3:52</t>
  </si>
  <si>
    <t>2:19000100:3#0:0:1200</t>
  </si>
  <si>
    <t>通云短剑</t>
  </si>
  <si>
    <t>3:88</t>
  </si>
  <si>
    <t>2:19000101:3#0:0:2500</t>
  </si>
  <si>
    <t>扶光扇</t>
  </si>
  <si>
    <t>3:112</t>
  </si>
  <si>
    <t>2:19000102:3#0:0:5000</t>
  </si>
  <si>
    <t>灼华短剑</t>
  </si>
  <si>
    <t>3:221</t>
  </si>
  <si>
    <t>2:19000103:3#0:0:10000</t>
  </si>
  <si>
    <t>霓裳法杖</t>
  </si>
  <si>
    <t>3:286</t>
  </si>
  <si>
    <t>2:19000104:3#0:0:20000</t>
  </si>
  <si>
    <t>紫霄长剑</t>
  </si>
  <si>
    <t>3:352</t>
  </si>
  <si>
    <t>2:19000105:3#0:0:40000</t>
  </si>
  <si>
    <t>朝仪法杖</t>
  </si>
  <si>
    <t>3:541</t>
  </si>
  <si>
    <t>2:19000106:3#0:0:80000</t>
  </si>
  <si>
    <t>白赭法杖</t>
  </si>
  <si>
    <t>3:658</t>
  </si>
  <si>
    <t>2:19000107:3#0:0:150000</t>
  </si>
  <si>
    <t>云箓法杖</t>
  </si>
  <si>
    <t>3:776</t>
  </si>
  <si>
    <t>2:19000108:3#0:0:300000</t>
  </si>
  <si>
    <t>鬼王长剑</t>
  </si>
  <si>
    <t>3:887</t>
  </si>
  <si>
    <t>2:19000109:3#0:0:450000</t>
  </si>
  <si>
    <t>洞玄道剑</t>
  </si>
  <si>
    <t>3:1193</t>
  </si>
  <si>
    <t>2:19000110:3#0:0:800000</t>
  </si>
  <si>
    <t>3:100212:1#0:4:900000</t>
  </si>
  <si>
    <t>湛卢长剑</t>
  </si>
  <si>
    <t>3:1790</t>
  </si>
  <si>
    <t>2:19000111:3#0:0:1200000</t>
  </si>
  <si>
    <t>3:100212:3#0:4:1200000</t>
  </si>
  <si>
    <t>紫麟巨剑</t>
  </si>
  <si>
    <t>3:2685</t>
  </si>
  <si>
    <t>2:19000112:3#0:0:1600000</t>
  </si>
  <si>
    <t>3:100212:9#0:4:1600000</t>
  </si>
  <si>
    <t>流霞羽扇</t>
  </si>
  <si>
    <t>3:4028</t>
  </si>
  <si>
    <t>2:19000113:3#0:0:2400000</t>
  </si>
  <si>
    <t>3:100212:27#0:4:2400000</t>
  </si>
  <si>
    <t>龙雀巨剑</t>
  </si>
  <si>
    <t>3:6042</t>
  </si>
  <si>
    <t>2:19000114:3#0:0:3200000</t>
  </si>
  <si>
    <t>3:100212:81#0:4:3200000</t>
  </si>
  <si>
    <t>巨阙战刃</t>
  </si>
  <si>
    <t>3:9063</t>
  </si>
  <si>
    <t>2:19000115:3#0:0:4800000</t>
  </si>
  <si>
    <t>3:100212:243#0:4:4800000</t>
  </si>
  <si>
    <t>粗制布衣</t>
  </si>
  <si>
    <t>1:322</t>
  </si>
  <si>
    <t>结实的铠甲</t>
  </si>
  <si>
    <t>1</t>
  </si>
  <si>
    <t>精致道袍</t>
  </si>
  <si>
    <t>1:391</t>
  </si>
  <si>
    <t>2:19000200:3#0:0:1200</t>
  </si>
  <si>
    <t>通云战衣</t>
  </si>
  <si>
    <t>1:655</t>
  </si>
  <si>
    <t>2:19000201:3#0:0:2500</t>
  </si>
  <si>
    <t>扶光襟袍</t>
  </si>
  <si>
    <t>1:841</t>
  </si>
  <si>
    <t>2:19000202:3#0:0:5000</t>
  </si>
  <si>
    <t>灼华襟袍</t>
  </si>
  <si>
    <t>1:1663</t>
  </si>
  <si>
    <t>2:19000203:3#0:0:10000</t>
  </si>
  <si>
    <t>霓裳羽衣</t>
  </si>
  <si>
    <t>1:2152</t>
  </si>
  <si>
    <t>2:19000204:3#0:0:20000</t>
  </si>
  <si>
    <t>紫霄战甲</t>
  </si>
  <si>
    <t>1:2641</t>
  </si>
  <si>
    <t>2:19000205:3#0:0:40000</t>
  </si>
  <si>
    <t>朝仪法袍</t>
  </si>
  <si>
    <t>1:4060</t>
  </si>
  <si>
    <t>2:19000206:3#0:0:80000</t>
  </si>
  <si>
    <t>白赭披风</t>
  </si>
  <si>
    <t>1:4941</t>
  </si>
  <si>
    <t>2:19000207:3#0:0:150000</t>
  </si>
  <si>
    <t>云箓法袍</t>
  </si>
  <si>
    <t>1:5822</t>
  </si>
  <si>
    <t>2:19000208:3#0:0:300000</t>
  </si>
  <si>
    <t>鬼王战甲</t>
  </si>
  <si>
    <t>1:6653</t>
  </si>
  <si>
    <t>2:19000209:3#0:0:450000</t>
  </si>
  <si>
    <t>洞玄道袍</t>
  </si>
  <si>
    <t>1:8953</t>
  </si>
  <si>
    <t>2:19000210:3#0:0:800000</t>
  </si>
  <si>
    <t>湛卢战甲</t>
  </si>
  <si>
    <t>1:13430</t>
  </si>
  <si>
    <t>2:19000211:3#0:0:1200000</t>
  </si>
  <si>
    <t>紫麟战甲</t>
  </si>
  <si>
    <t>1:20145</t>
  </si>
  <si>
    <t>2:19000212:3#0:0:1600000</t>
  </si>
  <si>
    <t>流霞法袍</t>
  </si>
  <si>
    <t>1:30218</t>
  </si>
  <si>
    <t>2:19000213:3#0:0:2400000</t>
  </si>
  <si>
    <t>龙雀战甲</t>
  </si>
  <si>
    <t>1:45327</t>
  </si>
  <si>
    <t>2:19000214:3#0:0:3200000</t>
  </si>
  <si>
    <t>巨阙战甲</t>
  </si>
  <si>
    <t>1:67991</t>
  </si>
  <si>
    <t>2:19000215:3#0:0:4800000</t>
  </si>
  <si>
    <t>粗制头巾</t>
  </si>
  <si>
    <t>1:215</t>
  </si>
  <si>
    <t>有强大的防御力</t>
  </si>
  <si>
    <t>精致头冠</t>
  </si>
  <si>
    <t>1:260</t>
  </si>
  <si>
    <t>2:19000300:3#0:0:1200</t>
  </si>
  <si>
    <t>通云头冠</t>
  </si>
  <si>
    <t>1:443</t>
  </si>
  <si>
    <t>2:19000301:3#0:0:2500</t>
  </si>
  <si>
    <t>扶光法冠</t>
  </si>
  <si>
    <t>1:561</t>
  </si>
  <si>
    <t>2:19000302:3#0:0:5000</t>
  </si>
  <si>
    <t>灼华战盔</t>
  </si>
  <si>
    <t>1:1108</t>
  </si>
  <si>
    <t>2:19000303:3#0:0:10000</t>
  </si>
  <si>
    <t>霓裳头冠</t>
  </si>
  <si>
    <t>1:1435</t>
  </si>
  <si>
    <t>2:19000304:3#0:0:20000</t>
  </si>
  <si>
    <t>紫霄战盔</t>
  </si>
  <si>
    <t>1:1761</t>
  </si>
  <si>
    <t>2:19000305:3#0:0:40000</t>
  </si>
  <si>
    <t>朝仪头冠</t>
  </si>
  <si>
    <t>1:2707</t>
  </si>
  <si>
    <t>2:19000306:3#0:0:80000</t>
  </si>
  <si>
    <t>白赭头冠</t>
  </si>
  <si>
    <t>1:3294</t>
  </si>
  <si>
    <t>2:19000307:3#0:0:150000</t>
  </si>
  <si>
    <t>云箓头冠</t>
  </si>
  <si>
    <t>1:3881</t>
  </si>
  <si>
    <t>2:19000308:3#0:0:300000</t>
  </si>
  <si>
    <t>鬼王战盔</t>
  </si>
  <si>
    <t>1:4435</t>
  </si>
  <si>
    <t>2:19000309:3#0:0:450000</t>
  </si>
  <si>
    <t>洞玄道冠</t>
  </si>
  <si>
    <t>1:5968</t>
  </si>
  <si>
    <t>2:19000310:3#0:0:800000</t>
  </si>
  <si>
    <t>湛卢战盔</t>
  </si>
  <si>
    <t>1:8952</t>
  </si>
  <si>
    <t>2:19000311:3#0:0:1200000</t>
  </si>
  <si>
    <t>紫麟战盔</t>
  </si>
  <si>
    <t>1:13428</t>
  </si>
  <si>
    <t>2:19000312:3#0:0:1600000</t>
  </si>
  <si>
    <t>流霞头冠</t>
  </si>
  <si>
    <t>1:20142</t>
  </si>
  <si>
    <t>2:19000313:3#0:0:2400000</t>
  </si>
  <si>
    <t>龙雀战盔</t>
  </si>
  <si>
    <t>1:30213</t>
  </si>
  <si>
    <t>2:19000314:3#0:0:3200000</t>
  </si>
  <si>
    <t>巨阙战盔</t>
  </si>
  <si>
    <t>1:45320</t>
  </si>
  <si>
    <t>2:19000315:3#0:0:4800000</t>
  </si>
  <si>
    <t>粗制布鞋</t>
  </si>
  <si>
    <t>3:28</t>
  </si>
  <si>
    <t>结实耐用的鞋子</t>
  </si>
  <si>
    <t>精致短靴</t>
  </si>
  <si>
    <t>3:34</t>
  </si>
  <si>
    <t>2:19000400:3#0:0:1200</t>
  </si>
  <si>
    <t>通云短靴</t>
  </si>
  <si>
    <t>3:49</t>
  </si>
  <si>
    <t>2:19000401:3#0:0:2500</t>
  </si>
  <si>
    <t>扶光短靴</t>
  </si>
  <si>
    <t>3:74</t>
  </si>
  <si>
    <t>2:19000402:3#0:0:5000</t>
  </si>
  <si>
    <t>灼华战靴</t>
  </si>
  <si>
    <t>3:147</t>
  </si>
  <si>
    <t>2:19000403:3#0:0:10000</t>
  </si>
  <si>
    <t>霓裳短靴</t>
  </si>
  <si>
    <t>3:191</t>
  </si>
  <si>
    <t>2:19000404:3#0:0:20000</t>
  </si>
  <si>
    <t>紫霄战靴</t>
  </si>
  <si>
    <t>3:234</t>
  </si>
  <si>
    <t>2:19000405:3#0:0:40000</t>
  </si>
  <si>
    <t>朝仪短靴</t>
  </si>
  <si>
    <t>3:360</t>
  </si>
  <si>
    <t>2:19000406:3#0:0:80000</t>
  </si>
  <si>
    <t>白赭短靴</t>
  </si>
  <si>
    <t>3:439</t>
  </si>
  <si>
    <t>2:19000407:3#0:0:150000</t>
  </si>
  <si>
    <t>云箓短靴</t>
  </si>
  <si>
    <t>3:517</t>
  </si>
  <si>
    <t>2:19000408:3#0:0:300000</t>
  </si>
  <si>
    <t>鬼王战靴</t>
  </si>
  <si>
    <t>3:591</t>
  </si>
  <si>
    <t>2:19000409:3#0:0:450000</t>
  </si>
  <si>
    <t>洞玄道靴</t>
  </si>
  <si>
    <t>3:795</t>
  </si>
  <si>
    <t>2:19000410:3#0:0:800000</t>
  </si>
  <si>
    <t>湛卢战靴</t>
  </si>
  <si>
    <t>2:19000411:3#0:0:1200000</t>
  </si>
  <si>
    <t>紫麟战靴</t>
  </si>
  <si>
    <t>2:19000412:3#0:0:1600000</t>
  </si>
  <si>
    <t>流霞羽靴</t>
  </si>
  <si>
    <t>2:19000413:3#0:0:2400000</t>
  </si>
  <si>
    <t>龙雀战靴</t>
  </si>
  <si>
    <t>2:19000414:3#0:0:3200000</t>
  </si>
  <si>
    <t>巨阙战靴</t>
  </si>
  <si>
    <t>2:19000415:3#0:0:4800000</t>
  </si>
  <si>
    <t>精·洞玄道剑</t>
  </si>
  <si>
    <t>3:1432</t>
  </si>
  <si>
    <t>3:358</t>
  </si>
  <si>
    <t>25%</t>
  </si>
  <si>
    <t>3:100213:10</t>
  </si>
  <si>
    <t>3:100214:1</t>
  </si>
  <si>
    <t>精·湛卢长剑</t>
  </si>
  <si>
    <t>3:2148</t>
  </si>
  <si>
    <t>2:20000111:3#0:4:3000000</t>
  </si>
  <si>
    <t>3:537</t>
  </si>
  <si>
    <t>3:100213:20</t>
  </si>
  <si>
    <t>3:100214:3</t>
  </si>
  <si>
    <t>精·紫麟巨剑</t>
  </si>
  <si>
    <t>3:3222</t>
  </si>
  <si>
    <t>2:20000112:3#0:4:4000000</t>
  </si>
  <si>
    <t>3:806</t>
  </si>
  <si>
    <t>3:100213:30</t>
  </si>
  <si>
    <t>3:100214:9</t>
  </si>
  <si>
    <t>精·流霞羽扇</t>
  </si>
  <si>
    <t>3:4833</t>
  </si>
  <si>
    <t>2:20000113:3#0:4:8000000</t>
  </si>
  <si>
    <t>3:1208</t>
  </si>
  <si>
    <t>3:100213:40</t>
  </si>
  <si>
    <t>3:100214:27</t>
  </si>
  <si>
    <t>精·龙雀巨剑</t>
  </si>
  <si>
    <t>3:7250</t>
  </si>
  <si>
    <t>2:20000114:3#0:4:8000000</t>
  </si>
  <si>
    <t>3:1813</t>
  </si>
  <si>
    <t>3:100213:50</t>
  </si>
  <si>
    <t>3:100214:81</t>
  </si>
  <si>
    <t>精·巨阙战刃</t>
  </si>
  <si>
    <t>3:10875</t>
  </si>
  <si>
    <t>2:20000115:3#0:4:16000000</t>
  </si>
  <si>
    <t>3:2719</t>
  </si>
  <si>
    <t>3:100213:60</t>
  </si>
  <si>
    <t>3:100214:243</t>
  </si>
  <si>
    <t>精·洞玄道袍</t>
  </si>
  <si>
    <t>1:10744</t>
  </si>
  <si>
    <t>1:2686</t>
  </si>
  <si>
    <t>精·湛卢战甲</t>
  </si>
  <si>
    <t>1:16116</t>
  </si>
  <si>
    <t>2:20000211:3#0:4:3000000</t>
  </si>
  <si>
    <t>1:4029</t>
  </si>
  <si>
    <t>精·紫麟战甲</t>
  </si>
  <si>
    <t>1:24174</t>
  </si>
  <si>
    <t>2:20000212:3#0:4:4000000</t>
  </si>
  <si>
    <t>1:6044</t>
  </si>
  <si>
    <t>精·流霞法袍</t>
  </si>
  <si>
    <t>1:36261</t>
  </si>
  <si>
    <t>2:20000213:3#0:4:8000000</t>
  </si>
  <si>
    <t>1:9065</t>
  </si>
  <si>
    <t>精·龙雀战甲</t>
  </si>
  <si>
    <t>1:54392</t>
  </si>
  <si>
    <t>2:20000214:3#0:4:8000000</t>
  </si>
  <si>
    <t>1:13598</t>
  </si>
  <si>
    <t>精·巨阙战甲</t>
  </si>
  <si>
    <t>1:81588</t>
  </si>
  <si>
    <t>2:20000215:3#0:4:16000000</t>
  </si>
  <si>
    <t>1:20397</t>
  </si>
  <si>
    <t>精·洞玄道冠</t>
  </si>
  <si>
    <t>1:7162</t>
  </si>
  <si>
    <t>1:1791</t>
  </si>
  <si>
    <t>精·湛卢战盔</t>
  </si>
  <si>
    <t>1:10743</t>
  </si>
  <si>
    <t>2:20000311:3#0:4:3000000</t>
  </si>
  <si>
    <t>精·紫麟战盔</t>
  </si>
  <si>
    <t>1:16115</t>
  </si>
  <si>
    <t>2:20000312:3#0:4:4000000</t>
  </si>
  <si>
    <t>精·流霞头冠</t>
  </si>
  <si>
    <t>1:24173</t>
  </si>
  <si>
    <t>2:20000313:3#0:4:8000000</t>
  </si>
  <si>
    <t>1:6043</t>
  </si>
  <si>
    <t>精·龙雀战盔</t>
  </si>
  <si>
    <t>1:36260</t>
  </si>
  <si>
    <t>2:20000314:3#0:4:8000000</t>
  </si>
  <si>
    <t>精·巨阙战盔</t>
  </si>
  <si>
    <t>1:54390</t>
  </si>
  <si>
    <t>2:20000315:3#0:4:16000000</t>
  </si>
  <si>
    <t>精·洞玄道靴</t>
  </si>
  <si>
    <t>3:954</t>
  </si>
  <si>
    <t>3:239</t>
  </si>
  <si>
    <t>精·湛卢战靴</t>
  </si>
  <si>
    <t>3:1431</t>
  </si>
  <si>
    <t>2:20000411:3#0:4:3000000</t>
  </si>
  <si>
    <t>精·紫麟战靴</t>
  </si>
  <si>
    <t>3:2147</t>
  </si>
  <si>
    <t>2:20000412:3#0:4:4000000</t>
  </si>
  <si>
    <t>精·流霞羽靴</t>
  </si>
  <si>
    <t>3:3221</t>
  </si>
  <si>
    <t>2:20000413:3#0:4:8000000</t>
  </si>
  <si>
    <t>3:805</t>
  </si>
  <si>
    <t>精·龙雀战靴</t>
  </si>
  <si>
    <t>3:4832</t>
  </si>
  <si>
    <t>2:20000414:3#0:4:8000000</t>
  </si>
  <si>
    <t>精·巨阙战靴</t>
  </si>
  <si>
    <t>3:7248</t>
  </si>
  <si>
    <t>2:20000415:3#0:4:16000000</t>
  </si>
  <si>
    <t>3:1812</t>
  </si>
  <si>
    <t>id</t>
  </si>
  <si>
    <t>装备id</t>
  </si>
  <si>
    <t>*策划备注</t>
  </si>
  <si>
    <t>进阶等级</t>
  </si>
  <si>
    <t>进阶消耗</t>
  </si>
  <si>
    <t>进阶属性</t>
  </si>
  <si>
    <t>种族属性</t>
  </si>
  <si>
    <t>*策划备注，目前只支持6星鉴定装备进行升阶，如果有其他星级需求，需要发帖制作，会影响到原来装备的合成、鉴定等功能</t>
  </si>
  <si>
    <t>3:100256:10</t>
  </si>
  <si>
    <t>3:15225#10000:254</t>
  </si>
  <si>
    <t>3:3806#10000:63</t>
  </si>
  <si>
    <t>3:100257:10</t>
  </si>
  <si>
    <t>3:21315#10000:644</t>
  </si>
  <si>
    <t>3:5329#10000:161</t>
  </si>
  <si>
    <t>3:100258:10</t>
  </si>
  <si>
    <t>3:29841#10000:1166</t>
  </si>
  <si>
    <t>3:7460#10000:291</t>
  </si>
  <si>
    <t>3:41777#10000:1632</t>
  </si>
  <si>
    <t>3:10444#10000:407</t>
  </si>
  <si>
    <t>1:114223#10003:20</t>
  </si>
  <si>
    <t>1:28556#10003:5</t>
  </si>
  <si>
    <t>1:159912#10003:51</t>
  </si>
  <si>
    <t>1:39978#10003:12</t>
  </si>
  <si>
    <t>1:223877#10003:92</t>
  </si>
  <si>
    <t>1:55969#10003:23</t>
  </si>
  <si>
    <t>1:313428#10003:129</t>
  </si>
  <si>
    <t>1:78357#10003:32</t>
  </si>
  <si>
    <t>1:76146#10005:20</t>
  </si>
  <si>
    <t>1:19037#10005:5</t>
  </si>
  <si>
    <t>1:106604#10005:51</t>
  </si>
  <si>
    <t>1:26651#10005:12</t>
  </si>
  <si>
    <t>1:149246#10005:92</t>
  </si>
  <si>
    <t>1:37312#10005:23</t>
  </si>
  <si>
    <t>1:208944#10005:129</t>
  </si>
  <si>
    <t>1:52237#10005:32</t>
  </si>
  <si>
    <t>3:10147#2:56</t>
  </si>
  <si>
    <t>3:2537#2:14</t>
  </si>
  <si>
    <t>3:14206#2:140</t>
  </si>
  <si>
    <t>3:3552#2:35</t>
  </si>
  <si>
    <t>3:19888#2:252</t>
  </si>
  <si>
    <t>3:4972#2:63</t>
  </si>
  <si>
    <t>3:27843#2:353</t>
  </si>
  <si>
    <t>3:6961#2:88</t>
  </si>
  <si>
    <t>ID</t>
  </si>
  <si>
    <t>套装名称</t>
  </si>
  <si>
    <t>件数</t>
  </si>
  <si>
    <t>紫霄套装</t>
  </si>
  <si>
    <t>1001:200</t>
  </si>
  <si>
    <t>1001:200#1003:300</t>
  </si>
  <si>
    <t>1001:200#1003:300#1001:100</t>
  </si>
  <si>
    <t>朝仪套装</t>
  </si>
  <si>
    <t>1001:400</t>
  </si>
  <si>
    <t>1001:400#1003:500</t>
  </si>
  <si>
    <t>1001:400#1003:500#1001:200</t>
  </si>
  <si>
    <t>白赭套装</t>
  </si>
  <si>
    <t>1001:500</t>
  </si>
  <si>
    <t>1001:500#1003:700</t>
  </si>
  <si>
    <t>1001:500#1003:700#1001:400</t>
  </si>
  <si>
    <t>云箓套装</t>
  </si>
  <si>
    <t>1001:700</t>
  </si>
  <si>
    <t>1001:700#1003:900</t>
  </si>
  <si>
    <t>1001:700#1003:900#1001:400</t>
  </si>
  <si>
    <t>鬼王套装</t>
  </si>
  <si>
    <t>1001:800</t>
  </si>
  <si>
    <t>1001:800#1003:1100</t>
  </si>
  <si>
    <t>1001:800#1003:1100#1001:500</t>
  </si>
  <si>
    <t>洞玄套装</t>
  </si>
  <si>
    <t>1001:1000</t>
  </si>
  <si>
    <t>1001:1000#1003:1300</t>
  </si>
  <si>
    <t>1001:1000#1003:1300#1001:500</t>
  </si>
  <si>
    <t>湛卢套装</t>
  </si>
  <si>
    <t>1001:1100</t>
  </si>
  <si>
    <t>1001:1100#1003:1500</t>
  </si>
  <si>
    <t>1001:1100#1003:1500#1001:600</t>
  </si>
  <si>
    <t>紫麟套装</t>
  </si>
  <si>
    <t>1001:1200</t>
  </si>
  <si>
    <t>1001:1200#1003:1700</t>
  </si>
  <si>
    <t>1001:1200#1003:1700#1001:700</t>
  </si>
  <si>
    <t>流霞套装</t>
  </si>
  <si>
    <t>1001:1400</t>
  </si>
  <si>
    <t>1001:1400#1003:1900</t>
  </si>
  <si>
    <t>1001:1400#1003:1900#1001:700</t>
  </si>
  <si>
    <t>龙雀套装</t>
  </si>
  <si>
    <t>1001:1500</t>
  </si>
  <si>
    <t>1001:1500#1003:2000</t>
  </si>
  <si>
    <t>1001:1500#1003:2000#1001:800</t>
  </si>
  <si>
    <t>巨阙套装</t>
  </si>
  <si>
    <t>1001:1600</t>
  </si>
  <si>
    <t>1001:1600#1003:2100</t>
  </si>
  <si>
    <t>1001:1600#1003:2100#1001:800</t>
  </si>
  <si>
    <t>印记数量</t>
  </si>
  <si>
    <t>获得印记概率</t>
  </si>
  <si>
    <t>附魔名称</t>
  </si>
  <si>
    <t>技能ID</t>
  </si>
  <si>
    <t>雷霆</t>
  </si>
  <si>
    <t>5:200</t>
  </si>
  <si>
    <t>滋养</t>
  </si>
  <si>
    <t>12:500</t>
  </si>
  <si>
    <t>踏风</t>
  </si>
  <si>
    <t>1002:200</t>
  </si>
  <si>
    <t>创愈</t>
  </si>
  <si>
    <t>10:200</t>
  </si>
  <si>
    <t>坚韧</t>
  </si>
  <si>
    <t>11:200</t>
  </si>
  <si>
    <t>卷轴ID</t>
  </si>
  <si>
    <t>附魔类型</t>
  </si>
  <si>
    <t>消耗金币</t>
  </si>
  <si>
    <t>属性条数</t>
  </si>
  <si>
    <t>最小属性分组</t>
  </si>
  <si>
    <t>最大属性分组</t>
  </si>
  <si>
    <t>大类类型</t>
  </si>
  <si>
    <t>卷轴名称</t>
  </si>
  <si>
    <t>大类名称</t>
  </si>
  <si>
    <t>输出</t>
  </si>
  <si>
    <t>治疗</t>
  </si>
  <si>
    <t>速度</t>
  </si>
  <si>
    <t>回复</t>
  </si>
  <si>
    <t>防御</t>
  </si>
  <si>
    <t>分组ID</t>
  </si>
  <si>
    <t>权重</t>
  </si>
  <si>
    <t>属性ID</t>
  </si>
  <si>
    <t>分组</t>
  </si>
  <si>
    <t>类型</t>
  </si>
  <si>
    <t>*权重</t>
  </si>
  <si>
    <t>*备注</t>
  </si>
  <si>
    <t>3:5</t>
  </si>
  <si>
    <t>攻击</t>
  </si>
  <si>
    <t>2:1</t>
  </si>
  <si>
    <t>1001:20</t>
  </si>
  <si>
    <t>生命附加</t>
  </si>
  <si>
    <t>11:20</t>
  </si>
  <si>
    <t>抗控</t>
  </si>
  <si>
    <t>10:20</t>
  </si>
  <si>
    <t>控制</t>
  </si>
  <si>
    <t>7:20</t>
  </si>
  <si>
    <t>暴击率</t>
  </si>
  <si>
    <t>8:20</t>
  </si>
  <si>
    <t>抗暴</t>
  </si>
  <si>
    <t>5:20</t>
  </si>
  <si>
    <t>命中</t>
  </si>
  <si>
    <t>9:20</t>
  </si>
  <si>
    <t>暴击伤害</t>
  </si>
  <si>
    <t>3:7</t>
  </si>
  <si>
    <t>1001:22</t>
  </si>
  <si>
    <t>11:22</t>
  </si>
  <si>
    <t>10:22</t>
  </si>
  <si>
    <t>7:22</t>
  </si>
  <si>
    <t>8:22</t>
  </si>
  <si>
    <t>5:22</t>
  </si>
  <si>
    <t>9:22</t>
  </si>
  <si>
    <t>3:9</t>
  </si>
  <si>
    <t>2:2</t>
  </si>
  <si>
    <t>1001:23</t>
  </si>
  <si>
    <t>11:23</t>
  </si>
  <si>
    <t>10:23</t>
  </si>
  <si>
    <t>7:23</t>
  </si>
  <si>
    <t>8:23</t>
  </si>
  <si>
    <t>5:23</t>
  </si>
  <si>
    <t>9:23</t>
  </si>
  <si>
    <t>3:11</t>
  </si>
  <si>
    <t>1001:24</t>
  </si>
  <si>
    <t>11:24</t>
  </si>
  <si>
    <t>10:24</t>
  </si>
  <si>
    <t>7:24</t>
  </si>
  <si>
    <t>8:24</t>
  </si>
  <si>
    <t>5:24</t>
  </si>
  <si>
    <t>9:24</t>
  </si>
  <si>
    <t>3:13</t>
  </si>
  <si>
    <t>2:3</t>
  </si>
  <si>
    <t>1001:25</t>
  </si>
  <si>
    <t>11:25</t>
  </si>
  <si>
    <t>10:25</t>
  </si>
  <si>
    <t>7:25</t>
  </si>
  <si>
    <t>8:25</t>
  </si>
  <si>
    <t>5:25</t>
  </si>
  <si>
    <t>9:25</t>
  </si>
  <si>
    <t>3:15</t>
  </si>
  <si>
    <t>1001:26</t>
  </si>
  <si>
    <t>11:26</t>
  </si>
  <si>
    <t>10:26</t>
  </si>
  <si>
    <t>7:26</t>
  </si>
  <si>
    <t>8:26</t>
  </si>
  <si>
    <t>5:26</t>
  </si>
  <si>
    <t>9:26</t>
  </si>
  <si>
    <t>3:17</t>
  </si>
  <si>
    <t>1001:27</t>
  </si>
  <si>
    <t>11:27</t>
  </si>
  <si>
    <t>10:27</t>
  </si>
  <si>
    <t>7:27</t>
  </si>
  <si>
    <t>8:27</t>
  </si>
  <si>
    <t>5:27</t>
  </si>
  <si>
    <t>9:27</t>
  </si>
  <si>
    <t>3:19</t>
  </si>
  <si>
    <t>2:4</t>
  </si>
  <si>
    <t>1001:28</t>
  </si>
  <si>
    <t>11:28</t>
  </si>
  <si>
    <t>10:28</t>
  </si>
  <si>
    <t>7:28</t>
  </si>
  <si>
    <t>8:28</t>
  </si>
  <si>
    <t>5:28</t>
  </si>
  <si>
    <t>9:28</t>
  </si>
  <si>
    <t>3:21</t>
  </si>
  <si>
    <t>1001:29</t>
  </si>
  <si>
    <t>11:29</t>
  </si>
  <si>
    <t>10:29</t>
  </si>
  <si>
    <t>7:29</t>
  </si>
  <si>
    <t>8:29</t>
  </si>
  <si>
    <t>5:29</t>
  </si>
  <si>
    <t>9:29</t>
  </si>
  <si>
    <t>3:23</t>
  </si>
  <si>
    <t>2:5</t>
  </si>
  <si>
    <t>1001:30</t>
  </si>
  <si>
    <t>11:30</t>
  </si>
  <si>
    <t>10:30</t>
  </si>
  <si>
    <t>7:30</t>
  </si>
  <si>
    <t>8:30</t>
  </si>
  <si>
    <t>5:30</t>
  </si>
  <si>
    <t>9:30</t>
  </si>
  <si>
    <t>3:25</t>
  </si>
  <si>
    <t>1001:31</t>
  </si>
  <si>
    <t>11:31</t>
  </si>
  <si>
    <t>10:31</t>
  </si>
  <si>
    <t>7:31</t>
  </si>
  <si>
    <t>8:31</t>
  </si>
  <si>
    <t>5:31</t>
  </si>
  <si>
    <t>9:31</t>
  </si>
  <si>
    <t>3:27</t>
  </si>
  <si>
    <t>1001:32</t>
  </si>
  <si>
    <t>11:32</t>
  </si>
  <si>
    <t>10:32</t>
  </si>
  <si>
    <t>7:32</t>
  </si>
  <si>
    <t>8:32</t>
  </si>
  <si>
    <t>5:32</t>
  </si>
  <si>
    <t>9:32</t>
  </si>
  <si>
    <t>3:29</t>
  </si>
  <si>
    <t>2:6</t>
  </si>
  <si>
    <t>1001:33</t>
  </si>
  <si>
    <t>11:33</t>
  </si>
  <si>
    <t>10:33</t>
  </si>
  <si>
    <t>7:33</t>
  </si>
  <si>
    <t>8:33</t>
  </si>
  <si>
    <t>5:33</t>
  </si>
  <si>
    <t>9:33</t>
  </si>
  <si>
    <t>3:31</t>
  </si>
  <si>
    <t>1001:34</t>
  </si>
  <si>
    <t>11:34</t>
  </si>
  <si>
    <t>10:34</t>
  </si>
  <si>
    <t>7:34</t>
  </si>
  <si>
    <t>8:34</t>
  </si>
  <si>
    <t>5:34</t>
  </si>
  <si>
    <t>9:34</t>
  </si>
  <si>
    <t>3:33</t>
  </si>
  <si>
    <t>2:7</t>
  </si>
  <si>
    <t>1001:35</t>
  </si>
  <si>
    <t>11:35</t>
  </si>
  <si>
    <t>10:35</t>
  </si>
  <si>
    <t>7:35</t>
  </si>
  <si>
    <t>8:35</t>
  </si>
  <si>
    <t>5:35</t>
  </si>
  <si>
    <t>9:35</t>
  </si>
  <si>
    <t>3:35</t>
  </si>
  <si>
    <t>1001:36</t>
  </si>
  <si>
    <t>11:36</t>
  </si>
  <si>
    <t>10:36</t>
  </si>
  <si>
    <t>7:36</t>
  </si>
  <si>
    <t>8:36</t>
  </si>
  <si>
    <t>5:36</t>
  </si>
  <si>
    <t>9:36</t>
  </si>
  <si>
    <t>3:37</t>
  </si>
  <si>
    <t>1001:37</t>
  </si>
  <si>
    <t>11:37</t>
  </si>
  <si>
    <t>10:37</t>
  </si>
  <si>
    <t>7:37</t>
  </si>
  <si>
    <t>8:37</t>
  </si>
  <si>
    <t>5:37</t>
  </si>
  <si>
    <t>9:37</t>
  </si>
  <si>
    <t>3:39</t>
  </si>
  <si>
    <t>2:8</t>
  </si>
  <si>
    <t>1001:38</t>
  </si>
  <si>
    <t>11:38</t>
  </si>
  <si>
    <t>10:38</t>
  </si>
  <si>
    <t>7:38</t>
  </si>
  <si>
    <t>8:38</t>
  </si>
  <si>
    <t>5:38</t>
  </si>
  <si>
    <t>9:38</t>
  </si>
  <si>
    <t>3:41</t>
  </si>
  <si>
    <t>1001:39</t>
  </si>
  <si>
    <t>11:39</t>
  </si>
  <si>
    <t>10:39</t>
  </si>
  <si>
    <t>7:39</t>
  </si>
  <si>
    <t>8:39</t>
  </si>
  <si>
    <t>5:39</t>
  </si>
  <si>
    <t>9:39</t>
  </si>
  <si>
    <t>2:9</t>
  </si>
  <si>
    <t>1001:41</t>
  </si>
  <si>
    <t>11:41</t>
  </si>
  <si>
    <t>10:41</t>
  </si>
  <si>
    <t>7:41</t>
  </si>
  <si>
    <t>8:41</t>
  </si>
  <si>
    <t>5:41</t>
  </si>
  <si>
    <t>9:41</t>
  </si>
  <si>
    <t>3:45</t>
  </si>
  <si>
    <t>1001:43</t>
  </si>
  <si>
    <t>11:43</t>
  </si>
  <si>
    <t>10:43</t>
  </si>
  <si>
    <t>7:43</t>
  </si>
  <si>
    <t>8:43</t>
  </si>
  <si>
    <t>5:43</t>
  </si>
  <si>
    <t>9:43</t>
  </si>
  <si>
    <t>3:47</t>
  </si>
  <si>
    <t>1001:45</t>
  </si>
  <si>
    <t>11:45</t>
  </si>
  <si>
    <t>10:45</t>
  </si>
  <si>
    <t>7:45</t>
  </si>
  <si>
    <t>8:45</t>
  </si>
  <si>
    <t>5:45</t>
  </si>
  <si>
    <t>9:45</t>
  </si>
  <si>
    <t>2:10</t>
  </si>
  <si>
    <t>1001:47</t>
  </si>
  <si>
    <t>11:47</t>
  </si>
  <si>
    <t>10:47</t>
  </si>
  <si>
    <t>7:47</t>
  </si>
  <si>
    <t>8:47</t>
  </si>
  <si>
    <t>5:47</t>
  </si>
  <si>
    <t>9:47</t>
  </si>
  <si>
    <t>3:51</t>
  </si>
  <si>
    <t>1001:49</t>
  </si>
  <si>
    <t>11:49</t>
  </si>
  <si>
    <t>10:49</t>
  </si>
  <si>
    <t>7:49</t>
  </si>
  <si>
    <t>8:49</t>
  </si>
  <si>
    <t>5:49</t>
  </si>
  <si>
    <t>9:49</t>
  </si>
  <si>
    <t>3:53</t>
  </si>
  <si>
    <t>2:11</t>
  </si>
  <si>
    <t>1001:51</t>
  </si>
  <si>
    <t>11:51</t>
  </si>
  <si>
    <t>10:51</t>
  </si>
  <si>
    <t>7:51</t>
  </si>
  <si>
    <t>8:51</t>
  </si>
  <si>
    <t>5:51</t>
  </si>
  <si>
    <t>9:51</t>
  </si>
  <si>
    <t>3:55</t>
  </si>
  <si>
    <t>1001:53</t>
  </si>
  <si>
    <t>11:53</t>
  </si>
  <si>
    <t>10:53</t>
  </si>
  <si>
    <t>7:53</t>
  </si>
  <si>
    <t>8:53</t>
  </si>
  <si>
    <t>5:53</t>
  </si>
  <si>
    <t>9:53</t>
  </si>
  <si>
    <t>3:57</t>
  </si>
  <si>
    <t>1001:55</t>
  </si>
  <si>
    <t>11:55</t>
  </si>
  <si>
    <t>10:55</t>
  </si>
  <si>
    <t>7:55</t>
  </si>
  <si>
    <t>8:55</t>
  </si>
  <si>
    <t>5:55</t>
  </si>
  <si>
    <t>9:55</t>
  </si>
  <si>
    <t>3:59</t>
  </si>
  <si>
    <t>2:12</t>
  </si>
  <si>
    <t>1001:57</t>
  </si>
  <si>
    <t>11:57</t>
  </si>
  <si>
    <t>10:57</t>
  </si>
  <si>
    <t>7:57</t>
  </si>
  <si>
    <t>8:57</t>
  </si>
  <si>
    <t>5:57</t>
  </si>
  <si>
    <t>9:57</t>
  </si>
  <si>
    <t>3:61</t>
  </si>
  <si>
    <t>1001:59</t>
  </si>
  <si>
    <t>11:59</t>
  </si>
  <si>
    <t>10:59</t>
  </si>
  <si>
    <t>7:59</t>
  </si>
  <si>
    <t>8:59</t>
  </si>
  <si>
    <t>5:59</t>
  </si>
  <si>
    <t>9:59</t>
  </si>
  <si>
    <t>3:63</t>
  </si>
  <si>
    <t>2:13</t>
  </si>
  <si>
    <t>1001:61</t>
  </si>
  <si>
    <t>11:61</t>
  </si>
  <si>
    <t>10:61</t>
  </si>
  <si>
    <t>7:61</t>
  </si>
  <si>
    <t>8:61</t>
  </si>
  <si>
    <t>5:61</t>
  </si>
  <si>
    <t>9:61</t>
  </si>
  <si>
    <t>3:67</t>
  </si>
  <si>
    <t>1001:63</t>
  </si>
  <si>
    <t>11:63</t>
  </si>
  <si>
    <t>10:63</t>
  </si>
  <si>
    <t>7:63</t>
  </si>
  <si>
    <t>8:63</t>
  </si>
  <si>
    <t>5:63</t>
  </si>
  <si>
    <t>9:63</t>
  </si>
  <si>
    <t>3:71</t>
  </si>
  <si>
    <t>1001:65</t>
  </si>
  <si>
    <t>11:65</t>
  </si>
  <si>
    <t>10:65</t>
  </si>
  <si>
    <t>7:65</t>
  </si>
  <si>
    <t>8:65</t>
  </si>
  <si>
    <t>5:65</t>
  </si>
  <si>
    <t>9:65</t>
  </si>
  <si>
    <t>3:75</t>
  </si>
  <si>
    <t>2:14</t>
  </si>
  <si>
    <t>1001:67</t>
  </si>
  <si>
    <t>11:67</t>
  </si>
  <si>
    <t>10:67</t>
  </si>
  <si>
    <t>7:67</t>
  </si>
  <si>
    <t>8:67</t>
  </si>
  <si>
    <t>5:67</t>
  </si>
  <si>
    <t>9:67</t>
  </si>
  <si>
    <t>3:79</t>
  </si>
  <si>
    <t>1001:69</t>
  </si>
  <si>
    <t>11:69</t>
  </si>
  <si>
    <t>10:69</t>
  </si>
  <si>
    <t>7:69</t>
  </si>
  <si>
    <t>8:69</t>
  </si>
  <si>
    <t>5:69</t>
  </si>
  <si>
    <t>9:69</t>
  </si>
  <si>
    <t>3:83</t>
  </si>
  <si>
    <t>2:15</t>
  </si>
  <si>
    <t>1001:71</t>
  </si>
  <si>
    <t>11:71</t>
  </si>
  <si>
    <t>10:71</t>
  </si>
  <si>
    <t>7:71</t>
  </si>
  <si>
    <t>8:71</t>
  </si>
  <si>
    <t>5:71</t>
  </si>
  <si>
    <t>9:71</t>
  </si>
  <si>
    <t>3:87</t>
  </si>
  <si>
    <t>1001:73</t>
  </si>
  <si>
    <t>11:73</t>
  </si>
  <si>
    <t>10:73</t>
  </si>
  <si>
    <t>7:73</t>
  </si>
  <si>
    <t>8:73</t>
  </si>
  <si>
    <t>5:73</t>
  </si>
  <si>
    <t>9:73</t>
  </si>
  <si>
    <t>3:91</t>
  </si>
  <si>
    <t>1001:75</t>
  </si>
  <si>
    <t>11:75</t>
  </si>
  <si>
    <t>10:75</t>
  </si>
  <si>
    <t>7:75</t>
  </si>
  <si>
    <t>8:75</t>
  </si>
  <si>
    <t>5:75</t>
  </si>
  <si>
    <t>9:75</t>
  </si>
  <si>
    <t>3:95</t>
  </si>
  <si>
    <t>2:16</t>
  </si>
  <si>
    <t>1001:77</t>
  </si>
  <si>
    <t>11:77</t>
  </si>
  <si>
    <t>10:77</t>
  </si>
  <si>
    <t>7:77</t>
  </si>
  <si>
    <t>8:77</t>
  </si>
  <si>
    <t>5:77</t>
  </si>
  <si>
    <t>9:77</t>
  </si>
  <si>
    <t>3:99</t>
  </si>
  <si>
    <t>1001:79</t>
  </si>
  <si>
    <t>11:79</t>
  </si>
  <si>
    <t>10:79</t>
  </si>
  <si>
    <t>7:79</t>
  </si>
  <si>
    <t>8:79</t>
  </si>
  <si>
    <t>5:79</t>
  </si>
  <si>
    <t>9:79</t>
  </si>
  <si>
    <t>3:103</t>
  </si>
  <si>
    <t>2:17</t>
  </si>
  <si>
    <t>1001:81</t>
  </si>
  <si>
    <t>11:81</t>
  </si>
  <si>
    <t>10:81</t>
  </si>
  <si>
    <t>7:81</t>
  </si>
  <si>
    <t>8:81</t>
  </si>
  <si>
    <t>5:81</t>
  </si>
  <si>
    <t>9:81</t>
  </si>
  <si>
    <t>3:107</t>
  </si>
  <si>
    <t>1001:83</t>
  </si>
  <si>
    <t>11:83</t>
  </si>
  <si>
    <t>10:83</t>
  </si>
  <si>
    <t>7:83</t>
  </si>
  <si>
    <t>8:83</t>
  </si>
  <si>
    <t>5:83</t>
  </si>
  <si>
    <t>9:83</t>
  </si>
  <si>
    <t>3:111</t>
  </si>
  <si>
    <t>1001:85</t>
  </si>
  <si>
    <t>11:85</t>
  </si>
  <si>
    <t>10:85</t>
  </si>
  <si>
    <t>7:85</t>
  </si>
  <si>
    <t>8:85</t>
  </si>
  <si>
    <t>5:85</t>
  </si>
  <si>
    <t>9:85</t>
  </si>
  <si>
    <t>3:115</t>
  </si>
  <si>
    <t>2:18</t>
  </si>
  <si>
    <t>1001:87</t>
  </si>
  <si>
    <t>11:87</t>
  </si>
  <si>
    <t>10:87</t>
  </si>
  <si>
    <t>7:87</t>
  </si>
  <si>
    <t>8:87</t>
  </si>
  <si>
    <t>5:87</t>
  </si>
  <si>
    <t>9:87</t>
  </si>
  <si>
    <t>3:119</t>
  </si>
  <si>
    <t>1001:89</t>
  </si>
  <si>
    <t>11:89</t>
  </si>
  <si>
    <t>10:89</t>
  </si>
  <si>
    <t>7:89</t>
  </si>
  <si>
    <t>8:89</t>
  </si>
  <si>
    <t>5:89</t>
  </si>
  <si>
    <t>9:89</t>
  </si>
  <si>
    <t>3:123</t>
  </si>
  <si>
    <t>2:19</t>
  </si>
  <si>
    <t>1001:91</t>
  </si>
  <si>
    <t>11:91</t>
  </si>
  <si>
    <t>10:91</t>
  </si>
  <si>
    <t>7:91</t>
  </si>
  <si>
    <t>8:91</t>
  </si>
  <si>
    <t>5:91</t>
  </si>
  <si>
    <t>9:91</t>
  </si>
  <si>
    <t>3:127</t>
  </si>
  <si>
    <t>1001:93</t>
  </si>
  <si>
    <t>11:93</t>
  </si>
  <si>
    <t>10:93</t>
  </si>
  <si>
    <t>7:93</t>
  </si>
  <si>
    <t>8:93</t>
  </si>
  <si>
    <t>5:93</t>
  </si>
  <si>
    <t>9:93</t>
  </si>
  <si>
    <t>3:131</t>
  </si>
  <si>
    <t>1001:95</t>
  </si>
  <si>
    <t>11:95</t>
  </si>
  <si>
    <t>10:95</t>
  </si>
  <si>
    <t>7:95</t>
  </si>
  <si>
    <t>8:95</t>
  </si>
  <si>
    <t>5:95</t>
  </si>
  <si>
    <t>9:95</t>
  </si>
  <si>
    <t>3:135</t>
  </si>
  <si>
    <t>2:20</t>
  </si>
  <si>
    <t>1001:97</t>
  </si>
  <si>
    <t>11:97</t>
  </si>
  <si>
    <t>10:97</t>
  </si>
  <si>
    <t>7:97</t>
  </si>
  <si>
    <t>8:97</t>
  </si>
  <si>
    <t>5:97</t>
  </si>
  <si>
    <t>9:97</t>
  </si>
  <si>
    <t>3:139</t>
  </si>
  <si>
    <t>1001:99</t>
  </si>
  <si>
    <t>11:99</t>
  </si>
  <si>
    <t>10:99</t>
  </si>
  <si>
    <t>7:99</t>
  </si>
  <si>
    <t>8:99</t>
  </si>
  <si>
    <t>5:99</t>
  </si>
  <si>
    <t>9:99</t>
  </si>
  <si>
    <t>3:143</t>
  </si>
  <si>
    <t>2:21</t>
  </si>
  <si>
    <t>1001:101</t>
  </si>
  <si>
    <t>11:101</t>
  </si>
  <si>
    <t>10:101</t>
  </si>
  <si>
    <t>7:101</t>
  </si>
  <si>
    <t>8:101</t>
  </si>
  <si>
    <t>5:101</t>
  </si>
  <si>
    <t>9:101</t>
  </si>
  <si>
    <t>1001:104</t>
  </si>
  <si>
    <t>11:104</t>
  </si>
  <si>
    <t>10:104</t>
  </si>
  <si>
    <t>7:104</t>
  </si>
  <si>
    <t>8:104</t>
  </si>
  <si>
    <t>5:104</t>
  </si>
  <si>
    <t>9:104</t>
  </si>
  <si>
    <t>3:151</t>
  </si>
  <si>
    <t>1001:107</t>
  </si>
  <si>
    <t>11:107</t>
  </si>
  <si>
    <t>10:107</t>
  </si>
  <si>
    <t>7:107</t>
  </si>
  <si>
    <t>8:107</t>
  </si>
  <si>
    <t>5:107</t>
  </si>
  <si>
    <t>9:107</t>
  </si>
  <si>
    <t>3:155</t>
  </si>
  <si>
    <t>2:22</t>
  </si>
  <si>
    <t>1001:110</t>
  </si>
  <si>
    <t>11:110</t>
  </si>
  <si>
    <t>10:110</t>
  </si>
  <si>
    <t>7:110</t>
  </si>
  <si>
    <t>8:110</t>
  </si>
  <si>
    <t>5:110</t>
  </si>
  <si>
    <t>9:110</t>
  </si>
  <si>
    <t>3:159</t>
  </si>
  <si>
    <t>1001:113</t>
  </si>
  <si>
    <t>11:113</t>
  </si>
  <si>
    <t>10:113</t>
  </si>
  <si>
    <t>7:113</t>
  </si>
  <si>
    <t>8:113</t>
  </si>
  <si>
    <t>5:113</t>
  </si>
  <si>
    <t>9:113</t>
  </si>
  <si>
    <t>3:163</t>
  </si>
  <si>
    <t>2:23</t>
  </si>
  <si>
    <t>1001:116</t>
  </si>
  <si>
    <t>11:116</t>
  </si>
  <si>
    <t>10:116</t>
  </si>
  <si>
    <t>7:116</t>
  </si>
  <si>
    <t>8:116</t>
  </si>
  <si>
    <t>5:116</t>
  </si>
  <si>
    <t>9:116</t>
  </si>
  <si>
    <t>3:167</t>
  </si>
  <si>
    <t>1001:119</t>
  </si>
  <si>
    <t>11:119</t>
  </si>
  <si>
    <t>10:119</t>
  </si>
  <si>
    <t>7:119</t>
  </si>
  <si>
    <t>8:119</t>
  </si>
  <si>
    <t>5:119</t>
  </si>
  <si>
    <t>9:119</t>
  </si>
  <si>
    <t>3:171</t>
  </si>
  <si>
    <t>1001:122</t>
  </si>
  <si>
    <t>11:122</t>
  </si>
  <si>
    <t>10:122</t>
  </si>
  <si>
    <t>7:122</t>
  </si>
  <si>
    <t>8:122</t>
  </si>
  <si>
    <t>5:122</t>
  </si>
  <si>
    <t>9:122</t>
  </si>
  <si>
    <t>3:175</t>
  </si>
  <si>
    <t>2:24</t>
  </si>
  <si>
    <t>1001:125</t>
  </si>
  <si>
    <t>11:125</t>
  </si>
  <si>
    <t>10:125</t>
  </si>
  <si>
    <t>7:125</t>
  </si>
  <si>
    <t>8:125</t>
  </si>
  <si>
    <t>5:125</t>
  </si>
  <si>
    <t>9:125</t>
  </si>
  <si>
    <t>3:179</t>
  </si>
  <si>
    <t>1001:128</t>
  </si>
  <si>
    <t>11:128</t>
  </si>
  <si>
    <t>10:128</t>
  </si>
  <si>
    <t>7:128</t>
  </si>
  <si>
    <t>8:128</t>
  </si>
  <si>
    <t>5:128</t>
  </si>
  <si>
    <t>9:128</t>
  </si>
  <si>
    <t>3:183</t>
  </si>
  <si>
    <t>2:25</t>
  </si>
  <si>
    <t>1001:131</t>
  </si>
  <si>
    <t>11:131</t>
  </si>
  <si>
    <t>10:131</t>
  </si>
  <si>
    <t>7:131</t>
  </si>
  <si>
    <t>8:131</t>
  </si>
  <si>
    <t>5:131</t>
  </si>
  <si>
    <t>9:131</t>
  </si>
  <si>
    <t>3:189</t>
  </si>
  <si>
    <t>1001:134</t>
  </si>
  <si>
    <t>11:134</t>
  </si>
  <si>
    <t>10:134</t>
  </si>
  <si>
    <t>7:134</t>
  </si>
  <si>
    <t>8:134</t>
  </si>
  <si>
    <t>5:134</t>
  </si>
  <si>
    <t>9:134</t>
  </si>
  <si>
    <t>3:195</t>
  </si>
  <si>
    <t>2:26</t>
  </si>
  <si>
    <t>1001:137</t>
  </si>
  <si>
    <t>11:137</t>
  </si>
  <si>
    <t>10:137</t>
  </si>
  <si>
    <t>7:137</t>
  </si>
  <si>
    <t>8:137</t>
  </si>
  <si>
    <t>5:137</t>
  </si>
  <si>
    <t>9:137</t>
  </si>
  <si>
    <t>3:201</t>
  </si>
  <si>
    <t>1001:140</t>
  </si>
  <si>
    <t>11:140</t>
  </si>
  <si>
    <t>10:140</t>
  </si>
  <si>
    <t>7:140</t>
  </si>
  <si>
    <t>8:140</t>
  </si>
  <si>
    <t>5:140</t>
  </si>
  <si>
    <t>9:140</t>
  </si>
  <si>
    <t>3:207</t>
  </si>
  <si>
    <t>2:27</t>
  </si>
  <si>
    <t>1001:143</t>
  </si>
  <si>
    <t>11:143</t>
  </si>
  <si>
    <t>10:143</t>
  </si>
  <si>
    <t>7:143</t>
  </si>
  <si>
    <t>8:143</t>
  </si>
  <si>
    <t>5:143</t>
  </si>
  <si>
    <t>9:143</t>
  </si>
  <si>
    <t>3:213</t>
  </si>
  <si>
    <t>1001:146</t>
  </si>
  <si>
    <t>11:146</t>
  </si>
  <si>
    <t>10:146</t>
  </si>
  <si>
    <t>7:146</t>
  </si>
  <si>
    <t>8:146</t>
  </si>
  <si>
    <t>5:146</t>
  </si>
  <si>
    <t>9:146</t>
  </si>
  <si>
    <t>3:219</t>
  </si>
  <si>
    <t>2:28</t>
  </si>
  <si>
    <t>1001:149</t>
  </si>
  <si>
    <t>11:149</t>
  </si>
  <si>
    <t>10:149</t>
  </si>
  <si>
    <t>7:149</t>
  </si>
  <si>
    <t>8:149</t>
  </si>
  <si>
    <t>5:149</t>
  </si>
  <si>
    <t>9:149</t>
  </si>
  <si>
    <t>3:225</t>
  </si>
  <si>
    <t>1001:152</t>
  </si>
  <si>
    <t>11:152</t>
  </si>
  <si>
    <t>10:152</t>
  </si>
  <si>
    <t>7:152</t>
  </si>
  <si>
    <t>8:152</t>
  </si>
  <si>
    <t>5:152</t>
  </si>
  <si>
    <t>9:152</t>
  </si>
  <si>
    <t>3:231</t>
  </si>
  <si>
    <t>2:29</t>
  </si>
  <si>
    <t>1001:155</t>
  </si>
  <si>
    <t>11:155</t>
  </si>
  <si>
    <t>10:155</t>
  </si>
  <si>
    <t>7:155</t>
  </si>
  <si>
    <t>8:155</t>
  </si>
  <si>
    <t>5:155</t>
  </si>
  <si>
    <t>9:155</t>
  </si>
  <si>
    <t>3:237</t>
  </si>
  <si>
    <t>1001:158</t>
  </si>
  <si>
    <t>11:158</t>
  </si>
  <si>
    <t>10:158</t>
  </si>
  <si>
    <t>7:158</t>
  </si>
  <si>
    <t>8:158</t>
  </si>
  <si>
    <t>5:158</t>
  </si>
  <si>
    <t>9:158</t>
  </si>
  <si>
    <t>3:243</t>
  </si>
  <si>
    <t>2:30</t>
  </si>
  <si>
    <t>1001:161</t>
  </si>
  <si>
    <t>11:161</t>
  </si>
  <si>
    <t>10:161</t>
  </si>
  <si>
    <t>7:161</t>
  </si>
  <si>
    <t>8:161</t>
  </si>
  <si>
    <t>5:161</t>
  </si>
  <si>
    <t>9:161</t>
  </si>
  <si>
    <t>3:249</t>
  </si>
  <si>
    <t>1001:164</t>
  </si>
  <si>
    <t>11:164</t>
  </si>
  <si>
    <t>10:164</t>
  </si>
  <si>
    <t>7:164</t>
  </si>
  <si>
    <t>8:164</t>
  </si>
  <si>
    <t>5:164</t>
  </si>
  <si>
    <t>9:164</t>
  </si>
  <si>
    <t>3:255</t>
  </si>
  <si>
    <t>2:31</t>
  </si>
  <si>
    <t>1001:167</t>
  </si>
  <si>
    <t>11:167</t>
  </si>
  <si>
    <t>10:167</t>
  </si>
  <si>
    <t>7:167</t>
  </si>
  <si>
    <t>8:167</t>
  </si>
  <si>
    <t>5:167</t>
  </si>
  <si>
    <t>9:167</t>
  </si>
  <si>
    <t>3:261</t>
  </si>
  <si>
    <t>1001:170</t>
  </si>
  <si>
    <t>11:170</t>
  </si>
  <si>
    <t>10:170</t>
  </si>
  <si>
    <t>7:170</t>
  </si>
  <si>
    <t>8:170</t>
  </si>
  <si>
    <t>5:170</t>
  </si>
  <si>
    <t>9:170</t>
  </si>
  <si>
    <t>3:267</t>
  </si>
  <si>
    <t>2:32</t>
  </si>
  <si>
    <t>1001:173</t>
  </si>
  <si>
    <t>11:173</t>
  </si>
  <si>
    <t>10:173</t>
  </si>
  <si>
    <t>7:173</t>
  </si>
  <si>
    <t>8:173</t>
  </si>
  <si>
    <t>5:173</t>
  </si>
  <si>
    <t>9:173</t>
  </si>
  <si>
    <t>3:273</t>
  </si>
  <si>
    <t>1001:177</t>
  </si>
  <si>
    <t>11:177</t>
  </si>
  <si>
    <t>10:177</t>
  </si>
  <si>
    <t>7:177</t>
  </si>
  <si>
    <t>8:177</t>
  </si>
  <si>
    <t>5:177</t>
  </si>
  <si>
    <t>9:177</t>
  </si>
  <si>
    <t>3:279</t>
  </si>
  <si>
    <t>2:33</t>
  </si>
  <si>
    <t>1001:181</t>
  </si>
  <si>
    <t>11:181</t>
  </si>
  <si>
    <t>10:181</t>
  </si>
  <si>
    <t>7:181</t>
  </si>
  <si>
    <t>8:181</t>
  </si>
  <si>
    <t>5:181</t>
  </si>
  <si>
    <t>9:181</t>
  </si>
  <si>
    <t>3:285</t>
  </si>
  <si>
    <t>1001:185</t>
  </si>
  <si>
    <t>11:185</t>
  </si>
  <si>
    <t>10:185</t>
  </si>
  <si>
    <t>7:185</t>
  </si>
  <si>
    <t>8:185</t>
  </si>
  <si>
    <t>5:185</t>
  </si>
  <si>
    <t>9:185</t>
  </si>
  <si>
    <t>3:291</t>
  </si>
  <si>
    <t>2:34</t>
  </si>
  <si>
    <t>1001:189</t>
  </si>
  <si>
    <t>11:189</t>
  </si>
  <si>
    <t>10:189</t>
  </si>
  <si>
    <t>7:189</t>
  </si>
  <si>
    <t>8:189</t>
  </si>
  <si>
    <t>5:189</t>
  </si>
  <si>
    <t>9:189</t>
  </si>
  <si>
    <t>3:297</t>
  </si>
  <si>
    <t>1001:193</t>
  </si>
  <si>
    <t>11:193</t>
  </si>
  <si>
    <t>10:193</t>
  </si>
  <si>
    <t>7:193</t>
  </si>
  <si>
    <t>8:193</t>
  </si>
  <si>
    <t>5:193</t>
  </si>
  <si>
    <t>9:193</t>
  </si>
  <si>
    <t>3:303</t>
  </si>
  <si>
    <t>2:35</t>
  </si>
  <si>
    <t>1001:197</t>
  </si>
  <si>
    <t>11:197</t>
  </si>
  <si>
    <t>10:197</t>
  </si>
  <si>
    <t>7:197</t>
  </si>
  <si>
    <t>8:197</t>
  </si>
  <si>
    <t>5:197</t>
  </si>
  <si>
    <t>9:197</t>
  </si>
  <si>
    <t>3:311</t>
  </si>
  <si>
    <t>1001:201</t>
  </si>
  <si>
    <t>11:201</t>
  </si>
  <si>
    <t>10:201</t>
  </si>
  <si>
    <t>7:201</t>
  </si>
  <si>
    <t>8:201</t>
  </si>
  <si>
    <t>5:201</t>
  </si>
  <si>
    <t>9:201</t>
  </si>
  <si>
    <t>3:319</t>
  </si>
  <si>
    <t>2:36</t>
  </si>
  <si>
    <t>1001:205</t>
  </si>
  <si>
    <t>11:205</t>
  </si>
  <si>
    <t>10:205</t>
  </si>
  <si>
    <t>7:205</t>
  </si>
  <si>
    <t>8:205</t>
  </si>
  <si>
    <t>5:205</t>
  </si>
  <si>
    <t>9:205</t>
  </si>
  <si>
    <t>3:327</t>
  </si>
  <si>
    <t>1001:209</t>
  </si>
  <si>
    <t>11:209</t>
  </si>
  <si>
    <t>10:209</t>
  </si>
  <si>
    <t>7:209</t>
  </si>
  <si>
    <t>8:209</t>
  </si>
  <si>
    <t>5:209</t>
  </si>
  <si>
    <t>9:209</t>
  </si>
  <si>
    <t>3:335</t>
  </si>
  <si>
    <t>2:37</t>
  </si>
  <si>
    <t>1001:213</t>
  </si>
  <si>
    <t>11:213</t>
  </si>
  <si>
    <t>10:213</t>
  </si>
  <si>
    <t>7:213</t>
  </si>
  <si>
    <t>8:213</t>
  </si>
  <si>
    <t>5:213</t>
  </si>
  <si>
    <t>9:213</t>
  </si>
  <si>
    <t>3:343</t>
  </si>
  <si>
    <t>1001:217</t>
  </si>
  <si>
    <t>11:217</t>
  </si>
  <si>
    <t>10:217</t>
  </si>
  <si>
    <t>7:217</t>
  </si>
  <si>
    <t>8:217</t>
  </si>
  <si>
    <t>5:217</t>
  </si>
  <si>
    <t>9:217</t>
  </si>
  <si>
    <t>3:351</t>
  </si>
  <si>
    <t>2:38</t>
  </si>
  <si>
    <t>1001:221</t>
  </si>
  <si>
    <t>11:221</t>
  </si>
  <si>
    <t>10:221</t>
  </si>
  <si>
    <t>7:221</t>
  </si>
  <si>
    <t>8:221</t>
  </si>
  <si>
    <t>5:221</t>
  </si>
  <si>
    <t>9:221</t>
  </si>
  <si>
    <t>3:359</t>
  </si>
  <si>
    <t>1001:225</t>
  </si>
  <si>
    <t>11:225</t>
  </si>
  <si>
    <t>10:225</t>
  </si>
  <si>
    <t>7:225</t>
  </si>
  <si>
    <t>8:225</t>
  </si>
  <si>
    <t>5:225</t>
  </si>
  <si>
    <t>9:225</t>
  </si>
  <si>
    <t>3:367</t>
  </si>
  <si>
    <t>2:39</t>
  </si>
  <si>
    <t>1001:229</t>
  </si>
  <si>
    <t>11:229</t>
  </si>
  <si>
    <t>10:229</t>
  </si>
  <si>
    <t>7:229</t>
  </si>
  <si>
    <t>8:229</t>
  </si>
  <si>
    <t>5:229</t>
  </si>
  <si>
    <t>9:229</t>
  </si>
  <si>
    <t>3:375</t>
  </si>
  <si>
    <t>1001:233</t>
  </si>
  <si>
    <t>11:233</t>
  </si>
  <si>
    <t>10:233</t>
  </si>
  <si>
    <t>7:233</t>
  </si>
  <si>
    <t>8:233</t>
  </si>
  <si>
    <t>5:233</t>
  </si>
  <si>
    <t>9:233</t>
  </si>
  <si>
    <t>3:383</t>
  </si>
  <si>
    <t>2:40</t>
  </si>
  <si>
    <t>1001:237</t>
  </si>
  <si>
    <t>11:237</t>
  </si>
  <si>
    <t>10:237</t>
  </si>
  <si>
    <t>7:237</t>
  </si>
  <si>
    <t>8:237</t>
  </si>
  <si>
    <t>5:237</t>
  </si>
  <si>
    <t>9:237</t>
  </si>
  <si>
    <t>3:393</t>
  </si>
  <si>
    <t>1001:242</t>
  </si>
  <si>
    <t>11:242</t>
  </si>
  <si>
    <t>10:242</t>
  </si>
  <si>
    <t>7:242</t>
  </si>
  <si>
    <t>8:242</t>
  </si>
  <si>
    <t>5:242</t>
  </si>
  <si>
    <t>9:242</t>
  </si>
  <si>
    <t>3:403</t>
  </si>
  <si>
    <t>2:41</t>
  </si>
  <si>
    <t>1001:247</t>
  </si>
  <si>
    <t>11:247</t>
  </si>
  <si>
    <t>10:247</t>
  </si>
  <si>
    <t>7:247</t>
  </si>
  <si>
    <t>8:247</t>
  </si>
  <si>
    <t>5:247</t>
  </si>
  <si>
    <t>9:247</t>
  </si>
  <si>
    <t>3:413</t>
  </si>
  <si>
    <t>1001:252</t>
  </si>
  <si>
    <t>11:252</t>
  </si>
  <si>
    <t>10:252</t>
  </si>
  <si>
    <t>7:252</t>
  </si>
  <si>
    <t>8:252</t>
  </si>
  <si>
    <t>5:252</t>
  </si>
  <si>
    <t>9:252</t>
  </si>
  <si>
    <t>3:423</t>
  </si>
  <si>
    <t>2:42</t>
  </si>
  <si>
    <t>1001:257</t>
  </si>
  <si>
    <t>11:257</t>
  </si>
  <si>
    <t>10:257</t>
  </si>
  <si>
    <t>7:257</t>
  </si>
  <si>
    <t>8:257</t>
  </si>
  <si>
    <t>5:257</t>
  </si>
  <si>
    <t>9:257</t>
  </si>
  <si>
    <t>3:434</t>
  </si>
  <si>
    <t>1001:263</t>
  </si>
  <si>
    <t>11:263</t>
  </si>
  <si>
    <t>10:263</t>
  </si>
  <si>
    <t>7:263</t>
  </si>
  <si>
    <t>8:263</t>
  </si>
  <si>
    <t>5:263</t>
  </si>
  <si>
    <t>9:263</t>
  </si>
  <si>
    <t>3:446</t>
  </si>
  <si>
    <t>2:43</t>
  </si>
  <si>
    <t>1001:269</t>
  </si>
  <si>
    <t>11:269</t>
  </si>
  <si>
    <t>10:269</t>
  </si>
  <si>
    <t>7:269</t>
  </si>
  <si>
    <t>8:269</t>
  </si>
  <si>
    <t>5:269</t>
  </si>
  <si>
    <t>9:269</t>
  </si>
  <si>
    <t>3:458</t>
  </si>
  <si>
    <t>1001:275</t>
  </si>
  <si>
    <t>11:275</t>
  </si>
  <si>
    <t>10:275</t>
  </si>
  <si>
    <t>7:275</t>
  </si>
  <si>
    <t>8:275</t>
  </si>
  <si>
    <t>5:275</t>
  </si>
  <si>
    <t>9:275</t>
  </si>
  <si>
    <t>3:471</t>
  </si>
  <si>
    <t>2:44</t>
  </si>
  <si>
    <t>1001:282</t>
  </si>
  <si>
    <t>11:282</t>
  </si>
  <si>
    <t>10:282</t>
  </si>
  <si>
    <t>7:282</t>
  </si>
  <si>
    <t>8:282</t>
  </si>
  <si>
    <t>5:282</t>
  </si>
  <si>
    <t>9:282</t>
  </si>
  <si>
    <t>3:484</t>
  </si>
  <si>
    <t>1001:290</t>
  </si>
  <si>
    <t>11:290</t>
  </si>
  <si>
    <t>10:290</t>
  </si>
  <si>
    <t>7:290</t>
  </si>
  <si>
    <t>8:290</t>
  </si>
  <si>
    <t>5:290</t>
  </si>
  <si>
    <t>9:290</t>
  </si>
  <si>
    <t>3:500</t>
  </si>
  <si>
    <t>2:45</t>
  </si>
  <si>
    <t>1001:300</t>
  </si>
  <si>
    <t>11:300</t>
  </si>
  <si>
    <t>10:300</t>
  </si>
  <si>
    <t>7:300</t>
  </si>
  <si>
    <t>8:300</t>
  </si>
  <si>
    <t>5:300</t>
  </si>
  <si>
    <t>9:300</t>
  </si>
  <si>
    <t>起始分组</t>
  </si>
  <si>
    <t>结束分组</t>
  </si>
  <si>
    <t>分组变更概率</t>
  </si>
  <si>
    <r>
      <rPr>
        <sz val="11"/>
        <color theme="1"/>
        <rFont val="等线"/>
        <family val="3"/>
        <charset val="134"/>
        <scheme val="minor"/>
      </rPr>
      <t>1:70#2:20#3:</t>
    </r>
    <r>
      <rPr>
        <sz val="11"/>
        <color theme="1"/>
        <rFont val="等线"/>
        <family val="3"/>
        <charset val="134"/>
        <scheme val="minor"/>
      </rPr>
      <t>8#5:2</t>
    </r>
  </si>
  <si>
    <t>1:75#2:18#3:5#5:2</t>
  </si>
  <si>
    <r>
      <rPr>
        <sz val="11"/>
        <color theme="1"/>
        <rFont val="等线"/>
        <family val="3"/>
        <charset val="134"/>
        <scheme val="minor"/>
      </rPr>
      <t>1:80#2:15#3:</t>
    </r>
    <r>
      <rPr>
        <sz val="11"/>
        <color theme="1"/>
        <rFont val="等线"/>
        <family val="3"/>
        <charset val="134"/>
        <scheme val="minor"/>
      </rPr>
      <t>3#5:2</t>
    </r>
  </si>
  <si>
    <t>0:100</t>
  </si>
  <si>
    <t>3:58488#10000:2285</t>
  </si>
  <si>
    <t>3:81883#10000:3199</t>
  </si>
  <si>
    <t>1:438799#10003:181</t>
  </si>
  <si>
    <t>1:614319#10003:253</t>
  </si>
  <si>
    <t>1:292522#10005:181</t>
  </si>
  <si>
    <t>1:409531#10005:253</t>
  </si>
  <si>
    <t>3:38980#2:494</t>
  </si>
  <si>
    <t>3:54572#2:692</t>
  </si>
  <si>
    <t>3:14622#10000:570</t>
  </si>
  <si>
    <t>3:20471#10000:798</t>
  </si>
  <si>
    <t>1:109700#10003:45</t>
  </si>
  <si>
    <t>1:153580#10003:63</t>
  </si>
  <si>
    <t>1:73132#10005:45</t>
  </si>
  <si>
    <t>1:102385#10005:63</t>
  </si>
  <si>
    <t>3:9745#2:123</t>
  </si>
  <si>
    <t>3:13643#2:172</t>
  </si>
  <si>
    <r>
      <t>3:100258:1</t>
    </r>
    <r>
      <rPr>
        <sz val="11"/>
        <color theme="1"/>
        <rFont val="等线"/>
        <family val="3"/>
        <charset val="134"/>
        <scheme val="minor"/>
      </rPr>
      <t>5</t>
    </r>
    <phoneticPr fontId="7" type="noConversion"/>
  </si>
  <si>
    <r>
      <t>3:100258: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0</t>
    </r>
    <phoneticPr fontId="7" type="noConversion"/>
  </si>
  <si>
    <r>
      <t>3:100258:</t>
    </r>
    <r>
      <rPr>
        <sz val="11"/>
        <color theme="1"/>
        <rFont val="等线"/>
        <family val="3"/>
        <charset val="134"/>
        <scheme val="minor"/>
      </rPr>
      <t>30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</si>
</sst>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859614856410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3" borderId="1" applyNumberFormat="0" applyAlignment="0" applyProtection="0">
      <alignment vertical="center"/>
    </xf>
    <xf numFmtId="0" fontId="4" fillId="0" borderId="0"/>
  </cellStyleXfs>
  <cellXfs count="91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3" borderId="1" xfId="1" applyAlignment="1">
      <alignment horizontal="center" vertical="center"/>
    </xf>
    <xf numFmtId="0" fontId="1" fillId="3" borderId="1" xfId="1" applyAlignment="1">
      <alignment horizontal="center"/>
    </xf>
    <xf numFmtId="49" fontId="1" fillId="3" borderId="1" xfId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" fillId="3" borderId="2" xfId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" xfId="1">
      <alignment vertical="center"/>
    </xf>
    <xf numFmtId="49" fontId="1" fillId="3" borderId="1" xfId="1" applyNumberFormat="1">
      <alignment vertical="center"/>
    </xf>
    <xf numFmtId="0" fontId="0" fillId="6" borderId="0" xfId="0" applyNumberFormat="1" applyFill="1" applyAlignment="1">
      <alignment horizontal="center" vertical="center"/>
    </xf>
    <xf numFmtId="0" fontId="2" fillId="8" borderId="0" xfId="2" applyFont="1" applyFill="1" applyAlignment="1">
      <alignment horizontal="center" vertical="center"/>
    </xf>
    <xf numFmtId="0" fontId="2" fillId="9" borderId="0" xfId="2" applyFont="1" applyFill="1" applyAlignment="1">
      <alignment horizontal="center" vertical="center"/>
    </xf>
    <xf numFmtId="0" fontId="2" fillId="10" borderId="0" xfId="2" applyFont="1" applyFill="1" applyAlignment="1">
      <alignment horizontal="center" vertical="center"/>
    </xf>
    <xf numFmtId="0" fontId="2" fillId="11" borderId="0" xfId="2" applyFont="1" applyFill="1" applyAlignment="1">
      <alignment horizontal="center" vertical="center"/>
    </xf>
    <xf numFmtId="0" fontId="2" fillId="12" borderId="0" xfId="2" applyFont="1" applyFill="1"/>
    <xf numFmtId="0" fontId="2" fillId="8" borderId="0" xfId="2" applyFont="1" applyFill="1"/>
    <xf numFmtId="0" fontId="2" fillId="9" borderId="0" xfId="2" applyFont="1" applyFill="1"/>
    <xf numFmtId="0" fontId="2" fillId="10" borderId="0" xfId="2" applyFont="1" applyFill="1"/>
    <xf numFmtId="0" fontId="2" fillId="11" borderId="0" xfId="2" applyFont="1" applyFill="1"/>
    <xf numFmtId="0" fontId="2" fillId="0" borderId="0" xfId="2" applyFont="1" applyAlignment="1">
      <alignment horizontal="center" vertical="center"/>
    </xf>
    <xf numFmtId="0" fontId="2" fillId="0" borderId="0" xfId="2" applyNumberFormat="1" applyFont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right"/>
    </xf>
    <xf numFmtId="49" fontId="2" fillId="0" borderId="0" xfId="2" applyNumberFormat="1" applyFont="1" applyAlignment="1">
      <alignment horizontal="center"/>
    </xf>
    <xf numFmtId="0" fontId="2" fillId="0" borderId="0" xfId="2" applyNumberFormat="1" applyFont="1" applyAlignment="1">
      <alignment horizontal="center"/>
    </xf>
    <xf numFmtId="0" fontId="2" fillId="0" borderId="0" xfId="2" applyFont="1"/>
    <xf numFmtId="0" fontId="2" fillId="12" borderId="0" xfId="2" applyFont="1" applyFill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49" fontId="2" fillId="12" borderId="0" xfId="2" applyNumberFormat="1" applyFont="1" applyFill="1" applyAlignment="1">
      <alignment horizontal="left" vertical="center"/>
    </xf>
    <xf numFmtId="0" fontId="2" fillId="12" borderId="0" xfId="2" applyFont="1" applyFill="1" applyAlignment="1">
      <alignment horizontal="left" vertical="center"/>
    </xf>
    <xf numFmtId="49" fontId="2" fillId="0" borderId="0" xfId="2" applyNumberFormat="1" applyFont="1" applyAlignment="1">
      <alignment horizontal="left" vertical="center"/>
    </xf>
    <xf numFmtId="0" fontId="2" fillId="12" borderId="0" xfId="2" applyFont="1" applyFill="1" applyAlignment="1">
      <alignment horizontal="center"/>
    </xf>
    <xf numFmtId="0" fontId="2" fillId="12" borderId="0" xfId="2" applyFont="1" applyFill="1" applyAlignment="1">
      <alignment horizontal="right"/>
    </xf>
    <xf numFmtId="0" fontId="2" fillId="0" borderId="0" xfId="2" applyFont="1" applyAlignment="1">
      <alignment horizontal="left"/>
    </xf>
    <xf numFmtId="49" fontId="2" fillId="0" borderId="0" xfId="2" applyNumberFormat="1" applyFont="1" applyAlignment="1">
      <alignment horizontal="center" vertical="center"/>
    </xf>
    <xf numFmtId="0" fontId="2" fillId="0" borderId="0" xfId="2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2" applyFont="1"/>
    <xf numFmtId="49" fontId="2" fillId="12" borderId="0" xfId="2" applyNumberFormat="1" applyFont="1" applyFill="1" applyAlignment="1">
      <alignment horizontal="center"/>
    </xf>
    <xf numFmtId="0" fontId="2" fillId="12" borderId="0" xfId="2" applyNumberFormat="1" applyFont="1" applyFill="1" applyAlignment="1">
      <alignment horizontal="center"/>
    </xf>
    <xf numFmtId="49" fontId="2" fillId="12" borderId="0" xfId="2" applyNumberFormat="1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49" fontId="2" fillId="8" borderId="0" xfId="2" applyNumberFormat="1" applyFont="1" applyFill="1" applyAlignment="1">
      <alignment horizontal="left" vertical="center"/>
    </xf>
    <xf numFmtId="0" fontId="2" fillId="8" borderId="0" xfId="2" applyFont="1" applyFill="1" applyAlignment="1">
      <alignment horizontal="left" vertical="center"/>
    </xf>
    <xf numFmtId="49" fontId="2" fillId="9" borderId="0" xfId="2" applyNumberFormat="1" applyFont="1" applyFill="1" applyAlignment="1">
      <alignment horizontal="left" vertical="center"/>
    </xf>
    <xf numFmtId="0" fontId="2" fillId="9" borderId="0" xfId="2" applyFont="1" applyFill="1" applyAlignment="1">
      <alignment horizontal="left" vertical="center"/>
    </xf>
    <xf numFmtId="49" fontId="2" fillId="10" borderId="0" xfId="2" applyNumberFormat="1" applyFont="1" applyFill="1" applyAlignment="1">
      <alignment horizontal="left" vertical="center"/>
    </xf>
    <xf numFmtId="0" fontId="2" fillId="10" borderId="0" xfId="2" applyFont="1" applyFill="1" applyAlignment="1">
      <alignment horizontal="left" vertical="center"/>
    </xf>
    <xf numFmtId="49" fontId="2" fillId="11" borderId="0" xfId="2" applyNumberFormat="1" applyFont="1" applyFill="1" applyAlignment="1">
      <alignment horizontal="left" vertical="center"/>
    </xf>
    <xf numFmtId="0" fontId="2" fillId="11" borderId="0" xfId="2" applyFont="1" applyFill="1" applyAlignment="1">
      <alignment horizontal="left" vertical="center"/>
    </xf>
    <xf numFmtId="0" fontId="2" fillId="0" borderId="0" xfId="2" applyFont="1" applyBorder="1" applyAlignment="1">
      <alignment horizontal="center"/>
    </xf>
    <xf numFmtId="0" fontId="2" fillId="8" borderId="0" xfId="2" applyFont="1" applyFill="1" applyAlignment="1">
      <alignment horizontal="center"/>
    </xf>
    <xf numFmtId="0" fontId="2" fillId="8" borderId="0" xfId="2" applyFont="1" applyFill="1" applyAlignment="1">
      <alignment horizontal="right"/>
    </xf>
    <xf numFmtId="0" fontId="2" fillId="9" borderId="0" xfId="2" applyFont="1" applyFill="1" applyAlignment="1">
      <alignment horizontal="center"/>
    </xf>
    <xf numFmtId="0" fontId="2" fillId="9" borderId="0" xfId="2" applyFont="1" applyFill="1" applyAlignment="1">
      <alignment horizontal="right"/>
    </xf>
    <xf numFmtId="0" fontId="2" fillId="10" borderId="0" xfId="2" applyFont="1" applyFill="1" applyAlignment="1">
      <alignment horizontal="center"/>
    </xf>
    <xf numFmtId="0" fontId="2" fillId="10" borderId="0" xfId="2" applyFont="1" applyFill="1" applyAlignment="1">
      <alignment horizontal="right"/>
    </xf>
    <xf numFmtId="0" fontId="2" fillId="11" borderId="0" xfId="2" applyFont="1" applyFill="1" applyAlignment="1">
      <alignment horizontal="center"/>
    </xf>
    <xf numFmtId="0" fontId="2" fillId="11" borderId="0" xfId="2" applyFont="1" applyFill="1" applyAlignment="1">
      <alignment horizontal="right"/>
    </xf>
    <xf numFmtId="49" fontId="2" fillId="0" borderId="0" xfId="2" applyNumberFormat="1" applyFont="1" applyBorder="1" applyAlignment="1">
      <alignment horizontal="center"/>
    </xf>
    <xf numFmtId="20" fontId="2" fillId="8" borderId="0" xfId="2" applyNumberFormat="1" applyFont="1" applyFill="1" applyAlignment="1">
      <alignment horizontal="left"/>
    </xf>
    <xf numFmtId="20" fontId="2" fillId="12" borderId="0" xfId="2" applyNumberFormat="1" applyFont="1" applyFill="1" applyAlignment="1">
      <alignment horizontal="left"/>
    </xf>
    <xf numFmtId="0" fontId="2" fillId="8" borderId="0" xfId="2" applyNumberFormat="1" applyFont="1" applyFill="1" applyAlignment="1">
      <alignment horizontal="left"/>
    </xf>
    <xf numFmtId="49" fontId="2" fillId="8" borderId="0" xfId="2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2" fillId="9" borderId="0" xfId="2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2" fillId="10" borderId="0" xfId="2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49" fontId="2" fillId="11" borderId="0" xfId="2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49" fontId="8" fillId="0" borderId="0" xfId="0" applyNumberFormat="1" applyFont="1">
      <alignment vertical="center"/>
    </xf>
  </cellXfs>
  <cellStyles count="3">
    <cellStyle name="常规" xfId="0" builtinId="0"/>
    <cellStyle name="常规 2" xfId="2"/>
    <cellStyle name="计算" xfId="1" builtinId="22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tabSelected="1" workbookViewId="0">
      <pane xSplit="2" ySplit="1" topLeftCell="C55" activePane="bottomRight" state="frozen"/>
      <selection pane="topRight"/>
      <selection pane="bottomLeft"/>
      <selection pane="bottomRight" activeCell="O70" sqref="O70"/>
    </sheetView>
  </sheetViews>
  <sheetFormatPr defaultColWidth="9" defaultRowHeight="16.5" x14ac:dyDescent="0.35"/>
  <cols>
    <col min="1" max="1" width="9.5" style="37" customWidth="1"/>
    <col min="2" max="2" width="10" style="37" customWidth="1"/>
    <col min="3" max="3" width="5.5" style="37" customWidth="1"/>
    <col min="4" max="5" width="4.75" style="37" customWidth="1"/>
    <col min="6" max="8" width="8.75" style="37" customWidth="1"/>
    <col min="9" max="9" width="8.5" style="37" customWidth="1"/>
    <col min="10" max="10" width="7.875" style="38" customWidth="1"/>
    <col min="11" max="12" width="8" style="37" customWidth="1"/>
    <col min="13" max="13" width="13.125" style="39" customWidth="1"/>
    <col min="14" max="14" width="11.375" style="37" customWidth="1"/>
    <col min="15" max="15" width="9.625" style="37" customWidth="1"/>
    <col min="16" max="17" width="8" style="37" customWidth="1"/>
    <col min="18" max="18" width="13.125" style="40" customWidth="1"/>
    <col min="19" max="19" width="24.375" style="41" customWidth="1"/>
    <col min="20" max="20" width="8" style="40" customWidth="1"/>
    <col min="21" max="21" width="13.375" style="40" customWidth="1"/>
    <col min="22" max="22" width="26.625" style="40" customWidth="1"/>
    <col min="23" max="23" width="19" style="40" customWidth="1"/>
    <col min="24" max="24" width="15.375" style="40" customWidth="1"/>
    <col min="25" max="25" width="17.125" style="42" customWidth="1"/>
    <col min="26" max="26" width="17.125" style="40" customWidth="1"/>
    <col min="27" max="28" width="12" style="40" customWidth="1"/>
    <col min="29" max="29" width="12" style="43" customWidth="1"/>
    <col min="30" max="30" width="12" style="37" customWidth="1"/>
    <col min="31" max="31" width="13.625" style="37" customWidth="1"/>
    <col min="32" max="32" width="10" style="44" customWidth="1"/>
    <col min="33" max="33" width="9" style="40"/>
    <col min="34" max="16384" width="9" style="44"/>
  </cols>
  <sheetData>
    <row r="1" spans="1:33" x14ac:dyDescent="0.3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8" t="s">
        <v>9</v>
      </c>
      <c r="K1" s="37" t="s">
        <v>10</v>
      </c>
      <c r="L1" s="37" t="s">
        <v>11</v>
      </c>
      <c r="M1" s="39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40" t="s">
        <v>18</v>
      </c>
      <c r="T1" s="40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53" t="s">
        <v>24</v>
      </c>
      <c r="Z1" s="37" t="s">
        <v>25</v>
      </c>
      <c r="AA1" s="37" t="s">
        <v>26</v>
      </c>
      <c r="AB1" s="37" t="s">
        <v>27</v>
      </c>
      <c r="AC1" s="54" t="s">
        <v>28</v>
      </c>
      <c r="AD1" s="55" t="s">
        <v>29</v>
      </c>
      <c r="AE1" s="55" t="s">
        <v>30</v>
      </c>
      <c r="AF1" s="56" t="s">
        <v>31</v>
      </c>
      <c r="AG1" s="40" t="s">
        <v>32</v>
      </c>
    </row>
    <row r="2" spans="1:33" s="32" customFormat="1" x14ac:dyDescent="0.35">
      <c r="A2" s="45">
        <v>90000000</v>
      </c>
      <c r="B2" s="45" t="s">
        <v>33</v>
      </c>
      <c r="C2" s="45">
        <v>1017</v>
      </c>
      <c r="D2" s="45">
        <v>1</v>
      </c>
      <c r="E2" s="45">
        <v>0</v>
      </c>
      <c r="F2" s="45">
        <v>1</v>
      </c>
      <c r="G2" s="45">
        <v>5</v>
      </c>
      <c r="H2" s="45">
        <v>10</v>
      </c>
      <c r="I2" s="45">
        <v>250</v>
      </c>
      <c r="J2" s="47" t="s">
        <v>34</v>
      </c>
      <c r="K2" s="45">
        <v>0</v>
      </c>
      <c r="L2" s="45">
        <v>0</v>
      </c>
      <c r="M2" s="48" t="s">
        <v>35</v>
      </c>
      <c r="N2" s="45">
        <v>1</v>
      </c>
      <c r="O2" s="45">
        <v>0</v>
      </c>
      <c r="P2" s="45">
        <v>0</v>
      </c>
      <c r="Q2" s="45">
        <v>0</v>
      </c>
      <c r="R2" s="50">
        <v>0</v>
      </c>
      <c r="S2" s="51"/>
      <c r="T2" s="50"/>
      <c r="U2" s="50"/>
      <c r="V2" s="50"/>
      <c r="W2" s="50"/>
      <c r="X2" s="50"/>
      <c r="Y2" s="57"/>
      <c r="Z2" s="50">
        <v>1</v>
      </c>
      <c r="AA2" s="50"/>
      <c r="AB2" s="50"/>
      <c r="AC2" s="58"/>
      <c r="AD2" s="59" t="s">
        <v>36</v>
      </c>
      <c r="AE2" s="60">
        <v>43</v>
      </c>
      <c r="AF2" s="32">
        <f>AE2*2</f>
        <v>86</v>
      </c>
      <c r="AG2" s="50">
        <v>1</v>
      </c>
    </row>
    <row r="3" spans="1:33" x14ac:dyDescent="0.35">
      <c r="A3" s="37">
        <v>19000100</v>
      </c>
      <c r="B3" s="37" t="s">
        <v>37</v>
      </c>
      <c r="C3" s="37">
        <v>1001</v>
      </c>
      <c r="D3" s="37">
        <v>1</v>
      </c>
      <c r="E3" s="37">
        <v>0</v>
      </c>
      <c r="F3" s="28">
        <v>1</v>
      </c>
      <c r="G3" s="37">
        <v>0</v>
      </c>
      <c r="H3" s="37">
        <v>1</v>
      </c>
      <c r="I3" s="37">
        <v>250</v>
      </c>
      <c r="J3" s="49" t="s">
        <v>38</v>
      </c>
      <c r="K3" s="37">
        <v>0</v>
      </c>
      <c r="L3" s="37">
        <v>0</v>
      </c>
      <c r="M3" s="39" t="s">
        <v>35</v>
      </c>
      <c r="N3" s="37">
        <v>999</v>
      </c>
      <c r="O3" s="37">
        <v>0</v>
      </c>
      <c r="P3" s="37">
        <v>0</v>
      </c>
      <c r="Q3" s="37">
        <v>0</v>
      </c>
      <c r="R3" s="40">
        <v>0</v>
      </c>
      <c r="Z3" s="40">
        <v>0</v>
      </c>
      <c r="AD3" s="53" t="s">
        <v>36</v>
      </c>
      <c r="AE3" s="8">
        <v>43</v>
      </c>
      <c r="AF3" s="44">
        <f>AE3*2</f>
        <v>86</v>
      </c>
      <c r="AG3" s="40">
        <v>12.6590935320505</v>
      </c>
    </row>
    <row r="4" spans="1:33" x14ac:dyDescent="0.35">
      <c r="A4" s="37">
        <v>19000101</v>
      </c>
      <c r="B4" s="37" t="s">
        <v>39</v>
      </c>
      <c r="C4" s="37">
        <v>1002</v>
      </c>
      <c r="D4" s="37">
        <v>1</v>
      </c>
      <c r="E4" s="37">
        <v>0</v>
      </c>
      <c r="F4" s="28">
        <v>1</v>
      </c>
      <c r="G4" s="37">
        <v>1</v>
      </c>
      <c r="H4" s="37">
        <v>1</v>
      </c>
      <c r="I4" s="37">
        <v>500</v>
      </c>
      <c r="J4" s="49" t="s">
        <v>40</v>
      </c>
      <c r="K4" s="37">
        <v>0</v>
      </c>
      <c r="L4" s="37">
        <v>0</v>
      </c>
      <c r="M4" s="39" t="s">
        <v>35</v>
      </c>
      <c r="N4" s="37">
        <v>999</v>
      </c>
      <c r="O4" s="37">
        <v>0</v>
      </c>
      <c r="P4" s="37">
        <v>0</v>
      </c>
      <c r="Q4" s="37">
        <v>0</v>
      </c>
      <c r="R4" s="40">
        <v>0</v>
      </c>
      <c r="S4" s="41" t="s">
        <v>41</v>
      </c>
      <c r="Z4" s="40">
        <v>0</v>
      </c>
      <c r="AD4" s="53" t="s">
        <v>36</v>
      </c>
      <c r="AE4" s="8">
        <v>52</v>
      </c>
      <c r="AF4" s="44">
        <f t="shared" ref="AF4:AF6" si="0">AE4*2</f>
        <v>104</v>
      </c>
      <c r="AG4" s="40">
        <v>15.003370112059899</v>
      </c>
    </row>
    <row r="5" spans="1:33" x14ac:dyDescent="0.35">
      <c r="A5" s="37">
        <v>19000102</v>
      </c>
      <c r="B5" s="37" t="s">
        <v>42</v>
      </c>
      <c r="C5" s="37">
        <v>1003</v>
      </c>
      <c r="D5" s="37">
        <v>1</v>
      </c>
      <c r="E5" s="37">
        <v>0</v>
      </c>
      <c r="F5" s="28">
        <v>1</v>
      </c>
      <c r="G5" s="37">
        <v>2</v>
      </c>
      <c r="H5" s="37">
        <v>1</v>
      </c>
      <c r="I5" s="37">
        <v>1000</v>
      </c>
      <c r="J5" s="49" t="s">
        <v>43</v>
      </c>
      <c r="K5" s="37">
        <v>0</v>
      </c>
      <c r="L5" s="37">
        <v>0</v>
      </c>
      <c r="M5" s="39" t="s">
        <v>35</v>
      </c>
      <c r="N5" s="37">
        <v>999</v>
      </c>
      <c r="O5" s="37">
        <v>0</v>
      </c>
      <c r="P5" s="37">
        <v>0</v>
      </c>
      <c r="Q5" s="37">
        <v>0</v>
      </c>
      <c r="R5" s="40">
        <v>0</v>
      </c>
      <c r="S5" s="41" t="s">
        <v>44</v>
      </c>
      <c r="Z5" s="40">
        <v>0</v>
      </c>
      <c r="AD5" s="53" t="s">
        <v>36</v>
      </c>
      <c r="AE5" s="8">
        <v>88</v>
      </c>
      <c r="AF5" s="44">
        <f t="shared" si="0"/>
        <v>176</v>
      </c>
      <c r="AG5" s="40">
        <v>40.509099302561701</v>
      </c>
    </row>
    <row r="6" spans="1:33" x14ac:dyDescent="0.35">
      <c r="A6" s="37">
        <v>19000103</v>
      </c>
      <c r="B6" s="37" t="s">
        <v>45</v>
      </c>
      <c r="C6" s="37">
        <v>1004</v>
      </c>
      <c r="D6" s="37">
        <v>1</v>
      </c>
      <c r="E6" s="37">
        <v>0</v>
      </c>
      <c r="F6" s="28">
        <v>1</v>
      </c>
      <c r="G6" s="37">
        <v>2</v>
      </c>
      <c r="H6" s="37">
        <v>2</v>
      </c>
      <c r="I6" s="37">
        <v>2000</v>
      </c>
      <c r="J6" s="49" t="s">
        <v>46</v>
      </c>
      <c r="K6" s="37">
        <v>0</v>
      </c>
      <c r="L6" s="37">
        <v>0</v>
      </c>
      <c r="M6" s="39" t="s">
        <v>35</v>
      </c>
      <c r="N6" s="37">
        <v>999</v>
      </c>
      <c r="O6" s="37">
        <v>0</v>
      </c>
      <c r="P6" s="37">
        <v>0</v>
      </c>
      <c r="Q6" s="37">
        <v>0</v>
      </c>
      <c r="R6" s="40">
        <v>0</v>
      </c>
      <c r="S6" s="41" t="s">
        <v>47</v>
      </c>
      <c r="Z6" s="40">
        <v>0</v>
      </c>
      <c r="AD6" s="53" t="s">
        <v>36</v>
      </c>
      <c r="AE6" s="8">
        <v>112</v>
      </c>
      <c r="AF6" s="44">
        <f t="shared" si="0"/>
        <v>224</v>
      </c>
      <c r="AG6" s="40">
        <v>45.0101103361797</v>
      </c>
    </row>
    <row r="7" spans="1:33" x14ac:dyDescent="0.35">
      <c r="A7" s="37">
        <v>19000104</v>
      </c>
      <c r="B7" s="37" t="s">
        <v>48</v>
      </c>
      <c r="C7" s="37">
        <v>1005</v>
      </c>
      <c r="D7" s="37">
        <v>1</v>
      </c>
      <c r="E7" s="37">
        <v>0</v>
      </c>
      <c r="F7" s="28">
        <v>1</v>
      </c>
      <c r="G7" s="37">
        <v>3</v>
      </c>
      <c r="H7" s="37">
        <v>1</v>
      </c>
      <c r="I7" s="37">
        <v>4000</v>
      </c>
      <c r="J7" s="49" t="s">
        <v>49</v>
      </c>
      <c r="K7" s="37">
        <v>0</v>
      </c>
      <c r="L7" s="37">
        <v>0</v>
      </c>
      <c r="M7" s="39" t="s">
        <v>35</v>
      </c>
      <c r="N7" s="37">
        <v>999</v>
      </c>
      <c r="O7" s="37">
        <v>0</v>
      </c>
      <c r="P7" s="37">
        <v>0</v>
      </c>
      <c r="Q7" s="37">
        <v>0</v>
      </c>
      <c r="R7" s="40">
        <v>0</v>
      </c>
      <c r="S7" s="41" t="s">
        <v>50</v>
      </c>
      <c r="Z7" s="40">
        <v>0</v>
      </c>
      <c r="AD7" s="53" t="s">
        <v>36</v>
      </c>
      <c r="AE7" s="8">
        <v>221</v>
      </c>
      <c r="AF7" s="44">
        <f t="shared" ref="AF7:AF19" si="1">AE7*2</f>
        <v>442</v>
      </c>
      <c r="AG7" s="40">
        <v>50.636374128202199</v>
      </c>
    </row>
    <row r="8" spans="1:33" x14ac:dyDescent="0.35">
      <c r="A8" s="37">
        <v>19000105</v>
      </c>
      <c r="B8" s="37" t="s">
        <v>51</v>
      </c>
      <c r="C8" s="37">
        <v>1006</v>
      </c>
      <c r="D8" s="37">
        <v>1</v>
      </c>
      <c r="E8" s="37">
        <v>0</v>
      </c>
      <c r="F8" s="28">
        <v>1</v>
      </c>
      <c r="G8" s="37">
        <v>3</v>
      </c>
      <c r="H8" s="37">
        <v>2</v>
      </c>
      <c r="I8" s="37">
        <v>8000</v>
      </c>
      <c r="J8" s="49" t="s">
        <v>52</v>
      </c>
      <c r="K8" s="37">
        <v>0</v>
      </c>
      <c r="L8" s="37">
        <v>0</v>
      </c>
      <c r="M8" s="39" t="s">
        <v>35</v>
      </c>
      <c r="N8" s="37">
        <v>999</v>
      </c>
      <c r="O8" s="37">
        <v>0</v>
      </c>
      <c r="P8" s="37">
        <v>0</v>
      </c>
      <c r="Q8" s="37">
        <v>0</v>
      </c>
      <c r="R8" s="40">
        <v>0</v>
      </c>
      <c r="S8" s="41" t="s">
        <v>53</v>
      </c>
      <c r="Z8" s="40">
        <v>0</v>
      </c>
      <c r="AD8" s="53" t="s">
        <v>36</v>
      </c>
      <c r="AE8" s="8">
        <v>286</v>
      </c>
      <c r="AF8" s="44">
        <f t="shared" si="1"/>
        <v>572</v>
      </c>
      <c r="AG8" s="40">
        <v>57.870141860802498</v>
      </c>
    </row>
    <row r="9" spans="1:33" x14ac:dyDescent="0.35">
      <c r="A9" s="37">
        <v>19000106</v>
      </c>
      <c r="B9" s="37" t="s">
        <v>54</v>
      </c>
      <c r="C9" s="37">
        <v>1007</v>
      </c>
      <c r="D9" s="37">
        <v>1</v>
      </c>
      <c r="E9" s="37">
        <v>0</v>
      </c>
      <c r="F9" s="28">
        <v>1</v>
      </c>
      <c r="G9" s="37">
        <v>3</v>
      </c>
      <c r="H9" s="37">
        <v>3</v>
      </c>
      <c r="I9" s="37">
        <v>16000</v>
      </c>
      <c r="J9" s="49" t="s">
        <v>55</v>
      </c>
      <c r="K9" s="37">
        <v>1</v>
      </c>
      <c r="L9" s="37">
        <v>0</v>
      </c>
      <c r="M9" s="39" t="s">
        <v>35</v>
      </c>
      <c r="N9" s="37">
        <v>999</v>
      </c>
      <c r="O9" s="37">
        <v>0</v>
      </c>
      <c r="P9" s="37">
        <v>0</v>
      </c>
      <c r="Q9" s="37">
        <v>0</v>
      </c>
      <c r="R9" s="40">
        <v>0</v>
      </c>
      <c r="S9" s="41" t="s">
        <v>56</v>
      </c>
      <c r="Z9" s="40">
        <v>0</v>
      </c>
      <c r="AD9" s="53" t="s">
        <v>36</v>
      </c>
      <c r="AE9" s="8">
        <v>352</v>
      </c>
      <c r="AF9" s="44">
        <f t="shared" si="1"/>
        <v>704</v>
      </c>
      <c r="AG9" s="40">
        <v>67.515165504269504</v>
      </c>
    </row>
    <row r="10" spans="1:33" x14ac:dyDescent="0.35">
      <c r="A10" s="37">
        <v>19000107</v>
      </c>
      <c r="B10" s="37" t="s">
        <v>57</v>
      </c>
      <c r="C10" s="37">
        <v>1008</v>
      </c>
      <c r="D10" s="37">
        <v>1</v>
      </c>
      <c r="E10" s="37">
        <v>0</v>
      </c>
      <c r="F10" s="28">
        <v>1</v>
      </c>
      <c r="G10" s="37">
        <v>4</v>
      </c>
      <c r="H10" s="37">
        <v>1</v>
      </c>
      <c r="I10" s="37">
        <v>32000</v>
      </c>
      <c r="J10" s="49" t="s">
        <v>58</v>
      </c>
      <c r="K10" s="37">
        <v>2</v>
      </c>
      <c r="L10" s="37">
        <v>0</v>
      </c>
      <c r="M10" s="39" t="s">
        <v>35</v>
      </c>
      <c r="N10" s="37">
        <v>999</v>
      </c>
      <c r="O10" s="37">
        <v>0</v>
      </c>
      <c r="P10" s="37">
        <v>0</v>
      </c>
      <c r="Q10" s="37">
        <v>0</v>
      </c>
      <c r="R10" s="40">
        <v>0</v>
      </c>
      <c r="S10" s="41" t="s">
        <v>59</v>
      </c>
      <c r="T10" s="40">
        <v>1</v>
      </c>
      <c r="U10" s="28"/>
      <c r="V10" s="52"/>
      <c r="Z10" s="40">
        <v>0</v>
      </c>
      <c r="AD10" s="53" t="s">
        <v>36</v>
      </c>
      <c r="AE10" s="8">
        <v>541</v>
      </c>
      <c r="AF10" s="44">
        <f t="shared" si="1"/>
        <v>1082</v>
      </c>
      <c r="AG10" s="40">
        <v>6.8587105624142705E-2</v>
      </c>
    </row>
    <row r="11" spans="1:33" x14ac:dyDescent="0.35">
      <c r="A11" s="37">
        <v>19000108</v>
      </c>
      <c r="B11" s="37" t="s">
        <v>60</v>
      </c>
      <c r="C11" s="37">
        <v>1009</v>
      </c>
      <c r="D11" s="37">
        <v>1</v>
      </c>
      <c r="E11" s="37">
        <v>0</v>
      </c>
      <c r="F11" s="28">
        <v>1</v>
      </c>
      <c r="G11" s="37">
        <v>4</v>
      </c>
      <c r="H11" s="37">
        <v>2</v>
      </c>
      <c r="I11" s="37">
        <v>48000</v>
      </c>
      <c r="J11" s="49" t="s">
        <v>61</v>
      </c>
      <c r="K11" s="37">
        <v>3</v>
      </c>
      <c r="L11" s="37">
        <v>0</v>
      </c>
      <c r="M11" s="39" t="s">
        <v>35</v>
      </c>
      <c r="N11" s="37">
        <v>999</v>
      </c>
      <c r="O11" s="37">
        <v>0</v>
      </c>
      <c r="P11" s="37">
        <v>0</v>
      </c>
      <c r="Q11" s="37">
        <v>0</v>
      </c>
      <c r="R11" s="40">
        <v>0</v>
      </c>
      <c r="S11" s="41" t="s">
        <v>62</v>
      </c>
      <c r="T11" s="40">
        <v>1</v>
      </c>
      <c r="U11" s="28"/>
      <c r="V11" s="52"/>
      <c r="Z11" s="40">
        <v>0</v>
      </c>
      <c r="AD11" s="53" t="s">
        <v>36</v>
      </c>
      <c r="AE11" s="8">
        <v>658</v>
      </c>
      <c r="AF11" s="44">
        <f t="shared" si="1"/>
        <v>1316</v>
      </c>
      <c r="AG11" s="40">
        <v>0.20576131687242799</v>
      </c>
    </row>
    <row r="12" spans="1:33" x14ac:dyDescent="0.35">
      <c r="A12" s="37">
        <v>19000109</v>
      </c>
      <c r="B12" s="37" t="s">
        <v>63</v>
      </c>
      <c r="C12" s="37">
        <v>1010</v>
      </c>
      <c r="D12" s="37">
        <v>1</v>
      </c>
      <c r="E12" s="37">
        <v>0</v>
      </c>
      <c r="F12" s="28">
        <v>1</v>
      </c>
      <c r="G12" s="37">
        <v>4</v>
      </c>
      <c r="H12" s="37">
        <v>3</v>
      </c>
      <c r="I12" s="37">
        <v>64000</v>
      </c>
      <c r="J12" s="49" t="s">
        <v>64</v>
      </c>
      <c r="K12" s="37">
        <v>4</v>
      </c>
      <c r="L12" s="37">
        <v>0</v>
      </c>
      <c r="M12" s="39" t="s">
        <v>35</v>
      </c>
      <c r="N12" s="37">
        <v>999</v>
      </c>
      <c r="O12" s="37">
        <v>0</v>
      </c>
      <c r="P12" s="37">
        <v>0</v>
      </c>
      <c r="Q12" s="37">
        <v>0</v>
      </c>
      <c r="R12" s="40">
        <v>0</v>
      </c>
      <c r="S12" s="41" t="s">
        <v>65</v>
      </c>
      <c r="T12" s="40">
        <v>1</v>
      </c>
      <c r="U12" s="28"/>
      <c r="V12" s="52"/>
      <c r="Z12" s="40">
        <v>0</v>
      </c>
      <c r="AD12" s="53" t="s">
        <v>36</v>
      </c>
      <c r="AE12" s="8">
        <v>776</v>
      </c>
      <c r="AF12" s="44">
        <f t="shared" si="1"/>
        <v>1552</v>
      </c>
      <c r="AG12" s="40">
        <v>0.61728395061728403</v>
      </c>
    </row>
    <row r="13" spans="1:33" x14ac:dyDescent="0.35">
      <c r="A13" s="37">
        <v>19000110</v>
      </c>
      <c r="B13" s="37" t="s">
        <v>66</v>
      </c>
      <c r="C13" s="37">
        <v>1011</v>
      </c>
      <c r="D13" s="37">
        <v>1</v>
      </c>
      <c r="E13" s="37">
        <v>0</v>
      </c>
      <c r="F13" s="28">
        <v>1</v>
      </c>
      <c r="G13" s="37">
        <v>4</v>
      </c>
      <c r="H13" s="37">
        <v>4</v>
      </c>
      <c r="I13" s="37">
        <v>120000</v>
      </c>
      <c r="J13" s="49" t="s">
        <v>67</v>
      </c>
      <c r="K13" s="37">
        <v>5</v>
      </c>
      <c r="L13" s="37">
        <v>0</v>
      </c>
      <c r="M13" s="39" t="s">
        <v>35</v>
      </c>
      <c r="N13" s="37">
        <v>999</v>
      </c>
      <c r="O13" s="37">
        <v>0</v>
      </c>
      <c r="P13" s="37">
        <v>0</v>
      </c>
      <c r="Q13" s="37">
        <v>0</v>
      </c>
      <c r="R13" s="40">
        <v>0</v>
      </c>
      <c r="S13" s="41" t="s">
        <v>68</v>
      </c>
      <c r="T13" s="40">
        <v>1</v>
      </c>
      <c r="U13" s="28"/>
      <c r="V13" s="52"/>
      <c r="Z13" s="40">
        <v>0</v>
      </c>
      <c r="AD13" s="53" t="s">
        <v>36</v>
      </c>
      <c r="AE13" s="8">
        <v>887</v>
      </c>
      <c r="AF13" s="44">
        <f t="shared" si="1"/>
        <v>1774</v>
      </c>
      <c r="AG13" s="40">
        <v>1.8518518518518501</v>
      </c>
    </row>
    <row r="14" spans="1:33" x14ac:dyDescent="0.35">
      <c r="A14" s="37">
        <v>19000111</v>
      </c>
      <c r="B14" s="37" t="s">
        <v>69</v>
      </c>
      <c r="C14" s="37">
        <v>1012</v>
      </c>
      <c r="D14" s="37">
        <v>1</v>
      </c>
      <c r="E14" s="37">
        <v>0</v>
      </c>
      <c r="F14" s="28">
        <v>1</v>
      </c>
      <c r="G14" s="37">
        <v>5</v>
      </c>
      <c r="H14" s="37">
        <v>1</v>
      </c>
      <c r="I14" s="37">
        <v>240000</v>
      </c>
      <c r="J14" s="49" t="s">
        <v>70</v>
      </c>
      <c r="K14" s="37">
        <v>6</v>
      </c>
      <c r="L14" s="37">
        <v>0</v>
      </c>
      <c r="M14" s="39" t="s">
        <v>35</v>
      </c>
      <c r="N14" s="37">
        <v>999</v>
      </c>
      <c r="O14" s="37">
        <v>0</v>
      </c>
      <c r="P14" s="37">
        <v>0</v>
      </c>
      <c r="Q14" s="37">
        <v>0</v>
      </c>
      <c r="R14" s="40">
        <v>0</v>
      </c>
      <c r="S14" s="41" t="s">
        <v>71</v>
      </c>
      <c r="T14" s="40">
        <v>1</v>
      </c>
      <c r="U14" s="28">
        <v>20000111</v>
      </c>
      <c r="V14" s="52" t="s">
        <v>72</v>
      </c>
      <c r="Z14" s="40">
        <v>0</v>
      </c>
      <c r="AD14" s="53" t="s">
        <v>36</v>
      </c>
      <c r="AE14" s="8">
        <v>1193</v>
      </c>
      <c r="AF14" s="44">
        <f t="shared" si="1"/>
        <v>2386</v>
      </c>
      <c r="AG14" s="40">
        <v>5.5555555555555598</v>
      </c>
    </row>
    <row r="15" spans="1:33" x14ac:dyDescent="0.35">
      <c r="A15" s="37">
        <v>19000112</v>
      </c>
      <c r="B15" s="37" t="s">
        <v>73</v>
      </c>
      <c r="C15" s="37">
        <v>1013</v>
      </c>
      <c r="D15" s="37">
        <v>1</v>
      </c>
      <c r="E15" s="37">
        <v>0</v>
      </c>
      <c r="F15" s="28">
        <v>1</v>
      </c>
      <c r="G15" s="37">
        <v>5</v>
      </c>
      <c r="H15" s="37">
        <v>2</v>
      </c>
      <c r="I15" s="37">
        <v>480000</v>
      </c>
      <c r="J15" s="49" t="s">
        <v>74</v>
      </c>
      <c r="K15" s="37">
        <v>7</v>
      </c>
      <c r="L15" s="37">
        <v>0</v>
      </c>
      <c r="M15" s="39" t="s">
        <v>35</v>
      </c>
      <c r="N15" s="37">
        <v>999</v>
      </c>
      <c r="O15" s="37">
        <v>0</v>
      </c>
      <c r="P15" s="37">
        <v>0</v>
      </c>
      <c r="Q15" s="37">
        <v>0</v>
      </c>
      <c r="R15" s="40">
        <v>0</v>
      </c>
      <c r="S15" s="41" t="s">
        <v>75</v>
      </c>
      <c r="T15" s="40">
        <v>1</v>
      </c>
      <c r="U15" s="28">
        <v>20000112</v>
      </c>
      <c r="V15" s="52" t="s">
        <v>76</v>
      </c>
      <c r="Z15" s="40">
        <v>0</v>
      </c>
      <c r="AD15" s="53" t="s">
        <v>36</v>
      </c>
      <c r="AE15" s="8">
        <v>1460</v>
      </c>
      <c r="AF15" s="44">
        <f t="shared" si="1"/>
        <v>2920</v>
      </c>
      <c r="AG15" s="40">
        <v>16.6666666666667</v>
      </c>
    </row>
    <row r="16" spans="1:33" x14ac:dyDescent="0.35">
      <c r="A16" s="37">
        <v>19000113</v>
      </c>
      <c r="B16" s="37" t="s">
        <v>77</v>
      </c>
      <c r="C16" s="37">
        <v>1014</v>
      </c>
      <c r="D16" s="37">
        <v>1</v>
      </c>
      <c r="E16" s="37">
        <v>0</v>
      </c>
      <c r="F16" s="28">
        <v>1</v>
      </c>
      <c r="G16" s="37">
        <v>5</v>
      </c>
      <c r="H16" s="37">
        <v>3</v>
      </c>
      <c r="I16" s="37">
        <v>960000</v>
      </c>
      <c r="J16" s="49" t="s">
        <v>78</v>
      </c>
      <c r="K16" s="37">
        <v>8</v>
      </c>
      <c r="L16" s="37">
        <v>0</v>
      </c>
      <c r="M16" s="39" t="s">
        <v>35</v>
      </c>
      <c r="N16" s="37">
        <v>999</v>
      </c>
      <c r="O16" s="37">
        <v>0</v>
      </c>
      <c r="P16" s="37">
        <v>0</v>
      </c>
      <c r="Q16" s="37">
        <v>0</v>
      </c>
      <c r="R16" s="40">
        <v>0</v>
      </c>
      <c r="S16" s="41" t="s">
        <v>79</v>
      </c>
      <c r="T16" s="40">
        <v>1</v>
      </c>
      <c r="U16" s="28">
        <v>20000113</v>
      </c>
      <c r="V16" s="52" t="s">
        <v>80</v>
      </c>
      <c r="Z16" s="40">
        <v>0</v>
      </c>
      <c r="AD16" s="53" t="s">
        <v>36</v>
      </c>
      <c r="AE16" s="8">
        <v>1721</v>
      </c>
      <c r="AF16" s="44">
        <f t="shared" si="1"/>
        <v>3442</v>
      </c>
      <c r="AG16" s="40">
        <v>50</v>
      </c>
    </row>
    <row r="17" spans="1:33" x14ac:dyDescent="0.35">
      <c r="A17" s="37">
        <v>19000114</v>
      </c>
      <c r="B17" s="37" t="s">
        <v>81</v>
      </c>
      <c r="C17" s="37">
        <v>1015</v>
      </c>
      <c r="D17" s="37">
        <v>1</v>
      </c>
      <c r="E17" s="37">
        <v>0</v>
      </c>
      <c r="F17" s="28">
        <v>1</v>
      </c>
      <c r="G17" s="37">
        <v>5</v>
      </c>
      <c r="H17" s="37">
        <v>4</v>
      </c>
      <c r="I17" s="37">
        <v>1500000</v>
      </c>
      <c r="J17" s="49" t="s">
        <v>82</v>
      </c>
      <c r="K17" s="37">
        <v>9</v>
      </c>
      <c r="L17" s="37">
        <v>0</v>
      </c>
      <c r="M17" s="39" t="s">
        <v>35</v>
      </c>
      <c r="N17" s="37">
        <v>999</v>
      </c>
      <c r="O17" s="37">
        <v>0</v>
      </c>
      <c r="P17" s="37">
        <v>0</v>
      </c>
      <c r="Q17" s="37">
        <v>0</v>
      </c>
      <c r="R17" s="40">
        <v>0</v>
      </c>
      <c r="S17" s="41" t="s">
        <v>83</v>
      </c>
      <c r="T17" s="40">
        <v>1</v>
      </c>
      <c r="U17" s="28">
        <v>20000114</v>
      </c>
      <c r="V17" s="52" t="s">
        <v>84</v>
      </c>
      <c r="Z17" s="40">
        <v>0</v>
      </c>
      <c r="AD17" s="53" t="s">
        <v>36</v>
      </c>
      <c r="AE17" s="8">
        <v>1982</v>
      </c>
      <c r="AF17" s="44">
        <f t="shared" si="1"/>
        <v>3964</v>
      </c>
      <c r="AG17" s="40">
        <v>152.4</v>
      </c>
    </row>
    <row r="18" spans="1:33" x14ac:dyDescent="0.35">
      <c r="A18" s="37">
        <v>19000115</v>
      </c>
      <c r="B18" s="37" t="s">
        <v>85</v>
      </c>
      <c r="C18" s="37">
        <v>1016</v>
      </c>
      <c r="D18" s="37">
        <v>1</v>
      </c>
      <c r="E18" s="37">
        <v>0</v>
      </c>
      <c r="F18" s="28">
        <v>1</v>
      </c>
      <c r="G18" s="37">
        <v>5</v>
      </c>
      <c r="H18" s="37">
        <v>5</v>
      </c>
      <c r="I18" s="37">
        <v>3000000</v>
      </c>
      <c r="J18" s="49" t="s">
        <v>86</v>
      </c>
      <c r="K18" s="37">
        <v>10</v>
      </c>
      <c r="L18" s="37">
        <v>0</v>
      </c>
      <c r="M18" s="39" t="s">
        <v>35</v>
      </c>
      <c r="N18" s="37">
        <v>999</v>
      </c>
      <c r="O18" s="37">
        <v>0</v>
      </c>
      <c r="P18" s="37">
        <v>0</v>
      </c>
      <c r="Q18" s="37">
        <v>0</v>
      </c>
      <c r="R18" s="40">
        <v>0</v>
      </c>
      <c r="S18" s="41" t="s">
        <v>87</v>
      </c>
      <c r="T18" s="40">
        <v>1</v>
      </c>
      <c r="U18" s="28">
        <v>20000115</v>
      </c>
      <c r="V18" s="52" t="s">
        <v>88</v>
      </c>
      <c r="Z18" s="40">
        <v>0</v>
      </c>
      <c r="AD18" s="53" t="s">
        <v>36</v>
      </c>
      <c r="AE18" s="8">
        <v>3215</v>
      </c>
      <c r="AF18" s="44">
        <f t="shared" si="1"/>
        <v>6430</v>
      </c>
      <c r="AG18" s="40">
        <v>460.4</v>
      </c>
    </row>
    <row r="19" spans="1:33" x14ac:dyDescent="0.35">
      <c r="A19" s="37">
        <v>19000116</v>
      </c>
      <c r="B19" s="37" t="s">
        <v>89</v>
      </c>
      <c r="C19" s="37">
        <v>1017</v>
      </c>
      <c r="D19" s="37">
        <v>1</v>
      </c>
      <c r="E19" s="37">
        <v>0</v>
      </c>
      <c r="F19" s="28">
        <v>1</v>
      </c>
      <c r="G19" s="37">
        <v>5</v>
      </c>
      <c r="H19" s="37">
        <v>6</v>
      </c>
      <c r="I19" s="37">
        <v>6000000</v>
      </c>
      <c r="J19" s="49" t="s">
        <v>90</v>
      </c>
      <c r="K19" s="37">
        <v>11</v>
      </c>
      <c r="L19" s="37">
        <v>0</v>
      </c>
      <c r="M19" s="39" t="s">
        <v>35</v>
      </c>
      <c r="N19" s="37">
        <v>999</v>
      </c>
      <c r="O19" s="37">
        <v>0</v>
      </c>
      <c r="P19" s="37">
        <v>0</v>
      </c>
      <c r="Q19" s="37">
        <v>0</v>
      </c>
      <c r="R19" s="40">
        <v>0</v>
      </c>
      <c r="S19" s="41" t="s">
        <v>91</v>
      </c>
      <c r="T19" s="40">
        <v>1</v>
      </c>
      <c r="U19" s="28">
        <v>20000116</v>
      </c>
      <c r="V19" s="52" t="s">
        <v>92</v>
      </c>
      <c r="Z19" s="40">
        <v>0</v>
      </c>
      <c r="AD19" s="53" t="s">
        <v>36</v>
      </c>
      <c r="AE19" s="8">
        <v>4833</v>
      </c>
      <c r="AF19" s="44">
        <f t="shared" si="1"/>
        <v>9666</v>
      </c>
      <c r="AG19" s="40">
        <v>1386</v>
      </c>
    </row>
    <row r="20" spans="1:33" x14ac:dyDescent="0.35">
      <c r="A20" s="37">
        <v>19000200</v>
      </c>
      <c r="B20" s="37" t="s">
        <v>93</v>
      </c>
      <c r="C20" s="37">
        <v>2001</v>
      </c>
      <c r="D20" s="37">
        <v>1</v>
      </c>
      <c r="E20" s="37">
        <v>0</v>
      </c>
      <c r="F20" s="29">
        <v>2</v>
      </c>
      <c r="G20" s="37">
        <v>0</v>
      </c>
      <c r="H20" s="37">
        <v>1</v>
      </c>
      <c r="I20" s="37">
        <v>250</v>
      </c>
      <c r="J20" s="49" t="s">
        <v>94</v>
      </c>
      <c r="K20" s="37">
        <v>0</v>
      </c>
      <c r="L20" s="37">
        <v>0</v>
      </c>
      <c r="M20" s="39" t="s">
        <v>95</v>
      </c>
      <c r="N20" s="37">
        <v>999</v>
      </c>
      <c r="O20" s="37">
        <v>0</v>
      </c>
      <c r="P20" s="37">
        <v>0</v>
      </c>
      <c r="Q20" s="37">
        <v>0</v>
      </c>
      <c r="R20" s="40">
        <v>0</v>
      </c>
      <c r="Z20" s="40">
        <v>0</v>
      </c>
      <c r="AD20" s="53" t="s">
        <v>96</v>
      </c>
      <c r="AE20" s="8">
        <v>322</v>
      </c>
      <c r="AF20" s="44">
        <f>AE20*0.4</f>
        <v>128.80000000000001</v>
      </c>
      <c r="AG20" s="40">
        <v>12.6590935320505</v>
      </c>
    </row>
    <row r="21" spans="1:33" x14ac:dyDescent="0.35">
      <c r="A21" s="37">
        <v>19000201</v>
      </c>
      <c r="B21" s="37" t="s">
        <v>97</v>
      </c>
      <c r="C21" s="37">
        <v>2002</v>
      </c>
      <c r="D21" s="37">
        <v>1</v>
      </c>
      <c r="E21" s="37">
        <v>0</v>
      </c>
      <c r="F21" s="29">
        <v>2</v>
      </c>
      <c r="G21" s="37">
        <v>1</v>
      </c>
      <c r="H21" s="37">
        <v>1</v>
      </c>
      <c r="I21" s="37">
        <v>500</v>
      </c>
      <c r="J21" s="49" t="s">
        <v>98</v>
      </c>
      <c r="K21" s="37">
        <v>0</v>
      </c>
      <c r="L21" s="37">
        <v>0</v>
      </c>
      <c r="M21" s="39" t="s">
        <v>95</v>
      </c>
      <c r="N21" s="37">
        <v>999</v>
      </c>
      <c r="O21" s="37">
        <v>0</v>
      </c>
      <c r="P21" s="37">
        <v>0</v>
      </c>
      <c r="Q21" s="37">
        <v>0</v>
      </c>
      <c r="R21" s="40">
        <v>0</v>
      </c>
      <c r="S21" s="41" t="s">
        <v>99</v>
      </c>
      <c r="Z21" s="40">
        <v>0</v>
      </c>
      <c r="AD21" s="53" t="s">
        <v>96</v>
      </c>
      <c r="AE21" s="8">
        <v>391</v>
      </c>
      <c r="AF21" s="44">
        <f t="shared" ref="AF21:AF53" si="2">AE21*0.4</f>
        <v>156.4</v>
      </c>
      <c r="AG21" s="40">
        <v>15.003370112059899</v>
      </c>
    </row>
    <row r="22" spans="1:33" x14ac:dyDescent="0.35">
      <c r="A22" s="37">
        <v>19000202</v>
      </c>
      <c r="B22" s="37" t="s">
        <v>100</v>
      </c>
      <c r="C22" s="37">
        <v>2003</v>
      </c>
      <c r="D22" s="37">
        <v>1</v>
      </c>
      <c r="E22" s="37">
        <v>0</v>
      </c>
      <c r="F22" s="29">
        <v>2</v>
      </c>
      <c r="G22" s="37">
        <v>2</v>
      </c>
      <c r="H22" s="37">
        <v>1</v>
      </c>
      <c r="I22" s="37">
        <v>1000</v>
      </c>
      <c r="J22" s="49" t="s">
        <v>101</v>
      </c>
      <c r="K22" s="37">
        <v>0</v>
      </c>
      <c r="L22" s="37">
        <v>0</v>
      </c>
      <c r="M22" s="39" t="s">
        <v>95</v>
      </c>
      <c r="N22" s="37">
        <v>999</v>
      </c>
      <c r="O22" s="37">
        <v>0</v>
      </c>
      <c r="P22" s="37">
        <v>0</v>
      </c>
      <c r="Q22" s="37">
        <v>0</v>
      </c>
      <c r="R22" s="40">
        <v>0</v>
      </c>
      <c r="S22" s="41" t="s">
        <v>102</v>
      </c>
      <c r="Z22" s="40">
        <v>0</v>
      </c>
      <c r="AD22" s="53" t="s">
        <v>96</v>
      </c>
      <c r="AE22" s="8">
        <v>655</v>
      </c>
      <c r="AF22" s="44">
        <f t="shared" si="2"/>
        <v>262</v>
      </c>
      <c r="AG22" s="40">
        <v>40.509099302561701</v>
      </c>
    </row>
    <row r="23" spans="1:33" x14ac:dyDescent="0.35">
      <c r="A23" s="37">
        <v>19000203</v>
      </c>
      <c r="B23" s="37" t="s">
        <v>103</v>
      </c>
      <c r="C23" s="37">
        <v>2004</v>
      </c>
      <c r="D23" s="37">
        <v>1</v>
      </c>
      <c r="E23" s="37">
        <v>0</v>
      </c>
      <c r="F23" s="29">
        <v>2</v>
      </c>
      <c r="G23" s="37">
        <v>2</v>
      </c>
      <c r="H23" s="37">
        <v>2</v>
      </c>
      <c r="I23" s="37">
        <v>2000</v>
      </c>
      <c r="J23" s="49" t="s">
        <v>104</v>
      </c>
      <c r="K23" s="37">
        <v>0</v>
      </c>
      <c r="L23" s="37">
        <v>0</v>
      </c>
      <c r="M23" s="39" t="s">
        <v>95</v>
      </c>
      <c r="N23" s="37">
        <v>999</v>
      </c>
      <c r="O23" s="37">
        <v>0</v>
      </c>
      <c r="P23" s="37">
        <v>0</v>
      </c>
      <c r="Q23" s="37">
        <v>0</v>
      </c>
      <c r="R23" s="40">
        <v>0</v>
      </c>
      <c r="S23" s="41" t="s">
        <v>105</v>
      </c>
      <c r="Z23" s="40">
        <v>0</v>
      </c>
      <c r="AD23" s="53" t="s">
        <v>96</v>
      </c>
      <c r="AE23" s="8">
        <v>841</v>
      </c>
      <c r="AF23" s="44">
        <f t="shared" si="2"/>
        <v>336.40000000000003</v>
      </c>
      <c r="AG23" s="40">
        <v>45.0101103361797</v>
      </c>
    </row>
    <row r="24" spans="1:33" x14ac:dyDescent="0.35">
      <c r="A24" s="37">
        <v>19000204</v>
      </c>
      <c r="B24" s="37" t="s">
        <v>106</v>
      </c>
      <c r="C24" s="37">
        <v>2005</v>
      </c>
      <c r="D24" s="37">
        <v>1</v>
      </c>
      <c r="E24" s="37">
        <v>0</v>
      </c>
      <c r="F24" s="29">
        <v>2</v>
      </c>
      <c r="G24" s="37">
        <v>3</v>
      </c>
      <c r="H24" s="37">
        <v>1</v>
      </c>
      <c r="I24" s="37">
        <v>4000</v>
      </c>
      <c r="J24" s="49" t="s">
        <v>107</v>
      </c>
      <c r="K24" s="37">
        <v>0</v>
      </c>
      <c r="L24" s="37">
        <v>0</v>
      </c>
      <c r="M24" s="39" t="s">
        <v>95</v>
      </c>
      <c r="N24" s="37">
        <v>999</v>
      </c>
      <c r="O24" s="37">
        <v>0</v>
      </c>
      <c r="P24" s="37">
        <v>0</v>
      </c>
      <c r="Q24" s="37">
        <v>0</v>
      </c>
      <c r="R24" s="40">
        <v>0</v>
      </c>
      <c r="S24" s="41" t="s">
        <v>108</v>
      </c>
      <c r="Z24" s="40">
        <v>0</v>
      </c>
      <c r="AD24" s="53" t="s">
        <v>96</v>
      </c>
      <c r="AE24" s="8">
        <v>1663</v>
      </c>
      <c r="AF24" s="44">
        <f t="shared" si="2"/>
        <v>665.2</v>
      </c>
      <c r="AG24" s="40">
        <v>50.636374128202199</v>
      </c>
    </row>
    <row r="25" spans="1:33" x14ac:dyDescent="0.35">
      <c r="A25" s="37">
        <v>19000205</v>
      </c>
      <c r="B25" s="37" t="s">
        <v>109</v>
      </c>
      <c r="C25" s="37">
        <v>2006</v>
      </c>
      <c r="D25" s="37">
        <v>1</v>
      </c>
      <c r="E25" s="37">
        <v>0</v>
      </c>
      <c r="F25" s="29">
        <v>2</v>
      </c>
      <c r="G25" s="37">
        <v>3</v>
      </c>
      <c r="H25" s="37">
        <v>2</v>
      </c>
      <c r="I25" s="37">
        <v>8000</v>
      </c>
      <c r="J25" s="49" t="s">
        <v>110</v>
      </c>
      <c r="K25" s="37">
        <v>0</v>
      </c>
      <c r="L25" s="37">
        <v>0</v>
      </c>
      <c r="M25" s="39" t="s">
        <v>95</v>
      </c>
      <c r="N25" s="37">
        <v>999</v>
      </c>
      <c r="O25" s="37">
        <v>0</v>
      </c>
      <c r="P25" s="37">
        <v>0</v>
      </c>
      <c r="Q25" s="37">
        <v>0</v>
      </c>
      <c r="R25" s="40">
        <v>0</v>
      </c>
      <c r="S25" s="41" t="s">
        <v>111</v>
      </c>
      <c r="Z25" s="40">
        <v>0</v>
      </c>
      <c r="AD25" s="53" t="s">
        <v>96</v>
      </c>
      <c r="AE25" s="8">
        <v>2152</v>
      </c>
      <c r="AF25" s="44">
        <f t="shared" si="2"/>
        <v>860.80000000000007</v>
      </c>
      <c r="AG25" s="40">
        <v>57.870141860802498</v>
      </c>
    </row>
    <row r="26" spans="1:33" x14ac:dyDescent="0.35">
      <c r="A26" s="37">
        <v>19000206</v>
      </c>
      <c r="B26" s="37" t="s">
        <v>112</v>
      </c>
      <c r="C26" s="37">
        <v>2007</v>
      </c>
      <c r="D26" s="37">
        <v>1</v>
      </c>
      <c r="E26" s="37">
        <v>0</v>
      </c>
      <c r="F26" s="29">
        <v>2</v>
      </c>
      <c r="G26" s="37">
        <v>3</v>
      </c>
      <c r="H26" s="37">
        <v>3</v>
      </c>
      <c r="I26" s="37">
        <v>16000</v>
      </c>
      <c r="J26" s="49" t="s">
        <v>113</v>
      </c>
      <c r="K26" s="37">
        <v>1</v>
      </c>
      <c r="L26" s="37">
        <v>0</v>
      </c>
      <c r="M26" s="39" t="s">
        <v>95</v>
      </c>
      <c r="N26" s="37">
        <v>999</v>
      </c>
      <c r="O26" s="37">
        <v>0</v>
      </c>
      <c r="P26" s="37">
        <v>0</v>
      </c>
      <c r="Q26" s="37">
        <v>0</v>
      </c>
      <c r="R26" s="40">
        <v>0</v>
      </c>
      <c r="S26" s="41" t="s">
        <v>114</v>
      </c>
      <c r="Z26" s="40">
        <v>0</v>
      </c>
      <c r="AD26" s="53" t="s">
        <v>96</v>
      </c>
      <c r="AE26" s="8">
        <v>2641</v>
      </c>
      <c r="AF26" s="44">
        <f t="shared" si="2"/>
        <v>1056.4000000000001</v>
      </c>
      <c r="AG26" s="40">
        <v>67.515165504269504</v>
      </c>
    </row>
    <row r="27" spans="1:33" x14ac:dyDescent="0.35">
      <c r="A27" s="37">
        <v>19000207</v>
      </c>
      <c r="B27" s="37" t="s">
        <v>115</v>
      </c>
      <c r="C27" s="37">
        <v>2008</v>
      </c>
      <c r="D27" s="37">
        <v>1</v>
      </c>
      <c r="E27" s="37">
        <v>0</v>
      </c>
      <c r="F27" s="29">
        <v>2</v>
      </c>
      <c r="G27" s="37">
        <v>4</v>
      </c>
      <c r="H27" s="37">
        <v>1</v>
      </c>
      <c r="I27" s="37">
        <v>32000</v>
      </c>
      <c r="J27" s="49" t="s">
        <v>116</v>
      </c>
      <c r="K27" s="37">
        <v>2</v>
      </c>
      <c r="L27" s="37">
        <v>0</v>
      </c>
      <c r="M27" s="39" t="s">
        <v>95</v>
      </c>
      <c r="N27" s="37">
        <v>999</v>
      </c>
      <c r="O27" s="37">
        <v>0</v>
      </c>
      <c r="P27" s="37">
        <v>0</v>
      </c>
      <c r="Q27" s="37">
        <v>0</v>
      </c>
      <c r="R27" s="40">
        <v>0</v>
      </c>
      <c r="S27" s="41" t="s">
        <v>117</v>
      </c>
      <c r="T27" s="40">
        <v>1</v>
      </c>
      <c r="U27" s="29"/>
      <c r="V27" s="52"/>
      <c r="Z27" s="40">
        <v>0</v>
      </c>
      <c r="AD27" s="53" t="s">
        <v>96</v>
      </c>
      <c r="AE27" s="8">
        <v>4060</v>
      </c>
      <c r="AF27" s="44">
        <f t="shared" si="2"/>
        <v>1624</v>
      </c>
      <c r="AG27" s="40">
        <v>6.8587105624142705E-2</v>
      </c>
    </row>
    <row r="28" spans="1:33" x14ac:dyDescent="0.35">
      <c r="A28" s="37">
        <v>19000208</v>
      </c>
      <c r="B28" s="37" t="s">
        <v>118</v>
      </c>
      <c r="C28" s="37">
        <v>2009</v>
      </c>
      <c r="D28" s="37">
        <v>1</v>
      </c>
      <c r="E28" s="37">
        <v>0</v>
      </c>
      <c r="F28" s="29">
        <v>2</v>
      </c>
      <c r="G28" s="37">
        <v>4</v>
      </c>
      <c r="H28" s="37">
        <v>2</v>
      </c>
      <c r="I28" s="37">
        <v>48000</v>
      </c>
      <c r="J28" s="49" t="s">
        <v>119</v>
      </c>
      <c r="K28" s="37">
        <v>3</v>
      </c>
      <c r="L28" s="37">
        <v>0</v>
      </c>
      <c r="M28" s="39" t="s">
        <v>95</v>
      </c>
      <c r="N28" s="37">
        <v>999</v>
      </c>
      <c r="O28" s="37">
        <v>0</v>
      </c>
      <c r="P28" s="37">
        <v>0</v>
      </c>
      <c r="Q28" s="37">
        <v>0</v>
      </c>
      <c r="R28" s="40">
        <v>0</v>
      </c>
      <c r="S28" s="41" t="s">
        <v>120</v>
      </c>
      <c r="T28" s="40">
        <v>1</v>
      </c>
      <c r="U28" s="29"/>
      <c r="V28" s="52"/>
      <c r="Z28" s="40">
        <v>0</v>
      </c>
      <c r="AD28" s="53" t="s">
        <v>96</v>
      </c>
      <c r="AE28" s="8">
        <v>4941</v>
      </c>
      <c r="AF28" s="44">
        <f t="shared" si="2"/>
        <v>1976.4</v>
      </c>
      <c r="AG28" s="40">
        <v>0.20576131687242799</v>
      </c>
    </row>
    <row r="29" spans="1:33" x14ac:dyDescent="0.35">
      <c r="A29" s="37">
        <v>19000209</v>
      </c>
      <c r="B29" s="37" t="s">
        <v>121</v>
      </c>
      <c r="C29" s="37">
        <v>2010</v>
      </c>
      <c r="D29" s="37">
        <v>1</v>
      </c>
      <c r="E29" s="37">
        <v>0</v>
      </c>
      <c r="F29" s="29">
        <v>2</v>
      </c>
      <c r="G29" s="37">
        <v>4</v>
      </c>
      <c r="H29" s="37">
        <v>3</v>
      </c>
      <c r="I29" s="37">
        <v>64000</v>
      </c>
      <c r="J29" s="49" t="s">
        <v>122</v>
      </c>
      <c r="K29" s="37">
        <v>4</v>
      </c>
      <c r="L29" s="37">
        <v>0</v>
      </c>
      <c r="M29" s="39" t="s">
        <v>95</v>
      </c>
      <c r="N29" s="37">
        <v>999</v>
      </c>
      <c r="O29" s="37">
        <v>0</v>
      </c>
      <c r="P29" s="37">
        <v>0</v>
      </c>
      <c r="Q29" s="37">
        <v>0</v>
      </c>
      <c r="R29" s="40">
        <v>0</v>
      </c>
      <c r="S29" s="41" t="s">
        <v>123</v>
      </c>
      <c r="T29" s="40">
        <v>1</v>
      </c>
      <c r="U29" s="29"/>
      <c r="V29" s="52"/>
      <c r="Z29" s="40">
        <v>0</v>
      </c>
      <c r="AD29" s="53" t="s">
        <v>96</v>
      </c>
      <c r="AE29" s="8">
        <v>5822</v>
      </c>
      <c r="AF29" s="44">
        <f t="shared" si="2"/>
        <v>2328.8000000000002</v>
      </c>
      <c r="AG29" s="40">
        <v>0.61728395061728403</v>
      </c>
    </row>
    <row r="30" spans="1:33" x14ac:dyDescent="0.35">
      <c r="A30" s="37">
        <v>19000210</v>
      </c>
      <c r="B30" s="37" t="s">
        <v>124</v>
      </c>
      <c r="C30" s="37">
        <v>2011</v>
      </c>
      <c r="D30" s="37">
        <v>1</v>
      </c>
      <c r="E30" s="37">
        <v>0</v>
      </c>
      <c r="F30" s="29">
        <v>2</v>
      </c>
      <c r="G30" s="37">
        <v>4</v>
      </c>
      <c r="H30" s="37">
        <v>4</v>
      </c>
      <c r="I30" s="37">
        <v>120000</v>
      </c>
      <c r="J30" s="49" t="s">
        <v>125</v>
      </c>
      <c r="K30" s="37">
        <v>5</v>
      </c>
      <c r="L30" s="37">
        <v>0</v>
      </c>
      <c r="M30" s="39" t="s">
        <v>95</v>
      </c>
      <c r="N30" s="37">
        <v>999</v>
      </c>
      <c r="O30" s="37">
        <v>0</v>
      </c>
      <c r="P30" s="37">
        <v>0</v>
      </c>
      <c r="Q30" s="37">
        <v>0</v>
      </c>
      <c r="R30" s="40">
        <v>0</v>
      </c>
      <c r="S30" s="41" t="s">
        <v>126</v>
      </c>
      <c r="T30" s="40">
        <v>1</v>
      </c>
      <c r="U30" s="29"/>
      <c r="V30" s="52"/>
      <c r="Z30" s="40">
        <v>0</v>
      </c>
      <c r="AD30" s="53" t="s">
        <v>96</v>
      </c>
      <c r="AE30" s="8">
        <v>6653</v>
      </c>
      <c r="AF30" s="44">
        <f t="shared" si="2"/>
        <v>2661.2000000000003</v>
      </c>
      <c r="AG30" s="40">
        <v>1.8518518518518501</v>
      </c>
    </row>
    <row r="31" spans="1:33" x14ac:dyDescent="0.35">
      <c r="A31" s="37">
        <v>19000211</v>
      </c>
      <c r="B31" s="37" t="s">
        <v>127</v>
      </c>
      <c r="C31" s="37">
        <v>2012</v>
      </c>
      <c r="D31" s="37">
        <v>1</v>
      </c>
      <c r="E31" s="37">
        <v>0</v>
      </c>
      <c r="F31" s="29">
        <v>2</v>
      </c>
      <c r="G31" s="37">
        <v>5</v>
      </c>
      <c r="H31" s="37">
        <v>1</v>
      </c>
      <c r="I31" s="37">
        <v>240000</v>
      </c>
      <c r="J31" s="49" t="s">
        <v>128</v>
      </c>
      <c r="K31" s="37">
        <v>6</v>
      </c>
      <c r="L31" s="37">
        <v>0</v>
      </c>
      <c r="M31" s="39" t="s">
        <v>95</v>
      </c>
      <c r="N31" s="37">
        <v>999</v>
      </c>
      <c r="O31" s="37">
        <v>0</v>
      </c>
      <c r="P31" s="37">
        <v>0</v>
      </c>
      <c r="Q31" s="37">
        <v>0</v>
      </c>
      <c r="R31" s="40">
        <v>0</v>
      </c>
      <c r="S31" s="41" t="s">
        <v>129</v>
      </c>
      <c r="T31" s="40">
        <v>1</v>
      </c>
      <c r="U31" s="29">
        <v>20000211</v>
      </c>
      <c r="V31" s="52" t="s">
        <v>72</v>
      </c>
      <c r="Z31" s="40">
        <v>0</v>
      </c>
      <c r="AD31" s="53" t="s">
        <v>96</v>
      </c>
      <c r="AE31" s="8">
        <v>8953</v>
      </c>
      <c r="AF31" s="44">
        <f t="shared" si="2"/>
        <v>3581.2000000000003</v>
      </c>
      <c r="AG31" s="40">
        <v>5.5555555555555598</v>
      </c>
    </row>
    <row r="32" spans="1:33" x14ac:dyDescent="0.35">
      <c r="A32" s="37">
        <v>19000212</v>
      </c>
      <c r="B32" s="37" t="s">
        <v>130</v>
      </c>
      <c r="C32" s="37">
        <v>2013</v>
      </c>
      <c r="D32" s="37">
        <v>1</v>
      </c>
      <c r="E32" s="37">
        <v>0</v>
      </c>
      <c r="F32" s="29">
        <v>2</v>
      </c>
      <c r="G32" s="37">
        <v>5</v>
      </c>
      <c r="H32" s="37">
        <v>2</v>
      </c>
      <c r="I32" s="37">
        <v>480000</v>
      </c>
      <c r="J32" s="49" t="s">
        <v>131</v>
      </c>
      <c r="K32" s="37">
        <v>7</v>
      </c>
      <c r="L32" s="37">
        <v>0</v>
      </c>
      <c r="M32" s="39" t="s">
        <v>95</v>
      </c>
      <c r="N32" s="37">
        <v>999</v>
      </c>
      <c r="O32" s="37">
        <v>0</v>
      </c>
      <c r="P32" s="37">
        <v>0</v>
      </c>
      <c r="Q32" s="37">
        <v>0</v>
      </c>
      <c r="R32" s="40">
        <v>0</v>
      </c>
      <c r="S32" s="41" t="s">
        <v>132</v>
      </c>
      <c r="T32" s="40">
        <v>1</v>
      </c>
      <c r="U32" s="29">
        <v>20000212</v>
      </c>
      <c r="V32" s="52" t="s">
        <v>76</v>
      </c>
      <c r="Z32" s="40">
        <v>0</v>
      </c>
      <c r="AD32" s="53" t="s">
        <v>96</v>
      </c>
      <c r="AE32" s="8">
        <v>10959</v>
      </c>
      <c r="AF32" s="44">
        <f t="shared" si="2"/>
        <v>4383.6000000000004</v>
      </c>
      <c r="AG32" s="40">
        <v>16.6666666666667</v>
      </c>
    </row>
    <row r="33" spans="1:33" x14ac:dyDescent="0.35">
      <c r="A33" s="37">
        <v>19000213</v>
      </c>
      <c r="B33" s="37" t="s">
        <v>133</v>
      </c>
      <c r="C33" s="37">
        <v>2014</v>
      </c>
      <c r="D33" s="37">
        <v>1</v>
      </c>
      <c r="E33" s="37">
        <v>0</v>
      </c>
      <c r="F33" s="29">
        <v>2</v>
      </c>
      <c r="G33" s="37">
        <v>5</v>
      </c>
      <c r="H33" s="37">
        <v>3</v>
      </c>
      <c r="I33" s="37">
        <v>960000</v>
      </c>
      <c r="J33" s="49" t="s">
        <v>134</v>
      </c>
      <c r="K33" s="37">
        <v>8</v>
      </c>
      <c r="L33" s="37">
        <v>0</v>
      </c>
      <c r="M33" s="39" t="s">
        <v>95</v>
      </c>
      <c r="N33" s="37">
        <v>999</v>
      </c>
      <c r="O33" s="37">
        <v>0</v>
      </c>
      <c r="P33" s="37">
        <v>0</v>
      </c>
      <c r="Q33" s="37">
        <v>0</v>
      </c>
      <c r="R33" s="40">
        <v>0</v>
      </c>
      <c r="S33" s="41" t="s">
        <v>135</v>
      </c>
      <c r="T33" s="40">
        <v>1</v>
      </c>
      <c r="U33" s="29">
        <v>20000213</v>
      </c>
      <c r="V33" s="52" t="s">
        <v>80</v>
      </c>
      <c r="Z33" s="40">
        <v>0</v>
      </c>
      <c r="AD33" s="53" t="s">
        <v>96</v>
      </c>
      <c r="AE33" s="8">
        <v>12916</v>
      </c>
      <c r="AF33" s="44">
        <f t="shared" si="2"/>
        <v>5166.4000000000005</v>
      </c>
      <c r="AG33" s="40">
        <v>50</v>
      </c>
    </row>
    <row r="34" spans="1:33" x14ac:dyDescent="0.35">
      <c r="A34" s="37">
        <v>19000214</v>
      </c>
      <c r="B34" s="37" t="s">
        <v>136</v>
      </c>
      <c r="C34" s="37">
        <v>2015</v>
      </c>
      <c r="D34" s="37">
        <v>1</v>
      </c>
      <c r="E34" s="37">
        <v>0</v>
      </c>
      <c r="F34" s="29">
        <v>2</v>
      </c>
      <c r="G34" s="37">
        <v>5</v>
      </c>
      <c r="H34" s="37">
        <v>4</v>
      </c>
      <c r="I34" s="37">
        <v>1500000</v>
      </c>
      <c r="J34" s="49" t="s">
        <v>137</v>
      </c>
      <c r="K34" s="37">
        <v>9</v>
      </c>
      <c r="L34" s="37">
        <v>0</v>
      </c>
      <c r="M34" s="39" t="s">
        <v>95</v>
      </c>
      <c r="N34" s="37">
        <v>999</v>
      </c>
      <c r="O34" s="37">
        <v>0</v>
      </c>
      <c r="P34" s="37">
        <v>0</v>
      </c>
      <c r="Q34" s="37">
        <v>0</v>
      </c>
      <c r="R34" s="40">
        <v>0</v>
      </c>
      <c r="S34" s="41" t="s">
        <v>138</v>
      </c>
      <c r="T34" s="40">
        <v>1</v>
      </c>
      <c r="U34" s="29">
        <v>20000214</v>
      </c>
      <c r="V34" s="52" t="s">
        <v>84</v>
      </c>
      <c r="Z34" s="40">
        <v>0</v>
      </c>
      <c r="AD34" s="53" t="s">
        <v>96</v>
      </c>
      <c r="AE34" s="8">
        <v>14873</v>
      </c>
      <c r="AF34" s="44">
        <f t="shared" si="2"/>
        <v>5949.2000000000007</v>
      </c>
      <c r="AG34" s="40">
        <v>152.4</v>
      </c>
    </row>
    <row r="35" spans="1:33" x14ac:dyDescent="0.35">
      <c r="A35" s="37">
        <v>19000215</v>
      </c>
      <c r="B35" s="37" t="s">
        <v>139</v>
      </c>
      <c r="C35" s="37">
        <v>2016</v>
      </c>
      <c r="D35" s="37">
        <v>1</v>
      </c>
      <c r="E35" s="37">
        <v>0</v>
      </c>
      <c r="F35" s="29">
        <v>2</v>
      </c>
      <c r="G35" s="37">
        <v>5</v>
      </c>
      <c r="H35" s="37">
        <v>5</v>
      </c>
      <c r="I35" s="37">
        <v>3000000</v>
      </c>
      <c r="J35" s="49" t="s">
        <v>140</v>
      </c>
      <c r="K35" s="37">
        <v>10</v>
      </c>
      <c r="L35" s="37">
        <v>0</v>
      </c>
      <c r="M35" s="39" t="s">
        <v>95</v>
      </c>
      <c r="N35" s="37">
        <v>999</v>
      </c>
      <c r="O35" s="37">
        <v>0</v>
      </c>
      <c r="P35" s="37">
        <v>0</v>
      </c>
      <c r="Q35" s="37">
        <v>0</v>
      </c>
      <c r="R35" s="40">
        <v>0</v>
      </c>
      <c r="S35" s="41" t="s">
        <v>141</v>
      </c>
      <c r="T35" s="40">
        <v>1</v>
      </c>
      <c r="U35" s="29">
        <v>20000215</v>
      </c>
      <c r="V35" s="52" t="s">
        <v>88</v>
      </c>
      <c r="Z35" s="40">
        <v>0</v>
      </c>
      <c r="AD35" s="53" t="s">
        <v>96</v>
      </c>
      <c r="AE35" s="8">
        <v>24119</v>
      </c>
      <c r="AF35" s="44">
        <f t="shared" si="2"/>
        <v>9647.6</v>
      </c>
      <c r="AG35" s="40">
        <v>460.4</v>
      </c>
    </row>
    <row r="36" spans="1:33" x14ac:dyDescent="0.35">
      <c r="A36" s="37">
        <v>19000216</v>
      </c>
      <c r="B36" s="37" t="s">
        <v>142</v>
      </c>
      <c r="C36" s="37">
        <v>2017</v>
      </c>
      <c r="D36" s="37">
        <v>1</v>
      </c>
      <c r="E36" s="37">
        <v>0</v>
      </c>
      <c r="F36" s="29">
        <v>2</v>
      </c>
      <c r="G36" s="37">
        <v>5</v>
      </c>
      <c r="H36" s="37">
        <v>6</v>
      </c>
      <c r="I36" s="37">
        <v>6000000</v>
      </c>
      <c r="J36" s="49" t="s">
        <v>143</v>
      </c>
      <c r="K36" s="37">
        <v>11</v>
      </c>
      <c r="L36" s="37">
        <v>0</v>
      </c>
      <c r="M36" s="39" t="s">
        <v>95</v>
      </c>
      <c r="N36" s="37">
        <v>999</v>
      </c>
      <c r="O36" s="37">
        <v>0</v>
      </c>
      <c r="P36" s="37">
        <v>0</v>
      </c>
      <c r="Q36" s="37">
        <v>0</v>
      </c>
      <c r="R36" s="40">
        <v>0</v>
      </c>
      <c r="S36" s="41" t="s">
        <v>144</v>
      </c>
      <c r="T36" s="40">
        <v>1</v>
      </c>
      <c r="U36" s="29">
        <v>20000216</v>
      </c>
      <c r="V36" s="52" t="s">
        <v>92</v>
      </c>
      <c r="Z36" s="40">
        <v>0</v>
      </c>
      <c r="AD36" s="53" t="s">
        <v>96</v>
      </c>
      <c r="AE36" s="8">
        <v>36253</v>
      </c>
      <c r="AF36" s="44">
        <f t="shared" si="2"/>
        <v>14501.2</v>
      </c>
      <c r="AG36" s="40">
        <v>1386</v>
      </c>
    </row>
    <row r="37" spans="1:33" x14ac:dyDescent="0.35">
      <c r="A37" s="37">
        <v>19000300</v>
      </c>
      <c r="B37" s="37" t="s">
        <v>145</v>
      </c>
      <c r="C37" s="37">
        <v>3001</v>
      </c>
      <c r="D37" s="37">
        <v>1</v>
      </c>
      <c r="E37" s="37">
        <v>0</v>
      </c>
      <c r="F37" s="31">
        <v>3</v>
      </c>
      <c r="G37" s="37">
        <v>0</v>
      </c>
      <c r="H37" s="37">
        <v>1</v>
      </c>
      <c r="I37" s="37">
        <v>250</v>
      </c>
      <c r="J37" s="49" t="s">
        <v>146</v>
      </c>
      <c r="K37" s="37">
        <v>0</v>
      </c>
      <c r="L37" s="37">
        <v>0</v>
      </c>
      <c r="M37" s="39" t="s">
        <v>147</v>
      </c>
      <c r="N37" s="37">
        <v>999</v>
      </c>
      <c r="O37" s="37">
        <v>0</v>
      </c>
      <c r="P37" s="37">
        <v>0</v>
      </c>
      <c r="Q37" s="37">
        <v>0</v>
      </c>
      <c r="R37" s="40">
        <v>0</v>
      </c>
      <c r="Z37" s="40">
        <v>0</v>
      </c>
      <c r="AD37" s="53" t="s">
        <v>96</v>
      </c>
      <c r="AE37" s="8">
        <v>215</v>
      </c>
      <c r="AF37" s="44">
        <f t="shared" si="2"/>
        <v>86</v>
      </c>
      <c r="AG37" s="40">
        <v>12.6590935320505</v>
      </c>
    </row>
    <row r="38" spans="1:33" x14ac:dyDescent="0.35">
      <c r="A38" s="37">
        <v>19000301</v>
      </c>
      <c r="B38" s="37" t="s">
        <v>148</v>
      </c>
      <c r="C38" s="37">
        <v>3002</v>
      </c>
      <c r="D38" s="37">
        <v>1</v>
      </c>
      <c r="E38" s="37">
        <v>0</v>
      </c>
      <c r="F38" s="31">
        <v>3</v>
      </c>
      <c r="G38" s="37">
        <v>1</v>
      </c>
      <c r="H38" s="37">
        <v>1</v>
      </c>
      <c r="I38" s="37">
        <v>500</v>
      </c>
      <c r="J38" s="49" t="s">
        <v>149</v>
      </c>
      <c r="K38" s="37">
        <v>0</v>
      </c>
      <c r="L38" s="37">
        <v>0</v>
      </c>
      <c r="M38" s="39" t="s">
        <v>147</v>
      </c>
      <c r="N38" s="37">
        <v>999</v>
      </c>
      <c r="O38" s="37">
        <v>0</v>
      </c>
      <c r="P38" s="37">
        <v>0</v>
      </c>
      <c r="Q38" s="37">
        <v>0</v>
      </c>
      <c r="R38" s="40">
        <v>0</v>
      </c>
      <c r="S38" s="41" t="s">
        <v>150</v>
      </c>
      <c r="Z38" s="40">
        <v>0</v>
      </c>
      <c r="AD38" s="53" t="s">
        <v>96</v>
      </c>
      <c r="AE38" s="8">
        <v>260</v>
      </c>
      <c r="AF38" s="44">
        <f t="shared" si="2"/>
        <v>104</v>
      </c>
      <c r="AG38" s="40">
        <v>15.003370112059899</v>
      </c>
    </row>
    <row r="39" spans="1:33" x14ac:dyDescent="0.35">
      <c r="A39" s="37">
        <v>19000302</v>
      </c>
      <c r="B39" s="37" t="s">
        <v>151</v>
      </c>
      <c r="C39" s="37">
        <v>3003</v>
      </c>
      <c r="D39" s="37">
        <v>1</v>
      </c>
      <c r="E39" s="37">
        <v>0</v>
      </c>
      <c r="F39" s="31">
        <v>3</v>
      </c>
      <c r="G39" s="37">
        <v>2</v>
      </c>
      <c r="H39" s="37">
        <v>1</v>
      </c>
      <c r="I39" s="37">
        <v>1000</v>
      </c>
      <c r="J39" s="49" t="s">
        <v>152</v>
      </c>
      <c r="K39" s="37">
        <v>0</v>
      </c>
      <c r="L39" s="37">
        <v>0</v>
      </c>
      <c r="M39" s="39" t="s">
        <v>147</v>
      </c>
      <c r="N39" s="37">
        <v>999</v>
      </c>
      <c r="O39" s="37">
        <v>0</v>
      </c>
      <c r="P39" s="37">
        <v>0</v>
      </c>
      <c r="Q39" s="37">
        <v>0</v>
      </c>
      <c r="R39" s="40">
        <v>0</v>
      </c>
      <c r="S39" s="41" t="s">
        <v>153</v>
      </c>
      <c r="Z39" s="40">
        <v>0</v>
      </c>
      <c r="AD39" s="53" t="s">
        <v>96</v>
      </c>
      <c r="AE39" s="8">
        <v>443</v>
      </c>
      <c r="AF39" s="44">
        <f t="shared" si="2"/>
        <v>177.20000000000002</v>
      </c>
      <c r="AG39" s="40">
        <v>40.509099302561701</v>
      </c>
    </row>
    <row r="40" spans="1:33" x14ac:dyDescent="0.35">
      <c r="A40" s="37">
        <v>19000303</v>
      </c>
      <c r="B40" s="37" t="s">
        <v>154</v>
      </c>
      <c r="C40" s="37">
        <v>3004</v>
      </c>
      <c r="D40" s="37">
        <v>1</v>
      </c>
      <c r="E40" s="37">
        <v>0</v>
      </c>
      <c r="F40" s="31">
        <v>3</v>
      </c>
      <c r="G40" s="37">
        <v>2</v>
      </c>
      <c r="H40" s="37">
        <v>2</v>
      </c>
      <c r="I40" s="37">
        <v>2000</v>
      </c>
      <c r="J40" s="49" t="s">
        <v>155</v>
      </c>
      <c r="K40" s="37">
        <v>0</v>
      </c>
      <c r="L40" s="37">
        <v>0</v>
      </c>
      <c r="M40" s="39" t="s">
        <v>147</v>
      </c>
      <c r="N40" s="37">
        <v>999</v>
      </c>
      <c r="O40" s="37">
        <v>0</v>
      </c>
      <c r="P40" s="37">
        <v>0</v>
      </c>
      <c r="Q40" s="37">
        <v>0</v>
      </c>
      <c r="R40" s="40">
        <v>0</v>
      </c>
      <c r="S40" s="41" t="s">
        <v>156</v>
      </c>
      <c r="Z40" s="40">
        <v>0</v>
      </c>
      <c r="AD40" s="53" t="s">
        <v>96</v>
      </c>
      <c r="AE40" s="8">
        <v>561</v>
      </c>
      <c r="AF40" s="44">
        <f t="shared" si="2"/>
        <v>224.4</v>
      </c>
      <c r="AG40" s="40">
        <v>45.0101103361797</v>
      </c>
    </row>
    <row r="41" spans="1:33" x14ac:dyDescent="0.35">
      <c r="A41" s="37">
        <v>19000304</v>
      </c>
      <c r="B41" s="37" t="s">
        <v>157</v>
      </c>
      <c r="C41" s="37">
        <v>3005</v>
      </c>
      <c r="D41" s="37">
        <v>1</v>
      </c>
      <c r="E41" s="37">
        <v>0</v>
      </c>
      <c r="F41" s="31">
        <v>3</v>
      </c>
      <c r="G41" s="37">
        <v>3</v>
      </c>
      <c r="H41" s="37">
        <v>1</v>
      </c>
      <c r="I41" s="37">
        <v>4000</v>
      </c>
      <c r="J41" s="49" t="s">
        <v>158</v>
      </c>
      <c r="K41" s="37">
        <v>0</v>
      </c>
      <c r="L41" s="37">
        <v>0</v>
      </c>
      <c r="M41" s="39" t="s">
        <v>147</v>
      </c>
      <c r="N41" s="37">
        <v>999</v>
      </c>
      <c r="O41" s="37">
        <v>0</v>
      </c>
      <c r="P41" s="37">
        <v>0</v>
      </c>
      <c r="Q41" s="37">
        <v>0</v>
      </c>
      <c r="R41" s="40">
        <v>0</v>
      </c>
      <c r="S41" s="41" t="s">
        <v>159</v>
      </c>
      <c r="Z41" s="40">
        <v>0</v>
      </c>
      <c r="AD41" s="53" t="s">
        <v>96</v>
      </c>
      <c r="AE41" s="8">
        <v>1108</v>
      </c>
      <c r="AF41" s="44">
        <f t="shared" si="2"/>
        <v>443.20000000000005</v>
      </c>
      <c r="AG41" s="40">
        <v>50.636374128202199</v>
      </c>
    </row>
    <row r="42" spans="1:33" x14ac:dyDescent="0.35">
      <c r="A42" s="37">
        <v>19000305</v>
      </c>
      <c r="B42" s="37" t="s">
        <v>160</v>
      </c>
      <c r="C42" s="37">
        <v>3006</v>
      </c>
      <c r="D42" s="37">
        <v>1</v>
      </c>
      <c r="E42" s="37">
        <v>0</v>
      </c>
      <c r="F42" s="31">
        <v>3</v>
      </c>
      <c r="G42" s="37">
        <v>3</v>
      </c>
      <c r="H42" s="37">
        <v>2</v>
      </c>
      <c r="I42" s="37">
        <v>8000</v>
      </c>
      <c r="J42" s="49" t="s">
        <v>161</v>
      </c>
      <c r="K42" s="37">
        <v>0</v>
      </c>
      <c r="L42" s="37">
        <v>0</v>
      </c>
      <c r="M42" s="39" t="s">
        <v>147</v>
      </c>
      <c r="N42" s="37">
        <v>999</v>
      </c>
      <c r="O42" s="37">
        <v>0</v>
      </c>
      <c r="P42" s="37">
        <v>0</v>
      </c>
      <c r="Q42" s="37">
        <v>0</v>
      </c>
      <c r="R42" s="40">
        <v>0</v>
      </c>
      <c r="S42" s="41" t="s">
        <v>162</v>
      </c>
      <c r="Z42" s="40">
        <v>0</v>
      </c>
      <c r="AD42" s="53" t="s">
        <v>96</v>
      </c>
      <c r="AE42" s="8">
        <v>1435</v>
      </c>
      <c r="AF42" s="44">
        <f t="shared" si="2"/>
        <v>574</v>
      </c>
      <c r="AG42" s="40">
        <v>57.870141860802498</v>
      </c>
    </row>
    <row r="43" spans="1:33" x14ac:dyDescent="0.35">
      <c r="A43" s="37">
        <v>19000306</v>
      </c>
      <c r="B43" s="37" t="s">
        <v>163</v>
      </c>
      <c r="C43" s="37">
        <v>3007</v>
      </c>
      <c r="D43" s="37">
        <v>1</v>
      </c>
      <c r="E43" s="37">
        <v>0</v>
      </c>
      <c r="F43" s="31">
        <v>3</v>
      </c>
      <c r="G43" s="37">
        <v>3</v>
      </c>
      <c r="H43" s="37">
        <v>3</v>
      </c>
      <c r="I43" s="37">
        <v>16000</v>
      </c>
      <c r="J43" s="49" t="s">
        <v>164</v>
      </c>
      <c r="K43" s="37">
        <v>1</v>
      </c>
      <c r="L43" s="37">
        <v>0</v>
      </c>
      <c r="M43" s="39" t="s">
        <v>147</v>
      </c>
      <c r="N43" s="37">
        <v>999</v>
      </c>
      <c r="O43" s="37">
        <v>0</v>
      </c>
      <c r="P43" s="37">
        <v>0</v>
      </c>
      <c r="Q43" s="37">
        <v>0</v>
      </c>
      <c r="R43" s="40">
        <v>0</v>
      </c>
      <c r="S43" s="41" t="s">
        <v>165</v>
      </c>
      <c r="Z43" s="40">
        <v>0</v>
      </c>
      <c r="AD43" s="53" t="s">
        <v>96</v>
      </c>
      <c r="AE43" s="8">
        <v>1761</v>
      </c>
      <c r="AF43" s="44">
        <f t="shared" si="2"/>
        <v>704.40000000000009</v>
      </c>
      <c r="AG43" s="40">
        <v>67.515165504269504</v>
      </c>
    </row>
    <row r="44" spans="1:33" x14ac:dyDescent="0.35">
      <c r="A44" s="37">
        <v>19000307</v>
      </c>
      <c r="B44" s="37" t="s">
        <v>166</v>
      </c>
      <c r="C44" s="37">
        <v>3008</v>
      </c>
      <c r="D44" s="37">
        <v>1</v>
      </c>
      <c r="E44" s="37">
        <v>0</v>
      </c>
      <c r="F44" s="31">
        <v>3</v>
      </c>
      <c r="G44" s="37">
        <v>4</v>
      </c>
      <c r="H44" s="37">
        <v>1</v>
      </c>
      <c r="I44" s="37">
        <v>32000</v>
      </c>
      <c r="J44" s="49" t="s">
        <v>167</v>
      </c>
      <c r="K44" s="37">
        <v>2</v>
      </c>
      <c r="L44" s="37">
        <v>0</v>
      </c>
      <c r="M44" s="39" t="s">
        <v>147</v>
      </c>
      <c r="N44" s="37">
        <v>999</v>
      </c>
      <c r="O44" s="37">
        <v>0</v>
      </c>
      <c r="P44" s="37">
        <v>0</v>
      </c>
      <c r="Q44" s="37">
        <v>0</v>
      </c>
      <c r="R44" s="40">
        <v>0</v>
      </c>
      <c r="S44" s="41" t="s">
        <v>168</v>
      </c>
      <c r="T44" s="40">
        <v>1</v>
      </c>
      <c r="U44" s="30"/>
      <c r="V44" s="52"/>
      <c r="Z44" s="40">
        <v>0</v>
      </c>
      <c r="AD44" s="53" t="s">
        <v>96</v>
      </c>
      <c r="AE44" s="8">
        <v>2707</v>
      </c>
      <c r="AF44" s="44">
        <f t="shared" si="2"/>
        <v>1082.8</v>
      </c>
      <c r="AG44" s="40">
        <v>6.8587105624142705E-2</v>
      </c>
    </row>
    <row r="45" spans="1:33" x14ac:dyDescent="0.35">
      <c r="A45" s="37">
        <v>19000308</v>
      </c>
      <c r="B45" s="37" t="s">
        <v>169</v>
      </c>
      <c r="C45" s="37">
        <v>3009</v>
      </c>
      <c r="D45" s="37">
        <v>1</v>
      </c>
      <c r="E45" s="37">
        <v>0</v>
      </c>
      <c r="F45" s="31">
        <v>3</v>
      </c>
      <c r="G45" s="37">
        <v>4</v>
      </c>
      <c r="H45" s="37">
        <v>2</v>
      </c>
      <c r="I45" s="37">
        <v>48000</v>
      </c>
      <c r="J45" s="49" t="s">
        <v>170</v>
      </c>
      <c r="K45" s="37">
        <v>3</v>
      </c>
      <c r="L45" s="37">
        <v>0</v>
      </c>
      <c r="M45" s="39" t="s">
        <v>147</v>
      </c>
      <c r="N45" s="37">
        <v>999</v>
      </c>
      <c r="O45" s="37">
        <v>0</v>
      </c>
      <c r="P45" s="37">
        <v>0</v>
      </c>
      <c r="Q45" s="37">
        <v>0</v>
      </c>
      <c r="R45" s="40">
        <v>0</v>
      </c>
      <c r="S45" s="41" t="s">
        <v>171</v>
      </c>
      <c r="T45" s="40">
        <v>1</v>
      </c>
      <c r="U45" s="30"/>
      <c r="V45" s="52"/>
      <c r="Z45" s="40">
        <v>0</v>
      </c>
      <c r="AD45" s="53" t="s">
        <v>96</v>
      </c>
      <c r="AE45" s="8">
        <v>3294</v>
      </c>
      <c r="AF45" s="44">
        <f t="shared" si="2"/>
        <v>1317.6000000000001</v>
      </c>
      <c r="AG45" s="40">
        <v>0.20576131687242799</v>
      </c>
    </row>
    <row r="46" spans="1:33" x14ac:dyDescent="0.35">
      <c r="A46" s="37">
        <v>19000309</v>
      </c>
      <c r="B46" s="37" t="s">
        <v>172</v>
      </c>
      <c r="C46" s="37">
        <v>3010</v>
      </c>
      <c r="D46" s="37">
        <v>1</v>
      </c>
      <c r="E46" s="37">
        <v>0</v>
      </c>
      <c r="F46" s="31">
        <v>3</v>
      </c>
      <c r="G46" s="37">
        <v>4</v>
      </c>
      <c r="H46" s="37">
        <v>3</v>
      </c>
      <c r="I46" s="37">
        <v>64000</v>
      </c>
      <c r="J46" s="49" t="s">
        <v>173</v>
      </c>
      <c r="K46" s="37">
        <v>4</v>
      </c>
      <c r="L46" s="37">
        <v>0</v>
      </c>
      <c r="M46" s="39" t="s">
        <v>147</v>
      </c>
      <c r="N46" s="37">
        <v>999</v>
      </c>
      <c r="O46" s="37">
        <v>0</v>
      </c>
      <c r="P46" s="37">
        <v>0</v>
      </c>
      <c r="Q46" s="37">
        <v>0</v>
      </c>
      <c r="R46" s="40">
        <v>0</v>
      </c>
      <c r="S46" s="41" t="s">
        <v>174</v>
      </c>
      <c r="T46" s="40">
        <v>1</v>
      </c>
      <c r="U46" s="30"/>
      <c r="V46" s="52"/>
      <c r="Z46" s="40">
        <v>0</v>
      </c>
      <c r="AD46" s="53" t="s">
        <v>96</v>
      </c>
      <c r="AE46" s="8">
        <v>3881</v>
      </c>
      <c r="AF46" s="44">
        <f t="shared" si="2"/>
        <v>1552.4</v>
      </c>
      <c r="AG46" s="40">
        <v>0.61728395061728403</v>
      </c>
    </row>
    <row r="47" spans="1:33" x14ac:dyDescent="0.35">
      <c r="A47" s="37">
        <v>19000310</v>
      </c>
      <c r="B47" s="37" t="s">
        <v>175</v>
      </c>
      <c r="C47" s="37">
        <v>3011</v>
      </c>
      <c r="D47" s="37">
        <v>1</v>
      </c>
      <c r="E47" s="37">
        <v>0</v>
      </c>
      <c r="F47" s="31">
        <v>3</v>
      </c>
      <c r="G47" s="37">
        <v>4</v>
      </c>
      <c r="H47" s="37">
        <v>4</v>
      </c>
      <c r="I47" s="37">
        <v>120000</v>
      </c>
      <c r="J47" s="49" t="s">
        <v>176</v>
      </c>
      <c r="K47" s="37">
        <v>5</v>
      </c>
      <c r="L47" s="37">
        <v>0</v>
      </c>
      <c r="M47" s="39" t="s">
        <v>147</v>
      </c>
      <c r="N47" s="37">
        <v>999</v>
      </c>
      <c r="O47" s="37">
        <v>0</v>
      </c>
      <c r="P47" s="37">
        <v>0</v>
      </c>
      <c r="Q47" s="37">
        <v>0</v>
      </c>
      <c r="R47" s="40">
        <v>0</v>
      </c>
      <c r="S47" s="41" t="s">
        <v>177</v>
      </c>
      <c r="T47" s="40">
        <v>1</v>
      </c>
      <c r="U47" s="30"/>
      <c r="V47" s="52"/>
      <c r="Z47" s="40">
        <v>0</v>
      </c>
      <c r="AD47" s="53" t="s">
        <v>96</v>
      </c>
      <c r="AE47" s="8">
        <v>4435</v>
      </c>
      <c r="AF47" s="44">
        <f t="shared" si="2"/>
        <v>1774</v>
      </c>
      <c r="AG47" s="40">
        <v>1.8518518518518501</v>
      </c>
    </row>
    <row r="48" spans="1:33" x14ac:dyDescent="0.35">
      <c r="A48" s="37">
        <v>19000311</v>
      </c>
      <c r="B48" s="37" t="s">
        <v>178</v>
      </c>
      <c r="C48" s="37">
        <v>3012</v>
      </c>
      <c r="D48" s="37">
        <v>1</v>
      </c>
      <c r="E48" s="37">
        <v>0</v>
      </c>
      <c r="F48" s="31">
        <v>3</v>
      </c>
      <c r="G48" s="37">
        <v>5</v>
      </c>
      <c r="H48" s="37">
        <v>1</v>
      </c>
      <c r="I48" s="37">
        <v>240000</v>
      </c>
      <c r="J48" s="49" t="s">
        <v>179</v>
      </c>
      <c r="K48" s="37">
        <v>6</v>
      </c>
      <c r="L48" s="37">
        <v>0</v>
      </c>
      <c r="M48" s="39" t="s">
        <v>147</v>
      </c>
      <c r="N48" s="37">
        <v>999</v>
      </c>
      <c r="O48" s="37">
        <v>0</v>
      </c>
      <c r="P48" s="37">
        <v>0</v>
      </c>
      <c r="Q48" s="37">
        <v>0</v>
      </c>
      <c r="R48" s="40">
        <v>0</v>
      </c>
      <c r="S48" s="41" t="s">
        <v>180</v>
      </c>
      <c r="T48" s="40">
        <v>1</v>
      </c>
      <c r="U48" s="30">
        <v>20000311</v>
      </c>
      <c r="V48" s="52" t="s">
        <v>72</v>
      </c>
      <c r="Z48" s="40">
        <v>0</v>
      </c>
      <c r="AD48" s="53" t="s">
        <v>96</v>
      </c>
      <c r="AE48" s="8">
        <v>5968</v>
      </c>
      <c r="AF48" s="44">
        <f t="shared" si="2"/>
        <v>2387.2000000000003</v>
      </c>
      <c r="AG48" s="40">
        <v>5.5555555555555598</v>
      </c>
    </row>
    <row r="49" spans="1:33" x14ac:dyDescent="0.35">
      <c r="A49" s="37">
        <v>19000312</v>
      </c>
      <c r="B49" s="37" t="s">
        <v>181</v>
      </c>
      <c r="C49" s="37">
        <v>3013</v>
      </c>
      <c r="D49" s="37">
        <v>1</v>
      </c>
      <c r="E49" s="37">
        <v>0</v>
      </c>
      <c r="F49" s="31">
        <v>3</v>
      </c>
      <c r="G49" s="37">
        <v>5</v>
      </c>
      <c r="H49" s="37">
        <v>2</v>
      </c>
      <c r="I49" s="37">
        <v>480000</v>
      </c>
      <c r="J49" s="49" t="s">
        <v>182</v>
      </c>
      <c r="K49" s="37">
        <v>7</v>
      </c>
      <c r="L49" s="37">
        <v>0</v>
      </c>
      <c r="M49" s="39" t="s">
        <v>147</v>
      </c>
      <c r="N49" s="37">
        <v>999</v>
      </c>
      <c r="O49" s="37">
        <v>0</v>
      </c>
      <c r="P49" s="37">
        <v>0</v>
      </c>
      <c r="Q49" s="37">
        <v>0</v>
      </c>
      <c r="R49" s="40">
        <v>0</v>
      </c>
      <c r="S49" s="41" t="s">
        <v>183</v>
      </c>
      <c r="T49" s="40">
        <v>1</v>
      </c>
      <c r="U49" s="30">
        <v>20000312</v>
      </c>
      <c r="V49" s="52" t="s">
        <v>76</v>
      </c>
      <c r="Z49" s="40">
        <v>0</v>
      </c>
      <c r="AD49" s="53" t="s">
        <v>96</v>
      </c>
      <c r="AE49" s="8">
        <v>7306</v>
      </c>
      <c r="AF49" s="44">
        <f t="shared" si="2"/>
        <v>2922.4</v>
      </c>
      <c r="AG49" s="40">
        <v>16.6666666666667</v>
      </c>
    </row>
    <row r="50" spans="1:33" x14ac:dyDescent="0.35">
      <c r="A50" s="37">
        <v>19000313</v>
      </c>
      <c r="B50" s="37" t="s">
        <v>184</v>
      </c>
      <c r="C50" s="37">
        <v>3014</v>
      </c>
      <c r="D50" s="37">
        <v>1</v>
      </c>
      <c r="E50" s="37">
        <v>0</v>
      </c>
      <c r="F50" s="31">
        <v>3</v>
      </c>
      <c r="G50" s="37">
        <v>5</v>
      </c>
      <c r="H50" s="37">
        <v>3</v>
      </c>
      <c r="I50" s="37">
        <v>960000</v>
      </c>
      <c r="J50" s="49" t="s">
        <v>185</v>
      </c>
      <c r="K50" s="37">
        <v>8</v>
      </c>
      <c r="L50" s="37">
        <v>0</v>
      </c>
      <c r="M50" s="39" t="s">
        <v>147</v>
      </c>
      <c r="N50" s="37">
        <v>999</v>
      </c>
      <c r="O50" s="37">
        <v>0</v>
      </c>
      <c r="P50" s="37">
        <v>0</v>
      </c>
      <c r="Q50" s="37">
        <v>0</v>
      </c>
      <c r="R50" s="40">
        <v>0</v>
      </c>
      <c r="S50" s="41" t="s">
        <v>186</v>
      </c>
      <c r="T50" s="40">
        <v>1</v>
      </c>
      <c r="U50" s="30">
        <v>20000313</v>
      </c>
      <c r="V50" s="52" t="s">
        <v>80</v>
      </c>
      <c r="Z50" s="40">
        <v>0</v>
      </c>
      <c r="AD50" s="53" t="s">
        <v>96</v>
      </c>
      <c r="AE50" s="8">
        <v>8610</v>
      </c>
      <c r="AF50" s="44">
        <f t="shared" si="2"/>
        <v>3444</v>
      </c>
      <c r="AG50" s="40">
        <v>50</v>
      </c>
    </row>
    <row r="51" spans="1:33" x14ac:dyDescent="0.35">
      <c r="A51" s="37">
        <v>19000314</v>
      </c>
      <c r="B51" s="37" t="s">
        <v>187</v>
      </c>
      <c r="C51" s="37">
        <v>3015</v>
      </c>
      <c r="D51" s="37">
        <v>1</v>
      </c>
      <c r="E51" s="37">
        <v>0</v>
      </c>
      <c r="F51" s="31">
        <v>3</v>
      </c>
      <c r="G51" s="37">
        <v>5</v>
      </c>
      <c r="H51" s="37">
        <v>4</v>
      </c>
      <c r="I51" s="37">
        <v>1500000</v>
      </c>
      <c r="J51" s="49" t="s">
        <v>188</v>
      </c>
      <c r="K51" s="37">
        <v>9</v>
      </c>
      <c r="L51" s="37">
        <v>0</v>
      </c>
      <c r="M51" s="39" t="s">
        <v>147</v>
      </c>
      <c r="N51" s="37">
        <v>999</v>
      </c>
      <c r="O51" s="37">
        <v>0</v>
      </c>
      <c r="P51" s="37">
        <v>0</v>
      </c>
      <c r="Q51" s="37">
        <v>0</v>
      </c>
      <c r="R51" s="40">
        <v>0</v>
      </c>
      <c r="S51" s="41" t="s">
        <v>189</v>
      </c>
      <c r="T51" s="40">
        <v>1</v>
      </c>
      <c r="U51" s="30">
        <v>20000314</v>
      </c>
      <c r="V51" s="52" t="s">
        <v>84</v>
      </c>
      <c r="Z51" s="40">
        <v>0</v>
      </c>
      <c r="AD51" s="53" t="s">
        <v>96</v>
      </c>
      <c r="AE51" s="8">
        <v>9915</v>
      </c>
      <c r="AF51" s="44">
        <f t="shared" si="2"/>
        <v>3966</v>
      </c>
      <c r="AG51" s="40">
        <v>152.4</v>
      </c>
    </row>
    <row r="52" spans="1:33" x14ac:dyDescent="0.35">
      <c r="A52" s="37">
        <v>19000315</v>
      </c>
      <c r="B52" s="37" t="s">
        <v>190</v>
      </c>
      <c r="C52" s="37">
        <v>3016</v>
      </c>
      <c r="D52" s="37">
        <v>1</v>
      </c>
      <c r="E52" s="37">
        <v>0</v>
      </c>
      <c r="F52" s="31">
        <v>3</v>
      </c>
      <c r="G52" s="37">
        <v>5</v>
      </c>
      <c r="H52" s="37">
        <v>5</v>
      </c>
      <c r="I52" s="37">
        <v>3000000</v>
      </c>
      <c r="J52" s="49" t="s">
        <v>191</v>
      </c>
      <c r="K52" s="37">
        <v>10</v>
      </c>
      <c r="L52" s="37">
        <v>0</v>
      </c>
      <c r="M52" s="39" t="s">
        <v>147</v>
      </c>
      <c r="N52" s="37">
        <v>999</v>
      </c>
      <c r="O52" s="37">
        <v>0</v>
      </c>
      <c r="P52" s="37">
        <v>0</v>
      </c>
      <c r="Q52" s="37">
        <v>0</v>
      </c>
      <c r="R52" s="40">
        <v>0</v>
      </c>
      <c r="S52" s="41" t="s">
        <v>192</v>
      </c>
      <c r="T52" s="40">
        <v>1</v>
      </c>
      <c r="U52" s="30">
        <v>20000315</v>
      </c>
      <c r="V52" s="52" t="s">
        <v>88</v>
      </c>
      <c r="Z52" s="40">
        <v>0</v>
      </c>
      <c r="AD52" s="53" t="s">
        <v>96</v>
      </c>
      <c r="AE52" s="8">
        <v>16080</v>
      </c>
      <c r="AF52" s="44">
        <f t="shared" si="2"/>
        <v>6432</v>
      </c>
      <c r="AG52" s="40">
        <v>460.4</v>
      </c>
    </row>
    <row r="53" spans="1:33" x14ac:dyDescent="0.35">
      <c r="A53" s="37">
        <v>19000316</v>
      </c>
      <c r="B53" s="37" t="s">
        <v>193</v>
      </c>
      <c r="C53" s="37">
        <v>3017</v>
      </c>
      <c r="D53" s="37">
        <v>1</v>
      </c>
      <c r="E53" s="37">
        <v>0</v>
      </c>
      <c r="F53" s="31">
        <v>3</v>
      </c>
      <c r="G53" s="37">
        <v>5</v>
      </c>
      <c r="H53" s="37">
        <v>6</v>
      </c>
      <c r="I53" s="37">
        <v>6000000</v>
      </c>
      <c r="J53" s="49" t="s">
        <v>194</v>
      </c>
      <c r="K53" s="37">
        <v>11</v>
      </c>
      <c r="L53" s="37">
        <v>0</v>
      </c>
      <c r="M53" s="39" t="s">
        <v>147</v>
      </c>
      <c r="N53" s="37">
        <v>999</v>
      </c>
      <c r="O53" s="37">
        <v>0</v>
      </c>
      <c r="P53" s="37">
        <v>0</v>
      </c>
      <c r="Q53" s="37">
        <v>0</v>
      </c>
      <c r="R53" s="40">
        <v>0</v>
      </c>
      <c r="S53" s="41" t="s">
        <v>195</v>
      </c>
      <c r="T53" s="40">
        <v>1</v>
      </c>
      <c r="U53" s="30">
        <v>20000316</v>
      </c>
      <c r="V53" s="52" t="s">
        <v>92</v>
      </c>
      <c r="Z53" s="40">
        <v>0</v>
      </c>
      <c r="AD53" s="53" t="s">
        <v>96</v>
      </c>
      <c r="AE53" s="8">
        <v>24169</v>
      </c>
      <c r="AF53" s="44">
        <f t="shared" si="2"/>
        <v>9667.6</v>
      </c>
      <c r="AG53" s="40">
        <v>1386</v>
      </c>
    </row>
    <row r="54" spans="1:33" x14ac:dyDescent="0.35">
      <c r="A54" s="37">
        <v>19000400</v>
      </c>
      <c r="B54" s="37" t="s">
        <v>196</v>
      </c>
      <c r="C54" s="37">
        <v>4001</v>
      </c>
      <c r="D54" s="37">
        <v>1</v>
      </c>
      <c r="E54" s="37">
        <v>0</v>
      </c>
      <c r="F54" s="46">
        <v>4</v>
      </c>
      <c r="G54" s="37">
        <v>0</v>
      </c>
      <c r="H54" s="37">
        <v>1</v>
      </c>
      <c r="I54" s="37">
        <v>250</v>
      </c>
      <c r="J54" s="49" t="s">
        <v>197</v>
      </c>
      <c r="K54" s="37">
        <v>0</v>
      </c>
      <c r="L54" s="37">
        <v>0</v>
      </c>
      <c r="M54" s="39" t="s">
        <v>198</v>
      </c>
      <c r="N54" s="37">
        <v>999</v>
      </c>
      <c r="O54" s="37">
        <v>0</v>
      </c>
      <c r="P54" s="37">
        <v>0</v>
      </c>
      <c r="Q54" s="37">
        <v>0</v>
      </c>
      <c r="R54" s="40">
        <v>0</v>
      </c>
      <c r="Z54" s="40">
        <v>0</v>
      </c>
      <c r="AD54" s="53" t="s">
        <v>36</v>
      </c>
      <c r="AE54" s="8">
        <v>28</v>
      </c>
      <c r="AF54" s="44">
        <f>AE54*2</f>
        <v>56</v>
      </c>
      <c r="AG54" s="40">
        <v>12.6590935320505</v>
      </c>
    </row>
    <row r="55" spans="1:33" x14ac:dyDescent="0.35">
      <c r="A55" s="37">
        <v>19000401</v>
      </c>
      <c r="B55" s="37" t="s">
        <v>199</v>
      </c>
      <c r="C55" s="37">
        <v>4002</v>
      </c>
      <c r="D55" s="37">
        <v>1</v>
      </c>
      <c r="E55" s="37">
        <v>0</v>
      </c>
      <c r="F55" s="46">
        <v>4</v>
      </c>
      <c r="G55" s="37">
        <v>1</v>
      </c>
      <c r="H55" s="37">
        <v>1</v>
      </c>
      <c r="I55" s="37">
        <v>500</v>
      </c>
      <c r="J55" s="49" t="s">
        <v>200</v>
      </c>
      <c r="K55" s="37">
        <v>0</v>
      </c>
      <c r="L55" s="37">
        <v>0</v>
      </c>
      <c r="M55" s="39" t="s">
        <v>198</v>
      </c>
      <c r="N55" s="37">
        <v>999</v>
      </c>
      <c r="O55" s="37">
        <v>0</v>
      </c>
      <c r="P55" s="37">
        <v>0</v>
      </c>
      <c r="Q55" s="37">
        <v>0</v>
      </c>
      <c r="R55" s="40">
        <v>0</v>
      </c>
      <c r="S55" s="41" t="s">
        <v>201</v>
      </c>
      <c r="Z55" s="40">
        <v>0</v>
      </c>
      <c r="AD55" s="53" t="s">
        <v>36</v>
      </c>
      <c r="AE55" s="8">
        <v>34</v>
      </c>
      <c r="AF55" s="44">
        <f t="shared" ref="AF55:AF70" si="3">AE55*2</f>
        <v>68</v>
      </c>
      <c r="AG55" s="40">
        <v>15.003370112059899</v>
      </c>
    </row>
    <row r="56" spans="1:33" x14ac:dyDescent="0.35">
      <c r="A56" s="37">
        <v>19000402</v>
      </c>
      <c r="B56" s="37" t="s">
        <v>202</v>
      </c>
      <c r="C56" s="37">
        <v>4003</v>
      </c>
      <c r="D56" s="37">
        <v>1</v>
      </c>
      <c r="E56" s="37">
        <v>0</v>
      </c>
      <c r="F56" s="46">
        <v>4</v>
      </c>
      <c r="G56" s="37">
        <v>2</v>
      </c>
      <c r="H56" s="37">
        <v>1</v>
      </c>
      <c r="I56" s="37">
        <v>1000</v>
      </c>
      <c r="J56" s="49" t="s">
        <v>203</v>
      </c>
      <c r="K56" s="37">
        <v>0</v>
      </c>
      <c r="L56" s="37">
        <v>0</v>
      </c>
      <c r="M56" s="39" t="s">
        <v>198</v>
      </c>
      <c r="N56" s="37">
        <v>999</v>
      </c>
      <c r="O56" s="37">
        <v>0</v>
      </c>
      <c r="P56" s="37">
        <v>0</v>
      </c>
      <c r="Q56" s="37">
        <v>0</v>
      </c>
      <c r="R56" s="40">
        <v>0</v>
      </c>
      <c r="S56" s="41" t="s">
        <v>204</v>
      </c>
      <c r="Z56" s="40">
        <v>0</v>
      </c>
      <c r="AD56" s="53" t="s">
        <v>36</v>
      </c>
      <c r="AE56" s="8">
        <v>49</v>
      </c>
      <c r="AF56" s="44">
        <f t="shared" si="3"/>
        <v>98</v>
      </c>
      <c r="AG56" s="40">
        <v>40.509099302561701</v>
      </c>
    </row>
    <row r="57" spans="1:33" x14ac:dyDescent="0.35">
      <c r="A57" s="37">
        <v>19000403</v>
      </c>
      <c r="B57" s="37" t="s">
        <v>205</v>
      </c>
      <c r="C57" s="37">
        <v>4004</v>
      </c>
      <c r="D57" s="37">
        <v>1</v>
      </c>
      <c r="E57" s="37">
        <v>0</v>
      </c>
      <c r="F57" s="46">
        <v>4</v>
      </c>
      <c r="G57" s="37">
        <v>2</v>
      </c>
      <c r="H57" s="37">
        <v>2</v>
      </c>
      <c r="I57" s="37">
        <v>2000</v>
      </c>
      <c r="J57" s="49" t="s">
        <v>206</v>
      </c>
      <c r="K57" s="37">
        <v>0</v>
      </c>
      <c r="L57" s="37">
        <v>0</v>
      </c>
      <c r="M57" s="39" t="s">
        <v>198</v>
      </c>
      <c r="N57" s="37">
        <v>999</v>
      </c>
      <c r="O57" s="37">
        <v>0</v>
      </c>
      <c r="P57" s="37">
        <v>0</v>
      </c>
      <c r="Q57" s="37">
        <v>0</v>
      </c>
      <c r="R57" s="40">
        <v>0</v>
      </c>
      <c r="S57" s="41" t="s">
        <v>207</v>
      </c>
      <c r="Z57" s="40">
        <v>0</v>
      </c>
      <c r="AD57" s="53" t="s">
        <v>36</v>
      </c>
      <c r="AE57" s="8">
        <v>74</v>
      </c>
      <c r="AF57" s="44">
        <f t="shared" si="3"/>
        <v>148</v>
      </c>
      <c r="AG57" s="40">
        <v>45.0101103361797</v>
      </c>
    </row>
    <row r="58" spans="1:33" x14ac:dyDescent="0.35">
      <c r="A58" s="37">
        <v>19000404</v>
      </c>
      <c r="B58" s="37" t="s">
        <v>208</v>
      </c>
      <c r="C58" s="37">
        <v>4005</v>
      </c>
      <c r="D58" s="37">
        <v>1</v>
      </c>
      <c r="E58" s="37">
        <v>0</v>
      </c>
      <c r="F58" s="46">
        <v>4</v>
      </c>
      <c r="G58" s="37">
        <v>3</v>
      </c>
      <c r="H58" s="37">
        <v>1</v>
      </c>
      <c r="I58" s="37">
        <v>4000</v>
      </c>
      <c r="J58" s="49" t="s">
        <v>209</v>
      </c>
      <c r="K58" s="37">
        <v>0</v>
      </c>
      <c r="L58" s="37">
        <v>0</v>
      </c>
      <c r="M58" s="39" t="s">
        <v>198</v>
      </c>
      <c r="N58" s="37">
        <v>999</v>
      </c>
      <c r="O58" s="37">
        <v>0</v>
      </c>
      <c r="P58" s="37">
        <v>0</v>
      </c>
      <c r="Q58" s="37">
        <v>0</v>
      </c>
      <c r="R58" s="40">
        <v>0</v>
      </c>
      <c r="S58" s="41" t="s">
        <v>210</v>
      </c>
      <c r="Z58" s="40">
        <v>0</v>
      </c>
      <c r="AD58" s="53" t="s">
        <v>36</v>
      </c>
      <c r="AE58" s="8">
        <v>147</v>
      </c>
      <c r="AF58" s="44">
        <f t="shared" si="3"/>
        <v>294</v>
      </c>
      <c r="AG58" s="40">
        <v>50.636374128202199</v>
      </c>
    </row>
    <row r="59" spans="1:33" x14ac:dyDescent="0.35">
      <c r="A59" s="37">
        <v>19000405</v>
      </c>
      <c r="B59" s="37" t="s">
        <v>211</v>
      </c>
      <c r="C59" s="37">
        <v>4006</v>
      </c>
      <c r="D59" s="37">
        <v>1</v>
      </c>
      <c r="E59" s="37">
        <v>0</v>
      </c>
      <c r="F59" s="46">
        <v>4</v>
      </c>
      <c r="G59" s="37">
        <v>3</v>
      </c>
      <c r="H59" s="37">
        <v>2</v>
      </c>
      <c r="I59" s="37">
        <v>8000</v>
      </c>
      <c r="J59" s="49" t="s">
        <v>212</v>
      </c>
      <c r="K59" s="37">
        <v>0</v>
      </c>
      <c r="L59" s="37">
        <v>0</v>
      </c>
      <c r="M59" s="39" t="s">
        <v>198</v>
      </c>
      <c r="N59" s="37">
        <v>999</v>
      </c>
      <c r="O59" s="37">
        <v>0</v>
      </c>
      <c r="P59" s="37">
        <v>0</v>
      </c>
      <c r="Q59" s="37">
        <v>0</v>
      </c>
      <c r="R59" s="40">
        <v>0</v>
      </c>
      <c r="S59" s="41" t="s">
        <v>213</v>
      </c>
      <c r="Z59" s="40">
        <v>0</v>
      </c>
      <c r="AD59" s="53" t="s">
        <v>36</v>
      </c>
      <c r="AE59" s="8">
        <v>191</v>
      </c>
      <c r="AF59" s="44">
        <f t="shared" si="3"/>
        <v>382</v>
      </c>
      <c r="AG59" s="40">
        <v>57.870141860802498</v>
      </c>
    </row>
    <row r="60" spans="1:33" x14ac:dyDescent="0.35">
      <c r="A60" s="37">
        <v>19000406</v>
      </c>
      <c r="B60" s="37" t="s">
        <v>214</v>
      </c>
      <c r="C60" s="37">
        <v>4007</v>
      </c>
      <c r="D60" s="37">
        <v>1</v>
      </c>
      <c r="E60" s="37">
        <v>0</v>
      </c>
      <c r="F60" s="46">
        <v>4</v>
      </c>
      <c r="G60" s="37">
        <v>3</v>
      </c>
      <c r="H60" s="37">
        <v>3</v>
      </c>
      <c r="I60" s="37">
        <v>16000</v>
      </c>
      <c r="J60" s="49" t="s">
        <v>215</v>
      </c>
      <c r="K60" s="37">
        <v>1</v>
      </c>
      <c r="L60" s="37">
        <v>0</v>
      </c>
      <c r="M60" s="39" t="s">
        <v>198</v>
      </c>
      <c r="N60" s="37">
        <v>999</v>
      </c>
      <c r="O60" s="37">
        <v>0</v>
      </c>
      <c r="P60" s="37">
        <v>0</v>
      </c>
      <c r="Q60" s="37">
        <v>0</v>
      </c>
      <c r="R60" s="40">
        <v>0</v>
      </c>
      <c r="S60" s="41" t="s">
        <v>216</v>
      </c>
      <c r="Z60" s="40">
        <v>0</v>
      </c>
      <c r="AD60" s="53" t="s">
        <v>36</v>
      </c>
      <c r="AE60" s="8">
        <v>234</v>
      </c>
      <c r="AF60" s="44">
        <f t="shared" si="3"/>
        <v>468</v>
      </c>
      <c r="AG60" s="40">
        <v>67.515165504269504</v>
      </c>
    </row>
    <row r="61" spans="1:33" x14ac:dyDescent="0.35">
      <c r="A61" s="37">
        <v>19000407</v>
      </c>
      <c r="B61" s="37" t="s">
        <v>217</v>
      </c>
      <c r="C61" s="37">
        <v>4008</v>
      </c>
      <c r="D61" s="37">
        <v>1</v>
      </c>
      <c r="E61" s="37">
        <v>0</v>
      </c>
      <c r="F61" s="46">
        <v>4</v>
      </c>
      <c r="G61" s="37">
        <v>4</v>
      </c>
      <c r="H61" s="37">
        <v>1</v>
      </c>
      <c r="I61" s="37">
        <v>32000</v>
      </c>
      <c r="J61" s="49" t="s">
        <v>218</v>
      </c>
      <c r="K61" s="37">
        <v>2</v>
      </c>
      <c r="L61" s="37">
        <v>0</v>
      </c>
      <c r="M61" s="39" t="s">
        <v>198</v>
      </c>
      <c r="N61" s="37">
        <v>999</v>
      </c>
      <c r="O61" s="37">
        <v>0</v>
      </c>
      <c r="P61" s="37">
        <v>0</v>
      </c>
      <c r="Q61" s="37">
        <v>0</v>
      </c>
      <c r="R61" s="40">
        <v>0</v>
      </c>
      <c r="S61" s="41" t="s">
        <v>219</v>
      </c>
      <c r="T61" s="40">
        <v>1</v>
      </c>
      <c r="U61" s="31"/>
      <c r="V61" s="52"/>
      <c r="Z61" s="40">
        <v>0</v>
      </c>
      <c r="AD61" s="53" t="s">
        <v>36</v>
      </c>
      <c r="AE61" s="8">
        <v>360</v>
      </c>
      <c r="AF61" s="44">
        <f t="shared" si="3"/>
        <v>720</v>
      </c>
      <c r="AG61" s="40">
        <v>6.8587105624142705E-2</v>
      </c>
    </row>
    <row r="62" spans="1:33" x14ac:dyDescent="0.35">
      <c r="A62" s="37">
        <v>19000408</v>
      </c>
      <c r="B62" s="37" t="s">
        <v>220</v>
      </c>
      <c r="C62" s="37">
        <v>4009</v>
      </c>
      <c r="D62" s="37">
        <v>1</v>
      </c>
      <c r="E62" s="37">
        <v>0</v>
      </c>
      <c r="F62" s="46">
        <v>4</v>
      </c>
      <c r="G62" s="37">
        <v>4</v>
      </c>
      <c r="H62" s="37">
        <v>2</v>
      </c>
      <c r="I62" s="37">
        <v>48000</v>
      </c>
      <c r="J62" s="49" t="s">
        <v>221</v>
      </c>
      <c r="K62" s="37">
        <v>3</v>
      </c>
      <c r="L62" s="37">
        <v>0</v>
      </c>
      <c r="M62" s="39" t="s">
        <v>198</v>
      </c>
      <c r="N62" s="37">
        <v>999</v>
      </c>
      <c r="O62" s="37">
        <v>0</v>
      </c>
      <c r="P62" s="37">
        <v>0</v>
      </c>
      <c r="Q62" s="37">
        <v>0</v>
      </c>
      <c r="R62" s="40">
        <v>0</v>
      </c>
      <c r="S62" s="41" t="s">
        <v>222</v>
      </c>
      <c r="T62" s="40">
        <v>1</v>
      </c>
      <c r="U62" s="31"/>
      <c r="V62" s="52"/>
      <c r="Z62" s="40">
        <v>0</v>
      </c>
      <c r="AD62" s="53" t="s">
        <v>36</v>
      </c>
      <c r="AE62" s="8">
        <v>439</v>
      </c>
      <c r="AF62" s="44">
        <f t="shared" si="3"/>
        <v>878</v>
      </c>
      <c r="AG62" s="40">
        <v>0.20576131687242799</v>
      </c>
    </row>
    <row r="63" spans="1:33" x14ac:dyDescent="0.35">
      <c r="A63" s="37">
        <v>19000409</v>
      </c>
      <c r="B63" s="37" t="s">
        <v>223</v>
      </c>
      <c r="C63" s="37">
        <v>4010</v>
      </c>
      <c r="D63" s="37">
        <v>1</v>
      </c>
      <c r="E63" s="37">
        <v>0</v>
      </c>
      <c r="F63" s="46">
        <v>4</v>
      </c>
      <c r="G63" s="37">
        <v>4</v>
      </c>
      <c r="H63" s="37">
        <v>3</v>
      </c>
      <c r="I63" s="37">
        <v>64000</v>
      </c>
      <c r="J63" s="49" t="s">
        <v>224</v>
      </c>
      <c r="K63" s="37">
        <v>4</v>
      </c>
      <c r="L63" s="37">
        <v>0</v>
      </c>
      <c r="M63" s="39" t="s">
        <v>198</v>
      </c>
      <c r="N63" s="37">
        <v>999</v>
      </c>
      <c r="O63" s="37">
        <v>0</v>
      </c>
      <c r="P63" s="37">
        <v>0</v>
      </c>
      <c r="Q63" s="37">
        <v>0</v>
      </c>
      <c r="R63" s="40">
        <v>0</v>
      </c>
      <c r="S63" s="41" t="s">
        <v>225</v>
      </c>
      <c r="T63" s="40">
        <v>1</v>
      </c>
      <c r="U63" s="31"/>
      <c r="V63" s="52"/>
      <c r="Z63" s="40">
        <v>0</v>
      </c>
      <c r="AD63" s="53" t="s">
        <v>36</v>
      </c>
      <c r="AE63" s="8">
        <v>517</v>
      </c>
      <c r="AF63" s="44">
        <f t="shared" si="3"/>
        <v>1034</v>
      </c>
      <c r="AG63" s="40">
        <v>0.61728395061728403</v>
      </c>
    </row>
    <row r="64" spans="1:33" x14ac:dyDescent="0.35">
      <c r="A64" s="37">
        <v>19000410</v>
      </c>
      <c r="B64" s="37" t="s">
        <v>226</v>
      </c>
      <c r="C64" s="37">
        <v>4011</v>
      </c>
      <c r="D64" s="37">
        <v>1</v>
      </c>
      <c r="E64" s="37">
        <v>0</v>
      </c>
      <c r="F64" s="46">
        <v>4</v>
      </c>
      <c r="G64" s="37">
        <v>4</v>
      </c>
      <c r="H64" s="37">
        <v>4</v>
      </c>
      <c r="I64" s="37">
        <v>120000</v>
      </c>
      <c r="J64" s="49" t="s">
        <v>227</v>
      </c>
      <c r="K64" s="37">
        <v>5</v>
      </c>
      <c r="L64" s="37">
        <v>0</v>
      </c>
      <c r="M64" s="39" t="s">
        <v>198</v>
      </c>
      <c r="N64" s="37">
        <v>999</v>
      </c>
      <c r="O64" s="37">
        <v>0</v>
      </c>
      <c r="P64" s="37">
        <v>0</v>
      </c>
      <c r="Q64" s="37">
        <v>0</v>
      </c>
      <c r="R64" s="40">
        <v>0</v>
      </c>
      <c r="S64" s="41" t="s">
        <v>228</v>
      </c>
      <c r="T64" s="40">
        <v>1</v>
      </c>
      <c r="U64" s="31"/>
      <c r="V64" s="52"/>
      <c r="Z64" s="40">
        <v>0</v>
      </c>
      <c r="AD64" s="53" t="s">
        <v>36</v>
      </c>
      <c r="AE64" s="8">
        <v>591</v>
      </c>
      <c r="AF64" s="44">
        <f t="shared" si="3"/>
        <v>1182</v>
      </c>
      <c r="AG64" s="40">
        <v>1.8518518518518501</v>
      </c>
    </row>
    <row r="65" spans="1:33" x14ac:dyDescent="0.35">
      <c r="A65" s="37">
        <v>19000411</v>
      </c>
      <c r="B65" s="37" t="s">
        <v>229</v>
      </c>
      <c r="C65" s="37">
        <v>4012</v>
      </c>
      <c r="D65" s="37">
        <v>1</v>
      </c>
      <c r="E65" s="37">
        <v>0</v>
      </c>
      <c r="F65" s="46">
        <v>4</v>
      </c>
      <c r="G65" s="37">
        <v>5</v>
      </c>
      <c r="H65" s="37">
        <v>1</v>
      </c>
      <c r="I65" s="37">
        <v>240000</v>
      </c>
      <c r="J65" s="49" t="s">
        <v>230</v>
      </c>
      <c r="K65" s="37">
        <v>6</v>
      </c>
      <c r="L65" s="37">
        <v>0</v>
      </c>
      <c r="M65" s="39" t="s">
        <v>198</v>
      </c>
      <c r="N65" s="37">
        <v>999</v>
      </c>
      <c r="O65" s="37">
        <v>0</v>
      </c>
      <c r="P65" s="37">
        <v>0</v>
      </c>
      <c r="Q65" s="37">
        <v>0</v>
      </c>
      <c r="R65" s="40">
        <v>0</v>
      </c>
      <c r="S65" s="41" t="s">
        <v>231</v>
      </c>
      <c r="T65" s="40">
        <v>1</v>
      </c>
      <c r="U65" s="31">
        <v>20000411</v>
      </c>
      <c r="V65" s="52" t="s">
        <v>72</v>
      </c>
      <c r="W65" s="69"/>
      <c r="X65" s="69"/>
      <c r="Y65" s="78"/>
      <c r="Z65" s="40">
        <v>0</v>
      </c>
      <c r="AD65" s="53" t="s">
        <v>36</v>
      </c>
      <c r="AE65" s="8">
        <v>795</v>
      </c>
      <c r="AF65" s="44">
        <f t="shared" si="3"/>
        <v>1590</v>
      </c>
      <c r="AG65" s="40">
        <v>5.5555555555555598</v>
      </c>
    </row>
    <row r="66" spans="1:33" x14ac:dyDescent="0.35">
      <c r="A66" s="37">
        <v>19000412</v>
      </c>
      <c r="B66" s="37" t="s">
        <v>232</v>
      </c>
      <c r="C66" s="37">
        <v>4013</v>
      </c>
      <c r="D66" s="37">
        <v>1</v>
      </c>
      <c r="E66" s="37">
        <v>0</v>
      </c>
      <c r="F66" s="46">
        <v>4</v>
      </c>
      <c r="G66" s="37">
        <v>5</v>
      </c>
      <c r="H66" s="37">
        <v>2</v>
      </c>
      <c r="I66" s="37">
        <v>480000</v>
      </c>
      <c r="J66" s="49" t="s">
        <v>70</v>
      </c>
      <c r="K66" s="37">
        <v>7</v>
      </c>
      <c r="L66" s="37">
        <v>0</v>
      </c>
      <c r="M66" s="39" t="s">
        <v>198</v>
      </c>
      <c r="N66" s="37">
        <v>999</v>
      </c>
      <c r="O66" s="37">
        <v>0</v>
      </c>
      <c r="P66" s="37">
        <v>0</v>
      </c>
      <c r="Q66" s="37">
        <v>0</v>
      </c>
      <c r="R66" s="40">
        <v>0</v>
      </c>
      <c r="S66" s="41" t="s">
        <v>233</v>
      </c>
      <c r="T66" s="40">
        <v>1</v>
      </c>
      <c r="U66" s="31">
        <v>20000412</v>
      </c>
      <c r="V66" s="52" t="s">
        <v>76</v>
      </c>
      <c r="W66" s="69"/>
      <c r="X66" s="69"/>
      <c r="Y66" s="78"/>
      <c r="Z66" s="40">
        <v>0</v>
      </c>
      <c r="AD66" s="53" t="s">
        <v>36</v>
      </c>
      <c r="AE66" s="8">
        <v>973</v>
      </c>
      <c r="AF66" s="44">
        <f t="shared" si="3"/>
        <v>1946</v>
      </c>
      <c r="AG66" s="40">
        <v>16.6666666666667</v>
      </c>
    </row>
    <row r="67" spans="1:33" x14ac:dyDescent="0.35">
      <c r="A67" s="37">
        <v>19000413</v>
      </c>
      <c r="B67" s="37" t="s">
        <v>234</v>
      </c>
      <c r="C67" s="37">
        <v>4014</v>
      </c>
      <c r="D67" s="37">
        <v>1</v>
      </c>
      <c r="E67" s="37">
        <v>0</v>
      </c>
      <c r="F67" s="46">
        <v>4</v>
      </c>
      <c r="G67" s="37">
        <v>5</v>
      </c>
      <c r="H67" s="37">
        <v>3</v>
      </c>
      <c r="I67" s="37">
        <v>960000</v>
      </c>
      <c r="J67" s="49" t="s">
        <v>74</v>
      </c>
      <c r="K67" s="37">
        <v>8</v>
      </c>
      <c r="L67" s="37">
        <v>0</v>
      </c>
      <c r="M67" s="39" t="s">
        <v>198</v>
      </c>
      <c r="N67" s="37">
        <v>999</v>
      </c>
      <c r="O67" s="37">
        <v>0</v>
      </c>
      <c r="P67" s="37">
        <v>0</v>
      </c>
      <c r="Q67" s="37">
        <v>0</v>
      </c>
      <c r="R67" s="40">
        <v>0</v>
      </c>
      <c r="S67" s="41" t="s">
        <v>235</v>
      </c>
      <c r="T67" s="40">
        <v>1</v>
      </c>
      <c r="U67" s="31">
        <v>20000413</v>
      </c>
      <c r="V67" s="52" t="s">
        <v>80</v>
      </c>
      <c r="W67" s="69"/>
      <c r="X67" s="69"/>
      <c r="Y67" s="78"/>
      <c r="Z67" s="40">
        <v>0</v>
      </c>
      <c r="AD67" s="53" t="s">
        <v>36</v>
      </c>
      <c r="AE67" s="8">
        <v>1147</v>
      </c>
      <c r="AF67" s="44">
        <f t="shared" si="3"/>
        <v>2294</v>
      </c>
      <c r="AG67" s="40">
        <v>50</v>
      </c>
    </row>
    <row r="68" spans="1:33" x14ac:dyDescent="0.35">
      <c r="A68" s="37">
        <v>19000414</v>
      </c>
      <c r="B68" s="37" t="s">
        <v>236</v>
      </c>
      <c r="C68" s="37">
        <v>4015</v>
      </c>
      <c r="D68" s="37">
        <v>1</v>
      </c>
      <c r="E68" s="37">
        <v>0</v>
      </c>
      <c r="F68" s="46">
        <v>4</v>
      </c>
      <c r="G68" s="37">
        <v>5</v>
      </c>
      <c r="H68" s="37">
        <v>4</v>
      </c>
      <c r="I68" s="37">
        <v>1500000</v>
      </c>
      <c r="J68" s="49" t="s">
        <v>78</v>
      </c>
      <c r="K68" s="37">
        <v>9</v>
      </c>
      <c r="L68" s="37">
        <v>0</v>
      </c>
      <c r="M68" s="39" t="s">
        <v>198</v>
      </c>
      <c r="N68" s="37">
        <v>999</v>
      </c>
      <c r="O68" s="37">
        <v>0</v>
      </c>
      <c r="P68" s="37">
        <v>0</v>
      </c>
      <c r="Q68" s="37">
        <v>0</v>
      </c>
      <c r="R68" s="40">
        <v>0</v>
      </c>
      <c r="S68" s="41" t="s">
        <v>237</v>
      </c>
      <c r="T68" s="40">
        <v>1</v>
      </c>
      <c r="U68" s="31">
        <v>20000414</v>
      </c>
      <c r="V68" s="52" t="s">
        <v>84</v>
      </c>
      <c r="W68" s="69"/>
      <c r="X68" s="69"/>
      <c r="Y68" s="78"/>
      <c r="Z68" s="40">
        <v>0</v>
      </c>
      <c r="AD68" s="53" t="s">
        <v>36</v>
      </c>
      <c r="AE68" s="8">
        <v>1321</v>
      </c>
      <c r="AF68" s="44">
        <f t="shared" si="3"/>
        <v>2642</v>
      </c>
      <c r="AG68" s="40">
        <v>152.4</v>
      </c>
    </row>
    <row r="69" spans="1:33" x14ac:dyDescent="0.35">
      <c r="A69" s="37">
        <v>19000415</v>
      </c>
      <c r="B69" s="37" t="s">
        <v>238</v>
      </c>
      <c r="C69" s="37">
        <v>4016</v>
      </c>
      <c r="D69" s="37">
        <v>1</v>
      </c>
      <c r="E69" s="37">
        <v>0</v>
      </c>
      <c r="F69" s="46">
        <v>4</v>
      </c>
      <c r="G69" s="37">
        <v>5</v>
      </c>
      <c r="H69" s="37">
        <v>5</v>
      </c>
      <c r="I69" s="37">
        <v>3000000</v>
      </c>
      <c r="J69" s="49" t="s">
        <v>82</v>
      </c>
      <c r="K69" s="37">
        <v>10</v>
      </c>
      <c r="L69" s="37">
        <v>0</v>
      </c>
      <c r="M69" s="39" t="s">
        <v>198</v>
      </c>
      <c r="N69" s="37">
        <v>999</v>
      </c>
      <c r="O69" s="37">
        <v>0</v>
      </c>
      <c r="P69" s="37">
        <v>0</v>
      </c>
      <c r="Q69" s="37">
        <v>0</v>
      </c>
      <c r="R69" s="40">
        <v>0</v>
      </c>
      <c r="S69" s="41" t="s">
        <v>239</v>
      </c>
      <c r="T69" s="40">
        <v>1</v>
      </c>
      <c r="U69" s="31">
        <v>20000415</v>
      </c>
      <c r="V69" s="52" t="s">
        <v>88</v>
      </c>
      <c r="W69" s="69"/>
      <c r="X69" s="69"/>
      <c r="Y69" s="78"/>
      <c r="Z69" s="40">
        <v>0</v>
      </c>
      <c r="AD69" s="53" t="s">
        <v>36</v>
      </c>
      <c r="AE69" s="8">
        <v>2143</v>
      </c>
      <c r="AF69" s="44">
        <f t="shared" si="3"/>
        <v>4286</v>
      </c>
      <c r="AG69" s="40">
        <v>460.4</v>
      </c>
    </row>
    <row r="70" spans="1:33" x14ac:dyDescent="0.35">
      <c r="A70" s="37">
        <v>19000416</v>
      </c>
      <c r="B70" s="37" t="s">
        <v>240</v>
      </c>
      <c r="C70" s="37">
        <v>4017</v>
      </c>
      <c r="D70" s="37">
        <v>1</v>
      </c>
      <c r="E70" s="37">
        <v>0</v>
      </c>
      <c r="F70" s="46">
        <v>4</v>
      </c>
      <c r="G70" s="37">
        <v>5</v>
      </c>
      <c r="H70" s="37">
        <v>6</v>
      </c>
      <c r="I70" s="37">
        <v>6000000</v>
      </c>
      <c r="J70" s="49" t="s">
        <v>86</v>
      </c>
      <c r="K70" s="37">
        <v>11</v>
      </c>
      <c r="L70" s="37">
        <v>0</v>
      </c>
      <c r="M70" s="39" t="s">
        <v>198</v>
      </c>
      <c r="N70" s="37">
        <v>999</v>
      </c>
      <c r="O70" s="37">
        <v>0</v>
      </c>
      <c r="P70" s="37">
        <v>0</v>
      </c>
      <c r="Q70" s="37">
        <v>0</v>
      </c>
      <c r="R70" s="40">
        <v>0</v>
      </c>
      <c r="S70" s="41" t="s">
        <v>241</v>
      </c>
      <c r="T70" s="40">
        <v>1</v>
      </c>
      <c r="U70" s="31">
        <v>20000416</v>
      </c>
      <c r="V70" s="52" t="s">
        <v>92</v>
      </c>
      <c r="W70" s="69"/>
      <c r="X70" s="69"/>
      <c r="Y70" s="78"/>
      <c r="Z70" s="40">
        <v>0</v>
      </c>
      <c r="AD70" s="53" t="s">
        <v>36</v>
      </c>
      <c r="AE70" s="8">
        <v>3222</v>
      </c>
      <c r="AF70" s="44">
        <f t="shared" si="3"/>
        <v>6444</v>
      </c>
      <c r="AG70" s="40">
        <v>1386</v>
      </c>
    </row>
    <row r="71" spans="1:33" s="33" customFormat="1" x14ac:dyDescent="0.35">
      <c r="A71" s="28">
        <v>20000111</v>
      </c>
      <c r="B71" s="28" t="s">
        <v>242</v>
      </c>
      <c r="C71" s="28">
        <v>1012</v>
      </c>
      <c r="D71" s="28">
        <v>1</v>
      </c>
      <c r="E71" s="28">
        <v>0</v>
      </c>
      <c r="F71" s="28">
        <v>1</v>
      </c>
      <c r="G71" s="28">
        <v>5</v>
      </c>
      <c r="H71" s="28">
        <v>1</v>
      </c>
      <c r="I71" s="28">
        <v>360000</v>
      </c>
      <c r="J71" s="61" t="s">
        <v>243</v>
      </c>
      <c r="K71" s="28">
        <v>6</v>
      </c>
      <c r="L71" s="28">
        <v>0</v>
      </c>
      <c r="M71" s="62" t="s">
        <v>35</v>
      </c>
      <c r="N71" s="28">
        <v>1</v>
      </c>
      <c r="O71" s="28">
        <v>0</v>
      </c>
      <c r="P71" s="28">
        <v>0</v>
      </c>
      <c r="Q71" s="28">
        <v>0</v>
      </c>
      <c r="R71" s="70">
        <v>0</v>
      </c>
      <c r="S71" s="71"/>
      <c r="T71" s="70">
        <v>1</v>
      </c>
      <c r="U71" s="70"/>
      <c r="W71" s="40">
        <v>0.1</v>
      </c>
      <c r="X71" s="49" t="s">
        <v>244</v>
      </c>
      <c r="Y71" s="49" t="s">
        <v>245</v>
      </c>
      <c r="Z71" s="70">
        <v>1</v>
      </c>
      <c r="AA71" s="79" t="s">
        <v>246</v>
      </c>
      <c r="AB71" s="80" t="s">
        <v>247</v>
      </c>
      <c r="AC71" s="81">
        <v>1</v>
      </c>
      <c r="AD71" s="82" t="s">
        <v>36</v>
      </c>
      <c r="AE71" s="83">
        <v>1193</v>
      </c>
      <c r="AF71" s="33">
        <f t="shared" ref="AF71:AF76" si="4">AE71*2</f>
        <v>2386</v>
      </c>
      <c r="AG71" s="40">
        <v>17.795555555555602</v>
      </c>
    </row>
    <row r="72" spans="1:33" s="33" customFormat="1" x14ac:dyDescent="0.35">
      <c r="A72" s="28">
        <v>20000112</v>
      </c>
      <c r="B72" s="28" t="s">
        <v>248</v>
      </c>
      <c r="C72" s="28">
        <v>1013</v>
      </c>
      <c r="D72" s="28">
        <v>1</v>
      </c>
      <c r="E72" s="28">
        <v>0</v>
      </c>
      <c r="F72" s="28">
        <v>1</v>
      </c>
      <c r="G72" s="28">
        <v>5</v>
      </c>
      <c r="H72" s="28">
        <v>2</v>
      </c>
      <c r="I72" s="28">
        <v>720000</v>
      </c>
      <c r="J72" s="61" t="s">
        <v>249</v>
      </c>
      <c r="K72" s="28">
        <v>7</v>
      </c>
      <c r="L72" s="28">
        <v>0</v>
      </c>
      <c r="M72" s="62" t="s">
        <v>35</v>
      </c>
      <c r="N72" s="28">
        <v>1</v>
      </c>
      <c r="O72" s="28">
        <v>0</v>
      </c>
      <c r="P72" s="28">
        <v>0</v>
      </c>
      <c r="Q72" s="28">
        <v>0</v>
      </c>
      <c r="R72" s="70">
        <v>0</v>
      </c>
      <c r="S72" s="71" t="s">
        <v>250</v>
      </c>
      <c r="T72" s="70">
        <v>1</v>
      </c>
      <c r="U72" s="70"/>
      <c r="W72" s="40">
        <v>0.09</v>
      </c>
      <c r="X72" s="49" t="s">
        <v>251</v>
      </c>
      <c r="Y72" s="49" t="s">
        <v>245</v>
      </c>
      <c r="Z72" s="70">
        <v>1</v>
      </c>
      <c r="AA72" s="79" t="s">
        <v>252</v>
      </c>
      <c r="AB72" s="80" t="s">
        <v>253</v>
      </c>
      <c r="AC72" s="81">
        <v>1</v>
      </c>
      <c r="AD72" s="82" t="s">
        <v>36</v>
      </c>
      <c r="AE72" s="83">
        <v>1460</v>
      </c>
      <c r="AF72" s="33">
        <f t="shared" si="4"/>
        <v>2920</v>
      </c>
      <c r="AG72" s="40">
        <v>38.386666666666699</v>
      </c>
    </row>
    <row r="73" spans="1:33" s="33" customFormat="1" x14ac:dyDescent="0.35">
      <c r="A73" s="28">
        <v>20000113</v>
      </c>
      <c r="B73" s="28" t="s">
        <v>254</v>
      </c>
      <c r="C73" s="28">
        <v>1014</v>
      </c>
      <c r="D73" s="28">
        <v>1</v>
      </c>
      <c r="E73" s="28">
        <v>0</v>
      </c>
      <c r="F73" s="28">
        <v>1</v>
      </c>
      <c r="G73" s="28">
        <v>5</v>
      </c>
      <c r="H73" s="28">
        <v>3</v>
      </c>
      <c r="I73" s="28">
        <v>1440000</v>
      </c>
      <c r="J73" s="61" t="s">
        <v>255</v>
      </c>
      <c r="K73" s="28">
        <v>8</v>
      </c>
      <c r="L73" s="28">
        <v>0</v>
      </c>
      <c r="M73" s="62" t="s">
        <v>35</v>
      </c>
      <c r="N73" s="28">
        <v>1</v>
      </c>
      <c r="O73" s="28">
        <v>0</v>
      </c>
      <c r="P73" s="28">
        <v>0</v>
      </c>
      <c r="Q73" s="28">
        <v>0</v>
      </c>
      <c r="R73" s="70">
        <v>0</v>
      </c>
      <c r="S73" s="71" t="s">
        <v>256</v>
      </c>
      <c r="T73" s="70">
        <v>1</v>
      </c>
      <c r="U73" s="70"/>
      <c r="W73" s="40">
        <v>0.08</v>
      </c>
      <c r="X73" s="49" t="s">
        <v>257</v>
      </c>
      <c r="Y73" s="49" t="s">
        <v>245</v>
      </c>
      <c r="Z73" s="70">
        <v>1</v>
      </c>
      <c r="AA73" s="79" t="s">
        <v>258</v>
      </c>
      <c r="AB73" s="80" t="s">
        <v>259</v>
      </c>
      <c r="AC73" s="81">
        <v>1</v>
      </c>
      <c r="AD73" s="82" t="s">
        <v>36</v>
      </c>
      <c r="AE73" s="83">
        <v>1721</v>
      </c>
      <c r="AF73" s="33">
        <f t="shared" si="4"/>
        <v>3442</v>
      </c>
      <c r="AG73" s="40">
        <v>95.16</v>
      </c>
    </row>
    <row r="74" spans="1:33" s="33" customFormat="1" x14ac:dyDescent="0.35">
      <c r="A74" s="28">
        <v>20000114</v>
      </c>
      <c r="B74" s="28" t="s">
        <v>260</v>
      </c>
      <c r="C74" s="28">
        <v>1015</v>
      </c>
      <c r="D74" s="28">
        <v>1</v>
      </c>
      <c r="E74" s="28">
        <v>0</v>
      </c>
      <c r="F74" s="28">
        <v>1</v>
      </c>
      <c r="G74" s="28">
        <v>5</v>
      </c>
      <c r="H74" s="28">
        <v>4</v>
      </c>
      <c r="I74" s="28">
        <v>2250000</v>
      </c>
      <c r="J74" s="61" t="s">
        <v>261</v>
      </c>
      <c r="K74" s="28">
        <v>9</v>
      </c>
      <c r="L74" s="28">
        <v>0</v>
      </c>
      <c r="M74" s="62" t="s">
        <v>35</v>
      </c>
      <c r="N74" s="28">
        <v>1</v>
      </c>
      <c r="O74" s="28">
        <v>0</v>
      </c>
      <c r="P74" s="28">
        <v>0</v>
      </c>
      <c r="Q74" s="28">
        <v>0</v>
      </c>
      <c r="R74" s="70">
        <v>0</v>
      </c>
      <c r="S74" s="71" t="s">
        <v>262</v>
      </c>
      <c r="T74" s="70">
        <v>1</v>
      </c>
      <c r="U74" s="70"/>
      <c r="W74" s="40">
        <v>7.0000000000000007E-2</v>
      </c>
      <c r="X74" s="49" t="s">
        <v>263</v>
      </c>
      <c r="Y74" s="49" t="s">
        <v>245</v>
      </c>
      <c r="Z74" s="70">
        <v>1</v>
      </c>
      <c r="AA74" s="79" t="s">
        <v>264</v>
      </c>
      <c r="AB74" s="80" t="s">
        <v>265</v>
      </c>
      <c r="AC74" s="81">
        <v>1</v>
      </c>
      <c r="AD74" s="82" t="s">
        <v>36</v>
      </c>
      <c r="AE74" s="83">
        <v>1982</v>
      </c>
      <c r="AF74" s="33">
        <f t="shared" si="4"/>
        <v>3964</v>
      </c>
      <c r="AG74" s="40">
        <v>263.88</v>
      </c>
    </row>
    <row r="75" spans="1:33" s="33" customFormat="1" x14ac:dyDescent="0.35">
      <c r="A75" s="28">
        <v>20000115</v>
      </c>
      <c r="B75" s="28" t="s">
        <v>266</v>
      </c>
      <c r="C75" s="28">
        <v>1016</v>
      </c>
      <c r="D75" s="28">
        <v>1</v>
      </c>
      <c r="E75" s="28">
        <v>0</v>
      </c>
      <c r="F75" s="28">
        <v>1</v>
      </c>
      <c r="G75" s="28">
        <v>5</v>
      </c>
      <c r="H75" s="28">
        <v>5</v>
      </c>
      <c r="I75" s="28">
        <v>4500000</v>
      </c>
      <c r="J75" s="61" t="s">
        <v>267</v>
      </c>
      <c r="K75" s="28">
        <v>10</v>
      </c>
      <c r="L75" s="28">
        <v>0</v>
      </c>
      <c r="M75" s="62" t="s">
        <v>35</v>
      </c>
      <c r="N75" s="28">
        <v>1</v>
      </c>
      <c r="O75" s="28">
        <v>0</v>
      </c>
      <c r="P75" s="28">
        <v>0</v>
      </c>
      <c r="Q75" s="28">
        <v>0</v>
      </c>
      <c r="R75" s="70">
        <v>0</v>
      </c>
      <c r="S75" s="71" t="s">
        <v>268</v>
      </c>
      <c r="T75" s="70">
        <v>1</v>
      </c>
      <c r="U75" s="70"/>
      <c r="W75" s="40">
        <v>0.06</v>
      </c>
      <c r="X75" s="49" t="s">
        <v>269</v>
      </c>
      <c r="Y75" s="49" t="s">
        <v>245</v>
      </c>
      <c r="Z75" s="70">
        <v>1</v>
      </c>
      <c r="AA75" s="79" t="s">
        <v>270</v>
      </c>
      <c r="AB75" s="80" t="s">
        <v>271</v>
      </c>
      <c r="AC75" s="81">
        <v>1</v>
      </c>
      <c r="AD75" s="82" t="s">
        <v>36</v>
      </c>
      <c r="AE75" s="83">
        <v>3215</v>
      </c>
      <c r="AF75" s="33">
        <f t="shared" si="4"/>
        <v>6430</v>
      </c>
      <c r="AG75" s="40">
        <v>754.84</v>
      </c>
    </row>
    <row r="76" spans="1:33" s="33" customFormat="1" x14ac:dyDescent="0.35">
      <c r="A76" s="28">
        <v>20000116</v>
      </c>
      <c r="B76" s="28" t="s">
        <v>272</v>
      </c>
      <c r="C76" s="28">
        <v>1017</v>
      </c>
      <c r="D76" s="28">
        <v>1</v>
      </c>
      <c r="E76" s="28">
        <v>0</v>
      </c>
      <c r="F76" s="28">
        <v>1</v>
      </c>
      <c r="G76" s="28">
        <v>5</v>
      </c>
      <c r="H76" s="28">
        <v>6</v>
      </c>
      <c r="I76" s="28">
        <v>9000000</v>
      </c>
      <c r="J76" s="61" t="s">
        <v>273</v>
      </c>
      <c r="K76" s="28">
        <v>11</v>
      </c>
      <c r="L76" s="28">
        <v>0</v>
      </c>
      <c r="M76" s="62" t="s">
        <v>35</v>
      </c>
      <c r="N76" s="28">
        <v>1</v>
      </c>
      <c r="O76" s="28">
        <v>0</v>
      </c>
      <c r="P76" s="28">
        <v>0</v>
      </c>
      <c r="Q76" s="28">
        <v>0</v>
      </c>
      <c r="R76" s="70">
        <v>0</v>
      </c>
      <c r="S76" s="71" t="s">
        <v>274</v>
      </c>
      <c r="T76" s="70">
        <v>1</v>
      </c>
      <c r="U76" s="70"/>
      <c r="W76" s="40">
        <v>0.05</v>
      </c>
      <c r="X76" s="49" t="s">
        <v>275</v>
      </c>
      <c r="Y76" s="49" t="s">
        <v>245</v>
      </c>
      <c r="Z76" s="70">
        <v>1</v>
      </c>
      <c r="AA76" s="79" t="s">
        <v>276</v>
      </c>
      <c r="AB76" s="80" t="s">
        <v>277</v>
      </c>
      <c r="AC76" s="81">
        <v>1</v>
      </c>
      <c r="AD76" s="82" t="s">
        <v>36</v>
      </c>
      <c r="AE76" s="83">
        <v>4833</v>
      </c>
      <c r="AF76" s="33">
        <f t="shared" si="4"/>
        <v>9666</v>
      </c>
      <c r="AG76" s="40">
        <v>2221.3200000000002</v>
      </c>
    </row>
    <row r="77" spans="1:33" s="34" customFormat="1" x14ac:dyDescent="0.35">
      <c r="A77" s="29">
        <v>20000211</v>
      </c>
      <c r="B77" s="29" t="s">
        <v>278</v>
      </c>
      <c r="C77" s="29">
        <v>2012</v>
      </c>
      <c r="D77" s="29">
        <v>1</v>
      </c>
      <c r="E77" s="29">
        <v>0</v>
      </c>
      <c r="F77" s="29">
        <v>2</v>
      </c>
      <c r="G77" s="29">
        <v>5</v>
      </c>
      <c r="H77" s="29">
        <v>1</v>
      </c>
      <c r="I77" s="29">
        <v>360000</v>
      </c>
      <c r="J77" s="63" t="s">
        <v>279</v>
      </c>
      <c r="K77" s="29">
        <v>6</v>
      </c>
      <c r="L77" s="29">
        <v>0</v>
      </c>
      <c r="M77" s="64" t="s">
        <v>95</v>
      </c>
      <c r="N77" s="28">
        <v>1</v>
      </c>
      <c r="O77" s="29">
        <v>0</v>
      </c>
      <c r="P77" s="29">
        <v>0</v>
      </c>
      <c r="Q77" s="29">
        <v>0</v>
      </c>
      <c r="R77" s="72">
        <v>0</v>
      </c>
      <c r="S77" s="73"/>
      <c r="T77" s="72">
        <v>1</v>
      </c>
      <c r="U77" s="70"/>
      <c r="V77" s="72"/>
      <c r="W77" s="40">
        <v>0.1</v>
      </c>
      <c r="X77" s="49" t="s">
        <v>280</v>
      </c>
      <c r="Y77" s="49" t="s">
        <v>245</v>
      </c>
      <c r="Z77" s="70">
        <v>1</v>
      </c>
      <c r="AA77" s="79" t="s">
        <v>246</v>
      </c>
      <c r="AB77" s="80" t="s">
        <v>247</v>
      </c>
      <c r="AC77" s="81">
        <v>1</v>
      </c>
      <c r="AD77" s="84" t="s">
        <v>96</v>
      </c>
      <c r="AE77" s="85">
        <v>8953</v>
      </c>
      <c r="AF77" s="34">
        <f t="shared" ref="AF77:AF82" si="5">AE77*0.4</f>
        <v>3581.2000000000003</v>
      </c>
      <c r="AG77" s="40">
        <v>17.795555555555602</v>
      </c>
    </row>
    <row r="78" spans="1:33" s="34" customFormat="1" x14ac:dyDescent="0.35">
      <c r="A78" s="29">
        <v>20000212</v>
      </c>
      <c r="B78" s="29" t="s">
        <v>281</v>
      </c>
      <c r="C78" s="29">
        <v>2013</v>
      </c>
      <c r="D78" s="29">
        <v>1</v>
      </c>
      <c r="E78" s="29">
        <v>0</v>
      </c>
      <c r="F78" s="29">
        <v>2</v>
      </c>
      <c r="G78" s="29">
        <v>5</v>
      </c>
      <c r="H78" s="29">
        <v>2</v>
      </c>
      <c r="I78" s="29">
        <v>720000</v>
      </c>
      <c r="J78" s="63" t="s">
        <v>282</v>
      </c>
      <c r="K78" s="29">
        <v>7</v>
      </c>
      <c r="L78" s="29">
        <v>0</v>
      </c>
      <c r="M78" s="64" t="s">
        <v>95</v>
      </c>
      <c r="N78" s="28">
        <v>1</v>
      </c>
      <c r="O78" s="29">
        <v>0</v>
      </c>
      <c r="P78" s="29">
        <v>0</v>
      </c>
      <c r="Q78" s="29">
        <v>0</v>
      </c>
      <c r="R78" s="72">
        <v>0</v>
      </c>
      <c r="S78" s="73" t="s">
        <v>283</v>
      </c>
      <c r="T78" s="72">
        <v>1</v>
      </c>
      <c r="U78" s="70"/>
      <c r="V78" s="72"/>
      <c r="W78" s="40">
        <v>0.09</v>
      </c>
      <c r="X78" s="49" t="s">
        <v>284</v>
      </c>
      <c r="Y78" s="49" t="s">
        <v>245</v>
      </c>
      <c r="Z78" s="70">
        <v>1</v>
      </c>
      <c r="AA78" s="79" t="s">
        <v>252</v>
      </c>
      <c r="AB78" s="80" t="s">
        <v>253</v>
      </c>
      <c r="AC78" s="81">
        <v>1</v>
      </c>
      <c r="AD78" s="84" t="s">
        <v>96</v>
      </c>
      <c r="AE78" s="85">
        <v>10959</v>
      </c>
      <c r="AF78" s="34">
        <f t="shared" si="5"/>
        <v>4383.6000000000004</v>
      </c>
      <c r="AG78" s="40">
        <v>38.386666666666699</v>
      </c>
    </row>
    <row r="79" spans="1:33" s="34" customFormat="1" x14ac:dyDescent="0.35">
      <c r="A79" s="29">
        <v>20000213</v>
      </c>
      <c r="B79" s="29" t="s">
        <v>285</v>
      </c>
      <c r="C79" s="29">
        <v>2014</v>
      </c>
      <c r="D79" s="29">
        <v>1</v>
      </c>
      <c r="E79" s="29">
        <v>0</v>
      </c>
      <c r="F79" s="29">
        <v>2</v>
      </c>
      <c r="G79" s="29">
        <v>5</v>
      </c>
      <c r="H79" s="29">
        <v>3</v>
      </c>
      <c r="I79" s="29">
        <v>1440000</v>
      </c>
      <c r="J79" s="63" t="s">
        <v>286</v>
      </c>
      <c r="K79" s="29">
        <v>8</v>
      </c>
      <c r="L79" s="29">
        <v>0</v>
      </c>
      <c r="M79" s="64" t="s">
        <v>95</v>
      </c>
      <c r="N79" s="28">
        <v>1</v>
      </c>
      <c r="O79" s="29">
        <v>0</v>
      </c>
      <c r="P79" s="29">
        <v>0</v>
      </c>
      <c r="Q79" s="29">
        <v>0</v>
      </c>
      <c r="R79" s="72">
        <v>0</v>
      </c>
      <c r="S79" s="73" t="s">
        <v>287</v>
      </c>
      <c r="T79" s="72">
        <v>1</v>
      </c>
      <c r="U79" s="70"/>
      <c r="V79" s="72"/>
      <c r="W79" s="40">
        <v>0.08</v>
      </c>
      <c r="X79" s="49" t="s">
        <v>288</v>
      </c>
      <c r="Y79" s="49" t="s">
        <v>245</v>
      </c>
      <c r="Z79" s="70">
        <v>1</v>
      </c>
      <c r="AA79" s="79" t="s">
        <v>258</v>
      </c>
      <c r="AB79" s="80" t="s">
        <v>259</v>
      </c>
      <c r="AC79" s="81">
        <v>1</v>
      </c>
      <c r="AD79" s="84" t="s">
        <v>96</v>
      </c>
      <c r="AE79" s="85">
        <v>12916</v>
      </c>
      <c r="AF79" s="34">
        <f t="shared" si="5"/>
        <v>5166.4000000000005</v>
      </c>
      <c r="AG79" s="40">
        <v>95.16</v>
      </c>
    </row>
    <row r="80" spans="1:33" s="34" customFormat="1" x14ac:dyDescent="0.35">
      <c r="A80" s="29">
        <v>20000214</v>
      </c>
      <c r="B80" s="29" t="s">
        <v>289</v>
      </c>
      <c r="C80" s="29">
        <v>2015</v>
      </c>
      <c r="D80" s="29">
        <v>1</v>
      </c>
      <c r="E80" s="29">
        <v>0</v>
      </c>
      <c r="F80" s="29">
        <v>2</v>
      </c>
      <c r="G80" s="29">
        <v>5</v>
      </c>
      <c r="H80" s="29">
        <v>4</v>
      </c>
      <c r="I80" s="29">
        <v>2250000</v>
      </c>
      <c r="J80" s="63" t="s">
        <v>290</v>
      </c>
      <c r="K80" s="29">
        <v>9</v>
      </c>
      <c r="L80" s="29">
        <v>0</v>
      </c>
      <c r="M80" s="64" t="s">
        <v>95</v>
      </c>
      <c r="N80" s="28">
        <v>1</v>
      </c>
      <c r="O80" s="29">
        <v>0</v>
      </c>
      <c r="P80" s="29">
        <v>0</v>
      </c>
      <c r="Q80" s="29">
        <v>0</v>
      </c>
      <c r="R80" s="72">
        <v>0</v>
      </c>
      <c r="S80" s="73" t="s">
        <v>291</v>
      </c>
      <c r="T80" s="72">
        <v>1</v>
      </c>
      <c r="U80" s="70"/>
      <c r="V80" s="72"/>
      <c r="W80" s="40">
        <v>7.0000000000000007E-2</v>
      </c>
      <c r="X80" s="49" t="s">
        <v>292</v>
      </c>
      <c r="Y80" s="49" t="s">
        <v>245</v>
      </c>
      <c r="Z80" s="70">
        <v>1</v>
      </c>
      <c r="AA80" s="79" t="s">
        <v>264</v>
      </c>
      <c r="AB80" s="80" t="s">
        <v>265</v>
      </c>
      <c r="AC80" s="81">
        <v>1</v>
      </c>
      <c r="AD80" s="84" t="s">
        <v>96</v>
      </c>
      <c r="AE80" s="85">
        <v>14873</v>
      </c>
      <c r="AF80" s="34">
        <f t="shared" si="5"/>
        <v>5949.2000000000007</v>
      </c>
      <c r="AG80" s="40">
        <v>263.88</v>
      </c>
    </row>
    <row r="81" spans="1:33" s="34" customFormat="1" x14ac:dyDescent="0.35">
      <c r="A81" s="29">
        <v>20000215</v>
      </c>
      <c r="B81" s="29" t="s">
        <v>293</v>
      </c>
      <c r="C81" s="29">
        <v>2016</v>
      </c>
      <c r="D81" s="29">
        <v>1</v>
      </c>
      <c r="E81" s="29">
        <v>0</v>
      </c>
      <c r="F81" s="29">
        <v>2</v>
      </c>
      <c r="G81" s="29">
        <v>5</v>
      </c>
      <c r="H81" s="29">
        <v>5</v>
      </c>
      <c r="I81" s="29">
        <v>4500000</v>
      </c>
      <c r="J81" s="63" t="s">
        <v>294</v>
      </c>
      <c r="K81" s="29">
        <v>10</v>
      </c>
      <c r="L81" s="29">
        <v>0</v>
      </c>
      <c r="M81" s="64" t="s">
        <v>95</v>
      </c>
      <c r="N81" s="28">
        <v>1</v>
      </c>
      <c r="O81" s="29">
        <v>0</v>
      </c>
      <c r="P81" s="29">
        <v>0</v>
      </c>
      <c r="Q81" s="29">
        <v>0</v>
      </c>
      <c r="R81" s="72">
        <v>0</v>
      </c>
      <c r="S81" s="73" t="s">
        <v>295</v>
      </c>
      <c r="T81" s="72">
        <v>1</v>
      </c>
      <c r="U81" s="70"/>
      <c r="V81" s="72"/>
      <c r="W81" s="40">
        <v>0.06</v>
      </c>
      <c r="X81" s="49" t="s">
        <v>296</v>
      </c>
      <c r="Y81" s="49" t="s">
        <v>245</v>
      </c>
      <c r="Z81" s="70">
        <v>1</v>
      </c>
      <c r="AA81" s="79" t="s">
        <v>270</v>
      </c>
      <c r="AB81" s="80" t="s">
        <v>271</v>
      </c>
      <c r="AC81" s="81">
        <v>1</v>
      </c>
      <c r="AD81" s="84" t="s">
        <v>96</v>
      </c>
      <c r="AE81" s="85">
        <v>24119</v>
      </c>
      <c r="AF81" s="34">
        <f t="shared" si="5"/>
        <v>9647.6</v>
      </c>
      <c r="AG81" s="40">
        <v>754.84</v>
      </c>
    </row>
    <row r="82" spans="1:33" s="34" customFormat="1" x14ac:dyDescent="0.35">
      <c r="A82" s="29">
        <v>20000216</v>
      </c>
      <c r="B82" s="29" t="s">
        <v>297</v>
      </c>
      <c r="C82" s="29">
        <v>2017</v>
      </c>
      <c r="D82" s="29">
        <v>1</v>
      </c>
      <c r="E82" s="29">
        <v>0</v>
      </c>
      <c r="F82" s="29">
        <v>2</v>
      </c>
      <c r="G82" s="29">
        <v>5</v>
      </c>
      <c r="H82" s="29">
        <v>6</v>
      </c>
      <c r="I82" s="29">
        <v>9000000</v>
      </c>
      <c r="J82" s="63" t="s">
        <v>298</v>
      </c>
      <c r="K82" s="29">
        <v>11</v>
      </c>
      <c r="L82" s="29">
        <v>0</v>
      </c>
      <c r="M82" s="64" t="s">
        <v>95</v>
      </c>
      <c r="N82" s="28">
        <v>1</v>
      </c>
      <c r="O82" s="29">
        <v>0</v>
      </c>
      <c r="P82" s="29">
        <v>0</v>
      </c>
      <c r="Q82" s="29">
        <v>0</v>
      </c>
      <c r="R82" s="72">
        <v>0</v>
      </c>
      <c r="S82" s="73" t="s">
        <v>299</v>
      </c>
      <c r="T82" s="72">
        <v>1</v>
      </c>
      <c r="U82" s="70"/>
      <c r="V82" s="72"/>
      <c r="W82" s="40">
        <v>0.05</v>
      </c>
      <c r="X82" s="49" t="s">
        <v>300</v>
      </c>
      <c r="Y82" s="49" t="s">
        <v>245</v>
      </c>
      <c r="Z82" s="70">
        <v>1</v>
      </c>
      <c r="AA82" s="79" t="s">
        <v>276</v>
      </c>
      <c r="AB82" s="80" t="s">
        <v>277</v>
      </c>
      <c r="AC82" s="81">
        <v>1</v>
      </c>
      <c r="AD82" s="84" t="s">
        <v>96</v>
      </c>
      <c r="AE82" s="85">
        <v>36253</v>
      </c>
      <c r="AF82" s="34">
        <f t="shared" si="5"/>
        <v>14501.2</v>
      </c>
      <c r="AG82" s="40">
        <v>2221.3200000000002</v>
      </c>
    </row>
    <row r="83" spans="1:33" s="35" customFormat="1" x14ac:dyDescent="0.35">
      <c r="A83" s="30">
        <v>20000311</v>
      </c>
      <c r="B83" s="30" t="s">
        <v>301</v>
      </c>
      <c r="C83" s="30">
        <v>3012</v>
      </c>
      <c r="D83" s="30">
        <v>1</v>
      </c>
      <c r="E83" s="30">
        <v>0</v>
      </c>
      <c r="F83" s="30">
        <v>3</v>
      </c>
      <c r="G83" s="30">
        <v>5</v>
      </c>
      <c r="H83" s="30">
        <v>1</v>
      </c>
      <c r="I83" s="30">
        <v>360000</v>
      </c>
      <c r="J83" s="65" t="s">
        <v>302</v>
      </c>
      <c r="K83" s="30">
        <v>6</v>
      </c>
      <c r="L83" s="30">
        <v>0</v>
      </c>
      <c r="M83" s="66" t="s">
        <v>147</v>
      </c>
      <c r="N83" s="28">
        <v>1</v>
      </c>
      <c r="O83" s="30">
        <v>0</v>
      </c>
      <c r="P83" s="30">
        <v>0</v>
      </c>
      <c r="Q83" s="30">
        <v>0</v>
      </c>
      <c r="R83" s="74">
        <v>0</v>
      </c>
      <c r="S83" s="75"/>
      <c r="T83" s="74">
        <v>1</v>
      </c>
      <c r="U83" s="70"/>
      <c r="V83" s="74"/>
      <c r="W83" s="40">
        <v>0.1</v>
      </c>
      <c r="X83" s="49" t="s">
        <v>303</v>
      </c>
      <c r="Y83" s="49" t="s">
        <v>245</v>
      </c>
      <c r="Z83" s="70">
        <v>1</v>
      </c>
      <c r="AA83" s="79" t="s">
        <v>246</v>
      </c>
      <c r="AB83" s="80" t="s">
        <v>247</v>
      </c>
      <c r="AC83" s="81">
        <v>1</v>
      </c>
      <c r="AD83" s="86" t="s">
        <v>96</v>
      </c>
      <c r="AE83" s="87">
        <v>5968</v>
      </c>
      <c r="AF83" s="35">
        <f t="shared" ref="AF83:AF88" si="6">AE83*0.4</f>
        <v>2387.2000000000003</v>
      </c>
      <c r="AG83" s="40">
        <v>17.795555555555602</v>
      </c>
    </row>
    <row r="84" spans="1:33" s="35" customFormat="1" x14ac:dyDescent="0.35">
      <c r="A84" s="30">
        <v>20000312</v>
      </c>
      <c r="B84" s="30" t="s">
        <v>304</v>
      </c>
      <c r="C84" s="30">
        <v>3013</v>
      </c>
      <c r="D84" s="30">
        <v>1</v>
      </c>
      <c r="E84" s="30">
        <v>0</v>
      </c>
      <c r="F84" s="30">
        <v>3</v>
      </c>
      <c r="G84" s="30">
        <v>5</v>
      </c>
      <c r="H84" s="30">
        <v>2</v>
      </c>
      <c r="I84" s="30">
        <v>720000</v>
      </c>
      <c r="J84" s="65" t="s">
        <v>305</v>
      </c>
      <c r="K84" s="30">
        <v>7</v>
      </c>
      <c r="L84" s="30">
        <v>0</v>
      </c>
      <c r="M84" s="66" t="s">
        <v>147</v>
      </c>
      <c r="N84" s="28">
        <v>1</v>
      </c>
      <c r="O84" s="30">
        <v>0</v>
      </c>
      <c r="P84" s="30">
        <v>0</v>
      </c>
      <c r="Q84" s="30">
        <v>0</v>
      </c>
      <c r="R84" s="74">
        <v>0</v>
      </c>
      <c r="S84" s="75" t="s">
        <v>306</v>
      </c>
      <c r="T84" s="74">
        <v>1</v>
      </c>
      <c r="U84" s="70"/>
      <c r="V84" s="74"/>
      <c r="W84" s="40">
        <v>0.09</v>
      </c>
      <c r="X84" s="49" t="s">
        <v>280</v>
      </c>
      <c r="Y84" s="49" t="s">
        <v>245</v>
      </c>
      <c r="Z84" s="70">
        <v>1</v>
      </c>
      <c r="AA84" s="79" t="s">
        <v>252</v>
      </c>
      <c r="AB84" s="80" t="s">
        <v>253</v>
      </c>
      <c r="AC84" s="81">
        <v>1</v>
      </c>
      <c r="AD84" s="86" t="s">
        <v>96</v>
      </c>
      <c r="AE84" s="87">
        <v>7306</v>
      </c>
      <c r="AF84" s="35">
        <f t="shared" si="6"/>
        <v>2922.4</v>
      </c>
      <c r="AG84" s="40">
        <v>38.386666666666699</v>
      </c>
    </row>
    <row r="85" spans="1:33" s="35" customFormat="1" x14ac:dyDescent="0.35">
      <c r="A85" s="30">
        <v>20000313</v>
      </c>
      <c r="B85" s="30" t="s">
        <v>307</v>
      </c>
      <c r="C85" s="30">
        <v>3014</v>
      </c>
      <c r="D85" s="30">
        <v>1</v>
      </c>
      <c r="E85" s="30">
        <v>0</v>
      </c>
      <c r="F85" s="30">
        <v>3</v>
      </c>
      <c r="G85" s="30">
        <v>5</v>
      </c>
      <c r="H85" s="30">
        <v>3</v>
      </c>
      <c r="I85" s="30">
        <v>1440000</v>
      </c>
      <c r="J85" s="65" t="s">
        <v>308</v>
      </c>
      <c r="K85" s="30">
        <v>8</v>
      </c>
      <c r="L85" s="30">
        <v>0</v>
      </c>
      <c r="M85" s="66" t="s">
        <v>147</v>
      </c>
      <c r="N85" s="28">
        <v>1</v>
      </c>
      <c r="O85" s="30">
        <v>0</v>
      </c>
      <c r="P85" s="30">
        <v>0</v>
      </c>
      <c r="Q85" s="30">
        <v>0</v>
      </c>
      <c r="R85" s="74">
        <v>0</v>
      </c>
      <c r="S85" s="75" t="s">
        <v>309</v>
      </c>
      <c r="T85" s="74">
        <v>1</v>
      </c>
      <c r="U85" s="70"/>
      <c r="V85" s="74"/>
      <c r="W85" s="40">
        <v>0.08</v>
      </c>
      <c r="X85" s="49" t="s">
        <v>284</v>
      </c>
      <c r="Y85" s="49" t="s">
        <v>245</v>
      </c>
      <c r="Z85" s="70">
        <v>1</v>
      </c>
      <c r="AA85" s="79" t="s">
        <v>258</v>
      </c>
      <c r="AB85" s="80" t="s">
        <v>259</v>
      </c>
      <c r="AC85" s="81">
        <v>1</v>
      </c>
      <c r="AD85" s="86" t="s">
        <v>96</v>
      </c>
      <c r="AE85" s="87">
        <v>8610</v>
      </c>
      <c r="AF85" s="35">
        <f t="shared" si="6"/>
        <v>3444</v>
      </c>
      <c r="AG85" s="40">
        <v>95.16</v>
      </c>
    </row>
    <row r="86" spans="1:33" s="35" customFormat="1" x14ac:dyDescent="0.35">
      <c r="A86" s="30">
        <v>20000314</v>
      </c>
      <c r="B86" s="30" t="s">
        <v>310</v>
      </c>
      <c r="C86" s="30">
        <v>3015</v>
      </c>
      <c r="D86" s="30">
        <v>1</v>
      </c>
      <c r="E86" s="30">
        <v>0</v>
      </c>
      <c r="F86" s="30">
        <v>3</v>
      </c>
      <c r="G86" s="30">
        <v>5</v>
      </c>
      <c r="H86" s="30">
        <v>4</v>
      </c>
      <c r="I86" s="30">
        <v>2250000</v>
      </c>
      <c r="J86" s="65" t="s">
        <v>311</v>
      </c>
      <c r="K86" s="30">
        <v>9</v>
      </c>
      <c r="L86" s="30">
        <v>0</v>
      </c>
      <c r="M86" s="66" t="s">
        <v>147</v>
      </c>
      <c r="N86" s="28">
        <v>1</v>
      </c>
      <c r="O86" s="30">
        <v>0</v>
      </c>
      <c r="P86" s="30">
        <v>0</v>
      </c>
      <c r="Q86" s="30">
        <v>0</v>
      </c>
      <c r="R86" s="74">
        <v>0</v>
      </c>
      <c r="S86" s="75" t="s">
        <v>312</v>
      </c>
      <c r="T86" s="74">
        <v>1</v>
      </c>
      <c r="U86" s="70"/>
      <c r="V86" s="74"/>
      <c r="W86" s="40">
        <v>7.0000000000000007E-2</v>
      </c>
      <c r="X86" s="49" t="s">
        <v>313</v>
      </c>
      <c r="Y86" s="49" t="s">
        <v>245</v>
      </c>
      <c r="Z86" s="70">
        <v>1</v>
      </c>
      <c r="AA86" s="79" t="s">
        <v>264</v>
      </c>
      <c r="AB86" s="80" t="s">
        <v>265</v>
      </c>
      <c r="AC86" s="81">
        <v>1</v>
      </c>
      <c r="AD86" s="86" t="s">
        <v>96</v>
      </c>
      <c r="AE86" s="87">
        <v>9915</v>
      </c>
      <c r="AF86" s="35">
        <f t="shared" si="6"/>
        <v>3966</v>
      </c>
      <c r="AG86" s="40">
        <v>263.88</v>
      </c>
    </row>
    <row r="87" spans="1:33" s="35" customFormat="1" x14ac:dyDescent="0.35">
      <c r="A87" s="30">
        <v>20000315</v>
      </c>
      <c r="B87" s="30" t="s">
        <v>314</v>
      </c>
      <c r="C87" s="30">
        <v>3016</v>
      </c>
      <c r="D87" s="30">
        <v>1</v>
      </c>
      <c r="E87" s="30">
        <v>0</v>
      </c>
      <c r="F87" s="30">
        <v>3</v>
      </c>
      <c r="G87" s="30">
        <v>5</v>
      </c>
      <c r="H87" s="30">
        <v>5</v>
      </c>
      <c r="I87" s="30">
        <v>4500000</v>
      </c>
      <c r="J87" s="65" t="s">
        <v>315</v>
      </c>
      <c r="K87" s="30">
        <v>10</v>
      </c>
      <c r="L87" s="30">
        <v>0</v>
      </c>
      <c r="M87" s="66" t="s">
        <v>147</v>
      </c>
      <c r="N87" s="28">
        <v>1</v>
      </c>
      <c r="O87" s="30">
        <v>0</v>
      </c>
      <c r="P87" s="30">
        <v>0</v>
      </c>
      <c r="Q87" s="30">
        <v>0</v>
      </c>
      <c r="R87" s="74">
        <v>0</v>
      </c>
      <c r="S87" s="75" t="s">
        <v>316</v>
      </c>
      <c r="T87" s="74">
        <v>1</v>
      </c>
      <c r="U87" s="70"/>
      <c r="V87" s="74"/>
      <c r="W87" s="40">
        <v>0.06</v>
      </c>
      <c r="X87" s="49" t="s">
        <v>292</v>
      </c>
      <c r="Y87" s="49" t="s">
        <v>245</v>
      </c>
      <c r="Z87" s="70">
        <v>1</v>
      </c>
      <c r="AA87" s="79" t="s">
        <v>270</v>
      </c>
      <c r="AB87" s="80" t="s">
        <v>271</v>
      </c>
      <c r="AC87" s="81">
        <v>1</v>
      </c>
      <c r="AD87" s="86" t="s">
        <v>96</v>
      </c>
      <c r="AE87" s="87">
        <v>16080</v>
      </c>
      <c r="AF87" s="35">
        <f t="shared" si="6"/>
        <v>6432</v>
      </c>
      <c r="AG87" s="40">
        <v>754.84</v>
      </c>
    </row>
    <row r="88" spans="1:33" s="35" customFormat="1" x14ac:dyDescent="0.35">
      <c r="A88" s="30">
        <v>20000316</v>
      </c>
      <c r="B88" s="30" t="s">
        <v>317</v>
      </c>
      <c r="C88" s="30">
        <v>3017</v>
      </c>
      <c r="D88" s="30">
        <v>1</v>
      </c>
      <c r="E88" s="30">
        <v>0</v>
      </c>
      <c r="F88" s="30">
        <v>3</v>
      </c>
      <c r="G88" s="30">
        <v>5</v>
      </c>
      <c r="H88" s="30">
        <v>6</v>
      </c>
      <c r="I88" s="30">
        <v>9000000</v>
      </c>
      <c r="J88" s="65" t="s">
        <v>318</v>
      </c>
      <c r="K88" s="30">
        <v>11</v>
      </c>
      <c r="L88" s="30">
        <v>0</v>
      </c>
      <c r="M88" s="66" t="s">
        <v>147</v>
      </c>
      <c r="N88" s="28">
        <v>1</v>
      </c>
      <c r="O88" s="30">
        <v>0</v>
      </c>
      <c r="P88" s="30">
        <v>0</v>
      </c>
      <c r="Q88" s="30">
        <v>0</v>
      </c>
      <c r="R88" s="74">
        <v>0</v>
      </c>
      <c r="S88" s="75" t="s">
        <v>319</v>
      </c>
      <c r="T88" s="74">
        <v>1</v>
      </c>
      <c r="U88" s="70"/>
      <c r="V88" s="74"/>
      <c r="W88" s="40">
        <v>0.05</v>
      </c>
      <c r="X88" s="49" t="s">
        <v>296</v>
      </c>
      <c r="Y88" s="49" t="s">
        <v>245</v>
      </c>
      <c r="Z88" s="70">
        <v>1</v>
      </c>
      <c r="AA88" s="79" t="s">
        <v>276</v>
      </c>
      <c r="AB88" s="80" t="s">
        <v>277</v>
      </c>
      <c r="AC88" s="81">
        <v>1</v>
      </c>
      <c r="AD88" s="86" t="s">
        <v>96</v>
      </c>
      <c r="AE88" s="87">
        <v>24169</v>
      </c>
      <c r="AF88" s="35">
        <f t="shared" si="6"/>
        <v>9667.6</v>
      </c>
      <c r="AG88" s="40">
        <v>2221.3200000000002</v>
      </c>
    </row>
    <row r="89" spans="1:33" s="36" customFormat="1" x14ac:dyDescent="0.35">
      <c r="A89" s="31">
        <v>20000411</v>
      </c>
      <c r="B89" s="31" t="s">
        <v>320</v>
      </c>
      <c r="C89" s="31">
        <v>4012</v>
      </c>
      <c r="D89" s="31">
        <v>1</v>
      </c>
      <c r="E89" s="31">
        <v>0</v>
      </c>
      <c r="F89" s="31">
        <v>4</v>
      </c>
      <c r="G89" s="31">
        <v>5</v>
      </c>
      <c r="H89" s="31">
        <v>1</v>
      </c>
      <c r="I89" s="31">
        <v>360000</v>
      </c>
      <c r="J89" s="67" t="s">
        <v>321</v>
      </c>
      <c r="K89" s="31">
        <v>6</v>
      </c>
      <c r="L89" s="31">
        <v>0</v>
      </c>
      <c r="M89" s="68" t="s">
        <v>198</v>
      </c>
      <c r="N89" s="28">
        <v>1</v>
      </c>
      <c r="O89" s="31">
        <v>0</v>
      </c>
      <c r="P89" s="31">
        <v>0</v>
      </c>
      <c r="Q89" s="31">
        <v>0</v>
      </c>
      <c r="R89" s="76">
        <v>0</v>
      </c>
      <c r="S89" s="77"/>
      <c r="T89" s="76">
        <v>1</v>
      </c>
      <c r="U89" s="70"/>
      <c r="V89" s="76"/>
      <c r="W89" s="40">
        <v>0.1</v>
      </c>
      <c r="X89" s="49" t="s">
        <v>322</v>
      </c>
      <c r="Y89" s="49" t="s">
        <v>245</v>
      </c>
      <c r="Z89" s="70">
        <v>1</v>
      </c>
      <c r="AA89" s="79" t="s">
        <v>246</v>
      </c>
      <c r="AB89" s="80" t="s">
        <v>247</v>
      </c>
      <c r="AC89" s="81">
        <v>1</v>
      </c>
      <c r="AD89" s="88" t="s">
        <v>36</v>
      </c>
      <c r="AE89" s="89">
        <v>795</v>
      </c>
      <c r="AF89" s="36">
        <f t="shared" ref="AF89:AF94" si="7">AE89*2</f>
        <v>1590</v>
      </c>
      <c r="AG89" s="40">
        <v>17.795555555555602</v>
      </c>
    </row>
    <row r="90" spans="1:33" s="36" customFormat="1" x14ac:dyDescent="0.35">
      <c r="A90" s="31">
        <v>20000412</v>
      </c>
      <c r="B90" s="31" t="s">
        <v>323</v>
      </c>
      <c r="C90" s="31">
        <v>4013</v>
      </c>
      <c r="D90" s="31">
        <v>1</v>
      </c>
      <c r="E90" s="31">
        <v>0</v>
      </c>
      <c r="F90" s="31">
        <v>4</v>
      </c>
      <c r="G90" s="31">
        <v>5</v>
      </c>
      <c r="H90" s="31">
        <v>2</v>
      </c>
      <c r="I90" s="31">
        <v>720000</v>
      </c>
      <c r="J90" s="67" t="s">
        <v>324</v>
      </c>
      <c r="K90" s="31">
        <v>7</v>
      </c>
      <c r="L90" s="31">
        <v>0</v>
      </c>
      <c r="M90" s="68" t="s">
        <v>198</v>
      </c>
      <c r="N90" s="28">
        <v>1</v>
      </c>
      <c r="O90" s="31">
        <v>0</v>
      </c>
      <c r="P90" s="31">
        <v>0</v>
      </c>
      <c r="Q90" s="31">
        <v>0</v>
      </c>
      <c r="R90" s="76">
        <v>0</v>
      </c>
      <c r="S90" s="77" t="s">
        <v>325</v>
      </c>
      <c r="T90" s="76">
        <v>1</v>
      </c>
      <c r="U90" s="70"/>
      <c r="V90" s="76"/>
      <c r="W90" s="40">
        <v>0.09</v>
      </c>
      <c r="X90" s="49" t="s">
        <v>244</v>
      </c>
      <c r="Y90" s="49" t="s">
        <v>245</v>
      </c>
      <c r="Z90" s="70">
        <v>1</v>
      </c>
      <c r="AA90" s="79" t="s">
        <v>252</v>
      </c>
      <c r="AB90" s="80" t="s">
        <v>253</v>
      </c>
      <c r="AC90" s="81">
        <v>1</v>
      </c>
      <c r="AD90" s="88" t="s">
        <v>36</v>
      </c>
      <c r="AE90" s="89">
        <v>973</v>
      </c>
      <c r="AF90" s="36">
        <f t="shared" si="7"/>
        <v>1946</v>
      </c>
      <c r="AG90" s="40">
        <v>38.386666666666699</v>
      </c>
    </row>
    <row r="91" spans="1:33" s="36" customFormat="1" x14ac:dyDescent="0.35">
      <c r="A91" s="31">
        <v>20000413</v>
      </c>
      <c r="B91" s="31" t="s">
        <v>326</v>
      </c>
      <c r="C91" s="31">
        <v>4014</v>
      </c>
      <c r="D91" s="31">
        <v>1</v>
      </c>
      <c r="E91" s="31">
        <v>0</v>
      </c>
      <c r="F91" s="31">
        <v>4</v>
      </c>
      <c r="G91" s="31">
        <v>5</v>
      </c>
      <c r="H91" s="31">
        <v>3</v>
      </c>
      <c r="I91" s="31">
        <v>1440000</v>
      </c>
      <c r="J91" s="67" t="s">
        <v>327</v>
      </c>
      <c r="K91" s="31">
        <v>8</v>
      </c>
      <c r="L91" s="31">
        <v>0</v>
      </c>
      <c r="M91" s="68" t="s">
        <v>198</v>
      </c>
      <c r="N91" s="28">
        <v>1</v>
      </c>
      <c r="O91" s="31">
        <v>0</v>
      </c>
      <c r="P91" s="31">
        <v>0</v>
      </c>
      <c r="Q91" s="31">
        <v>0</v>
      </c>
      <c r="R91" s="76">
        <v>0</v>
      </c>
      <c r="S91" s="77" t="s">
        <v>328</v>
      </c>
      <c r="T91" s="76">
        <v>1</v>
      </c>
      <c r="U91" s="70"/>
      <c r="V91" s="76"/>
      <c r="W91" s="40">
        <v>0.08</v>
      </c>
      <c r="X91" s="49" t="s">
        <v>251</v>
      </c>
      <c r="Y91" s="49" t="s">
        <v>245</v>
      </c>
      <c r="Z91" s="70">
        <v>1</v>
      </c>
      <c r="AA91" s="79" t="s">
        <v>258</v>
      </c>
      <c r="AB91" s="80" t="s">
        <v>259</v>
      </c>
      <c r="AC91" s="81">
        <v>1</v>
      </c>
      <c r="AD91" s="88" t="s">
        <v>36</v>
      </c>
      <c r="AE91" s="89">
        <v>1147</v>
      </c>
      <c r="AF91" s="36">
        <f t="shared" si="7"/>
        <v>2294</v>
      </c>
      <c r="AG91" s="40">
        <v>95.16</v>
      </c>
    </row>
    <row r="92" spans="1:33" s="36" customFormat="1" x14ac:dyDescent="0.35">
      <c r="A92" s="31">
        <v>20000414</v>
      </c>
      <c r="B92" s="31" t="s">
        <v>329</v>
      </c>
      <c r="C92" s="31">
        <v>4015</v>
      </c>
      <c r="D92" s="31">
        <v>1</v>
      </c>
      <c r="E92" s="31">
        <v>0</v>
      </c>
      <c r="F92" s="31">
        <v>4</v>
      </c>
      <c r="G92" s="31">
        <v>5</v>
      </c>
      <c r="H92" s="31">
        <v>4</v>
      </c>
      <c r="I92" s="31">
        <v>2250000</v>
      </c>
      <c r="J92" s="67" t="s">
        <v>330</v>
      </c>
      <c r="K92" s="31">
        <v>9</v>
      </c>
      <c r="L92" s="31">
        <v>0</v>
      </c>
      <c r="M92" s="68" t="s">
        <v>198</v>
      </c>
      <c r="N92" s="28">
        <v>1</v>
      </c>
      <c r="O92" s="31">
        <v>0</v>
      </c>
      <c r="P92" s="31">
        <v>0</v>
      </c>
      <c r="Q92" s="31">
        <v>0</v>
      </c>
      <c r="R92" s="76">
        <v>0</v>
      </c>
      <c r="S92" s="77" t="s">
        <v>331</v>
      </c>
      <c r="T92" s="76">
        <v>1</v>
      </c>
      <c r="U92" s="70"/>
      <c r="V92" s="76"/>
      <c r="W92" s="40">
        <v>7.0000000000000007E-2</v>
      </c>
      <c r="X92" s="49" t="s">
        <v>332</v>
      </c>
      <c r="Y92" s="49" t="s">
        <v>245</v>
      </c>
      <c r="Z92" s="70">
        <v>1</v>
      </c>
      <c r="AA92" s="79" t="s">
        <v>264</v>
      </c>
      <c r="AB92" s="80" t="s">
        <v>265</v>
      </c>
      <c r="AC92" s="81">
        <v>1</v>
      </c>
      <c r="AD92" s="88" t="s">
        <v>36</v>
      </c>
      <c r="AE92" s="89">
        <v>1321</v>
      </c>
      <c r="AF92" s="36">
        <f t="shared" si="7"/>
        <v>2642</v>
      </c>
      <c r="AG92" s="40">
        <v>263.88</v>
      </c>
    </row>
    <row r="93" spans="1:33" s="36" customFormat="1" x14ac:dyDescent="0.35">
      <c r="A93" s="31">
        <v>20000415</v>
      </c>
      <c r="B93" s="31" t="s">
        <v>333</v>
      </c>
      <c r="C93" s="31">
        <v>4016</v>
      </c>
      <c r="D93" s="31">
        <v>1</v>
      </c>
      <c r="E93" s="31">
        <v>0</v>
      </c>
      <c r="F93" s="31">
        <v>4</v>
      </c>
      <c r="G93" s="31">
        <v>5</v>
      </c>
      <c r="H93" s="31">
        <v>5</v>
      </c>
      <c r="I93" s="31">
        <v>4500000</v>
      </c>
      <c r="J93" s="67" t="s">
        <v>334</v>
      </c>
      <c r="K93" s="31">
        <v>10</v>
      </c>
      <c r="L93" s="31">
        <v>0</v>
      </c>
      <c r="M93" s="68" t="s">
        <v>198</v>
      </c>
      <c r="N93" s="28">
        <v>1</v>
      </c>
      <c r="O93" s="31">
        <v>0</v>
      </c>
      <c r="P93" s="31">
        <v>0</v>
      </c>
      <c r="Q93" s="31">
        <v>0</v>
      </c>
      <c r="R93" s="76">
        <v>0</v>
      </c>
      <c r="S93" s="77" t="s">
        <v>335</v>
      </c>
      <c r="T93" s="76">
        <v>1</v>
      </c>
      <c r="U93" s="70"/>
      <c r="V93" s="76"/>
      <c r="W93" s="40">
        <v>0.06</v>
      </c>
      <c r="X93" s="49" t="s">
        <v>263</v>
      </c>
      <c r="Y93" s="49" t="s">
        <v>245</v>
      </c>
      <c r="Z93" s="70">
        <v>1</v>
      </c>
      <c r="AA93" s="79" t="s">
        <v>270</v>
      </c>
      <c r="AB93" s="80" t="s">
        <v>271</v>
      </c>
      <c r="AC93" s="81">
        <v>1</v>
      </c>
      <c r="AD93" s="88" t="s">
        <v>36</v>
      </c>
      <c r="AE93" s="89">
        <v>2143</v>
      </c>
      <c r="AF93" s="36">
        <f t="shared" si="7"/>
        <v>4286</v>
      </c>
      <c r="AG93" s="40">
        <v>754.84</v>
      </c>
    </row>
    <row r="94" spans="1:33" s="36" customFormat="1" x14ac:dyDescent="0.35">
      <c r="A94" s="31">
        <v>20000416</v>
      </c>
      <c r="B94" s="31" t="s">
        <v>336</v>
      </c>
      <c r="C94" s="31">
        <v>4017</v>
      </c>
      <c r="D94" s="31">
        <v>1</v>
      </c>
      <c r="E94" s="31">
        <v>0</v>
      </c>
      <c r="F94" s="31">
        <v>4</v>
      </c>
      <c r="G94" s="31">
        <v>5</v>
      </c>
      <c r="H94" s="31">
        <v>6</v>
      </c>
      <c r="I94" s="31">
        <v>9000000</v>
      </c>
      <c r="J94" s="67" t="s">
        <v>337</v>
      </c>
      <c r="K94" s="31">
        <v>11</v>
      </c>
      <c r="L94" s="31">
        <v>0</v>
      </c>
      <c r="M94" s="68" t="s">
        <v>198</v>
      </c>
      <c r="N94" s="28">
        <v>1</v>
      </c>
      <c r="O94" s="31">
        <v>0</v>
      </c>
      <c r="P94" s="31">
        <v>0</v>
      </c>
      <c r="Q94" s="31">
        <v>0</v>
      </c>
      <c r="R94" s="76">
        <v>0</v>
      </c>
      <c r="S94" s="77" t="s">
        <v>338</v>
      </c>
      <c r="T94" s="76">
        <v>1</v>
      </c>
      <c r="U94" s="70"/>
      <c r="V94" s="76"/>
      <c r="W94" s="40">
        <v>0.05</v>
      </c>
      <c r="X94" s="49" t="s">
        <v>339</v>
      </c>
      <c r="Y94" s="49" t="s">
        <v>245</v>
      </c>
      <c r="Z94" s="70">
        <v>1</v>
      </c>
      <c r="AA94" s="79" t="s">
        <v>276</v>
      </c>
      <c r="AB94" s="80" t="s">
        <v>277</v>
      </c>
      <c r="AC94" s="81">
        <v>1</v>
      </c>
      <c r="AD94" s="88" t="s">
        <v>36</v>
      </c>
      <c r="AE94" s="89">
        <v>3222</v>
      </c>
      <c r="AF94" s="36">
        <f t="shared" si="7"/>
        <v>6444</v>
      </c>
      <c r="AG94" s="40">
        <v>2221.3200000000002</v>
      </c>
    </row>
  </sheetData>
  <phoneticPr fontId="7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J16" sqref="J16"/>
    </sheetView>
  </sheetViews>
  <sheetFormatPr defaultColWidth="9" defaultRowHeight="14.25" x14ac:dyDescent="0.2"/>
  <cols>
    <col min="2" max="2" width="9.375"/>
    <col min="5" max="5" width="13.625" customWidth="1"/>
    <col min="6" max="6" width="22" customWidth="1"/>
    <col min="7" max="7" width="18.125" customWidth="1"/>
  </cols>
  <sheetData>
    <row r="1" spans="1:8" x14ac:dyDescent="0.2">
      <c r="A1" s="12" t="s">
        <v>340</v>
      </c>
      <c r="B1" s="12" t="s">
        <v>341</v>
      </c>
      <c r="C1" s="12" t="s">
        <v>342</v>
      </c>
      <c r="D1" s="12" t="s">
        <v>343</v>
      </c>
      <c r="E1" s="1" t="s">
        <v>344</v>
      </c>
      <c r="F1" s="12" t="s">
        <v>345</v>
      </c>
      <c r="G1" s="12" t="s">
        <v>346</v>
      </c>
      <c r="H1" s="12" t="s">
        <v>347</v>
      </c>
    </row>
    <row r="2" spans="1:8" ht="16.5" x14ac:dyDescent="0.2">
      <c r="A2">
        <v>1001</v>
      </c>
      <c r="B2" s="28">
        <v>20000116</v>
      </c>
      <c r="C2" s="28" t="s">
        <v>272</v>
      </c>
      <c r="D2">
        <v>1</v>
      </c>
      <c r="E2" s="1" t="s">
        <v>348</v>
      </c>
      <c r="F2" s="12" t="s">
        <v>349</v>
      </c>
      <c r="G2" s="12" t="s">
        <v>350</v>
      </c>
    </row>
    <row r="3" spans="1:8" ht="16.5" x14ac:dyDescent="0.2">
      <c r="A3">
        <v>1002</v>
      </c>
      <c r="B3" s="28">
        <v>20000116</v>
      </c>
      <c r="C3" s="28" t="s">
        <v>272</v>
      </c>
      <c r="D3">
        <v>2</v>
      </c>
      <c r="E3" s="1" t="s">
        <v>351</v>
      </c>
      <c r="F3" s="12" t="s">
        <v>352</v>
      </c>
      <c r="G3" s="12" t="s">
        <v>353</v>
      </c>
    </row>
    <row r="4" spans="1:8" ht="16.5" x14ac:dyDescent="0.2">
      <c r="A4">
        <v>1003</v>
      </c>
      <c r="B4" s="28">
        <v>20000116</v>
      </c>
      <c r="C4" s="28" t="s">
        <v>272</v>
      </c>
      <c r="D4">
        <v>3</v>
      </c>
      <c r="E4" s="1" t="s">
        <v>354</v>
      </c>
      <c r="F4" s="12" t="s">
        <v>355</v>
      </c>
      <c r="G4" s="12" t="s">
        <v>356</v>
      </c>
    </row>
    <row r="5" spans="1:8" ht="16.5" x14ac:dyDescent="0.2">
      <c r="A5">
        <v>1004</v>
      </c>
      <c r="B5" s="28">
        <v>20000116</v>
      </c>
      <c r="C5" s="28" t="s">
        <v>272</v>
      </c>
      <c r="D5">
        <v>4</v>
      </c>
      <c r="E5" s="90" t="s">
        <v>1338</v>
      </c>
      <c r="F5" s="12" t="s">
        <v>357</v>
      </c>
      <c r="G5" s="12" t="s">
        <v>358</v>
      </c>
    </row>
    <row r="6" spans="1:8" ht="16.5" x14ac:dyDescent="0.2">
      <c r="A6">
        <v>1005</v>
      </c>
      <c r="B6" s="28">
        <v>20000116</v>
      </c>
      <c r="C6" s="28" t="s">
        <v>272</v>
      </c>
      <c r="D6">
        <v>5</v>
      </c>
      <c r="E6" s="90" t="s">
        <v>1339</v>
      </c>
      <c r="F6" s="12" t="s">
        <v>1322</v>
      </c>
      <c r="G6" s="12" t="s">
        <v>1330</v>
      </c>
    </row>
    <row r="7" spans="1:8" ht="16.5" x14ac:dyDescent="0.2">
      <c r="A7">
        <v>1006</v>
      </c>
      <c r="B7" s="28">
        <v>20000116</v>
      </c>
      <c r="C7" s="28" t="s">
        <v>272</v>
      </c>
      <c r="D7">
        <v>6</v>
      </c>
      <c r="E7" s="90" t="s">
        <v>1340</v>
      </c>
      <c r="F7" s="12" t="s">
        <v>1323</v>
      </c>
      <c r="G7" s="12" t="s">
        <v>1331</v>
      </c>
    </row>
    <row r="8" spans="1:8" ht="16.5" x14ac:dyDescent="0.2">
      <c r="A8">
        <v>2001</v>
      </c>
      <c r="B8" s="29">
        <v>20000216</v>
      </c>
      <c r="C8" s="29" t="s">
        <v>297</v>
      </c>
      <c r="D8">
        <v>1</v>
      </c>
      <c r="E8" s="1" t="s">
        <v>348</v>
      </c>
      <c r="F8" s="12" t="s">
        <v>359</v>
      </c>
      <c r="G8" s="12" t="s">
        <v>360</v>
      </c>
    </row>
    <row r="9" spans="1:8" ht="16.5" x14ac:dyDescent="0.2">
      <c r="A9">
        <v>2002</v>
      </c>
      <c r="B9" s="29">
        <v>20000216</v>
      </c>
      <c r="C9" s="29" t="s">
        <v>297</v>
      </c>
      <c r="D9">
        <v>2</v>
      </c>
      <c r="E9" s="1" t="s">
        <v>351</v>
      </c>
      <c r="F9" s="12" t="s">
        <v>361</v>
      </c>
      <c r="G9" s="12" t="s">
        <v>362</v>
      </c>
    </row>
    <row r="10" spans="1:8" ht="16.5" x14ac:dyDescent="0.2">
      <c r="A10">
        <v>2003</v>
      </c>
      <c r="B10" s="29">
        <v>20000216</v>
      </c>
      <c r="C10" s="29" t="s">
        <v>297</v>
      </c>
      <c r="D10">
        <v>3</v>
      </c>
      <c r="E10" s="1" t="s">
        <v>354</v>
      </c>
      <c r="F10" s="12" t="s">
        <v>363</v>
      </c>
      <c r="G10" s="12" t="s">
        <v>364</v>
      </c>
    </row>
    <row r="11" spans="1:8" ht="16.5" x14ac:dyDescent="0.2">
      <c r="A11">
        <v>2004</v>
      </c>
      <c r="B11" s="29">
        <v>20000216</v>
      </c>
      <c r="C11" s="29" t="s">
        <v>297</v>
      </c>
      <c r="D11">
        <v>4</v>
      </c>
      <c r="E11" s="90" t="s">
        <v>1338</v>
      </c>
      <c r="F11" s="12" t="s">
        <v>365</v>
      </c>
      <c r="G11" s="12" t="s">
        <v>366</v>
      </c>
    </row>
    <row r="12" spans="1:8" ht="16.5" x14ac:dyDescent="0.2">
      <c r="A12">
        <v>2005</v>
      </c>
      <c r="B12" s="29">
        <v>20000216</v>
      </c>
      <c r="C12" s="29" t="s">
        <v>297</v>
      </c>
      <c r="D12">
        <v>5</v>
      </c>
      <c r="E12" s="90" t="s">
        <v>1339</v>
      </c>
      <c r="F12" s="12" t="s">
        <v>1324</v>
      </c>
      <c r="G12" s="12" t="s">
        <v>1332</v>
      </c>
    </row>
    <row r="13" spans="1:8" ht="16.5" x14ac:dyDescent="0.2">
      <c r="A13">
        <v>2006</v>
      </c>
      <c r="B13" s="29">
        <v>20000216</v>
      </c>
      <c r="C13" s="29" t="s">
        <v>297</v>
      </c>
      <c r="D13">
        <v>6</v>
      </c>
      <c r="E13" s="90" t="s">
        <v>1340</v>
      </c>
      <c r="F13" s="12" t="s">
        <v>1325</v>
      </c>
      <c r="G13" s="12" t="s">
        <v>1333</v>
      </c>
    </row>
    <row r="14" spans="1:8" ht="16.5" x14ac:dyDescent="0.2">
      <c r="A14">
        <v>3001</v>
      </c>
      <c r="B14" s="30">
        <v>20000316</v>
      </c>
      <c r="C14" s="30" t="s">
        <v>317</v>
      </c>
      <c r="D14">
        <v>1</v>
      </c>
      <c r="E14" s="1" t="s">
        <v>348</v>
      </c>
      <c r="F14" s="12" t="s">
        <v>367</v>
      </c>
      <c r="G14" s="12" t="s">
        <v>368</v>
      </c>
    </row>
    <row r="15" spans="1:8" ht="16.5" x14ac:dyDescent="0.2">
      <c r="A15">
        <v>3002</v>
      </c>
      <c r="B15" s="30">
        <v>20000316</v>
      </c>
      <c r="C15" s="30" t="s">
        <v>317</v>
      </c>
      <c r="D15">
        <v>2</v>
      </c>
      <c r="E15" s="1" t="s">
        <v>351</v>
      </c>
      <c r="F15" s="12" t="s">
        <v>369</v>
      </c>
      <c r="G15" s="12" t="s">
        <v>370</v>
      </c>
    </row>
    <row r="16" spans="1:8" ht="16.5" x14ac:dyDescent="0.2">
      <c r="A16">
        <v>3003</v>
      </c>
      <c r="B16" s="30">
        <v>20000316</v>
      </c>
      <c r="C16" s="30" t="s">
        <v>317</v>
      </c>
      <c r="D16">
        <v>3</v>
      </c>
      <c r="E16" s="1" t="s">
        <v>354</v>
      </c>
      <c r="F16" s="12" t="s">
        <v>371</v>
      </c>
      <c r="G16" s="12" t="s">
        <v>372</v>
      </c>
    </row>
    <row r="17" spans="1:7" ht="16.5" x14ac:dyDescent="0.2">
      <c r="A17">
        <v>3004</v>
      </c>
      <c r="B17" s="30">
        <v>20000316</v>
      </c>
      <c r="C17" s="30" t="s">
        <v>317</v>
      </c>
      <c r="D17">
        <v>4</v>
      </c>
      <c r="E17" s="90" t="s">
        <v>1338</v>
      </c>
      <c r="F17" s="12" t="s">
        <v>373</v>
      </c>
      <c r="G17" s="12" t="s">
        <v>374</v>
      </c>
    </row>
    <row r="18" spans="1:7" ht="16.5" x14ac:dyDescent="0.2">
      <c r="A18">
        <v>3005</v>
      </c>
      <c r="B18" s="30">
        <v>20000316</v>
      </c>
      <c r="C18" s="30" t="s">
        <v>317</v>
      </c>
      <c r="D18">
        <v>5</v>
      </c>
      <c r="E18" s="90" t="s">
        <v>1339</v>
      </c>
      <c r="F18" s="12" t="s">
        <v>1326</v>
      </c>
      <c r="G18" s="12" t="s">
        <v>1334</v>
      </c>
    </row>
    <row r="19" spans="1:7" ht="16.5" x14ac:dyDescent="0.2">
      <c r="A19">
        <v>3006</v>
      </c>
      <c r="B19" s="30">
        <v>20000316</v>
      </c>
      <c r="C19" s="30" t="s">
        <v>317</v>
      </c>
      <c r="D19">
        <v>6</v>
      </c>
      <c r="E19" s="90" t="s">
        <v>1340</v>
      </c>
      <c r="F19" s="12" t="s">
        <v>1327</v>
      </c>
      <c r="G19" s="12" t="s">
        <v>1335</v>
      </c>
    </row>
    <row r="20" spans="1:7" ht="16.5" x14ac:dyDescent="0.2">
      <c r="A20">
        <v>4001</v>
      </c>
      <c r="B20" s="31">
        <v>20000416</v>
      </c>
      <c r="C20" s="31" t="s">
        <v>336</v>
      </c>
      <c r="D20">
        <v>1</v>
      </c>
      <c r="E20" s="1" t="s">
        <v>348</v>
      </c>
      <c r="F20" s="12" t="s">
        <v>375</v>
      </c>
      <c r="G20" s="12" t="s">
        <v>376</v>
      </c>
    </row>
    <row r="21" spans="1:7" ht="16.5" x14ac:dyDescent="0.2">
      <c r="A21">
        <v>4002</v>
      </c>
      <c r="B21" s="31">
        <v>20000416</v>
      </c>
      <c r="C21" s="31" t="s">
        <v>336</v>
      </c>
      <c r="D21">
        <v>2</v>
      </c>
      <c r="E21" s="1" t="s">
        <v>351</v>
      </c>
      <c r="F21" s="12" t="s">
        <v>377</v>
      </c>
      <c r="G21" s="12" t="s">
        <v>378</v>
      </c>
    </row>
    <row r="22" spans="1:7" ht="16.5" x14ac:dyDescent="0.2">
      <c r="A22">
        <v>4003</v>
      </c>
      <c r="B22" s="31">
        <v>20000416</v>
      </c>
      <c r="C22" s="31" t="s">
        <v>336</v>
      </c>
      <c r="D22">
        <v>3</v>
      </c>
      <c r="E22" s="1" t="s">
        <v>354</v>
      </c>
      <c r="F22" s="12" t="s">
        <v>379</v>
      </c>
      <c r="G22" s="12" t="s">
        <v>380</v>
      </c>
    </row>
    <row r="23" spans="1:7" ht="16.5" x14ac:dyDescent="0.2">
      <c r="A23">
        <v>4004</v>
      </c>
      <c r="B23" s="31">
        <v>20000416</v>
      </c>
      <c r="C23" s="31" t="s">
        <v>336</v>
      </c>
      <c r="D23">
        <v>4</v>
      </c>
      <c r="E23" s="90" t="s">
        <v>1338</v>
      </c>
      <c r="F23" s="12" t="s">
        <v>381</v>
      </c>
      <c r="G23" s="12" t="s">
        <v>382</v>
      </c>
    </row>
    <row r="24" spans="1:7" ht="16.5" x14ac:dyDescent="0.2">
      <c r="A24">
        <v>4005</v>
      </c>
      <c r="B24" s="31">
        <v>20000416</v>
      </c>
      <c r="C24" s="31" t="s">
        <v>336</v>
      </c>
      <c r="D24">
        <v>5</v>
      </c>
      <c r="E24" s="90" t="s">
        <v>1339</v>
      </c>
      <c r="F24" s="12" t="s">
        <v>1328</v>
      </c>
      <c r="G24" s="12" t="s">
        <v>1336</v>
      </c>
    </row>
    <row r="25" spans="1:7" ht="16.5" x14ac:dyDescent="0.2">
      <c r="A25">
        <v>4006</v>
      </c>
      <c r="B25" s="31">
        <v>20000416</v>
      </c>
      <c r="C25" s="31" t="s">
        <v>336</v>
      </c>
      <c r="D25">
        <v>6</v>
      </c>
      <c r="E25" s="90" t="s">
        <v>1340</v>
      </c>
      <c r="F25" s="12" t="s">
        <v>1329</v>
      </c>
      <c r="G25" s="12" t="s">
        <v>1337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D30" sqref="D30"/>
    </sheetView>
  </sheetViews>
  <sheetFormatPr defaultColWidth="9" defaultRowHeight="14.25" x14ac:dyDescent="0.2"/>
  <cols>
    <col min="5" max="5" width="29.375" style="2" customWidth="1"/>
  </cols>
  <sheetData>
    <row r="1" spans="1:5" x14ac:dyDescent="0.2">
      <c r="A1" s="25" t="s">
        <v>383</v>
      </c>
      <c r="B1" s="25" t="s">
        <v>384</v>
      </c>
      <c r="C1" s="25" t="s">
        <v>10</v>
      </c>
      <c r="D1" s="25" t="s">
        <v>385</v>
      </c>
      <c r="E1" s="26" t="s">
        <v>9</v>
      </c>
    </row>
    <row r="2" spans="1:5" x14ac:dyDescent="0.2">
      <c r="A2">
        <v>1</v>
      </c>
      <c r="B2" t="s">
        <v>386</v>
      </c>
      <c r="C2">
        <v>1</v>
      </c>
      <c r="D2">
        <v>2</v>
      </c>
      <c r="E2" s="2" t="s">
        <v>387</v>
      </c>
    </row>
    <row r="3" spans="1:5" x14ac:dyDescent="0.2">
      <c r="A3">
        <v>2</v>
      </c>
      <c r="B3" t="s">
        <v>386</v>
      </c>
      <c r="C3">
        <v>1</v>
      </c>
      <c r="D3">
        <v>3</v>
      </c>
      <c r="E3" s="2" t="s">
        <v>388</v>
      </c>
    </row>
    <row r="4" spans="1:5" x14ac:dyDescent="0.2">
      <c r="A4">
        <v>3</v>
      </c>
      <c r="B4" t="s">
        <v>386</v>
      </c>
      <c r="C4">
        <v>1</v>
      </c>
      <c r="D4">
        <v>4</v>
      </c>
      <c r="E4" s="2" t="s">
        <v>389</v>
      </c>
    </row>
    <row r="5" spans="1:5" x14ac:dyDescent="0.2">
      <c r="A5">
        <v>4</v>
      </c>
      <c r="B5" t="s">
        <v>390</v>
      </c>
      <c r="C5">
        <v>2</v>
      </c>
      <c r="D5">
        <v>2</v>
      </c>
      <c r="E5" s="2" t="s">
        <v>391</v>
      </c>
    </row>
    <row r="6" spans="1:5" x14ac:dyDescent="0.2">
      <c r="A6">
        <v>5</v>
      </c>
      <c r="B6" t="s">
        <v>390</v>
      </c>
      <c r="C6">
        <v>2</v>
      </c>
      <c r="D6">
        <v>3</v>
      </c>
      <c r="E6" s="2" t="s">
        <v>392</v>
      </c>
    </row>
    <row r="7" spans="1:5" x14ac:dyDescent="0.2">
      <c r="A7">
        <v>6</v>
      </c>
      <c r="B7" t="s">
        <v>390</v>
      </c>
      <c r="C7">
        <v>2</v>
      </c>
      <c r="D7">
        <v>4</v>
      </c>
      <c r="E7" s="2" t="s">
        <v>393</v>
      </c>
    </row>
    <row r="8" spans="1:5" x14ac:dyDescent="0.2">
      <c r="A8">
        <v>7</v>
      </c>
      <c r="B8" t="s">
        <v>394</v>
      </c>
      <c r="C8">
        <v>3</v>
      </c>
      <c r="D8">
        <v>2</v>
      </c>
      <c r="E8" s="2" t="s">
        <v>395</v>
      </c>
    </row>
    <row r="9" spans="1:5" x14ac:dyDescent="0.2">
      <c r="A9">
        <v>8</v>
      </c>
      <c r="B9" t="s">
        <v>394</v>
      </c>
      <c r="C9">
        <v>3</v>
      </c>
      <c r="D9">
        <v>3</v>
      </c>
      <c r="E9" s="2" t="s">
        <v>396</v>
      </c>
    </row>
    <row r="10" spans="1:5" x14ac:dyDescent="0.2">
      <c r="A10">
        <v>9</v>
      </c>
      <c r="B10" t="s">
        <v>394</v>
      </c>
      <c r="C10">
        <v>3</v>
      </c>
      <c r="D10">
        <v>4</v>
      </c>
      <c r="E10" s="2" t="s">
        <v>397</v>
      </c>
    </row>
    <row r="11" spans="1:5" x14ac:dyDescent="0.2">
      <c r="A11">
        <v>10</v>
      </c>
      <c r="B11" t="s">
        <v>398</v>
      </c>
      <c r="C11">
        <v>4</v>
      </c>
      <c r="D11">
        <v>2</v>
      </c>
      <c r="E11" s="2" t="s">
        <v>399</v>
      </c>
    </row>
    <row r="12" spans="1:5" x14ac:dyDescent="0.2">
      <c r="A12">
        <v>11</v>
      </c>
      <c r="B12" t="s">
        <v>398</v>
      </c>
      <c r="C12">
        <v>4</v>
      </c>
      <c r="D12">
        <v>3</v>
      </c>
      <c r="E12" s="2" t="s">
        <v>400</v>
      </c>
    </row>
    <row r="13" spans="1:5" x14ac:dyDescent="0.2">
      <c r="A13">
        <v>12</v>
      </c>
      <c r="B13" t="s">
        <v>398</v>
      </c>
      <c r="C13">
        <v>4</v>
      </c>
      <c r="D13">
        <v>4</v>
      </c>
      <c r="E13" s="2" t="s">
        <v>401</v>
      </c>
    </row>
    <row r="14" spans="1:5" x14ac:dyDescent="0.2">
      <c r="A14">
        <v>13</v>
      </c>
      <c r="B14" t="s">
        <v>402</v>
      </c>
      <c r="C14">
        <v>5</v>
      </c>
      <c r="D14">
        <v>2</v>
      </c>
      <c r="E14" s="2" t="s">
        <v>403</v>
      </c>
    </row>
    <row r="15" spans="1:5" x14ac:dyDescent="0.2">
      <c r="A15">
        <v>14</v>
      </c>
      <c r="B15" t="s">
        <v>402</v>
      </c>
      <c r="C15">
        <v>5</v>
      </c>
      <c r="D15">
        <v>3</v>
      </c>
      <c r="E15" s="2" t="s">
        <v>404</v>
      </c>
    </row>
    <row r="16" spans="1:5" x14ac:dyDescent="0.2">
      <c r="A16">
        <v>15</v>
      </c>
      <c r="B16" t="s">
        <v>402</v>
      </c>
      <c r="C16">
        <v>5</v>
      </c>
      <c r="D16">
        <v>4</v>
      </c>
      <c r="E16" s="2" t="s">
        <v>405</v>
      </c>
    </row>
    <row r="17" spans="1:5" x14ac:dyDescent="0.2">
      <c r="A17">
        <v>16</v>
      </c>
      <c r="B17" t="s">
        <v>406</v>
      </c>
      <c r="C17">
        <v>6</v>
      </c>
      <c r="D17">
        <v>2</v>
      </c>
      <c r="E17" s="2" t="s">
        <v>407</v>
      </c>
    </row>
    <row r="18" spans="1:5" x14ac:dyDescent="0.2">
      <c r="A18">
        <v>17</v>
      </c>
      <c r="B18" t="s">
        <v>406</v>
      </c>
      <c r="C18">
        <v>6</v>
      </c>
      <c r="D18">
        <v>3</v>
      </c>
      <c r="E18" s="2" t="s">
        <v>408</v>
      </c>
    </row>
    <row r="19" spans="1:5" x14ac:dyDescent="0.2">
      <c r="A19">
        <v>18</v>
      </c>
      <c r="B19" t="s">
        <v>406</v>
      </c>
      <c r="C19">
        <v>6</v>
      </c>
      <c r="D19">
        <v>4</v>
      </c>
      <c r="E19" s="2" t="s">
        <v>409</v>
      </c>
    </row>
    <row r="20" spans="1:5" x14ac:dyDescent="0.2">
      <c r="A20">
        <v>19</v>
      </c>
      <c r="B20" t="s">
        <v>410</v>
      </c>
      <c r="C20">
        <v>7</v>
      </c>
      <c r="D20">
        <v>2</v>
      </c>
      <c r="E20" s="2" t="s">
        <v>411</v>
      </c>
    </row>
    <row r="21" spans="1:5" x14ac:dyDescent="0.2">
      <c r="A21">
        <v>20</v>
      </c>
      <c r="B21" t="s">
        <v>410</v>
      </c>
      <c r="C21">
        <v>7</v>
      </c>
      <c r="D21">
        <v>3</v>
      </c>
      <c r="E21" s="2" t="s">
        <v>412</v>
      </c>
    </row>
    <row r="22" spans="1:5" x14ac:dyDescent="0.2">
      <c r="A22">
        <v>21</v>
      </c>
      <c r="B22" t="s">
        <v>410</v>
      </c>
      <c r="C22">
        <v>7</v>
      </c>
      <c r="D22">
        <v>4</v>
      </c>
      <c r="E22" s="2" t="s">
        <v>413</v>
      </c>
    </row>
    <row r="23" spans="1:5" x14ac:dyDescent="0.2">
      <c r="A23">
        <v>22</v>
      </c>
      <c r="B23" t="s">
        <v>414</v>
      </c>
      <c r="C23">
        <v>8</v>
      </c>
      <c r="D23">
        <v>2</v>
      </c>
      <c r="E23" s="2" t="s">
        <v>415</v>
      </c>
    </row>
    <row r="24" spans="1:5" x14ac:dyDescent="0.2">
      <c r="A24">
        <v>23</v>
      </c>
      <c r="B24" t="s">
        <v>414</v>
      </c>
      <c r="C24">
        <v>8</v>
      </c>
      <c r="D24">
        <v>3</v>
      </c>
      <c r="E24" s="2" t="s">
        <v>416</v>
      </c>
    </row>
    <row r="25" spans="1:5" x14ac:dyDescent="0.2">
      <c r="A25">
        <v>24</v>
      </c>
      <c r="B25" t="s">
        <v>414</v>
      </c>
      <c r="C25">
        <v>8</v>
      </c>
      <c r="D25">
        <v>4</v>
      </c>
      <c r="E25" s="2" t="s">
        <v>417</v>
      </c>
    </row>
    <row r="26" spans="1:5" x14ac:dyDescent="0.2">
      <c r="A26">
        <v>25</v>
      </c>
      <c r="B26" t="s">
        <v>418</v>
      </c>
      <c r="C26">
        <v>9</v>
      </c>
      <c r="D26">
        <v>2</v>
      </c>
      <c r="E26" s="2" t="s">
        <v>419</v>
      </c>
    </row>
    <row r="27" spans="1:5" x14ac:dyDescent="0.2">
      <c r="A27">
        <v>26</v>
      </c>
      <c r="B27" t="s">
        <v>418</v>
      </c>
      <c r="C27">
        <v>9</v>
      </c>
      <c r="D27">
        <v>3</v>
      </c>
      <c r="E27" s="2" t="s">
        <v>420</v>
      </c>
    </row>
    <row r="28" spans="1:5" x14ac:dyDescent="0.2">
      <c r="A28">
        <v>27</v>
      </c>
      <c r="B28" t="s">
        <v>418</v>
      </c>
      <c r="C28">
        <v>9</v>
      </c>
      <c r="D28">
        <v>4</v>
      </c>
      <c r="E28" s="2" t="s">
        <v>421</v>
      </c>
    </row>
    <row r="29" spans="1:5" x14ac:dyDescent="0.2">
      <c r="A29">
        <v>28</v>
      </c>
      <c r="B29" t="s">
        <v>422</v>
      </c>
      <c r="C29">
        <v>10</v>
      </c>
      <c r="D29">
        <v>2</v>
      </c>
      <c r="E29" s="2" t="s">
        <v>423</v>
      </c>
    </row>
    <row r="30" spans="1:5" x14ac:dyDescent="0.2">
      <c r="A30">
        <v>29</v>
      </c>
      <c r="B30" t="s">
        <v>422</v>
      </c>
      <c r="C30">
        <v>10</v>
      </c>
      <c r="D30">
        <v>3</v>
      </c>
      <c r="E30" s="2" t="s">
        <v>424</v>
      </c>
    </row>
    <row r="31" spans="1:5" x14ac:dyDescent="0.2">
      <c r="A31">
        <v>30</v>
      </c>
      <c r="B31" t="s">
        <v>422</v>
      </c>
      <c r="C31">
        <v>10</v>
      </c>
      <c r="D31">
        <v>4</v>
      </c>
      <c r="E31" s="2" t="s">
        <v>425</v>
      </c>
    </row>
    <row r="32" spans="1:5" x14ac:dyDescent="0.2">
      <c r="A32">
        <v>31</v>
      </c>
      <c r="B32" t="s">
        <v>426</v>
      </c>
      <c r="C32">
        <v>11</v>
      </c>
      <c r="D32">
        <v>2</v>
      </c>
      <c r="E32" s="2" t="s">
        <v>427</v>
      </c>
    </row>
    <row r="33" spans="1:5" x14ac:dyDescent="0.2">
      <c r="A33">
        <v>32</v>
      </c>
      <c r="B33" t="s">
        <v>426</v>
      </c>
      <c r="C33">
        <v>11</v>
      </c>
      <c r="D33">
        <v>3</v>
      </c>
      <c r="E33" s="2" t="s">
        <v>428</v>
      </c>
    </row>
    <row r="34" spans="1:5" x14ac:dyDescent="0.2">
      <c r="A34">
        <v>33</v>
      </c>
      <c r="B34" t="s">
        <v>426</v>
      </c>
      <c r="C34">
        <v>11</v>
      </c>
      <c r="D34">
        <v>4</v>
      </c>
      <c r="E34" s="2" t="s">
        <v>429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2" sqref="C2:C5"/>
    </sheetView>
  </sheetViews>
  <sheetFormatPr defaultColWidth="9" defaultRowHeight="14.25" x14ac:dyDescent="0.2"/>
  <cols>
    <col min="1" max="2" width="9" style="8"/>
    <col min="3" max="3" width="13" style="8" customWidth="1"/>
    <col min="4" max="5" width="9" style="8"/>
    <col min="6" max="6" width="11.375" style="8" customWidth="1"/>
    <col min="7" max="8" width="9" style="8"/>
    <col min="9" max="9" width="21.25" style="8" customWidth="1"/>
    <col min="10" max="16384" width="9" style="8"/>
  </cols>
  <sheetData>
    <row r="1" spans="1:3" x14ac:dyDescent="0.2">
      <c r="A1" s="8" t="s">
        <v>383</v>
      </c>
      <c r="B1" s="8" t="s">
        <v>430</v>
      </c>
      <c r="C1" s="8" t="s">
        <v>431</v>
      </c>
    </row>
    <row r="2" spans="1:3" x14ac:dyDescent="0.2">
      <c r="A2" s="8">
        <v>1</v>
      </c>
      <c r="B2" s="8">
        <v>0</v>
      </c>
      <c r="C2" s="8">
        <v>0</v>
      </c>
    </row>
    <row r="3" spans="1:3" x14ac:dyDescent="0.2">
      <c r="A3" s="8">
        <v>2</v>
      </c>
      <c r="B3" s="8">
        <v>1</v>
      </c>
      <c r="C3" s="8">
        <v>0.33</v>
      </c>
    </row>
    <row r="4" spans="1:3" x14ac:dyDescent="0.2">
      <c r="A4" s="8">
        <v>3</v>
      </c>
      <c r="B4" s="8">
        <v>2</v>
      </c>
      <c r="C4" s="8">
        <v>0.66</v>
      </c>
    </row>
    <row r="5" spans="1:3" x14ac:dyDescent="0.2">
      <c r="A5" s="8">
        <v>4</v>
      </c>
      <c r="B5" s="8">
        <v>3</v>
      </c>
      <c r="C5" s="8">
        <v>1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6"/>
  <sheetViews>
    <sheetView workbookViewId="0">
      <selection activeCell="E19" sqref="E19"/>
    </sheetView>
  </sheetViews>
  <sheetFormatPr defaultColWidth="9" defaultRowHeight="14.25" x14ac:dyDescent="0.2"/>
  <cols>
    <col min="2" max="2" width="9.375" customWidth="1"/>
    <col min="5" max="5" width="29.375" customWidth="1"/>
  </cols>
  <sheetData>
    <row r="1" spans="1:6" x14ac:dyDescent="0.2">
      <c r="A1" s="25" t="s">
        <v>383</v>
      </c>
      <c r="B1" s="25" t="s">
        <v>432</v>
      </c>
      <c r="C1" s="25" t="s">
        <v>10</v>
      </c>
      <c r="D1" s="25" t="s">
        <v>385</v>
      </c>
      <c r="E1" s="26" t="s">
        <v>9</v>
      </c>
      <c r="F1" s="26" t="s">
        <v>433</v>
      </c>
    </row>
    <row r="2" spans="1:6" x14ac:dyDescent="0.2">
      <c r="A2">
        <v>101</v>
      </c>
      <c r="B2" s="12" t="s">
        <v>434</v>
      </c>
      <c r="C2">
        <v>100</v>
      </c>
      <c r="D2">
        <v>2</v>
      </c>
      <c r="E2" s="1" t="s">
        <v>435</v>
      </c>
    </row>
    <row r="3" spans="1:6" x14ac:dyDescent="0.2">
      <c r="A3">
        <v>103</v>
      </c>
      <c r="B3" s="12" t="s">
        <v>434</v>
      </c>
      <c r="C3">
        <v>100</v>
      </c>
      <c r="D3">
        <v>3</v>
      </c>
      <c r="E3" s="1" t="s">
        <v>435</v>
      </c>
    </row>
    <row r="4" spans="1:6" x14ac:dyDescent="0.2">
      <c r="A4">
        <v>102</v>
      </c>
      <c r="B4" s="12" t="s">
        <v>434</v>
      </c>
      <c r="C4">
        <v>100</v>
      </c>
      <c r="D4">
        <v>4</v>
      </c>
      <c r="E4" s="1" t="s">
        <v>435</v>
      </c>
      <c r="F4" s="27">
        <v>4000101</v>
      </c>
    </row>
    <row r="5" spans="1:6" x14ac:dyDescent="0.2">
      <c r="A5">
        <v>201</v>
      </c>
      <c r="B5" s="12" t="s">
        <v>436</v>
      </c>
      <c r="C5">
        <v>200</v>
      </c>
      <c r="D5">
        <v>2</v>
      </c>
      <c r="E5" s="1" t="s">
        <v>437</v>
      </c>
    </row>
    <row r="6" spans="1:6" x14ac:dyDescent="0.2">
      <c r="A6">
        <v>203</v>
      </c>
      <c r="B6" s="12" t="s">
        <v>436</v>
      </c>
      <c r="C6">
        <v>200</v>
      </c>
      <c r="D6">
        <v>3</v>
      </c>
      <c r="E6" s="1" t="s">
        <v>437</v>
      </c>
    </row>
    <row r="7" spans="1:6" x14ac:dyDescent="0.2">
      <c r="A7">
        <v>202</v>
      </c>
      <c r="B7" s="12" t="s">
        <v>436</v>
      </c>
      <c r="C7">
        <v>200</v>
      </c>
      <c r="D7">
        <v>4</v>
      </c>
      <c r="E7" s="1" t="s">
        <v>437</v>
      </c>
      <c r="F7" s="27">
        <v>4000201</v>
      </c>
    </row>
    <row r="8" spans="1:6" x14ac:dyDescent="0.2">
      <c r="A8">
        <v>301</v>
      </c>
      <c r="B8" s="20" t="s">
        <v>438</v>
      </c>
      <c r="C8">
        <v>300</v>
      </c>
      <c r="D8">
        <v>2</v>
      </c>
      <c r="E8" s="1" t="s">
        <v>439</v>
      </c>
    </row>
    <row r="9" spans="1:6" x14ac:dyDescent="0.2">
      <c r="A9">
        <v>303</v>
      </c>
      <c r="B9" s="20" t="s">
        <v>438</v>
      </c>
      <c r="C9">
        <v>300</v>
      </c>
      <c r="D9">
        <v>3</v>
      </c>
      <c r="E9" s="1" t="s">
        <v>439</v>
      </c>
    </row>
    <row r="10" spans="1:6" x14ac:dyDescent="0.2">
      <c r="A10">
        <v>302</v>
      </c>
      <c r="B10" s="20" t="s">
        <v>438</v>
      </c>
      <c r="C10">
        <v>300</v>
      </c>
      <c r="D10">
        <v>4</v>
      </c>
      <c r="E10" s="1" t="s">
        <v>439</v>
      </c>
      <c r="F10" s="27">
        <v>4000301</v>
      </c>
    </row>
    <row r="11" spans="1:6" x14ac:dyDescent="0.2">
      <c r="A11">
        <v>401</v>
      </c>
      <c r="B11" s="20" t="s">
        <v>440</v>
      </c>
      <c r="C11">
        <v>400</v>
      </c>
      <c r="D11">
        <v>2</v>
      </c>
      <c r="E11" s="1" t="s">
        <v>441</v>
      </c>
    </row>
    <row r="12" spans="1:6" x14ac:dyDescent="0.2">
      <c r="A12">
        <v>403</v>
      </c>
      <c r="B12" s="20" t="s">
        <v>440</v>
      </c>
      <c r="C12">
        <v>400</v>
      </c>
      <c r="D12">
        <v>3</v>
      </c>
      <c r="E12" s="1" t="s">
        <v>441</v>
      </c>
    </row>
    <row r="13" spans="1:6" x14ac:dyDescent="0.2">
      <c r="A13">
        <v>402</v>
      </c>
      <c r="B13" s="20" t="s">
        <v>440</v>
      </c>
      <c r="C13">
        <v>400</v>
      </c>
      <c r="D13">
        <v>4</v>
      </c>
      <c r="E13" s="1" t="s">
        <v>441</v>
      </c>
      <c r="F13" s="27">
        <v>4000401</v>
      </c>
    </row>
    <row r="14" spans="1:6" x14ac:dyDescent="0.2">
      <c r="A14">
        <v>501</v>
      </c>
      <c r="B14" s="20" t="s">
        <v>442</v>
      </c>
      <c r="C14">
        <v>500</v>
      </c>
      <c r="D14">
        <v>2</v>
      </c>
      <c r="E14" s="1" t="s">
        <v>443</v>
      </c>
    </row>
    <row r="15" spans="1:6" x14ac:dyDescent="0.2">
      <c r="A15">
        <v>503</v>
      </c>
      <c r="B15" s="20" t="s">
        <v>442</v>
      </c>
      <c r="C15">
        <v>500</v>
      </c>
      <c r="D15">
        <v>3</v>
      </c>
      <c r="E15" s="1" t="s">
        <v>443</v>
      </c>
    </row>
    <row r="16" spans="1:6" x14ac:dyDescent="0.2">
      <c r="A16">
        <v>502</v>
      </c>
      <c r="B16" s="20" t="s">
        <v>442</v>
      </c>
      <c r="C16">
        <v>500</v>
      </c>
      <c r="D16">
        <v>4</v>
      </c>
      <c r="E16" s="1" t="s">
        <v>443</v>
      </c>
      <c r="F16" s="27">
        <v>4000501</v>
      </c>
    </row>
  </sheetData>
  <phoneticPr fontId="7" type="noConversion"/>
  <conditionalFormatting sqref="F4">
    <cfRule type="duplicateValues" dxfId="8" priority="9"/>
  </conditionalFormatting>
  <conditionalFormatting sqref="F7">
    <cfRule type="duplicateValues" dxfId="7" priority="7"/>
    <cfRule type="duplicateValues" dxfId="6" priority="8"/>
  </conditionalFormatting>
  <conditionalFormatting sqref="F10">
    <cfRule type="duplicateValues" dxfId="5" priority="5"/>
    <cfRule type="duplicateValues" dxfId="4" priority="6"/>
  </conditionalFormatting>
  <conditionalFormatting sqref="F13">
    <cfRule type="duplicateValues" dxfId="3" priority="3"/>
    <cfRule type="duplicateValues" dxfId="2" priority="4"/>
  </conditionalFormatting>
  <conditionalFormatting sqref="F16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"/>
  <sheetViews>
    <sheetView workbookViewId="0">
      <selection activeCell="L17" sqref="L17"/>
    </sheetView>
  </sheetViews>
  <sheetFormatPr defaultColWidth="9" defaultRowHeight="14.25" x14ac:dyDescent="0.2"/>
  <cols>
    <col min="1" max="2" width="12.875" customWidth="1"/>
    <col min="3" max="3" width="8.875" customWidth="1"/>
    <col min="5" max="5" width="14" customWidth="1"/>
    <col min="6" max="6" width="12.875" customWidth="1"/>
  </cols>
  <sheetData>
    <row r="1" spans="1:8" x14ac:dyDescent="0.2">
      <c r="A1" s="4" t="s">
        <v>444</v>
      </c>
      <c r="B1" s="4" t="s">
        <v>445</v>
      </c>
      <c r="C1" s="4" t="s">
        <v>446</v>
      </c>
      <c r="D1" s="4" t="s">
        <v>447</v>
      </c>
      <c r="E1" s="4" t="s">
        <v>448</v>
      </c>
      <c r="F1" s="4" t="s">
        <v>449</v>
      </c>
      <c r="G1" s="4" t="s">
        <v>450</v>
      </c>
      <c r="H1" s="13" t="s">
        <v>451</v>
      </c>
    </row>
    <row r="2" spans="1:8" x14ac:dyDescent="0.2">
      <c r="A2" s="14">
        <v>40101</v>
      </c>
      <c r="B2" s="14">
        <v>100</v>
      </c>
      <c r="C2" s="15">
        <v>100000</v>
      </c>
      <c r="D2" s="15">
        <v>1</v>
      </c>
      <c r="E2" s="14">
        <v>1</v>
      </c>
      <c r="F2" s="15">
        <v>50</v>
      </c>
      <c r="G2" s="15">
        <v>1</v>
      </c>
      <c r="H2" s="12" t="s">
        <v>434</v>
      </c>
    </row>
    <row r="3" spans="1:8" x14ac:dyDescent="0.2">
      <c r="A3" s="14">
        <v>40102</v>
      </c>
      <c r="B3" s="14">
        <v>100</v>
      </c>
      <c r="C3" s="15">
        <v>200000</v>
      </c>
      <c r="D3" s="15">
        <v>2</v>
      </c>
      <c r="E3" s="15">
        <v>25</v>
      </c>
      <c r="F3" s="15">
        <v>75</v>
      </c>
      <c r="G3" s="15">
        <v>1</v>
      </c>
      <c r="H3" s="12" t="s">
        <v>434</v>
      </c>
    </row>
    <row r="4" spans="1:8" x14ac:dyDescent="0.2">
      <c r="A4" s="14">
        <v>40103</v>
      </c>
      <c r="B4" s="14">
        <v>100</v>
      </c>
      <c r="C4" s="15">
        <v>300000</v>
      </c>
      <c r="D4" s="15">
        <v>3</v>
      </c>
      <c r="E4" s="15">
        <v>50</v>
      </c>
      <c r="F4" s="15">
        <v>100</v>
      </c>
      <c r="G4" s="15">
        <v>1</v>
      </c>
      <c r="H4" s="12" t="s">
        <v>434</v>
      </c>
    </row>
    <row r="5" spans="1:8" x14ac:dyDescent="0.2">
      <c r="A5" s="16">
        <v>40201</v>
      </c>
      <c r="B5" s="16">
        <v>200</v>
      </c>
      <c r="C5" s="17">
        <v>100000</v>
      </c>
      <c r="D5" s="17">
        <v>1</v>
      </c>
      <c r="E5" s="16">
        <v>1</v>
      </c>
      <c r="F5" s="17">
        <v>50</v>
      </c>
      <c r="G5" s="17">
        <v>2</v>
      </c>
      <c r="H5" s="12" t="s">
        <v>436</v>
      </c>
    </row>
    <row r="6" spans="1:8" x14ac:dyDescent="0.2">
      <c r="A6" s="16">
        <v>40202</v>
      </c>
      <c r="B6" s="16">
        <v>200</v>
      </c>
      <c r="C6" s="17">
        <v>200000</v>
      </c>
      <c r="D6" s="17">
        <v>2</v>
      </c>
      <c r="E6" s="17">
        <v>25</v>
      </c>
      <c r="F6" s="17">
        <v>75</v>
      </c>
      <c r="G6" s="17">
        <v>2</v>
      </c>
      <c r="H6" s="12" t="s">
        <v>436</v>
      </c>
    </row>
    <row r="7" spans="1:8" x14ac:dyDescent="0.2">
      <c r="A7" s="16">
        <v>40203</v>
      </c>
      <c r="B7" s="16">
        <v>200</v>
      </c>
      <c r="C7" s="17">
        <v>300000</v>
      </c>
      <c r="D7" s="17">
        <v>3</v>
      </c>
      <c r="E7" s="17">
        <v>50</v>
      </c>
      <c r="F7" s="17">
        <v>100</v>
      </c>
      <c r="G7" s="17">
        <v>2</v>
      </c>
      <c r="H7" s="12" t="s">
        <v>436</v>
      </c>
    </row>
    <row r="8" spans="1:8" x14ac:dyDescent="0.2">
      <c r="A8" s="18">
        <v>40301</v>
      </c>
      <c r="B8" s="18">
        <v>300</v>
      </c>
      <c r="C8" s="19">
        <v>100000</v>
      </c>
      <c r="D8" s="19">
        <v>1</v>
      </c>
      <c r="E8" s="18">
        <v>1</v>
      </c>
      <c r="F8" s="19">
        <v>50</v>
      </c>
      <c r="G8" s="19">
        <v>3</v>
      </c>
      <c r="H8" s="20" t="s">
        <v>438</v>
      </c>
    </row>
    <row r="9" spans="1:8" x14ac:dyDescent="0.2">
      <c r="A9" s="18">
        <v>40302</v>
      </c>
      <c r="B9" s="18">
        <v>300</v>
      </c>
      <c r="C9" s="19">
        <v>200000</v>
      </c>
      <c r="D9" s="19">
        <v>2</v>
      </c>
      <c r="E9" s="19">
        <v>25</v>
      </c>
      <c r="F9" s="19">
        <v>75</v>
      </c>
      <c r="G9" s="19">
        <v>3</v>
      </c>
      <c r="H9" s="20" t="s">
        <v>438</v>
      </c>
    </row>
    <row r="10" spans="1:8" x14ac:dyDescent="0.2">
      <c r="A10" s="18">
        <v>40303</v>
      </c>
      <c r="B10" s="18">
        <v>300</v>
      </c>
      <c r="C10" s="19">
        <v>300000</v>
      </c>
      <c r="D10" s="19">
        <v>3</v>
      </c>
      <c r="E10" s="19">
        <v>50</v>
      </c>
      <c r="F10" s="19">
        <v>100</v>
      </c>
      <c r="G10" s="19">
        <v>3</v>
      </c>
      <c r="H10" s="20" t="s">
        <v>438</v>
      </c>
    </row>
    <row r="11" spans="1:8" x14ac:dyDescent="0.2">
      <c r="A11" s="21">
        <v>40401</v>
      </c>
      <c r="B11" s="21">
        <v>400</v>
      </c>
      <c r="C11" s="22">
        <v>100000</v>
      </c>
      <c r="D11" s="22">
        <v>1</v>
      </c>
      <c r="E11" s="21">
        <v>1</v>
      </c>
      <c r="F11" s="22">
        <v>50</v>
      </c>
      <c r="G11" s="22">
        <v>4</v>
      </c>
      <c r="H11" s="20" t="s">
        <v>440</v>
      </c>
    </row>
    <row r="12" spans="1:8" x14ac:dyDescent="0.2">
      <c r="A12" s="21">
        <v>40402</v>
      </c>
      <c r="B12" s="21">
        <v>400</v>
      </c>
      <c r="C12" s="22">
        <v>200000</v>
      </c>
      <c r="D12" s="22">
        <v>2</v>
      </c>
      <c r="E12" s="22">
        <v>25</v>
      </c>
      <c r="F12" s="22">
        <v>75</v>
      </c>
      <c r="G12" s="22">
        <v>4</v>
      </c>
      <c r="H12" s="20" t="s">
        <v>440</v>
      </c>
    </row>
    <row r="13" spans="1:8" x14ac:dyDescent="0.2">
      <c r="A13" s="21">
        <v>40403</v>
      </c>
      <c r="B13" s="21">
        <v>400</v>
      </c>
      <c r="C13" s="22">
        <v>300000</v>
      </c>
      <c r="D13" s="22">
        <v>3</v>
      </c>
      <c r="E13" s="22">
        <v>50</v>
      </c>
      <c r="F13" s="22">
        <v>100</v>
      </c>
      <c r="G13" s="22">
        <v>4</v>
      </c>
      <c r="H13" s="20" t="s">
        <v>440</v>
      </c>
    </row>
    <row r="14" spans="1:8" x14ac:dyDescent="0.2">
      <c r="A14" s="23">
        <v>40501</v>
      </c>
      <c r="B14" s="23">
        <v>500</v>
      </c>
      <c r="C14" s="24">
        <v>100000</v>
      </c>
      <c r="D14" s="24">
        <v>1</v>
      </c>
      <c r="E14" s="23">
        <v>1</v>
      </c>
      <c r="F14" s="24">
        <v>50</v>
      </c>
      <c r="G14" s="24">
        <v>5</v>
      </c>
      <c r="H14" s="20" t="s">
        <v>442</v>
      </c>
    </row>
    <row r="15" spans="1:8" x14ac:dyDescent="0.2">
      <c r="A15" s="23">
        <v>40502</v>
      </c>
      <c r="B15" s="23">
        <v>500</v>
      </c>
      <c r="C15" s="24">
        <v>200000</v>
      </c>
      <c r="D15" s="24">
        <v>2</v>
      </c>
      <c r="E15" s="24">
        <v>25</v>
      </c>
      <c r="F15" s="24">
        <v>75</v>
      </c>
      <c r="G15" s="24">
        <v>5</v>
      </c>
      <c r="H15" s="20" t="s">
        <v>442</v>
      </c>
    </row>
    <row r="16" spans="1:8" x14ac:dyDescent="0.2">
      <c r="A16" s="23">
        <v>40503</v>
      </c>
      <c r="B16" s="23">
        <v>500</v>
      </c>
      <c r="C16" s="24">
        <v>300000</v>
      </c>
      <c r="D16" s="24">
        <v>3</v>
      </c>
      <c r="E16" s="24">
        <v>50</v>
      </c>
      <c r="F16" s="24">
        <v>100</v>
      </c>
      <c r="G16" s="24">
        <v>5</v>
      </c>
      <c r="H16" s="20" t="s">
        <v>442</v>
      </c>
    </row>
  </sheetData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L31" sqref="L31"/>
    </sheetView>
  </sheetViews>
  <sheetFormatPr defaultColWidth="9" defaultRowHeight="14.25" x14ac:dyDescent="0.2"/>
  <sheetData>
    <row r="1" spans="1:2" x14ac:dyDescent="0.2">
      <c r="A1" s="12" t="s">
        <v>450</v>
      </c>
      <c r="B1" s="12" t="s">
        <v>452</v>
      </c>
    </row>
    <row r="2" spans="1:2" x14ac:dyDescent="0.2">
      <c r="A2">
        <v>1</v>
      </c>
      <c r="B2" s="12" t="s">
        <v>453</v>
      </c>
    </row>
    <row r="3" spans="1:2" x14ac:dyDescent="0.2">
      <c r="A3">
        <v>2</v>
      </c>
      <c r="B3" s="12" t="s">
        <v>454</v>
      </c>
    </row>
    <row r="4" spans="1:2" x14ac:dyDescent="0.2">
      <c r="A4">
        <v>3</v>
      </c>
      <c r="B4" s="12" t="s">
        <v>455</v>
      </c>
    </row>
    <row r="5" spans="1:2" x14ac:dyDescent="0.2">
      <c r="A5">
        <v>4</v>
      </c>
      <c r="B5" s="12" t="s">
        <v>456</v>
      </c>
    </row>
    <row r="6" spans="1:2" x14ac:dyDescent="0.2">
      <c r="A6">
        <v>5</v>
      </c>
      <c r="B6" s="12" t="s">
        <v>457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>
      <selection activeCell="B1" sqref="A1:B1048576"/>
    </sheetView>
  </sheetViews>
  <sheetFormatPr defaultColWidth="9" defaultRowHeight="14.25" x14ac:dyDescent="0.2"/>
  <sheetData>
    <row r="1" spans="1:2" x14ac:dyDescent="0.2">
      <c r="A1" s="4" t="s">
        <v>458</v>
      </c>
      <c r="B1" s="4" t="s">
        <v>459</v>
      </c>
    </row>
    <row r="2" spans="1:2" x14ac:dyDescent="0.2">
      <c r="A2" s="8">
        <v>1</v>
      </c>
      <c r="B2" s="8">
        <v>100</v>
      </c>
    </row>
    <row r="3" spans="1:2" x14ac:dyDescent="0.2">
      <c r="A3" s="8">
        <v>2</v>
      </c>
      <c r="B3" s="8">
        <v>99</v>
      </c>
    </row>
    <row r="4" spans="1:2" x14ac:dyDescent="0.2">
      <c r="A4" s="8">
        <v>3</v>
      </c>
      <c r="B4" s="8">
        <v>98</v>
      </c>
    </row>
    <row r="5" spans="1:2" x14ac:dyDescent="0.2">
      <c r="A5" s="8">
        <v>4</v>
      </c>
      <c r="B5" s="8">
        <v>97</v>
      </c>
    </row>
    <row r="6" spans="1:2" x14ac:dyDescent="0.2">
      <c r="A6" s="8">
        <v>5</v>
      </c>
      <c r="B6" s="8">
        <v>96</v>
      </c>
    </row>
    <row r="7" spans="1:2" x14ac:dyDescent="0.2">
      <c r="A7" s="8">
        <v>6</v>
      </c>
      <c r="B7" s="8">
        <v>95</v>
      </c>
    </row>
    <row r="8" spans="1:2" x14ac:dyDescent="0.2">
      <c r="A8" s="8">
        <v>7</v>
      </c>
      <c r="B8" s="8">
        <v>94</v>
      </c>
    </row>
    <row r="9" spans="1:2" x14ac:dyDescent="0.2">
      <c r="A9" s="8">
        <v>8</v>
      </c>
      <c r="B9" s="8">
        <v>93</v>
      </c>
    </row>
    <row r="10" spans="1:2" x14ac:dyDescent="0.2">
      <c r="A10" s="8">
        <v>9</v>
      </c>
      <c r="B10" s="8">
        <v>92</v>
      </c>
    </row>
    <row r="11" spans="1:2" x14ac:dyDescent="0.2">
      <c r="A11" s="8">
        <v>10</v>
      </c>
      <c r="B11" s="8">
        <v>91</v>
      </c>
    </row>
    <row r="12" spans="1:2" x14ac:dyDescent="0.2">
      <c r="A12" s="8">
        <v>11</v>
      </c>
      <c r="B12" s="8">
        <v>90</v>
      </c>
    </row>
    <row r="13" spans="1:2" x14ac:dyDescent="0.2">
      <c r="A13" s="8">
        <v>12</v>
      </c>
      <c r="B13" s="8">
        <v>89</v>
      </c>
    </row>
    <row r="14" spans="1:2" x14ac:dyDescent="0.2">
      <c r="A14" s="8">
        <v>13</v>
      </c>
      <c r="B14" s="8">
        <v>88</v>
      </c>
    </row>
    <row r="15" spans="1:2" x14ac:dyDescent="0.2">
      <c r="A15" s="8">
        <v>14</v>
      </c>
      <c r="B15" s="8">
        <v>87</v>
      </c>
    </row>
    <row r="16" spans="1:2" x14ac:dyDescent="0.2">
      <c r="A16" s="8">
        <v>15</v>
      </c>
      <c r="B16" s="8">
        <v>86</v>
      </c>
    </row>
    <row r="17" spans="1:2" x14ac:dyDescent="0.2">
      <c r="A17" s="8">
        <v>16</v>
      </c>
      <c r="B17" s="8">
        <v>85</v>
      </c>
    </row>
    <row r="18" spans="1:2" x14ac:dyDescent="0.2">
      <c r="A18" s="8">
        <v>17</v>
      </c>
      <c r="B18" s="8">
        <v>84</v>
      </c>
    </row>
    <row r="19" spans="1:2" x14ac:dyDescent="0.2">
      <c r="A19" s="8">
        <v>18</v>
      </c>
      <c r="B19" s="8">
        <v>83</v>
      </c>
    </row>
    <row r="20" spans="1:2" x14ac:dyDescent="0.2">
      <c r="A20" s="8">
        <v>19</v>
      </c>
      <c r="B20" s="8">
        <v>82</v>
      </c>
    </row>
    <row r="21" spans="1:2" x14ac:dyDescent="0.2">
      <c r="A21" s="8">
        <v>20</v>
      </c>
      <c r="B21" s="8">
        <v>81</v>
      </c>
    </row>
    <row r="22" spans="1:2" x14ac:dyDescent="0.2">
      <c r="A22" s="8">
        <v>21</v>
      </c>
      <c r="B22" s="8">
        <v>80</v>
      </c>
    </row>
    <row r="23" spans="1:2" x14ac:dyDescent="0.2">
      <c r="A23" s="8">
        <v>22</v>
      </c>
      <c r="B23" s="8">
        <v>79</v>
      </c>
    </row>
    <row r="24" spans="1:2" x14ac:dyDescent="0.2">
      <c r="A24" s="8">
        <v>23</v>
      </c>
      <c r="B24" s="8">
        <v>78</v>
      </c>
    </row>
    <row r="25" spans="1:2" x14ac:dyDescent="0.2">
      <c r="A25" s="8">
        <v>24</v>
      </c>
      <c r="B25" s="8">
        <v>77</v>
      </c>
    </row>
    <row r="26" spans="1:2" x14ac:dyDescent="0.2">
      <c r="A26" s="8">
        <v>25</v>
      </c>
      <c r="B26" s="8">
        <v>76</v>
      </c>
    </row>
    <row r="27" spans="1:2" x14ac:dyDescent="0.2">
      <c r="A27" s="8">
        <v>26</v>
      </c>
      <c r="B27" s="8">
        <v>75</v>
      </c>
    </row>
    <row r="28" spans="1:2" x14ac:dyDescent="0.2">
      <c r="A28" s="8">
        <v>27</v>
      </c>
      <c r="B28" s="8">
        <v>74</v>
      </c>
    </row>
    <row r="29" spans="1:2" x14ac:dyDescent="0.2">
      <c r="A29" s="8">
        <v>28</v>
      </c>
      <c r="B29" s="8">
        <v>73</v>
      </c>
    </row>
    <row r="30" spans="1:2" x14ac:dyDescent="0.2">
      <c r="A30" s="8">
        <v>29</v>
      </c>
      <c r="B30" s="8">
        <v>72</v>
      </c>
    </row>
    <row r="31" spans="1:2" x14ac:dyDescent="0.2">
      <c r="A31" s="8">
        <v>30</v>
      </c>
      <c r="B31" s="8">
        <v>71</v>
      </c>
    </row>
    <row r="32" spans="1:2" x14ac:dyDescent="0.2">
      <c r="A32" s="8">
        <v>31</v>
      </c>
      <c r="B32" s="8">
        <v>70</v>
      </c>
    </row>
    <row r="33" spans="1:2" x14ac:dyDescent="0.2">
      <c r="A33" s="8">
        <v>32</v>
      </c>
      <c r="B33" s="8">
        <v>69</v>
      </c>
    </row>
    <row r="34" spans="1:2" x14ac:dyDescent="0.2">
      <c r="A34" s="8">
        <v>33</v>
      </c>
      <c r="B34" s="8">
        <v>68</v>
      </c>
    </row>
    <row r="35" spans="1:2" x14ac:dyDescent="0.2">
      <c r="A35" s="8">
        <v>34</v>
      </c>
      <c r="B35" s="8">
        <v>67</v>
      </c>
    </row>
    <row r="36" spans="1:2" x14ac:dyDescent="0.2">
      <c r="A36" s="8">
        <v>35</v>
      </c>
      <c r="B36" s="8">
        <v>66</v>
      </c>
    </row>
    <row r="37" spans="1:2" x14ac:dyDescent="0.2">
      <c r="A37" s="8">
        <v>36</v>
      </c>
      <c r="B37" s="8">
        <v>65</v>
      </c>
    </row>
    <row r="38" spans="1:2" x14ac:dyDescent="0.2">
      <c r="A38" s="8">
        <v>37</v>
      </c>
      <c r="B38" s="8">
        <v>64</v>
      </c>
    </row>
    <row r="39" spans="1:2" x14ac:dyDescent="0.2">
      <c r="A39" s="8">
        <v>38</v>
      </c>
      <c r="B39" s="8">
        <v>63</v>
      </c>
    </row>
    <row r="40" spans="1:2" x14ac:dyDescent="0.2">
      <c r="A40" s="8">
        <v>39</v>
      </c>
      <c r="B40" s="8">
        <v>62</v>
      </c>
    </row>
    <row r="41" spans="1:2" x14ac:dyDescent="0.2">
      <c r="A41" s="8">
        <v>40</v>
      </c>
      <c r="B41" s="8">
        <v>61</v>
      </c>
    </row>
    <row r="42" spans="1:2" x14ac:dyDescent="0.2">
      <c r="A42" s="8">
        <v>41</v>
      </c>
      <c r="B42" s="8">
        <v>60</v>
      </c>
    </row>
    <row r="43" spans="1:2" x14ac:dyDescent="0.2">
      <c r="A43" s="8">
        <v>42</v>
      </c>
      <c r="B43" s="8">
        <v>59</v>
      </c>
    </row>
    <row r="44" spans="1:2" x14ac:dyDescent="0.2">
      <c r="A44" s="8">
        <v>43</v>
      </c>
      <c r="B44" s="8">
        <v>58</v>
      </c>
    </row>
    <row r="45" spans="1:2" x14ac:dyDescent="0.2">
      <c r="A45" s="8">
        <v>44</v>
      </c>
      <c r="B45" s="8">
        <v>57</v>
      </c>
    </row>
    <row r="46" spans="1:2" x14ac:dyDescent="0.2">
      <c r="A46" s="8">
        <v>45</v>
      </c>
      <c r="B46" s="8">
        <v>56</v>
      </c>
    </row>
    <row r="47" spans="1:2" x14ac:dyDescent="0.2">
      <c r="A47" s="8">
        <v>46</v>
      </c>
      <c r="B47" s="8">
        <v>55</v>
      </c>
    </row>
    <row r="48" spans="1:2" x14ac:dyDescent="0.2">
      <c r="A48" s="8">
        <v>47</v>
      </c>
      <c r="B48" s="8">
        <v>54</v>
      </c>
    </row>
    <row r="49" spans="1:2" x14ac:dyDescent="0.2">
      <c r="A49" s="8">
        <v>48</v>
      </c>
      <c r="B49" s="8">
        <v>53</v>
      </c>
    </row>
    <row r="50" spans="1:2" x14ac:dyDescent="0.2">
      <c r="A50" s="8">
        <v>49</v>
      </c>
      <c r="B50" s="8">
        <v>52</v>
      </c>
    </row>
    <row r="51" spans="1:2" x14ac:dyDescent="0.2">
      <c r="A51" s="8">
        <v>50</v>
      </c>
      <c r="B51" s="8">
        <v>51</v>
      </c>
    </row>
    <row r="52" spans="1:2" x14ac:dyDescent="0.2">
      <c r="A52" s="8">
        <v>51</v>
      </c>
      <c r="B52" s="8">
        <v>50</v>
      </c>
    </row>
    <row r="53" spans="1:2" x14ac:dyDescent="0.2">
      <c r="A53" s="8">
        <v>52</v>
      </c>
      <c r="B53" s="8">
        <v>49</v>
      </c>
    </row>
    <row r="54" spans="1:2" x14ac:dyDescent="0.2">
      <c r="A54" s="8">
        <v>53</v>
      </c>
      <c r="B54" s="8">
        <v>48</v>
      </c>
    </row>
    <row r="55" spans="1:2" x14ac:dyDescent="0.2">
      <c r="A55" s="8">
        <v>54</v>
      </c>
      <c r="B55" s="8">
        <v>47</v>
      </c>
    </row>
    <row r="56" spans="1:2" x14ac:dyDescent="0.2">
      <c r="A56" s="8">
        <v>55</v>
      </c>
      <c r="B56" s="8">
        <v>46</v>
      </c>
    </row>
    <row r="57" spans="1:2" x14ac:dyDescent="0.2">
      <c r="A57" s="8">
        <v>56</v>
      </c>
      <c r="B57" s="8">
        <v>45</v>
      </c>
    </row>
    <row r="58" spans="1:2" x14ac:dyDescent="0.2">
      <c r="A58" s="8">
        <v>57</v>
      </c>
      <c r="B58" s="8">
        <v>44</v>
      </c>
    </row>
    <row r="59" spans="1:2" x14ac:dyDescent="0.2">
      <c r="A59" s="8">
        <v>58</v>
      </c>
      <c r="B59" s="8">
        <v>43</v>
      </c>
    </row>
    <row r="60" spans="1:2" x14ac:dyDescent="0.2">
      <c r="A60" s="8">
        <v>59</v>
      </c>
      <c r="B60" s="8">
        <v>42</v>
      </c>
    </row>
    <row r="61" spans="1:2" x14ac:dyDescent="0.2">
      <c r="A61" s="8">
        <v>60</v>
      </c>
      <c r="B61" s="8">
        <v>41</v>
      </c>
    </row>
    <row r="62" spans="1:2" x14ac:dyDescent="0.2">
      <c r="A62" s="8">
        <v>61</v>
      </c>
      <c r="B62" s="8">
        <v>40</v>
      </c>
    </row>
    <row r="63" spans="1:2" x14ac:dyDescent="0.2">
      <c r="A63" s="8">
        <v>62</v>
      </c>
      <c r="B63" s="8">
        <v>39</v>
      </c>
    </row>
    <row r="64" spans="1:2" x14ac:dyDescent="0.2">
      <c r="A64" s="8">
        <v>63</v>
      </c>
      <c r="B64" s="8">
        <v>38</v>
      </c>
    </row>
    <row r="65" spans="1:2" x14ac:dyDescent="0.2">
      <c r="A65" s="8">
        <v>64</v>
      </c>
      <c r="B65" s="8">
        <v>37</v>
      </c>
    </row>
    <row r="66" spans="1:2" x14ac:dyDescent="0.2">
      <c r="A66" s="8">
        <v>65</v>
      </c>
      <c r="B66" s="8">
        <v>36</v>
      </c>
    </row>
    <row r="67" spans="1:2" x14ac:dyDescent="0.2">
      <c r="A67" s="8">
        <v>66</v>
      </c>
      <c r="B67" s="8">
        <v>35</v>
      </c>
    </row>
    <row r="68" spans="1:2" x14ac:dyDescent="0.2">
      <c r="A68" s="8">
        <v>67</v>
      </c>
      <c r="B68" s="8">
        <v>34</v>
      </c>
    </row>
    <row r="69" spans="1:2" x14ac:dyDescent="0.2">
      <c r="A69" s="8">
        <v>68</v>
      </c>
      <c r="B69" s="8">
        <v>33</v>
      </c>
    </row>
    <row r="70" spans="1:2" x14ac:dyDescent="0.2">
      <c r="A70" s="8">
        <v>69</v>
      </c>
      <c r="B70" s="8">
        <v>32</v>
      </c>
    </row>
    <row r="71" spans="1:2" x14ac:dyDescent="0.2">
      <c r="A71" s="8">
        <v>70</v>
      </c>
      <c r="B71" s="8">
        <v>31</v>
      </c>
    </row>
    <row r="72" spans="1:2" x14ac:dyDescent="0.2">
      <c r="A72" s="8">
        <v>71</v>
      </c>
      <c r="B72" s="8">
        <v>30</v>
      </c>
    </row>
    <row r="73" spans="1:2" x14ac:dyDescent="0.2">
      <c r="A73" s="8">
        <v>72</v>
      </c>
      <c r="B73" s="8">
        <v>29</v>
      </c>
    </row>
    <row r="74" spans="1:2" x14ac:dyDescent="0.2">
      <c r="A74" s="8">
        <v>73</v>
      </c>
      <c r="B74" s="8">
        <v>28</v>
      </c>
    </row>
    <row r="75" spans="1:2" x14ac:dyDescent="0.2">
      <c r="A75" s="8">
        <v>74</v>
      </c>
      <c r="B75" s="8">
        <v>27</v>
      </c>
    </row>
    <row r="76" spans="1:2" x14ac:dyDescent="0.2">
      <c r="A76" s="8">
        <v>75</v>
      </c>
      <c r="B76" s="8">
        <v>26</v>
      </c>
    </row>
    <row r="77" spans="1:2" x14ac:dyDescent="0.2">
      <c r="A77" s="8">
        <v>76</v>
      </c>
      <c r="B77" s="8">
        <v>25</v>
      </c>
    </row>
    <row r="78" spans="1:2" x14ac:dyDescent="0.2">
      <c r="A78" s="8">
        <v>77</v>
      </c>
      <c r="B78" s="8">
        <v>24</v>
      </c>
    </row>
    <row r="79" spans="1:2" x14ac:dyDescent="0.2">
      <c r="A79" s="8">
        <v>78</v>
      </c>
      <c r="B79" s="8">
        <v>23</v>
      </c>
    </row>
    <row r="80" spans="1:2" x14ac:dyDescent="0.2">
      <c r="A80" s="8">
        <v>79</v>
      </c>
      <c r="B80" s="8">
        <v>22</v>
      </c>
    </row>
    <row r="81" spans="1:2" x14ac:dyDescent="0.2">
      <c r="A81" s="8">
        <v>80</v>
      </c>
      <c r="B81" s="8">
        <v>21</v>
      </c>
    </row>
    <row r="82" spans="1:2" x14ac:dyDescent="0.2">
      <c r="A82" s="8">
        <v>81</v>
      </c>
      <c r="B82" s="8">
        <v>20</v>
      </c>
    </row>
    <row r="83" spans="1:2" x14ac:dyDescent="0.2">
      <c r="A83" s="8">
        <v>82</v>
      </c>
      <c r="B83" s="8">
        <v>19</v>
      </c>
    </row>
    <row r="84" spans="1:2" x14ac:dyDescent="0.2">
      <c r="A84" s="8">
        <v>83</v>
      </c>
      <c r="B84" s="8">
        <v>18</v>
      </c>
    </row>
    <row r="85" spans="1:2" x14ac:dyDescent="0.2">
      <c r="A85" s="8">
        <v>84</v>
      </c>
      <c r="B85" s="8">
        <v>17</v>
      </c>
    </row>
    <row r="86" spans="1:2" x14ac:dyDescent="0.2">
      <c r="A86" s="8">
        <v>85</v>
      </c>
      <c r="B86" s="8">
        <v>16</v>
      </c>
    </row>
    <row r="87" spans="1:2" x14ac:dyDescent="0.2">
      <c r="A87" s="8">
        <v>86</v>
      </c>
      <c r="B87" s="8">
        <v>15</v>
      </c>
    </row>
    <row r="88" spans="1:2" x14ac:dyDescent="0.2">
      <c r="A88" s="8">
        <v>87</v>
      </c>
      <c r="B88" s="8">
        <v>14</v>
      </c>
    </row>
    <row r="89" spans="1:2" x14ac:dyDescent="0.2">
      <c r="A89" s="8">
        <v>88</v>
      </c>
      <c r="B89" s="8">
        <v>13</v>
      </c>
    </row>
    <row r="90" spans="1:2" x14ac:dyDescent="0.2">
      <c r="A90" s="8">
        <v>89</v>
      </c>
      <c r="B90" s="8">
        <v>12</v>
      </c>
    </row>
    <row r="91" spans="1:2" x14ac:dyDescent="0.2">
      <c r="A91" s="8">
        <v>90</v>
      </c>
      <c r="B91" s="8">
        <v>11</v>
      </c>
    </row>
    <row r="92" spans="1:2" x14ac:dyDescent="0.2">
      <c r="A92" s="8">
        <v>91</v>
      </c>
      <c r="B92" s="8">
        <v>10</v>
      </c>
    </row>
    <row r="93" spans="1:2" x14ac:dyDescent="0.2">
      <c r="A93" s="8">
        <v>92</v>
      </c>
      <c r="B93" s="8">
        <v>9</v>
      </c>
    </row>
    <row r="94" spans="1:2" x14ac:dyDescent="0.2">
      <c r="A94" s="8">
        <v>93</v>
      </c>
      <c r="B94" s="8">
        <v>8</v>
      </c>
    </row>
    <row r="95" spans="1:2" x14ac:dyDescent="0.2">
      <c r="A95" s="8">
        <v>94</v>
      </c>
      <c r="B95" s="8">
        <v>7</v>
      </c>
    </row>
    <row r="96" spans="1:2" x14ac:dyDescent="0.2">
      <c r="A96" s="8">
        <v>95</v>
      </c>
      <c r="B96" s="8">
        <v>6</v>
      </c>
    </row>
    <row r="97" spans="1:2" x14ac:dyDescent="0.2">
      <c r="A97" s="8">
        <v>96</v>
      </c>
      <c r="B97" s="8">
        <v>5</v>
      </c>
    </row>
    <row r="98" spans="1:2" x14ac:dyDescent="0.2">
      <c r="A98" s="8">
        <v>97</v>
      </c>
      <c r="B98" s="8">
        <v>4</v>
      </c>
    </row>
    <row r="99" spans="1:2" x14ac:dyDescent="0.2">
      <c r="A99" s="8">
        <v>98</v>
      </c>
      <c r="B99" s="8">
        <v>3</v>
      </c>
    </row>
    <row r="100" spans="1:2" x14ac:dyDescent="0.2">
      <c r="A100" s="8">
        <v>99</v>
      </c>
      <c r="B100" s="8">
        <v>2</v>
      </c>
    </row>
    <row r="101" spans="1:2" x14ac:dyDescent="0.2">
      <c r="A101" s="8">
        <v>100</v>
      </c>
      <c r="B101" s="8">
        <v>1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901"/>
  <sheetViews>
    <sheetView workbookViewId="0">
      <pane ySplit="1" topLeftCell="A754" activePane="bottomLeft" state="frozen"/>
      <selection pane="bottomLeft" activeCell="E1" sqref="E1"/>
    </sheetView>
  </sheetViews>
  <sheetFormatPr defaultColWidth="9" defaultRowHeight="14.25" x14ac:dyDescent="0.2"/>
  <sheetData>
    <row r="1" spans="1:6" x14ac:dyDescent="0.2">
      <c r="A1" s="4" t="s">
        <v>460</v>
      </c>
      <c r="B1" s="5" t="s">
        <v>461</v>
      </c>
      <c r="C1" s="5" t="s">
        <v>462</v>
      </c>
      <c r="D1" s="6" t="s">
        <v>9</v>
      </c>
      <c r="E1" s="4" t="s">
        <v>463</v>
      </c>
      <c r="F1" s="4" t="s">
        <v>464</v>
      </c>
    </row>
    <row r="2" spans="1:6" x14ac:dyDescent="0.2">
      <c r="A2" s="7">
        <v>10101</v>
      </c>
      <c r="B2" s="8">
        <v>1</v>
      </c>
      <c r="C2" s="7">
        <v>3</v>
      </c>
      <c r="D2" s="8" t="s">
        <v>465</v>
      </c>
      <c r="E2" s="9">
        <v>75</v>
      </c>
      <c r="F2" s="7" t="s">
        <v>466</v>
      </c>
    </row>
    <row r="3" spans="1:6" x14ac:dyDescent="0.2">
      <c r="A3" s="7">
        <v>10102</v>
      </c>
      <c r="B3" s="8">
        <v>1</v>
      </c>
      <c r="C3" s="7">
        <v>2</v>
      </c>
      <c r="D3" s="8" t="s">
        <v>467</v>
      </c>
      <c r="E3" s="9">
        <v>75</v>
      </c>
      <c r="F3" s="7" t="s">
        <v>455</v>
      </c>
    </row>
    <row r="4" spans="1:6" x14ac:dyDescent="0.2">
      <c r="A4" s="7">
        <v>10103</v>
      </c>
      <c r="B4" s="8">
        <v>1</v>
      </c>
      <c r="C4" s="7">
        <v>1001</v>
      </c>
      <c r="D4" s="8" t="s">
        <v>468</v>
      </c>
      <c r="E4" s="7">
        <v>50</v>
      </c>
      <c r="F4" s="7" t="s">
        <v>469</v>
      </c>
    </row>
    <row r="5" spans="1:6" x14ac:dyDescent="0.2">
      <c r="A5" s="7">
        <v>10104</v>
      </c>
      <c r="B5" s="8">
        <v>1</v>
      </c>
      <c r="C5" s="7">
        <v>11</v>
      </c>
      <c r="D5" s="8" t="s">
        <v>470</v>
      </c>
      <c r="E5" s="7">
        <v>50</v>
      </c>
      <c r="F5" s="7" t="s">
        <v>471</v>
      </c>
    </row>
    <row r="6" spans="1:6" x14ac:dyDescent="0.2">
      <c r="A6" s="7">
        <v>10105</v>
      </c>
      <c r="B6" s="8">
        <v>1</v>
      </c>
      <c r="C6" s="7">
        <v>10</v>
      </c>
      <c r="D6" s="8" t="s">
        <v>472</v>
      </c>
      <c r="E6" s="7">
        <v>50</v>
      </c>
      <c r="F6" s="7" t="s">
        <v>473</v>
      </c>
    </row>
    <row r="7" spans="1:6" x14ac:dyDescent="0.2">
      <c r="A7" s="7">
        <v>10106</v>
      </c>
      <c r="B7" s="8">
        <v>1</v>
      </c>
      <c r="C7" s="7">
        <v>7</v>
      </c>
      <c r="D7" s="8" t="s">
        <v>474</v>
      </c>
      <c r="E7" s="7">
        <v>50</v>
      </c>
      <c r="F7" s="7" t="s">
        <v>475</v>
      </c>
    </row>
    <row r="8" spans="1:6" x14ac:dyDescent="0.2">
      <c r="A8" s="7">
        <v>10107</v>
      </c>
      <c r="B8" s="8">
        <v>1</v>
      </c>
      <c r="C8" s="7">
        <v>8</v>
      </c>
      <c r="D8" s="8" t="s">
        <v>476</v>
      </c>
      <c r="E8" s="7">
        <v>50</v>
      </c>
      <c r="F8" s="7" t="s">
        <v>477</v>
      </c>
    </row>
    <row r="9" spans="1:6" x14ac:dyDescent="0.2">
      <c r="A9" s="7">
        <v>10108</v>
      </c>
      <c r="B9" s="8">
        <v>1</v>
      </c>
      <c r="C9" s="7">
        <v>5</v>
      </c>
      <c r="D9" s="8" t="s">
        <v>478</v>
      </c>
      <c r="E9" s="7">
        <v>50</v>
      </c>
      <c r="F9" s="7" t="s">
        <v>479</v>
      </c>
    </row>
    <row r="10" spans="1:6" x14ac:dyDescent="0.2">
      <c r="A10" s="7">
        <v>10109</v>
      </c>
      <c r="B10" s="8">
        <v>1</v>
      </c>
      <c r="C10" s="7">
        <v>9</v>
      </c>
      <c r="D10" s="8" t="s">
        <v>480</v>
      </c>
      <c r="E10" s="7">
        <v>50</v>
      </c>
      <c r="F10" s="7" t="s">
        <v>481</v>
      </c>
    </row>
    <row r="11" spans="1:6" x14ac:dyDescent="0.2">
      <c r="A11" s="7">
        <v>10201</v>
      </c>
      <c r="B11" s="8">
        <f>B2+1</f>
        <v>2</v>
      </c>
      <c r="C11" s="7">
        <v>3</v>
      </c>
      <c r="D11" s="8" t="s">
        <v>482</v>
      </c>
      <c r="E11" s="9">
        <v>75</v>
      </c>
      <c r="F11" s="7" t="s">
        <v>466</v>
      </c>
    </row>
    <row r="12" spans="1:6" x14ac:dyDescent="0.2">
      <c r="A12" s="7">
        <v>10202</v>
      </c>
      <c r="B12" s="8">
        <f t="shared" ref="B12:B75" si="0">B3+1</f>
        <v>2</v>
      </c>
      <c r="C12" s="7">
        <v>2</v>
      </c>
      <c r="D12" s="8" t="s">
        <v>467</v>
      </c>
      <c r="E12" s="9">
        <v>75</v>
      </c>
      <c r="F12" s="7" t="s">
        <v>455</v>
      </c>
    </row>
    <row r="13" spans="1:6" x14ac:dyDescent="0.2">
      <c r="A13" s="7">
        <v>10203</v>
      </c>
      <c r="B13" s="8">
        <f t="shared" si="0"/>
        <v>2</v>
      </c>
      <c r="C13" s="7">
        <v>1001</v>
      </c>
      <c r="D13" s="8" t="s">
        <v>483</v>
      </c>
      <c r="E13" s="7">
        <v>50</v>
      </c>
      <c r="F13" s="7" t="s">
        <v>469</v>
      </c>
    </row>
    <row r="14" spans="1:6" x14ac:dyDescent="0.2">
      <c r="A14" s="7">
        <v>10204</v>
      </c>
      <c r="B14" s="8">
        <f t="shared" si="0"/>
        <v>2</v>
      </c>
      <c r="C14" s="7">
        <v>11</v>
      </c>
      <c r="D14" s="8" t="s">
        <v>484</v>
      </c>
      <c r="E14" s="7">
        <v>50</v>
      </c>
      <c r="F14" s="7" t="s">
        <v>471</v>
      </c>
    </row>
    <row r="15" spans="1:6" x14ac:dyDescent="0.2">
      <c r="A15" s="7">
        <v>10205</v>
      </c>
      <c r="B15" s="8">
        <f t="shared" si="0"/>
        <v>2</v>
      </c>
      <c r="C15" s="7">
        <v>10</v>
      </c>
      <c r="D15" s="8" t="s">
        <v>485</v>
      </c>
      <c r="E15" s="7">
        <v>50</v>
      </c>
      <c r="F15" s="7" t="s">
        <v>473</v>
      </c>
    </row>
    <row r="16" spans="1:6" x14ac:dyDescent="0.2">
      <c r="A16" s="7">
        <v>10206</v>
      </c>
      <c r="B16" s="8">
        <f t="shared" si="0"/>
        <v>2</v>
      </c>
      <c r="C16" s="7">
        <v>7</v>
      </c>
      <c r="D16" s="8" t="s">
        <v>486</v>
      </c>
      <c r="E16" s="7">
        <v>50</v>
      </c>
      <c r="F16" s="7" t="s">
        <v>475</v>
      </c>
    </row>
    <row r="17" spans="1:6" x14ac:dyDescent="0.2">
      <c r="A17" s="7">
        <v>10207</v>
      </c>
      <c r="B17" s="8">
        <f t="shared" si="0"/>
        <v>2</v>
      </c>
      <c r="C17" s="7">
        <v>8</v>
      </c>
      <c r="D17" s="8" t="s">
        <v>487</v>
      </c>
      <c r="E17" s="7">
        <v>50</v>
      </c>
      <c r="F17" s="7" t="s">
        <v>477</v>
      </c>
    </row>
    <row r="18" spans="1:6" x14ac:dyDescent="0.2">
      <c r="A18" s="7">
        <v>10208</v>
      </c>
      <c r="B18" s="8">
        <f t="shared" si="0"/>
        <v>2</v>
      </c>
      <c r="C18" s="7">
        <v>5</v>
      </c>
      <c r="D18" s="8" t="s">
        <v>488</v>
      </c>
      <c r="E18" s="7">
        <v>50</v>
      </c>
      <c r="F18" s="7" t="s">
        <v>479</v>
      </c>
    </row>
    <row r="19" spans="1:6" x14ac:dyDescent="0.2">
      <c r="A19" s="7">
        <v>10209</v>
      </c>
      <c r="B19" s="8">
        <f t="shared" si="0"/>
        <v>2</v>
      </c>
      <c r="C19" s="10">
        <v>9</v>
      </c>
      <c r="D19" s="8" t="s">
        <v>489</v>
      </c>
      <c r="E19" s="7">
        <v>50</v>
      </c>
      <c r="F19" s="7" t="s">
        <v>481</v>
      </c>
    </row>
    <row r="20" spans="1:6" x14ac:dyDescent="0.2">
      <c r="A20" s="7">
        <v>10301</v>
      </c>
      <c r="B20" s="8">
        <f t="shared" si="0"/>
        <v>3</v>
      </c>
      <c r="C20" s="10">
        <v>3</v>
      </c>
      <c r="D20" s="8" t="s">
        <v>490</v>
      </c>
      <c r="E20" s="9">
        <v>75</v>
      </c>
      <c r="F20" s="7" t="s">
        <v>466</v>
      </c>
    </row>
    <row r="21" spans="1:6" x14ac:dyDescent="0.2">
      <c r="A21" s="7">
        <v>10302</v>
      </c>
      <c r="B21" s="8">
        <f t="shared" si="0"/>
        <v>3</v>
      </c>
      <c r="C21" s="10">
        <v>2</v>
      </c>
      <c r="D21" s="8" t="s">
        <v>491</v>
      </c>
      <c r="E21" s="9">
        <v>75</v>
      </c>
      <c r="F21" s="7" t="s">
        <v>455</v>
      </c>
    </row>
    <row r="22" spans="1:6" s="3" customFormat="1" x14ac:dyDescent="0.2">
      <c r="A22" s="7">
        <v>10303</v>
      </c>
      <c r="B22" s="8">
        <f t="shared" si="0"/>
        <v>3</v>
      </c>
      <c r="C22" s="10">
        <v>1001</v>
      </c>
      <c r="D22" s="8" t="s">
        <v>492</v>
      </c>
      <c r="E22" s="7">
        <v>50</v>
      </c>
      <c r="F22" s="10" t="s">
        <v>469</v>
      </c>
    </row>
    <row r="23" spans="1:6" s="3" customFormat="1" x14ac:dyDescent="0.2">
      <c r="A23" s="7">
        <v>10304</v>
      </c>
      <c r="B23" s="8">
        <f t="shared" si="0"/>
        <v>3</v>
      </c>
      <c r="C23" s="10">
        <v>11</v>
      </c>
      <c r="D23" s="8" t="s">
        <v>493</v>
      </c>
      <c r="E23" s="7">
        <v>50</v>
      </c>
      <c r="F23" s="10" t="s">
        <v>471</v>
      </c>
    </row>
    <row r="24" spans="1:6" s="3" customFormat="1" x14ac:dyDescent="0.2">
      <c r="A24" s="7">
        <v>10305</v>
      </c>
      <c r="B24" s="8">
        <f t="shared" si="0"/>
        <v>3</v>
      </c>
      <c r="C24" s="10">
        <v>10</v>
      </c>
      <c r="D24" s="8" t="s">
        <v>494</v>
      </c>
      <c r="E24" s="7">
        <v>50</v>
      </c>
      <c r="F24" s="10" t="s">
        <v>473</v>
      </c>
    </row>
    <row r="25" spans="1:6" s="3" customFormat="1" x14ac:dyDescent="0.2">
      <c r="A25" s="7">
        <v>10306</v>
      </c>
      <c r="B25" s="8">
        <f t="shared" si="0"/>
        <v>3</v>
      </c>
      <c r="C25" s="10">
        <v>7</v>
      </c>
      <c r="D25" s="8" t="s">
        <v>495</v>
      </c>
      <c r="E25" s="7">
        <v>50</v>
      </c>
      <c r="F25" s="10" t="s">
        <v>475</v>
      </c>
    </row>
    <row r="26" spans="1:6" s="3" customFormat="1" x14ac:dyDescent="0.2">
      <c r="A26" s="7">
        <v>10307</v>
      </c>
      <c r="B26" s="8">
        <f t="shared" si="0"/>
        <v>3</v>
      </c>
      <c r="C26" s="10">
        <v>8</v>
      </c>
      <c r="D26" s="8" t="s">
        <v>496</v>
      </c>
      <c r="E26" s="7">
        <v>50</v>
      </c>
      <c r="F26" s="10" t="s">
        <v>477</v>
      </c>
    </row>
    <row r="27" spans="1:6" s="3" customFormat="1" x14ac:dyDescent="0.2">
      <c r="A27" s="7">
        <v>10308</v>
      </c>
      <c r="B27" s="8">
        <f t="shared" si="0"/>
        <v>3</v>
      </c>
      <c r="C27" s="10">
        <v>5</v>
      </c>
      <c r="D27" s="8" t="s">
        <v>497</v>
      </c>
      <c r="E27" s="7">
        <v>50</v>
      </c>
      <c r="F27" s="10" t="s">
        <v>479</v>
      </c>
    </row>
    <row r="28" spans="1:6" s="3" customFormat="1" x14ac:dyDescent="0.2">
      <c r="A28" s="7">
        <v>10309</v>
      </c>
      <c r="B28" s="8">
        <f t="shared" si="0"/>
        <v>3</v>
      </c>
      <c r="C28" s="10">
        <v>9</v>
      </c>
      <c r="D28" s="8" t="s">
        <v>498</v>
      </c>
      <c r="E28" s="7">
        <v>50</v>
      </c>
      <c r="F28" s="10" t="s">
        <v>481</v>
      </c>
    </row>
    <row r="29" spans="1:6" s="3" customFormat="1" x14ac:dyDescent="0.2">
      <c r="A29" s="7">
        <v>10401</v>
      </c>
      <c r="B29" s="8">
        <f t="shared" si="0"/>
        <v>4</v>
      </c>
      <c r="C29" s="10">
        <v>3</v>
      </c>
      <c r="D29" s="8" t="s">
        <v>499</v>
      </c>
      <c r="E29" s="9">
        <v>75</v>
      </c>
      <c r="F29" s="10" t="s">
        <v>466</v>
      </c>
    </row>
    <row r="30" spans="1:6" s="3" customFormat="1" x14ac:dyDescent="0.2">
      <c r="A30" s="7">
        <v>10402</v>
      </c>
      <c r="B30" s="8">
        <f t="shared" si="0"/>
        <v>4</v>
      </c>
      <c r="C30" s="10">
        <v>2</v>
      </c>
      <c r="D30" s="8" t="s">
        <v>491</v>
      </c>
      <c r="E30" s="9">
        <v>75</v>
      </c>
      <c r="F30" s="10" t="s">
        <v>455</v>
      </c>
    </row>
    <row r="31" spans="1:6" s="3" customFormat="1" x14ac:dyDescent="0.2">
      <c r="A31" s="7">
        <v>10403</v>
      </c>
      <c r="B31" s="8">
        <f t="shared" si="0"/>
        <v>4</v>
      </c>
      <c r="C31" s="10">
        <v>1001</v>
      </c>
      <c r="D31" s="8" t="s">
        <v>500</v>
      </c>
      <c r="E31" s="7">
        <v>50</v>
      </c>
      <c r="F31" s="10" t="s">
        <v>469</v>
      </c>
    </row>
    <row r="32" spans="1:6" s="3" customFormat="1" x14ac:dyDescent="0.2">
      <c r="A32" s="7">
        <v>10404</v>
      </c>
      <c r="B32" s="8">
        <f t="shared" si="0"/>
        <v>4</v>
      </c>
      <c r="C32" s="10">
        <v>11</v>
      </c>
      <c r="D32" s="8" t="s">
        <v>501</v>
      </c>
      <c r="E32" s="7">
        <v>50</v>
      </c>
      <c r="F32" s="10" t="s">
        <v>471</v>
      </c>
    </row>
    <row r="33" spans="1:6" s="3" customFormat="1" x14ac:dyDescent="0.2">
      <c r="A33" s="7">
        <v>10405</v>
      </c>
      <c r="B33" s="8">
        <f t="shared" si="0"/>
        <v>4</v>
      </c>
      <c r="C33" s="10">
        <v>10</v>
      </c>
      <c r="D33" s="8" t="s">
        <v>502</v>
      </c>
      <c r="E33" s="7">
        <v>50</v>
      </c>
      <c r="F33" s="10" t="s">
        <v>473</v>
      </c>
    </row>
    <row r="34" spans="1:6" s="3" customFormat="1" x14ac:dyDescent="0.2">
      <c r="A34" s="7">
        <v>10406</v>
      </c>
      <c r="B34" s="8">
        <f t="shared" si="0"/>
        <v>4</v>
      </c>
      <c r="C34" s="10">
        <v>7</v>
      </c>
      <c r="D34" s="8" t="s">
        <v>503</v>
      </c>
      <c r="E34" s="7">
        <v>50</v>
      </c>
      <c r="F34" s="10" t="s">
        <v>475</v>
      </c>
    </row>
    <row r="35" spans="1:6" s="3" customFormat="1" x14ac:dyDescent="0.2">
      <c r="A35" s="7">
        <v>10407</v>
      </c>
      <c r="B35" s="8">
        <f t="shared" si="0"/>
        <v>4</v>
      </c>
      <c r="C35" s="10">
        <v>8</v>
      </c>
      <c r="D35" s="8" t="s">
        <v>504</v>
      </c>
      <c r="E35" s="7">
        <v>50</v>
      </c>
      <c r="F35" s="10" t="s">
        <v>477</v>
      </c>
    </row>
    <row r="36" spans="1:6" s="3" customFormat="1" x14ac:dyDescent="0.2">
      <c r="A36" s="7">
        <v>10408</v>
      </c>
      <c r="B36" s="8">
        <f t="shared" si="0"/>
        <v>4</v>
      </c>
      <c r="C36" s="10">
        <v>5</v>
      </c>
      <c r="D36" s="8" t="s">
        <v>505</v>
      </c>
      <c r="E36" s="7">
        <v>50</v>
      </c>
      <c r="F36" s="10" t="s">
        <v>479</v>
      </c>
    </row>
    <row r="37" spans="1:6" s="3" customFormat="1" x14ac:dyDescent="0.2">
      <c r="A37" s="7">
        <v>10409</v>
      </c>
      <c r="B37" s="8">
        <f t="shared" si="0"/>
        <v>4</v>
      </c>
      <c r="C37" s="10">
        <v>9</v>
      </c>
      <c r="D37" s="8" t="s">
        <v>506</v>
      </c>
      <c r="E37" s="7">
        <v>50</v>
      </c>
      <c r="F37" s="10" t="s">
        <v>481</v>
      </c>
    </row>
    <row r="38" spans="1:6" s="3" customFormat="1" x14ac:dyDescent="0.2">
      <c r="A38" s="7">
        <v>10501</v>
      </c>
      <c r="B38" s="8">
        <f t="shared" si="0"/>
        <v>5</v>
      </c>
      <c r="C38" s="10">
        <v>3</v>
      </c>
      <c r="D38" s="8" t="s">
        <v>507</v>
      </c>
      <c r="E38" s="9">
        <v>75</v>
      </c>
      <c r="F38" s="10" t="s">
        <v>466</v>
      </c>
    </row>
    <row r="39" spans="1:6" s="3" customFormat="1" x14ac:dyDescent="0.2">
      <c r="A39" s="7">
        <v>10502</v>
      </c>
      <c r="B39" s="8">
        <f t="shared" si="0"/>
        <v>5</v>
      </c>
      <c r="C39" s="8">
        <v>2</v>
      </c>
      <c r="D39" s="8" t="s">
        <v>508</v>
      </c>
      <c r="E39" s="9">
        <v>75</v>
      </c>
      <c r="F39" s="10" t="s">
        <v>455</v>
      </c>
    </row>
    <row r="40" spans="1:6" s="3" customFormat="1" x14ac:dyDescent="0.2">
      <c r="A40" s="7">
        <v>10503</v>
      </c>
      <c r="B40" s="8">
        <f t="shared" si="0"/>
        <v>5</v>
      </c>
      <c r="C40" s="8">
        <v>1001</v>
      </c>
      <c r="D40" s="8" t="s">
        <v>509</v>
      </c>
      <c r="E40" s="7">
        <v>50</v>
      </c>
      <c r="F40" s="10" t="s">
        <v>469</v>
      </c>
    </row>
    <row r="41" spans="1:6" s="3" customFormat="1" x14ac:dyDescent="0.2">
      <c r="A41" s="7">
        <v>10504</v>
      </c>
      <c r="B41" s="8">
        <f t="shared" si="0"/>
        <v>5</v>
      </c>
      <c r="C41" s="8">
        <v>11</v>
      </c>
      <c r="D41" s="8" t="s">
        <v>510</v>
      </c>
      <c r="E41" s="7">
        <v>50</v>
      </c>
      <c r="F41" s="10" t="s">
        <v>471</v>
      </c>
    </row>
    <row r="42" spans="1:6" x14ac:dyDescent="0.2">
      <c r="A42" s="7">
        <v>10505</v>
      </c>
      <c r="B42" s="8">
        <f t="shared" si="0"/>
        <v>5</v>
      </c>
      <c r="C42" s="8">
        <v>10</v>
      </c>
      <c r="D42" s="8" t="s">
        <v>511</v>
      </c>
      <c r="E42" s="7">
        <v>50</v>
      </c>
      <c r="F42" s="8" t="s">
        <v>473</v>
      </c>
    </row>
    <row r="43" spans="1:6" x14ac:dyDescent="0.2">
      <c r="A43" s="7">
        <v>10506</v>
      </c>
      <c r="B43" s="8">
        <f t="shared" si="0"/>
        <v>5</v>
      </c>
      <c r="C43" s="8">
        <v>7</v>
      </c>
      <c r="D43" s="8" t="s">
        <v>512</v>
      </c>
      <c r="E43" s="7">
        <v>50</v>
      </c>
      <c r="F43" s="8" t="s">
        <v>475</v>
      </c>
    </row>
    <row r="44" spans="1:6" x14ac:dyDescent="0.2">
      <c r="A44" s="7">
        <v>10507</v>
      </c>
      <c r="B44" s="8">
        <f t="shared" si="0"/>
        <v>5</v>
      </c>
      <c r="C44" s="8">
        <v>8</v>
      </c>
      <c r="D44" s="8" t="s">
        <v>513</v>
      </c>
      <c r="E44" s="7">
        <v>50</v>
      </c>
      <c r="F44" s="8" t="s">
        <v>477</v>
      </c>
    </row>
    <row r="45" spans="1:6" x14ac:dyDescent="0.2">
      <c r="A45" s="7">
        <v>10508</v>
      </c>
      <c r="B45" s="8">
        <f t="shared" si="0"/>
        <v>5</v>
      </c>
      <c r="C45" s="8">
        <v>5</v>
      </c>
      <c r="D45" s="8" t="s">
        <v>514</v>
      </c>
      <c r="E45" s="7">
        <v>50</v>
      </c>
      <c r="F45" s="8" t="s">
        <v>479</v>
      </c>
    </row>
    <row r="46" spans="1:6" x14ac:dyDescent="0.2">
      <c r="A46" s="7">
        <v>10509</v>
      </c>
      <c r="B46" s="8">
        <f t="shared" si="0"/>
        <v>5</v>
      </c>
      <c r="C46" s="8">
        <v>9</v>
      </c>
      <c r="D46" s="8" t="s">
        <v>515</v>
      </c>
      <c r="E46" s="7">
        <v>50</v>
      </c>
      <c r="F46" s="8" t="s">
        <v>481</v>
      </c>
    </row>
    <row r="47" spans="1:6" x14ac:dyDescent="0.2">
      <c r="A47" s="7">
        <v>10601</v>
      </c>
      <c r="B47" s="8">
        <f t="shared" si="0"/>
        <v>6</v>
      </c>
      <c r="C47" s="8">
        <v>3</v>
      </c>
      <c r="D47" s="8" t="s">
        <v>516</v>
      </c>
      <c r="E47" s="9">
        <v>75</v>
      </c>
      <c r="F47" s="8" t="s">
        <v>466</v>
      </c>
    </row>
    <row r="48" spans="1:6" x14ac:dyDescent="0.2">
      <c r="A48" s="7">
        <v>10602</v>
      </c>
      <c r="B48" s="8">
        <f t="shared" si="0"/>
        <v>6</v>
      </c>
      <c r="C48" s="8">
        <v>2</v>
      </c>
      <c r="D48" s="8" t="s">
        <v>508</v>
      </c>
      <c r="E48" s="9">
        <v>75</v>
      </c>
      <c r="F48" s="8" t="s">
        <v>455</v>
      </c>
    </row>
    <row r="49" spans="1:6" x14ac:dyDescent="0.2">
      <c r="A49" s="7">
        <v>10603</v>
      </c>
      <c r="B49" s="8">
        <f t="shared" si="0"/>
        <v>6</v>
      </c>
      <c r="C49" s="8">
        <v>1001</v>
      </c>
      <c r="D49" s="8" t="s">
        <v>517</v>
      </c>
      <c r="E49" s="7">
        <v>50</v>
      </c>
      <c r="F49" s="8" t="s">
        <v>469</v>
      </c>
    </row>
    <row r="50" spans="1:6" x14ac:dyDescent="0.2">
      <c r="A50" s="7">
        <v>10604</v>
      </c>
      <c r="B50" s="8">
        <f t="shared" si="0"/>
        <v>6</v>
      </c>
      <c r="C50" s="8">
        <v>11</v>
      </c>
      <c r="D50" s="8" t="s">
        <v>518</v>
      </c>
      <c r="E50" s="7">
        <v>50</v>
      </c>
      <c r="F50" s="8" t="s">
        <v>471</v>
      </c>
    </row>
    <row r="51" spans="1:6" x14ac:dyDescent="0.2">
      <c r="A51" s="7">
        <v>10605</v>
      </c>
      <c r="B51" s="8">
        <f t="shared" si="0"/>
        <v>6</v>
      </c>
      <c r="C51" s="8">
        <v>10</v>
      </c>
      <c r="D51" s="8" t="s">
        <v>519</v>
      </c>
      <c r="E51" s="7">
        <v>50</v>
      </c>
      <c r="F51" s="8" t="s">
        <v>473</v>
      </c>
    </row>
    <row r="52" spans="1:6" x14ac:dyDescent="0.2">
      <c r="A52" s="7">
        <v>10606</v>
      </c>
      <c r="B52" s="8">
        <f t="shared" si="0"/>
        <v>6</v>
      </c>
      <c r="C52" s="8">
        <v>7</v>
      </c>
      <c r="D52" s="8" t="s">
        <v>520</v>
      </c>
      <c r="E52" s="7">
        <v>50</v>
      </c>
      <c r="F52" s="8" t="s">
        <v>475</v>
      </c>
    </row>
    <row r="53" spans="1:6" x14ac:dyDescent="0.2">
      <c r="A53" s="7">
        <v>10607</v>
      </c>
      <c r="B53" s="8">
        <f t="shared" si="0"/>
        <v>6</v>
      </c>
      <c r="C53" s="8">
        <v>8</v>
      </c>
      <c r="D53" s="8" t="s">
        <v>521</v>
      </c>
      <c r="E53" s="7">
        <v>50</v>
      </c>
      <c r="F53" s="8" t="s">
        <v>477</v>
      </c>
    </row>
    <row r="54" spans="1:6" x14ac:dyDescent="0.2">
      <c r="A54" s="7">
        <v>10608</v>
      </c>
      <c r="B54" s="8">
        <f t="shared" si="0"/>
        <v>6</v>
      </c>
      <c r="C54" s="8">
        <v>5</v>
      </c>
      <c r="D54" s="8" t="s">
        <v>522</v>
      </c>
      <c r="E54" s="7">
        <v>50</v>
      </c>
      <c r="F54" s="8" t="s">
        <v>479</v>
      </c>
    </row>
    <row r="55" spans="1:6" x14ac:dyDescent="0.2">
      <c r="A55" s="7">
        <v>10609</v>
      </c>
      <c r="B55" s="8">
        <f t="shared" si="0"/>
        <v>6</v>
      </c>
      <c r="C55" s="8">
        <v>9</v>
      </c>
      <c r="D55" s="8" t="s">
        <v>523</v>
      </c>
      <c r="E55" s="7">
        <v>50</v>
      </c>
      <c r="F55" s="8" t="s">
        <v>481</v>
      </c>
    </row>
    <row r="56" spans="1:6" x14ac:dyDescent="0.2">
      <c r="A56" s="7">
        <v>10701</v>
      </c>
      <c r="B56" s="8">
        <f t="shared" si="0"/>
        <v>7</v>
      </c>
      <c r="C56" s="8">
        <v>3</v>
      </c>
      <c r="D56" s="8" t="s">
        <v>524</v>
      </c>
      <c r="E56" s="9">
        <v>75</v>
      </c>
      <c r="F56" s="8" t="s">
        <v>466</v>
      </c>
    </row>
    <row r="57" spans="1:6" x14ac:dyDescent="0.2">
      <c r="A57" s="7">
        <v>10702</v>
      </c>
      <c r="B57" s="8">
        <f t="shared" si="0"/>
        <v>7</v>
      </c>
      <c r="C57" s="8">
        <v>2</v>
      </c>
      <c r="D57" s="8" t="s">
        <v>508</v>
      </c>
      <c r="E57" s="9">
        <v>75</v>
      </c>
      <c r="F57" s="8" t="s">
        <v>455</v>
      </c>
    </row>
    <row r="58" spans="1:6" x14ac:dyDescent="0.2">
      <c r="A58" s="7">
        <v>10703</v>
      </c>
      <c r="B58" s="8">
        <f t="shared" si="0"/>
        <v>7</v>
      </c>
      <c r="C58" s="8">
        <v>1001</v>
      </c>
      <c r="D58" s="8" t="s">
        <v>525</v>
      </c>
      <c r="E58" s="7">
        <v>50</v>
      </c>
      <c r="F58" s="8" t="s">
        <v>469</v>
      </c>
    </row>
    <row r="59" spans="1:6" x14ac:dyDescent="0.2">
      <c r="A59" s="7">
        <v>10704</v>
      </c>
      <c r="B59" s="8">
        <f t="shared" si="0"/>
        <v>7</v>
      </c>
      <c r="C59" s="8">
        <v>11</v>
      </c>
      <c r="D59" s="8" t="s">
        <v>526</v>
      </c>
      <c r="E59" s="7">
        <v>50</v>
      </c>
      <c r="F59" s="8" t="s">
        <v>471</v>
      </c>
    </row>
    <row r="60" spans="1:6" x14ac:dyDescent="0.2">
      <c r="A60" s="7">
        <v>10705</v>
      </c>
      <c r="B60" s="8">
        <f t="shared" si="0"/>
        <v>7</v>
      </c>
      <c r="C60" s="8">
        <v>10</v>
      </c>
      <c r="D60" s="8" t="s">
        <v>527</v>
      </c>
      <c r="E60" s="7">
        <v>50</v>
      </c>
      <c r="F60" s="8" t="s">
        <v>473</v>
      </c>
    </row>
    <row r="61" spans="1:6" x14ac:dyDescent="0.2">
      <c r="A61" s="7">
        <v>10706</v>
      </c>
      <c r="B61" s="8">
        <f t="shared" si="0"/>
        <v>7</v>
      </c>
      <c r="C61" s="8">
        <v>7</v>
      </c>
      <c r="D61" s="8" t="s">
        <v>528</v>
      </c>
      <c r="E61" s="7">
        <v>50</v>
      </c>
      <c r="F61" s="8" t="s">
        <v>475</v>
      </c>
    </row>
    <row r="62" spans="1:6" x14ac:dyDescent="0.2">
      <c r="A62" s="7">
        <v>10707</v>
      </c>
      <c r="B62" s="8">
        <f t="shared" si="0"/>
        <v>7</v>
      </c>
      <c r="C62" s="8">
        <v>8</v>
      </c>
      <c r="D62" s="8" t="s">
        <v>529</v>
      </c>
      <c r="E62" s="7">
        <v>50</v>
      </c>
      <c r="F62" s="8" t="s">
        <v>477</v>
      </c>
    </row>
    <row r="63" spans="1:6" x14ac:dyDescent="0.2">
      <c r="A63" s="7">
        <v>10708</v>
      </c>
      <c r="B63" s="8">
        <f t="shared" si="0"/>
        <v>7</v>
      </c>
      <c r="C63" s="8">
        <v>5</v>
      </c>
      <c r="D63" s="8" t="s">
        <v>530</v>
      </c>
      <c r="E63" s="7">
        <v>50</v>
      </c>
      <c r="F63" s="8" t="s">
        <v>479</v>
      </c>
    </row>
    <row r="64" spans="1:6" x14ac:dyDescent="0.2">
      <c r="A64" s="7">
        <v>10709</v>
      </c>
      <c r="B64" s="8">
        <f t="shared" si="0"/>
        <v>7</v>
      </c>
      <c r="C64" s="8">
        <v>9</v>
      </c>
      <c r="D64" s="8" t="s">
        <v>531</v>
      </c>
      <c r="E64" s="7">
        <v>50</v>
      </c>
      <c r="F64" s="8" t="s">
        <v>481</v>
      </c>
    </row>
    <row r="65" spans="1:6" x14ac:dyDescent="0.2">
      <c r="A65" s="7">
        <v>10801</v>
      </c>
      <c r="B65" s="8">
        <f t="shared" si="0"/>
        <v>8</v>
      </c>
      <c r="C65" s="8">
        <v>3</v>
      </c>
      <c r="D65" s="8" t="s">
        <v>532</v>
      </c>
      <c r="E65" s="9">
        <v>75</v>
      </c>
      <c r="F65" s="8" t="s">
        <v>466</v>
      </c>
    </row>
    <row r="66" spans="1:6" x14ac:dyDescent="0.2">
      <c r="A66" s="7">
        <v>10802</v>
      </c>
      <c r="B66" s="8">
        <f t="shared" si="0"/>
        <v>8</v>
      </c>
      <c r="C66" s="8">
        <v>2</v>
      </c>
      <c r="D66" s="8" t="s">
        <v>533</v>
      </c>
      <c r="E66" s="9">
        <v>75</v>
      </c>
      <c r="F66" s="8" t="s">
        <v>455</v>
      </c>
    </row>
    <row r="67" spans="1:6" x14ac:dyDescent="0.2">
      <c r="A67" s="7">
        <v>10803</v>
      </c>
      <c r="B67" s="8">
        <f t="shared" si="0"/>
        <v>8</v>
      </c>
      <c r="C67" s="8">
        <v>1001</v>
      </c>
      <c r="D67" s="8" t="s">
        <v>534</v>
      </c>
      <c r="E67" s="7">
        <v>50</v>
      </c>
      <c r="F67" s="8" t="s">
        <v>469</v>
      </c>
    </row>
    <row r="68" spans="1:6" x14ac:dyDescent="0.2">
      <c r="A68" s="7">
        <v>10804</v>
      </c>
      <c r="B68" s="8">
        <f t="shared" si="0"/>
        <v>8</v>
      </c>
      <c r="C68" s="8">
        <v>11</v>
      </c>
      <c r="D68" s="8" t="s">
        <v>535</v>
      </c>
      <c r="E68" s="7">
        <v>50</v>
      </c>
      <c r="F68" s="8" t="s">
        <v>471</v>
      </c>
    </row>
    <row r="69" spans="1:6" x14ac:dyDescent="0.2">
      <c r="A69" s="7">
        <v>10805</v>
      </c>
      <c r="B69" s="8">
        <f t="shared" si="0"/>
        <v>8</v>
      </c>
      <c r="C69" s="8">
        <v>10</v>
      </c>
      <c r="D69" s="8" t="s">
        <v>536</v>
      </c>
      <c r="E69" s="7">
        <v>50</v>
      </c>
      <c r="F69" s="8" t="s">
        <v>473</v>
      </c>
    </row>
    <row r="70" spans="1:6" x14ac:dyDescent="0.2">
      <c r="A70" s="7">
        <v>10806</v>
      </c>
      <c r="B70" s="8">
        <f t="shared" si="0"/>
        <v>8</v>
      </c>
      <c r="C70" s="8">
        <v>7</v>
      </c>
      <c r="D70" s="8" t="s">
        <v>537</v>
      </c>
      <c r="E70" s="7">
        <v>50</v>
      </c>
      <c r="F70" s="8" t="s">
        <v>475</v>
      </c>
    </row>
    <row r="71" spans="1:6" x14ac:dyDescent="0.2">
      <c r="A71" s="7">
        <v>10807</v>
      </c>
      <c r="B71" s="8">
        <f t="shared" si="0"/>
        <v>8</v>
      </c>
      <c r="C71" s="8">
        <v>8</v>
      </c>
      <c r="D71" s="8" t="s">
        <v>538</v>
      </c>
      <c r="E71" s="7">
        <v>50</v>
      </c>
      <c r="F71" s="8" t="s">
        <v>477</v>
      </c>
    </row>
    <row r="72" spans="1:6" x14ac:dyDescent="0.2">
      <c r="A72" s="7">
        <v>10808</v>
      </c>
      <c r="B72" s="8">
        <f t="shared" si="0"/>
        <v>8</v>
      </c>
      <c r="C72" s="8">
        <v>5</v>
      </c>
      <c r="D72" s="8" t="s">
        <v>539</v>
      </c>
      <c r="E72" s="7">
        <v>50</v>
      </c>
      <c r="F72" s="8" t="s">
        <v>479</v>
      </c>
    </row>
    <row r="73" spans="1:6" x14ac:dyDescent="0.2">
      <c r="A73" s="7">
        <v>10809</v>
      </c>
      <c r="B73" s="8">
        <f t="shared" si="0"/>
        <v>8</v>
      </c>
      <c r="C73" s="8">
        <v>9</v>
      </c>
      <c r="D73" s="8" t="s">
        <v>540</v>
      </c>
      <c r="E73" s="7">
        <v>50</v>
      </c>
      <c r="F73" s="8" t="s">
        <v>481</v>
      </c>
    </row>
    <row r="74" spans="1:6" x14ac:dyDescent="0.2">
      <c r="A74" s="7">
        <v>10901</v>
      </c>
      <c r="B74" s="8">
        <f t="shared" si="0"/>
        <v>9</v>
      </c>
      <c r="C74" s="8">
        <v>3</v>
      </c>
      <c r="D74" s="8" t="s">
        <v>541</v>
      </c>
      <c r="E74" s="9">
        <v>75</v>
      </c>
      <c r="F74" s="8" t="s">
        <v>466</v>
      </c>
    </row>
    <row r="75" spans="1:6" x14ac:dyDescent="0.2">
      <c r="A75" s="7">
        <v>10902</v>
      </c>
      <c r="B75" s="8">
        <f t="shared" si="0"/>
        <v>9</v>
      </c>
      <c r="C75" s="8">
        <v>2</v>
      </c>
      <c r="D75" s="8" t="s">
        <v>533</v>
      </c>
      <c r="E75" s="9">
        <v>75</v>
      </c>
      <c r="F75" s="8" t="s">
        <v>455</v>
      </c>
    </row>
    <row r="76" spans="1:6" x14ac:dyDescent="0.2">
      <c r="A76" s="7">
        <v>10903</v>
      </c>
      <c r="B76" s="8">
        <f t="shared" ref="B76:B139" si="1">B67+1</f>
        <v>9</v>
      </c>
      <c r="C76" s="8">
        <v>1001</v>
      </c>
      <c r="D76" s="8" t="s">
        <v>542</v>
      </c>
      <c r="E76" s="7">
        <v>50</v>
      </c>
      <c r="F76" s="8" t="s">
        <v>469</v>
      </c>
    </row>
    <row r="77" spans="1:6" x14ac:dyDescent="0.2">
      <c r="A77" s="7">
        <v>10904</v>
      </c>
      <c r="B77" s="8">
        <f t="shared" si="1"/>
        <v>9</v>
      </c>
      <c r="C77" s="8">
        <v>11</v>
      </c>
      <c r="D77" s="8" t="s">
        <v>543</v>
      </c>
      <c r="E77" s="7">
        <v>50</v>
      </c>
      <c r="F77" s="8" t="s">
        <v>471</v>
      </c>
    </row>
    <row r="78" spans="1:6" x14ac:dyDescent="0.2">
      <c r="A78" s="7">
        <v>10905</v>
      </c>
      <c r="B78" s="8">
        <f t="shared" si="1"/>
        <v>9</v>
      </c>
      <c r="C78" s="8">
        <v>10</v>
      </c>
      <c r="D78" s="8" t="s">
        <v>544</v>
      </c>
      <c r="E78" s="7">
        <v>50</v>
      </c>
      <c r="F78" s="8" t="s">
        <v>473</v>
      </c>
    </row>
    <row r="79" spans="1:6" x14ac:dyDescent="0.2">
      <c r="A79" s="7">
        <v>10906</v>
      </c>
      <c r="B79" s="8">
        <f t="shared" si="1"/>
        <v>9</v>
      </c>
      <c r="C79" s="8">
        <v>7</v>
      </c>
      <c r="D79" s="8" t="s">
        <v>545</v>
      </c>
      <c r="E79" s="7">
        <v>50</v>
      </c>
      <c r="F79" s="8" t="s">
        <v>475</v>
      </c>
    </row>
    <row r="80" spans="1:6" x14ac:dyDescent="0.2">
      <c r="A80" s="7">
        <v>10907</v>
      </c>
      <c r="B80" s="8">
        <f t="shared" si="1"/>
        <v>9</v>
      </c>
      <c r="C80" s="8">
        <v>8</v>
      </c>
      <c r="D80" s="8" t="s">
        <v>546</v>
      </c>
      <c r="E80" s="7">
        <v>50</v>
      </c>
      <c r="F80" s="8" t="s">
        <v>477</v>
      </c>
    </row>
    <row r="81" spans="1:6" x14ac:dyDescent="0.2">
      <c r="A81" s="7">
        <v>10908</v>
      </c>
      <c r="B81" s="8">
        <f t="shared" si="1"/>
        <v>9</v>
      </c>
      <c r="C81" s="8">
        <v>5</v>
      </c>
      <c r="D81" s="8" t="s">
        <v>547</v>
      </c>
      <c r="E81" s="7">
        <v>50</v>
      </c>
      <c r="F81" s="8" t="s">
        <v>479</v>
      </c>
    </row>
    <row r="82" spans="1:6" x14ac:dyDescent="0.2">
      <c r="A82" s="7">
        <v>10909</v>
      </c>
      <c r="B82" s="8">
        <f t="shared" si="1"/>
        <v>9</v>
      </c>
      <c r="C82" s="8">
        <v>9</v>
      </c>
      <c r="D82" s="8" t="s">
        <v>548</v>
      </c>
      <c r="E82" s="7">
        <v>50</v>
      </c>
      <c r="F82" s="8" t="s">
        <v>481</v>
      </c>
    </row>
    <row r="83" spans="1:6" x14ac:dyDescent="0.2">
      <c r="A83" s="7">
        <v>11001</v>
      </c>
      <c r="B83" s="8">
        <f t="shared" si="1"/>
        <v>10</v>
      </c>
      <c r="C83" s="8">
        <v>3</v>
      </c>
      <c r="D83" s="8" t="s">
        <v>549</v>
      </c>
      <c r="E83" s="9">
        <v>75</v>
      </c>
      <c r="F83" s="8" t="s">
        <v>466</v>
      </c>
    </row>
    <row r="84" spans="1:6" x14ac:dyDescent="0.2">
      <c r="A84" s="7">
        <v>11002</v>
      </c>
      <c r="B84" s="8">
        <f t="shared" si="1"/>
        <v>10</v>
      </c>
      <c r="C84" s="8">
        <v>2</v>
      </c>
      <c r="D84" s="8" t="s">
        <v>550</v>
      </c>
      <c r="E84" s="9">
        <v>75</v>
      </c>
      <c r="F84" s="8" t="s">
        <v>455</v>
      </c>
    </row>
    <row r="85" spans="1:6" x14ac:dyDescent="0.2">
      <c r="A85" s="7">
        <v>11003</v>
      </c>
      <c r="B85" s="8">
        <f t="shared" si="1"/>
        <v>10</v>
      </c>
      <c r="C85" s="8">
        <v>1001</v>
      </c>
      <c r="D85" s="8" t="s">
        <v>551</v>
      </c>
      <c r="E85" s="7">
        <v>50</v>
      </c>
      <c r="F85" s="8" t="s">
        <v>469</v>
      </c>
    </row>
    <row r="86" spans="1:6" x14ac:dyDescent="0.2">
      <c r="A86" s="7">
        <v>11004</v>
      </c>
      <c r="B86" s="8">
        <f t="shared" si="1"/>
        <v>10</v>
      </c>
      <c r="C86" s="8">
        <v>11</v>
      </c>
      <c r="D86" s="8" t="s">
        <v>552</v>
      </c>
      <c r="E86" s="7">
        <v>50</v>
      </c>
      <c r="F86" s="8" t="s">
        <v>471</v>
      </c>
    </row>
    <row r="87" spans="1:6" x14ac:dyDescent="0.2">
      <c r="A87" s="7">
        <v>11005</v>
      </c>
      <c r="B87" s="8">
        <f t="shared" si="1"/>
        <v>10</v>
      </c>
      <c r="C87" s="8">
        <v>10</v>
      </c>
      <c r="D87" s="8" t="s">
        <v>553</v>
      </c>
      <c r="E87" s="7">
        <v>50</v>
      </c>
      <c r="F87" s="8" t="s">
        <v>473</v>
      </c>
    </row>
    <row r="88" spans="1:6" x14ac:dyDescent="0.2">
      <c r="A88" s="7">
        <v>11006</v>
      </c>
      <c r="B88" s="8">
        <f t="shared" si="1"/>
        <v>10</v>
      </c>
      <c r="C88" s="8">
        <v>7</v>
      </c>
      <c r="D88" s="8" t="s">
        <v>554</v>
      </c>
      <c r="E88" s="7">
        <v>50</v>
      </c>
      <c r="F88" s="8" t="s">
        <v>475</v>
      </c>
    </row>
    <row r="89" spans="1:6" x14ac:dyDescent="0.2">
      <c r="A89" s="7">
        <v>11007</v>
      </c>
      <c r="B89" s="8">
        <f t="shared" si="1"/>
        <v>10</v>
      </c>
      <c r="C89" s="8">
        <v>8</v>
      </c>
      <c r="D89" s="8" t="s">
        <v>555</v>
      </c>
      <c r="E89" s="7">
        <v>50</v>
      </c>
      <c r="F89" s="8" t="s">
        <v>477</v>
      </c>
    </row>
    <row r="90" spans="1:6" x14ac:dyDescent="0.2">
      <c r="A90" s="7">
        <v>11008</v>
      </c>
      <c r="B90" s="8">
        <f t="shared" si="1"/>
        <v>10</v>
      </c>
      <c r="C90" s="8">
        <v>5</v>
      </c>
      <c r="D90" s="8" t="s">
        <v>556</v>
      </c>
      <c r="E90" s="7">
        <v>50</v>
      </c>
      <c r="F90" s="8" t="s">
        <v>479</v>
      </c>
    </row>
    <row r="91" spans="1:6" x14ac:dyDescent="0.2">
      <c r="A91" s="7">
        <v>11009</v>
      </c>
      <c r="B91" s="8">
        <f t="shared" si="1"/>
        <v>10</v>
      </c>
      <c r="C91" s="8">
        <v>9</v>
      </c>
      <c r="D91" s="8" t="s">
        <v>557</v>
      </c>
      <c r="E91" s="7">
        <v>50</v>
      </c>
      <c r="F91" s="8" t="s">
        <v>481</v>
      </c>
    </row>
    <row r="92" spans="1:6" x14ac:dyDescent="0.2">
      <c r="A92" s="7">
        <v>11101</v>
      </c>
      <c r="B92" s="8">
        <f t="shared" si="1"/>
        <v>11</v>
      </c>
      <c r="C92" s="8">
        <v>3</v>
      </c>
      <c r="D92" s="8" t="s">
        <v>558</v>
      </c>
      <c r="E92" s="9">
        <v>75</v>
      </c>
      <c r="F92" s="8" t="s">
        <v>466</v>
      </c>
    </row>
    <row r="93" spans="1:6" x14ac:dyDescent="0.2">
      <c r="A93" s="7">
        <v>11102</v>
      </c>
      <c r="B93" s="8">
        <f t="shared" si="1"/>
        <v>11</v>
      </c>
      <c r="C93" s="8">
        <v>2</v>
      </c>
      <c r="D93" s="8" t="s">
        <v>550</v>
      </c>
      <c r="E93" s="9">
        <v>75</v>
      </c>
      <c r="F93" s="8" t="s">
        <v>455</v>
      </c>
    </row>
    <row r="94" spans="1:6" x14ac:dyDescent="0.2">
      <c r="A94" s="7">
        <v>11103</v>
      </c>
      <c r="B94" s="8">
        <f t="shared" si="1"/>
        <v>11</v>
      </c>
      <c r="C94" s="8">
        <v>1001</v>
      </c>
      <c r="D94" s="8" t="s">
        <v>559</v>
      </c>
      <c r="E94" s="7">
        <v>50</v>
      </c>
      <c r="F94" s="8" t="s">
        <v>469</v>
      </c>
    </row>
    <row r="95" spans="1:6" x14ac:dyDescent="0.2">
      <c r="A95" s="7">
        <v>11104</v>
      </c>
      <c r="B95" s="8">
        <f t="shared" si="1"/>
        <v>11</v>
      </c>
      <c r="C95" s="8">
        <v>11</v>
      </c>
      <c r="D95" s="8" t="s">
        <v>560</v>
      </c>
      <c r="E95" s="7">
        <v>50</v>
      </c>
      <c r="F95" s="8" t="s">
        <v>471</v>
      </c>
    </row>
    <row r="96" spans="1:6" x14ac:dyDescent="0.2">
      <c r="A96" s="7">
        <v>11105</v>
      </c>
      <c r="B96" s="8">
        <f t="shared" si="1"/>
        <v>11</v>
      </c>
      <c r="C96" s="8">
        <v>10</v>
      </c>
      <c r="D96" s="8" t="s">
        <v>561</v>
      </c>
      <c r="E96" s="7">
        <v>50</v>
      </c>
      <c r="F96" s="8" t="s">
        <v>473</v>
      </c>
    </row>
    <row r="97" spans="1:6" x14ac:dyDescent="0.2">
      <c r="A97" s="7">
        <v>11106</v>
      </c>
      <c r="B97" s="8">
        <f t="shared" si="1"/>
        <v>11</v>
      </c>
      <c r="C97" s="8">
        <v>7</v>
      </c>
      <c r="D97" s="8" t="s">
        <v>562</v>
      </c>
      <c r="E97" s="7">
        <v>50</v>
      </c>
      <c r="F97" s="8" t="s">
        <v>475</v>
      </c>
    </row>
    <row r="98" spans="1:6" x14ac:dyDescent="0.2">
      <c r="A98" s="7">
        <v>11107</v>
      </c>
      <c r="B98" s="8">
        <f t="shared" si="1"/>
        <v>11</v>
      </c>
      <c r="C98" s="8">
        <v>8</v>
      </c>
      <c r="D98" s="8" t="s">
        <v>563</v>
      </c>
      <c r="E98" s="7">
        <v>50</v>
      </c>
      <c r="F98" s="8" t="s">
        <v>477</v>
      </c>
    </row>
    <row r="99" spans="1:6" x14ac:dyDescent="0.2">
      <c r="A99" s="7">
        <v>11108</v>
      </c>
      <c r="B99" s="8">
        <f t="shared" si="1"/>
        <v>11</v>
      </c>
      <c r="C99" s="8">
        <v>5</v>
      </c>
      <c r="D99" s="8" t="s">
        <v>564</v>
      </c>
      <c r="E99" s="7">
        <v>50</v>
      </c>
      <c r="F99" s="8" t="s">
        <v>479</v>
      </c>
    </row>
    <row r="100" spans="1:6" x14ac:dyDescent="0.2">
      <c r="A100" s="7">
        <v>11109</v>
      </c>
      <c r="B100" s="8">
        <f t="shared" si="1"/>
        <v>11</v>
      </c>
      <c r="C100" s="8">
        <v>9</v>
      </c>
      <c r="D100" s="8" t="s">
        <v>565</v>
      </c>
      <c r="E100" s="7">
        <v>50</v>
      </c>
      <c r="F100" s="8" t="s">
        <v>481</v>
      </c>
    </row>
    <row r="101" spans="1:6" x14ac:dyDescent="0.2">
      <c r="A101" s="7">
        <v>11201</v>
      </c>
      <c r="B101" s="8">
        <f t="shared" si="1"/>
        <v>12</v>
      </c>
      <c r="C101" s="8">
        <v>3</v>
      </c>
      <c r="D101" s="8" t="s">
        <v>566</v>
      </c>
      <c r="E101" s="9">
        <v>75</v>
      </c>
      <c r="F101" s="8" t="s">
        <v>466</v>
      </c>
    </row>
    <row r="102" spans="1:6" x14ac:dyDescent="0.2">
      <c r="A102" s="7">
        <v>11202</v>
      </c>
      <c r="B102" s="8">
        <f t="shared" si="1"/>
        <v>12</v>
      </c>
      <c r="C102" s="8">
        <v>2</v>
      </c>
      <c r="D102" s="8" t="s">
        <v>550</v>
      </c>
      <c r="E102" s="9">
        <v>75</v>
      </c>
      <c r="F102" s="8" t="s">
        <v>455</v>
      </c>
    </row>
    <row r="103" spans="1:6" x14ac:dyDescent="0.2">
      <c r="A103" s="7">
        <v>11203</v>
      </c>
      <c r="B103" s="8">
        <f t="shared" si="1"/>
        <v>12</v>
      </c>
      <c r="C103" s="8">
        <v>1001</v>
      </c>
      <c r="D103" s="8" t="s">
        <v>567</v>
      </c>
      <c r="E103" s="7">
        <v>50</v>
      </c>
      <c r="F103" s="8" t="s">
        <v>469</v>
      </c>
    </row>
    <row r="104" spans="1:6" x14ac:dyDescent="0.2">
      <c r="A104" s="7">
        <v>11204</v>
      </c>
      <c r="B104" s="8">
        <f t="shared" si="1"/>
        <v>12</v>
      </c>
      <c r="C104" s="8">
        <v>11</v>
      </c>
      <c r="D104" s="8" t="s">
        <v>568</v>
      </c>
      <c r="E104" s="7">
        <v>50</v>
      </c>
      <c r="F104" s="8" t="s">
        <v>471</v>
      </c>
    </row>
    <row r="105" spans="1:6" x14ac:dyDescent="0.2">
      <c r="A105" s="7">
        <v>11205</v>
      </c>
      <c r="B105" s="8">
        <f t="shared" si="1"/>
        <v>12</v>
      </c>
      <c r="C105" s="8">
        <v>10</v>
      </c>
      <c r="D105" s="8" t="s">
        <v>569</v>
      </c>
      <c r="E105" s="7">
        <v>50</v>
      </c>
      <c r="F105" s="8" t="s">
        <v>473</v>
      </c>
    </row>
    <row r="106" spans="1:6" x14ac:dyDescent="0.2">
      <c r="A106" s="7">
        <v>11206</v>
      </c>
      <c r="B106" s="8">
        <f t="shared" si="1"/>
        <v>12</v>
      </c>
      <c r="C106" s="8">
        <v>7</v>
      </c>
      <c r="D106" s="8" t="s">
        <v>570</v>
      </c>
      <c r="E106" s="7">
        <v>50</v>
      </c>
      <c r="F106" s="8" t="s">
        <v>475</v>
      </c>
    </row>
    <row r="107" spans="1:6" x14ac:dyDescent="0.2">
      <c r="A107" s="7">
        <v>11207</v>
      </c>
      <c r="B107" s="8">
        <f t="shared" si="1"/>
        <v>12</v>
      </c>
      <c r="C107" s="8">
        <v>8</v>
      </c>
      <c r="D107" s="8" t="s">
        <v>571</v>
      </c>
      <c r="E107" s="7">
        <v>50</v>
      </c>
      <c r="F107" s="8" t="s">
        <v>477</v>
      </c>
    </row>
    <row r="108" spans="1:6" x14ac:dyDescent="0.2">
      <c r="A108" s="7">
        <v>11208</v>
      </c>
      <c r="B108" s="8">
        <f t="shared" si="1"/>
        <v>12</v>
      </c>
      <c r="C108" s="8">
        <v>5</v>
      </c>
      <c r="D108" s="8" t="s">
        <v>572</v>
      </c>
      <c r="E108" s="7">
        <v>50</v>
      </c>
      <c r="F108" s="8" t="s">
        <v>479</v>
      </c>
    </row>
    <row r="109" spans="1:6" x14ac:dyDescent="0.2">
      <c r="A109" s="7">
        <v>11209</v>
      </c>
      <c r="B109" s="8">
        <f t="shared" si="1"/>
        <v>12</v>
      </c>
      <c r="C109" s="8">
        <v>9</v>
      </c>
      <c r="D109" s="8" t="s">
        <v>573</v>
      </c>
      <c r="E109" s="7">
        <v>50</v>
      </c>
      <c r="F109" s="8" t="s">
        <v>481</v>
      </c>
    </row>
    <row r="110" spans="1:6" x14ac:dyDescent="0.2">
      <c r="A110" s="7">
        <v>11301</v>
      </c>
      <c r="B110" s="8">
        <f t="shared" si="1"/>
        <v>13</v>
      </c>
      <c r="C110" s="8">
        <v>3</v>
      </c>
      <c r="D110" s="8" t="s">
        <v>574</v>
      </c>
      <c r="E110" s="9">
        <v>75</v>
      </c>
      <c r="F110" s="8" t="s">
        <v>466</v>
      </c>
    </row>
    <row r="111" spans="1:6" x14ac:dyDescent="0.2">
      <c r="A111" s="7">
        <v>11302</v>
      </c>
      <c r="B111" s="8">
        <f t="shared" si="1"/>
        <v>13</v>
      </c>
      <c r="C111" s="8">
        <v>2</v>
      </c>
      <c r="D111" s="8" t="s">
        <v>575</v>
      </c>
      <c r="E111" s="9">
        <v>75</v>
      </c>
      <c r="F111" s="8" t="s">
        <v>455</v>
      </c>
    </row>
    <row r="112" spans="1:6" x14ac:dyDescent="0.2">
      <c r="A112" s="7">
        <v>11303</v>
      </c>
      <c r="B112" s="8">
        <f t="shared" si="1"/>
        <v>13</v>
      </c>
      <c r="C112" s="8">
        <v>1001</v>
      </c>
      <c r="D112" s="8" t="s">
        <v>576</v>
      </c>
      <c r="E112" s="7">
        <v>50</v>
      </c>
      <c r="F112" s="8" t="s">
        <v>469</v>
      </c>
    </row>
    <row r="113" spans="1:6" x14ac:dyDescent="0.2">
      <c r="A113" s="7">
        <v>11304</v>
      </c>
      <c r="B113" s="8">
        <f t="shared" si="1"/>
        <v>13</v>
      </c>
      <c r="C113" s="8">
        <v>11</v>
      </c>
      <c r="D113" s="8" t="s">
        <v>577</v>
      </c>
      <c r="E113" s="7">
        <v>50</v>
      </c>
      <c r="F113" s="8" t="s">
        <v>471</v>
      </c>
    </row>
    <row r="114" spans="1:6" x14ac:dyDescent="0.2">
      <c r="A114" s="7">
        <v>11305</v>
      </c>
      <c r="B114" s="8">
        <f t="shared" si="1"/>
        <v>13</v>
      </c>
      <c r="C114" s="8">
        <v>10</v>
      </c>
      <c r="D114" s="8" t="s">
        <v>578</v>
      </c>
      <c r="E114" s="7">
        <v>50</v>
      </c>
      <c r="F114" s="8" t="s">
        <v>473</v>
      </c>
    </row>
    <row r="115" spans="1:6" x14ac:dyDescent="0.2">
      <c r="A115" s="7">
        <v>11306</v>
      </c>
      <c r="B115" s="8">
        <f t="shared" si="1"/>
        <v>13</v>
      </c>
      <c r="C115" s="8">
        <v>7</v>
      </c>
      <c r="D115" s="8" t="s">
        <v>579</v>
      </c>
      <c r="E115" s="7">
        <v>50</v>
      </c>
      <c r="F115" s="8" t="s">
        <v>475</v>
      </c>
    </row>
    <row r="116" spans="1:6" x14ac:dyDescent="0.2">
      <c r="A116" s="7">
        <v>11307</v>
      </c>
      <c r="B116" s="8">
        <f t="shared" si="1"/>
        <v>13</v>
      </c>
      <c r="C116" s="8">
        <v>8</v>
      </c>
      <c r="D116" s="8" t="s">
        <v>580</v>
      </c>
      <c r="E116" s="7">
        <v>50</v>
      </c>
      <c r="F116" s="8" t="s">
        <v>477</v>
      </c>
    </row>
    <row r="117" spans="1:6" x14ac:dyDescent="0.2">
      <c r="A117" s="7">
        <v>11308</v>
      </c>
      <c r="B117" s="8">
        <f t="shared" si="1"/>
        <v>13</v>
      </c>
      <c r="C117" s="8">
        <v>5</v>
      </c>
      <c r="D117" s="8" t="s">
        <v>581</v>
      </c>
      <c r="E117" s="7">
        <v>50</v>
      </c>
      <c r="F117" s="8" t="s">
        <v>479</v>
      </c>
    </row>
    <row r="118" spans="1:6" x14ac:dyDescent="0.2">
      <c r="A118" s="7">
        <v>11309</v>
      </c>
      <c r="B118" s="8">
        <f t="shared" si="1"/>
        <v>13</v>
      </c>
      <c r="C118" s="8">
        <v>9</v>
      </c>
      <c r="D118" s="8" t="s">
        <v>582</v>
      </c>
      <c r="E118" s="7">
        <v>50</v>
      </c>
      <c r="F118" s="8" t="s">
        <v>481</v>
      </c>
    </row>
    <row r="119" spans="1:6" x14ac:dyDescent="0.2">
      <c r="A119" s="7">
        <v>11401</v>
      </c>
      <c r="B119" s="8">
        <f t="shared" si="1"/>
        <v>14</v>
      </c>
      <c r="C119" s="8">
        <v>3</v>
      </c>
      <c r="D119" s="8" t="s">
        <v>583</v>
      </c>
      <c r="E119" s="9">
        <v>75</v>
      </c>
      <c r="F119" s="8" t="s">
        <v>466</v>
      </c>
    </row>
    <row r="120" spans="1:6" x14ac:dyDescent="0.2">
      <c r="A120" s="7">
        <v>11402</v>
      </c>
      <c r="B120" s="8">
        <f t="shared" si="1"/>
        <v>14</v>
      </c>
      <c r="C120" s="8">
        <v>2</v>
      </c>
      <c r="D120" s="8" t="s">
        <v>575</v>
      </c>
      <c r="E120" s="9">
        <v>75</v>
      </c>
      <c r="F120" s="8" t="s">
        <v>455</v>
      </c>
    </row>
    <row r="121" spans="1:6" x14ac:dyDescent="0.2">
      <c r="A121" s="7">
        <v>11403</v>
      </c>
      <c r="B121" s="8">
        <f t="shared" si="1"/>
        <v>14</v>
      </c>
      <c r="C121" s="8">
        <v>1001</v>
      </c>
      <c r="D121" s="8" t="s">
        <v>584</v>
      </c>
      <c r="E121" s="7">
        <v>50</v>
      </c>
      <c r="F121" s="8" t="s">
        <v>469</v>
      </c>
    </row>
    <row r="122" spans="1:6" x14ac:dyDescent="0.2">
      <c r="A122" s="7">
        <v>11404</v>
      </c>
      <c r="B122" s="8">
        <f t="shared" si="1"/>
        <v>14</v>
      </c>
      <c r="C122" s="8">
        <v>11</v>
      </c>
      <c r="D122" s="8" t="s">
        <v>585</v>
      </c>
      <c r="E122" s="7">
        <v>50</v>
      </c>
      <c r="F122" s="8" t="s">
        <v>471</v>
      </c>
    </row>
    <row r="123" spans="1:6" x14ac:dyDescent="0.2">
      <c r="A123" s="7">
        <v>11405</v>
      </c>
      <c r="B123" s="8">
        <f t="shared" si="1"/>
        <v>14</v>
      </c>
      <c r="C123" s="8">
        <v>10</v>
      </c>
      <c r="D123" s="8" t="s">
        <v>586</v>
      </c>
      <c r="E123" s="7">
        <v>50</v>
      </c>
      <c r="F123" s="8" t="s">
        <v>473</v>
      </c>
    </row>
    <row r="124" spans="1:6" x14ac:dyDescent="0.2">
      <c r="A124" s="7">
        <v>11406</v>
      </c>
      <c r="B124" s="8">
        <f t="shared" si="1"/>
        <v>14</v>
      </c>
      <c r="C124" s="8">
        <v>7</v>
      </c>
      <c r="D124" s="8" t="s">
        <v>587</v>
      </c>
      <c r="E124" s="7">
        <v>50</v>
      </c>
      <c r="F124" s="8" t="s">
        <v>475</v>
      </c>
    </row>
    <row r="125" spans="1:6" x14ac:dyDescent="0.2">
      <c r="A125" s="7">
        <v>11407</v>
      </c>
      <c r="B125" s="8">
        <f t="shared" si="1"/>
        <v>14</v>
      </c>
      <c r="C125" s="8">
        <v>8</v>
      </c>
      <c r="D125" s="8" t="s">
        <v>588</v>
      </c>
      <c r="E125" s="7">
        <v>50</v>
      </c>
      <c r="F125" s="8" t="s">
        <v>477</v>
      </c>
    </row>
    <row r="126" spans="1:6" x14ac:dyDescent="0.2">
      <c r="A126" s="7">
        <v>11408</v>
      </c>
      <c r="B126" s="8">
        <f t="shared" si="1"/>
        <v>14</v>
      </c>
      <c r="C126" s="8">
        <v>5</v>
      </c>
      <c r="D126" s="8" t="s">
        <v>589</v>
      </c>
      <c r="E126" s="7">
        <v>50</v>
      </c>
      <c r="F126" s="8" t="s">
        <v>479</v>
      </c>
    </row>
    <row r="127" spans="1:6" x14ac:dyDescent="0.2">
      <c r="A127" s="7">
        <v>11409</v>
      </c>
      <c r="B127" s="8">
        <f t="shared" si="1"/>
        <v>14</v>
      </c>
      <c r="C127" s="8">
        <v>9</v>
      </c>
      <c r="D127" s="8" t="s">
        <v>590</v>
      </c>
      <c r="E127" s="7">
        <v>50</v>
      </c>
      <c r="F127" s="8" t="s">
        <v>481</v>
      </c>
    </row>
    <row r="128" spans="1:6" x14ac:dyDescent="0.2">
      <c r="A128" s="7">
        <v>11501</v>
      </c>
      <c r="B128" s="8">
        <f t="shared" si="1"/>
        <v>15</v>
      </c>
      <c r="C128" s="8">
        <v>3</v>
      </c>
      <c r="D128" s="8" t="s">
        <v>591</v>
      </c>
      <c r="E128" s="9">
        <v>75</v>
      </c>
      <c r="F128" s="8" t="s">
        <v>466</v>
      </c>
    </row>
    <row r="129" spans="1:6" x14ac:dyDescent="0.2">
      <c r="A129" s="7">
        <v>11502</v>
      </c>
      <c r="B129" s="8">
        <f t="shared" si="1"/>
        <v>15</v>
      </c>
      <c r="C129" s="8">
        <v>2</v>
      </c>
      <c r="D129" s="8" t="s">
        <v>592</v>
      </c>
      <c r="E129" s="9">
        <v>75</v>
      </c>
      <c r="F129" s="8" t="s">
        <v>455</v>
      </c>
    </row>
    <row r="130" spans="1:6" x14ac:dyDescent="0.2">
      <c r="A130" s="7">
        <v>11503</v>
      </c>
      <c r="B130" s="8">
        <f t="shared" si="1"/>
        <v>15</v>
      </c>
      <c r="C130" s="8">
        <v>1001</v>
      </c>
      <c r="D130" s="8" t="s">
        <v>593</v>
      </c>
      <c r="E130" s="7">
        <v>50</v>
      </c>
      <c r="F130" s="8" t="s">
        <v>469</v>
      </c>
    </row>
    <row r="131" spans="1:6" x14ac:dyDescent="0.2">
      <c r="A131" s="7">
        <v>11504</v>
      </c>
      <c r="B131" s="8">
        <f t="shared" si="1"/>
        <v>15</v>
      </c>
      <c r="C131" s="8">
        <v>11</v>
      </c>
      <c r="D131" s="8" t="s">
        <v>594</v>
      </c>
      <c r="E131" s="7">
        <v>50</v>
      </c>
      <c r="F131" s="8" t="s">
        <v>471</v>
      </c>
    </row>
    <row r="132" spans="1:6" x14ac:dyDescent="0.2">
      <c r="A132" s="7">
        <v>11505</v>
      </c>
      <c r="B132" s="8">
        <f t="shared" si="1"/>
        <v>15</v>
      </c>
      <c r="C132" s="8">
        <v>10</v>
      </c>
      <c r="D132" s="8" t="s">
        <v>595</v>
      </c>
      <c r="E132" s="7">
        <v>50</v>
      </c>
      <c r="F132" s="8" t="s">
        <v>473</v>
      </c>
    </row>
    <row r="133" spans="1:6" x14ac:dyDescent="0.2">
      <c r="A133" s="7">
        <v>11506</v>
      </c>
      <c r="B133" s="8">
        <f t="shared" si="1"/>
        <v>15</v>
      </c>
      <c r="C133" s="8">
        <v>7</v>
      </c>
      <c r="D133" s="8" t="s">
        <v>596</v>
      </c>
      <c r="E133" s="7">
        <v>50</v>
      </c>
      <c r="F133" s="8" t="s">
        <v>475</v>
      </c>
    </row>
    <row r="134" spans="1:6" x14ac:dyDescent="0.2">
      <c r="A134" s="7">
        <v>11507</v>
      </c>
      <c r="B134" s="8">
        <f t="shared" si="1"/>
        <v>15</v>
      </c>
      <c r="C134" s="8">
        <v>8</v>
      </c>
      <c r="D134" s="8" t="s">
        <v>597</v>
      </c>
      <c r="E134" s="7">
        <v>50</v>
      </c>
      <c r="F134" s="8" t="s">
        <v>477</v>
      </c>
    </row>
    <row r="135" spans="1:6" x14ac:dyDescent="0.2">
      <c r="A135" s="7">
        <v>11508</v>
      </c>
      <c r="B135" s="8">
        <f t="shared" si="1"/>
        <v>15</v>
      </c>
      <c r="C135" s="8">
        <v>5</v>
      </c>
      <c r="D135" s="8" t="s">
        <v>598</v>
      </c>
      <c r="E135" s="7">
        <v>50</v>
      </c>
      <c r="F135" s="8" t="s">
        <v>479</v>
      </c>
    </row>
    <row r="136" spans="1:6" x14ac:dyDescent="0.2">
      <c r="A136" s="7">
        <v>11509</v>
      </c>
      <c r="B136" s="8">
        <f t="shared" si="1"/>
        <v>15</v>
      </c>
      <c r="C136" s="8">
        <v>9</v>
      </c>
      <c r="D136" s="8" t="s">
        <v>599</v>
      </c>
      <c r="E136" s="7">
        <v>50</v>
      </c>
      <c r="F136" s="8" t="s">
        <v>481</v>
      </c>
    </row>
    <row r="137" spans="1:6" x14ac:dyDescent="0.2">
      <c r="A137" s="7">
        <v>11601</v>
      </c>
      <c r="B137" s="8">
        <f t="shared" si="1"/>
        <v>16</v>
      </c>
      <c r="C137" s="8">
        <v>3</v>
      </c>
      <c r="D137" s="8" t="s">
        <v>600</v>
      </c>
      <c r="E137" s="9">
        <v>75</v>
      </c>
      <c r="F137" s="8" t="s">
        <v>466</v>
      </c>
    </row>
    <row r="138" spans="1:6" x14ac:dyDescent="0.2">
      <c r="A138" s="7">
        <v>11602</v>
      </c>
      <c r="B138" s="8">
        <f t="shared" si="1"/>
        <v>16</v>
      </c>
      <c r="C138" s="8">
        <v>2</v>
      </c>
      <c r="D138" s="8" t="s">
        <v>592</v>
      </c>
      <c r="E138" s="9">
        <v>75</v>
      </c>
      <c r="F138" s="8" t="s">
        <v>455</v>
      </c>
    </row>
    <row r="139" spans="1:6" x14ac:dyDescent="0.2">
      <c r="A139" s="7">
        <v>11603</v>
      </c>
      <c r="B139" s="8">
        <f t="shared" si="1"/>
        <v>16</v>
      </c>
      <c r="C139" s="8">
        <v>1001</v>
      </c>
      <c r="D139" s="8" t="s">
        <v>601</v>
      </c>
      <c r="E139" s="7">
        <v>50</v>
      </c>
      <c r="F139" s="8" t="s">
        <v>469</v>
      </c>
    </row>
    <row r="140" spans="1:6" x14ac:dyDescent="0.2">
      <c r="A140" s="7">
        <v>11604</v>
      </c>
      <c r="B140" s="8">
        <f t="shared" ref="B140:B203" si="2">B131+1</f>
        <v>16</v>
      </c>
      <c r="C140" s="8">
        <v>11</v>
      </c>
      <c r="D140" s="8" t="s">
        <v>602</v>
      </c>
      <c r="E140" s="7">
        <v>50</v>
      </c>
      <c r="F140" s="8" t="s">
        <v>471</v>
      </c>
    </row>
    <row r="141" spans="1:6" x14ac:dyDescent="0.2">
      <c r="A141" s="7">
        <v>11605</v>
      </c>
      <c r="B141" s="8">
        <f t="shared" si="2"/>
        <v>16</v>
      </c>
      <c r="C141" s="8">
        <v>10</v>
      </c>
      <c r="D141" s="8" t="s">
        <v>603</v>
      </c>
      <c r="E141" s="7">
        <v>50</v>
      </c>
      <c r="F141" s="8" t="s">
        <v>473</v>
      </c>
    </row>
    <row r="142" spans="1:6" x14ac:dyDescent="0.2">
      <c r="A142" s="7">
        <v>11606</v>
      </c>
      <c r="B142" s="8">
        <f t="shared" si="2"/>
        <v>16</v>
      </c>
      <c r="C142" s="8">
        <v>7</v>
      </c>
      <c r="D142" s="8" t="s">
        <v>604</v>
      </c>
      <c r="E142" s="7">
        <v>50</v>
      </c>
      <c r="F142" s="8" t="s">
        <v>475</v>
      </c>
    </row>
    <row r="143" spans="1:6" x14ac:dyDescent="0.2">
      <c r="A143" s="7">
        <v>11607</v>
      </c>
      <c r="B143" s="8">
        <f t="shared" si="2"/>
        <v>16</v>
      </c>
      <c r="C143" s="8">
        <v>8</v>
      </c>
      <c r="D143" s="8" t="s">
        <v>605</v>
      </c>
      <c r="E143" s="7">
        <v>50</v>
      </c>
      <c r="F143" s="8" t="s">
        <v>477</v>
      </c>
    </row>
    <row r="144" spans="1:6" x14ac:dyDescent="0.2">
      <c r="A144" s="7">
        <v>11608</v>
      </c>
      <c r="B144" s="8">
        <f t="shared" si="2"/>
        <v>16</v>
      </c>
      <c r="C144" s="8">
        <v>5</v>
      </c>
      <c r="D144" s="8" t="s">
        <v>606</v>
      </c>
      <c r="E144" s="7">
        <v>50</v>
      </c>
      <c r="F144" s="8" t="s">
        <v>479</v>
      </c>
    </row>
    <row r="145" spans="1:6" x14ac:dyDescent="0.2">
      <c r="A145" s="7">
        <v>11609</v>
      </c>
      <c r="B145" s="8">
        <f t="shared" si="2"/>
        <v>16</v>
      </c>
      <c r="C145" s="8">
        <v>9</v>
      </c>
      <c r="D145" s="8" t="s">
        <v>607</v>
      </c>
      <c r="E145" s="7">
        <v>50</v>
      </c>
      <c r="F145" s="8" t="s">
        <v>481</v>
      </c>
    </row>
    <row r="146" spans="1:6" x14ac:dyDescent="0.2">
      <c r="A146" s="7">
        <v>11701</v>
      </c>
      <c r="B146" s="8">
        <f t="shared" si="2"/>
        <v>17</v>
      </c>
      <c r="C146" s="8">
        <v>3</v>
      </c>
      <c r="D146" s="8" t="s">
        <v>608</v>
      </c>
      <c r="E146" s="9">
        <v>75</v>
      </c>
      <c r="F146" s="8" t="s">
        <v>466</v>
      </c>
    </row>
    <row r="147" spans="1:6" x14ac:dyDescent="0.2">
      <c r="A147" s="7">
        <v>11702</v>
      </c>
      <c r="B147" s="8">
        <f t="shared" si="2"/>
        <v>17</v>
      </c>
      <c r="C147" s="8">
        <v>2</v>
      </c>
      <c r="D147" s="8" t="s">
        <v>592</v>
      </c>
      <c r="E147" s="9">
        <v>75</v>
      </c>
      <c r="F147" s="8" t="s">
        <v>455</v>
      </c>
    </row>
    <row r="148" spans="1:6" x14ac:dyDescent="0.2">
      <c r="A148" s="7">
        <v>11703</v>
      </c>
      <c r="B148" s="8">
        <f t="shared" si="2"/>
        <v>17</v>
      </c>
      <c r="C148" s="8">
        <v>1001</v>
      </c>
      <c r="D148" s="8" t="s">
        <v>609</v>
      </c>
      <c r="E148" s="7">
        <v>50</v>
      </c>
      <c r="F148" s="8" t="s">
        <v>469</v>
      </c>
    </row>
    <row r="149" spans="1:6" x14ac:dyDescent="0.2">
      <c r="A149" s="7">
        <v>11704</v>
      </c>
      <c r="B149" s="8">
        <f t="shared" si="2"/>
        <v>17</v>
      </c>
      <c r="C149" s="8">
        <v>11</v>
      </c>
      <c r="D149" s="8" t="s">
        <v>610</v>
      </c>
      <c r="E149" s="7">
        <v>50</v>
      </c>
      <c r="F149" s="8" t="s">
        <v>471</v>
      </c>
    </row>
    <row r="150" spans="1:6" x14ac:dyDescent="0.2">
      <c r="A150" s="7">
        <v>11705</v>
      </c>
      <c r="B150" s="8">
        <f t="shared" si="2"/>
        <v>17</v>
      </c>
      <c r="C150" s="8">
        <v>10</v>
      </c>
      <c r="D150" s="8" t="s">
        <v>611</v>
      </c>
      <c r="E150" s="7">
        <v>50</v>
      </c>
      <c r="F150" s="8" t="s">
        <v>473</v>
      </c>
    </row>
    <row r="151" spans="1:6" x14ac:dyDescent="0.2">
      <c r="A151" s="7">
        <v>11706</v>
      </c>
      <c r="B151" s="8">
        <f t="shared" si="2"/>
        <v>17</v>
      </c>
      <c r="C151" s="8">
        <v>7</v>
      </c>
      <c r="D151" s="8" t="s">
        <v>612</v>
      </c>
      <c r="E151" s="7">
        <v>50</v>
      </c>
      <c r="F151" s="8" t="s">
        <v>475</v>
      </c>
    </row>
    <row r="152" spans="1:6" x14ac:dyDescent="0.2">
      <c r="A152" s="7">
        <v>11707</v>
      </c>
      <c r="B152" s="8">
        <f t="shared" si="2"/>
        <v>17</v>
      </c>
      <c r="C152" s="8">
        <v>8</v>
      </c>
      <c r="D152" s="8" t="s">
        <v>613</v>
      </c>
      <c r="E152" s="7">
        <v>50</v>
      </c>
      <c r="F152" s="8" t="s">
        <v>477</v>
      </c>
    </row>
    <row r="153" spans="1:6" x14ac:dyDescent="0.2">
      <c r="A153" s="7">
        <v>11708</v>
      </c>
      <c r="B153" s="8">
        <f t="shared" si="2"/>
        <v>17</v>
      </c>
      <c r="C153" s="8">
        <v>5</v>
      </c>
      <c r="D153" s="8" t="s">
        <v>614</v>
      </c>
      <c r="E153" s="7">
        <v>50</v>
      </c>
      <c r="F153" s="8" t="s">
        <v>479</v>
      </c>
    </row>
    <row r="154" spans="1:6" x14ac:dyDescent="0.2">
      <c r="A154" s="7">
        <v>11709</v>
      </c>
      <c r="B154" s="8">
        <f t="shared" si="2"/>
        <v>17</v>
      </c>
      <c r="C154" s="8">
        <v>9</v>
      </c>
      <c r="D154" s="8" t="s">
        <v>615</v>
      </c>
      <c r="E154" s="7">
        <v>50</v>
      </c>
      <c r="F154" s="8" t="s">
        <v>481</v>
      </c>
    </row>
    <row r="155" spans="1:6" x14ac:dyDescent="0.2">
      <c r="A155" s="7">
        <v>11801</v>
      </c>
      <c r="B155" s="8">
        <f t="shared" si="2"/>
        <v>18</v>
      </c>
      <c r="C155" s="8">
        <v>3</v>
      </c>
      <c r="D155" s="8" t="s">
        <v>616</v>
      </c>
      <c r="E155" s="9">
        <v>75</v>
      </c>
      <c r="F155" s="8" t="s">
        <v>466</v>
      </c>
    </row>
    <row r="156" spans="1:6" x14ac:dyDescent="0.2">
      <c r="A156" s="7">
        <v>11802</v>
      </c>
      <c r="B156" s="8">
        <f t="shared" si="2"/>
        <v>18</v>
      </c>
      <c r="C156" s="8">
        <v>2</v>
      </c>
      <c r="D156" s="8" t="s">
        <v>617</v>
      </c>
      <c r="E156" s="9">
        <v>75</v>
      </c>
      <c r="F156" s="8" t="s">
        <v>455</v>
      </c>
    </row>
    <row r="157" spans="1:6" x14ac:dyDescent="0.2">
      <c r="A157" s="7">
        <v>11803</v>
      </c>
      <c r="B157" s="8">
        <f t="shared" si="2"/>
        <v>18</v>
      </c>
      <c r="C157" s="8">
        <v>1001</v>
      </c>
      <c r="D157" s="8" t="s">
        <v>618</v>
      </c>
      <c r="E157" s="7">
        <v>50</v>
      </c>
      <c r="F157" s="8" t="s">
        <v>469</v>
      </c>
    </row>
    <row r="158" spans="1:6" x14ac:dyDescent="0.2">
      <c r="A158" s="7">
        <v>11804</v>
      </c>
      <c r="B158" s="8">
        <f t="shared" si="2"/>
        <v>18</v>
      </c>
      <c r="C158" s="8">
        <v>11</v>
      </c>
      <c r="D158" s="8" t="s">
        <v>619</v>
      </c>
      <c r="E158" s="7">
        <v>50</v>
      </c>
      <c r="F158" s="8" t="s">
        <v>471</v>
      </c>
    </row>
    <row r="159" spans="1:6" x14ac:dyDescent="0.2">
      <c r="A159" s="7">
        <v>11805</v>
      </c>
      <c r="B159" s="8">
        <f t="shared" si="2"/>
        <v>18</v>
      </c>
      <c r="C159" s="8">
        <v>10</v>
      </c>
      <c r="D159" s="8" t="s">
        <v>620</v>
      </c>
      <c r="E159" s="7">
        <v>50</v>
      </c>
      <c r="F159" s="8" t="s">
        <v>473</v>
      </c>
    </row>
    <row r="160" spans="1:6" x14ac:dyDescent="0.2">
      <c r="A160" s="7">
        <v>11806</v>
      </c>
      <c r="B160" s="8">
        <f t="shared" si="2"/>
        <v>18</v>
      </c>
      <c r="C160" s="8">
        <v>7</v>
      </c>
      <c r="D160" s="8" t="s">
        <v>621</v>
      </c>
      <c r="E160" s="7">
        <v>50</v>
      </c>
      <c r="F160" s="8" t="s">
        <v>475</v>
      </c>
    </row>
    <row r="161" spans="1:6" x14ac:dyDescent="0.2">
      <c r="A161" s="7">
        <v>11807</v>
      </c>
      <c r="B161" s="8">
        <f t="shared" si="2"/>
        <v>18</v>
      </c>
      <c r="C161" s="8">
        <v>8</v>
      </c>
      <c r="D161" s="8" t="s">
        <v>622</v>
      </c>
      <c r="E161" s="7">
        <v>50</v>
      </c>
      <c r="F161" s="8" t="s">
        <v>477</v>
      </c>
    </row>
    <row r="162" spans="1:6" x14ac:dyDescent="0.2">
      <c r="A162" s="7">
        <v>11808</v>
      </c>
      <c r="B162" s="8">
        <f t="shared" si="2"/>
        <v>18</v>
      </c>
      <c r="C162" s="8">
        <v>5</v>
      </c>
      <c r="D162" s="8" t="s">
        <v>623</v>
      </c>
      <c r="E162" s="7">
        <v>50</v>
      </c>
      <c r="F162" s="8" t="s">
        <v>479</v>
      </c>
    </row>
    <row r="163" spans="1:6" x14ac:dyDescent="0.2">
      <c r="A163" s="7">
        <v>11809</v>
      </c>
      <c r="B163" s="8">
        <f t="shared" si="2"/>
        <v>18</v>
      </c>
      <c r="C163" s="8">
        <v>9</v>
      </c>
      <c r="D163" s="8" t="s">
        <v>624</v>
      </c>
      <c r="E163" s="7">
        <v>50</v>
      </c>
      <c r="F163" s="8" t="s">
        <v>481</v>
      </c>
    </row>
    <row r="164" spans="1:6" x14ac:dyDescent="0.2">
      <c r="A164" s="7">
        <v>11901</v>
      </c>
      <c r="B164" s="8">
        <f t="shared" si="2"/>
        <v>19</v>
      </c>
      <c r="C164" s="8">
        <v>3</v>
      </c>
      <c r="D164" s="8" t="s">
        <v>625</v>
      </c>
      <c r="E164" s="9">
        <v>75</v>
      </c>
      <c r="F164" s="8" t="s">
        <v>466</v>
      </c>
    </row>
    <row r="165" spans="1:6" x14ac:dyDescent="0.2">
      <c r="A165" s="7">
        <v>11902</v>
      </c>
      <c r="B165" s="8">
        <f t="shared" si="2"/>
        <v>19</v>
      </c>
      <c r="C165" s="8">
        <v>2</v>
      </c>
      <c r="D165" s="8" t="s">
        <v>617</v>
      </c>
      <c r="E165" s="9">
        <v>75</v>
      </c>
      <c r="F165" s="8" t="s">
        <v>455</v>
      </c>
    </row>
    <row r="166" spans="1:6" x14ac:dyDescent="0.2">
      <c r="A166" s="7">
        <v>11903</v>
      </c>
      <c r="B166" s="8">
        <f t="shared" si="2"/>
        <v>19</v>
      </c>
      <c r="C166" s="8">
        <v>1001</v>
      </c>
      <c r="D166" s="8" t="s">
        <v>626</v>
      </c>
      <c r="E166" s="7">
        <v>50</v>
      </c>
      <c r="F166" s="8" t="s">
        <v>469</v>
      </c>
    </row>
    <row r="167" spans="1:6" x14ac:dyDescent="0.2">
      <c r="A167" s="7">
        <v>11904</v>
      </c>
      <c r="B167" s="8">
        <f t="shared" si="2"/>
        <v>19</v>
      </c>
      <c r="C167" s="8">
        <v>11</v>
      </c>
      <c r="D167" s="8" t="s">
        <v>627</v>
      </c>
      <c r="E167" s="7">
        <v>50</v>
      </c>
      <c r="F167" s="8" t="s">
        <v>471</v>
      </c>
    </row>
    <row r="168" spans="1:6" x14ac:dyDescent="0.2">
      <c r="A168" s="7">
        <v>11905</v>
      </c>
      <c r="B168" s="8">
        <f t="shared" si="2"/>
        <v>19</v>
      </c>
      <c r="C168" s="8">
        <v>10</v>
      </c>
      <c r="D168" s="8" t="s">
        <v>628</v>
      </c>
      <c r="E168" s="7">
        <v>50</v>
      </c>
      <c r="F168" s="8" t="s">
        <v>473</v>
      </c>
    </row>
    <row r="169" spans="1:6" x14ac:dyDescent="0.2">
      <c r="A169" s="7">
        <v>11906</v>
      </c>
      <c r="B169" s="8">
        <f t="shared" si="2"/>
        <v>19</v>
      </c>
      <c r="C169" s="8">
        <v>7</v>
      </c>
      <c r="D169" s="8" t="s">
        <v>629</v>
      </c>
      <c r="E169" s="7">
        <v>50</v>
      </c>
      <c r="F169" s="8" t="s">
        <v>475</v>
      </c>
    </row>
    <row r="170" spans="1:6" x14ac:dyDescent="0.2">
      <c r="A170" s="7">
        <v>11907</v>
      </c>
      <c r="B170" s="8">
        <f t="shared" si="2"/>
        <v>19</v>
      </c>
      <c r="C170" s="8">
        <v>8</v>
      </c>
      <c r="D170" s="8" t="s">
        <v>630</v>
      </c>
      <c r="E170" s="7">
        <v>50</v>
      </c>
      <c r="F170" s="8" t="s">
        <v>477</v>
      </c>
    </row>
    <row r="171" spans="1:6" x14ac:dyDescent="0.2">
      <c r="A171" s="7">
        <v>11908</v>
      </c>
      <c r="B171" s="8">
        <f t="shared" si="2"/>
        <v>19</v>
      </c>
      <c r="C171" s="8">
        <v>5</v>
      </c>
      <c r="D171" s="8" t="s">
        <v>631</v>
      </c>
      <c r="E171" s="7">
        <v>50</v>
      </c>
      <c r="F171" s="8" t="s">
        <v>479</v>
      </c>
    </row>
    <row r="172" spans="1:6" x14ac:dyDescent="0.2">
      <c r="A172" s="7">
        <v>11909</v>
      </c>
      <c r="B172" s="8">
        <f t="shared" si="2"/>
        <v>19</v>
      </c>
      <c r="C172" s="8">
        <v>9</v>
      </c>
      <c r="D172" s="8" t="s">
        <v>632</v>
      </c>
      <c r="E172" s="7">
        <v>50</v>
      </c>
      <c r="F172" s="8" t="s">
        <v>481</v>
      </c>
    </row>
    <row r="173" spans="1:6" x14ac:dyDescent="0.2">
      <c r="A173" s="7">
        <v>12001</v>
      </c>
      <c r="B173" s="8">
        <f t="shared" si="2"/>
        <v>20</v>
      </c>
      <c r="C173" s="8">
        <v>3</v>
      </c>
      <c r="D173" s="8" t="s">
        <v>38</v>
      </c>
      <c r="E173" s="9">
        <v>75</v>
      </c>
      <c r="F173" s="8" t="s">
        <v>466</v>
      </c>
    </row>
    <row r="174" spans="1:6" x14ac:dyDescent="0.2">
      <c r="A174" s="7">
        <v>12002</v>
      </c>
      <c r="B174" s="8">
        <f t="shared" si="2"/>
        <v>20</v>
      </c>
      <c r="C174" s="8">
        <v>2</v>
      </c>
      <c r="D174" s="8" t="s">
        <v>633</v>
      </c>
      <c r="E174" s="9">
        <v>75</v>
      </c>
      <c r="F174" s="8" t="s">
        <v>455</v>
      </c>
    </row>
    <row r="175" spans="1:6" x14ac:dyDescent="0.2">
      <c r="A175" s="7">
        <v>12003</v>
      </c>
      <c r="B175" s="8">
        <f t="shared" si="2"/>
        <v>20</v>
      </c>
      <c r="C175" s="8">
        <v>1001</v>
      </c>
      <c r="D175" s="8" t="s">
        <v>634</v>
      </c>
      <c r="E175" s="7">
        <v>50</v>
      </c>
      <c r="F175" s="8" t="s">
        <v>469</v>
      </c>
    </row>
    <row r="176" spans="1:6" x14ac:dyDescent="0.2">
      <c r="A176" s="7">
        <v>12004</v>
      </c>
      <c r="B176" s="8">
        <f t="shared" si="2"/>
        <v>20</v>
      </c>
      <c r="C176" s="8">
        <v>11</v>
      </c>
      <c r="D176" s="8" t="s">
        <v>635</v>
      </c>
      <c r="E176" s="7">
        <v>50</v>
      </c>
      <c r="F176" s="8" t="s">
        <v>471</v>
      </c>
    </row>
    <row r="177" spans="1:6" x14ac:dyDescent="0.2">
      <c r="A177" s="7">
        <v>12005</v>
      </c>
      <c r="B177" s="8">
        <f t="shared" si="2"/>
        <v>20</v>
      </c>
      <c r="C177" s="8">
        <v>10</v>
      </c>
      <c r="D177" s="8" t="s">
        <v>636</v>
      </c>
      <c r="E177" s="7">
        <v>50</v>
      </c>
      <c r="F177" s="8" t="s">
        <v>473</v>
      </c>
    </row>
    <row r="178" spans="1:6" x14ac:dyDescent="0.2">
      <c r="A178" s="7">
        <v>12006</v>
      </c>
      <c r="B178" s="8">
        <f t="shared" si="2"/>
        <v>20</v>
      </c>
      <c r="C178" s="8">
        <v>7</v>
      </c>
      <c r="D178" s="8" t="s">
        <v>637</v>
      </c>
      <c r="E178" s="7">
        <v>50</v>
      </c>
      <c r="F178" s="8" t="s">
        <v>475</v>
      </c>
    </row>
    <row r="179" spans="1:6" x14ac:dyDescent="0.2">
      <c r="A179" s="7">
        <v>12007</v>
      </c>
      <c r="B179" s="8">
        <f t="shared" si="2"/>
        <v>20</v>
      </c>
      <c r="C179" s="8">
        <v>8</v>
      </c>
      <c r="D179" s="8" t="s">
        <v>638</v>
      </c>
      <c r="E179" s="7">
        <v>50</v>
      </c>
      <c r="F179" s="8" t="s">
        <v>477</v>
      </c>
    </row>
    <row r="180" spans="1:6" x14ac:dyDescent="0.2">
      <c r="A180" s="7">
        <v>12008</v>
      </c>
      <c r="B180" s="8">
        <f t="shared" si="2"/>
        <v>20</v>
      </c>
      <c r="C180" s="8">
        <v>5</v>
      </c>
      <c r="D180" s="8" t="s">
        <v>639</v>
      </c>
      <c r="E180" s="7">
        <v>50</v>
      </c>
      <c r="F180" s="8" t="s">
        <v>479</v>
      </c>
    </row>
    <row r="181" spans="1:6" x14ac:dyDescent="0.2">
      <c r="A181" s="7">
        <v>12009</v>
      </c>
      <c r="B181" s="8">
        <f t="shared" si="2"/>
        <v>20</v>
      </c>
      <c r="C181" s="8">
        <v>9</v>
      </c>
      <c r="D181" s="8" t="s">
        <v>640</v>
      </c>
      <c r="E181" s="7">
        <v>50</v>
      </c>
      <c r="F181" s="8" t="s">
        <v>481</v>
      </c>
    </row>
    <row r="182" spans="1:6" x14ac:dyDescent="0.2">
      <c r="A182" s="7">
        <v>12101</v>
      </c>
      <c r="B182" s="8">
        <f t="shared" si="2"/>
        <v>21</v>
      </c>
      <c r="C182" s="8">
        <v>3</v>
      </c>
      <c r="D182" s="8" t="s">
        <v>641</v>
      </c>
      <c r="E182" s="9">
        <v>75</v>
      </c>
      <c r="F182" s="8" t="s">
        <v>466</v>
      </c>
    </row>
    <row r="183" spans="1:6" x14ac:dyDescent="0.2">
      <c r="A183" s="7">
        <v>12102</v>
      </c>
      <c r="B183" s="8">
        <f t="shared" si="2"/>
        <v>21</v>
      </c>
      <c r="C183" s="8">
        <v>2</v>
      </c>
      <c r="D183" s="8" t="s">
        <v>633</v>
      </c>
      <c r="E183" s="9">
        <v>75</v>
      </c>
      <c r="F183" s="8" t="s">
        <v>455</v>
      </c>
    </row>
    <row r="184" spans="1:6" x14ac:dyDescent="0.2">
      <c r="A184" s="7">
        <v>12103</v>
      </c>
      <c r="B184" s="8">
        <f t="shared" si="2"/>
        <v>21</v>
      </c>
      <c r="C184" s="8">
        <v>1001</v>
      </c>
      <c r="D184" s="8" t="s">
        <v>642</v>
      </c>
      <c r="E184" s="7">
        <v>50</v>
      </c>
      <c r="F184" s="8" t="s">
        <v>469</v>
      </c>
    </row>
    <row r="185" spans="1:6" x14ac:dyDescent="0.2">
      <c r="A185" s="7">
        <v>12104</v>
      </c>
      <c r="B185" s="8">
        <f t="shared" si="2"/>
        <v>21</v>
      </c>
      <c r="C185" s="8">
        <v>11</v>
      </c>
      <c r="D185" s="8" t="s">
        <v>643</v>
      </c>
      <c r="E185" s="7">
        <v>50</v>
      </c>
      <c r="F185" s="8" t="s">
        <v>471</v>
      </c>
    </row>
    <row r="186" spans="1:6" x14ac:dyDescent="0.2">
      <c r="A186" s="7">
        <v>12105</v>
      </c>
      <c r="B186" s="8">
        <f t="shared" si="2"/>
        <v>21</v>
      </c>
      <c r="C186" s="8">
        <v>10</v>
      </c>
      <c r="D186" s="8" t="s">
        <v>644</v>
      </c>
      <c r="E186" s="7">
        <v>50</v>
      </c>
      <c r="F186" s="8" t="s">
        <v>473</v>
      </c>
    </row>
    <row r="187" spans="1:6" x14ac:dyDescent="0.2">
      <c r="A187" s="7">
        <v>12106</v>
      </c>
      <c r="B187" s="8">
        <f t="shared" si="2"/>
        <v>21</v>
      </c>
      <c r="C187" s="8">
        <v>7</v>
      </c>
      <c r="D187" s="8" t="s">
        <v>645</v>
      </c>
      <c r="E187" s="7">
        <v>50</v>
      </c>
      <c r="F187" s="8" t="s">
        <v>475</v>
      </c>
    </row>
    <row r="188" spans="1:6" x14ac:dyDescent="0.2">
      <c r="A188" s="7">
        <v>12107</v>
      </c>
      <c r="B188" s="8">
        <f t="shared" si="2"/>
        <v>21</v>
      </c>
      <c r="C188" s="8">
        <v>8</v>
      </c>
      <c r="D188" s="8" t="s">
        <v>646</v>
      </c>
      <c r="E188" s="7">
        <v>50</v>
      </c>
      <c r="F188" s="8" t="s">
        <v>477</v>
      </c>
    </row>
    <row r="189" spans="1:6" x14ac:dyDescent="0.2">
      <c r="A189" s="7">
        <v>12108</v>
      </c>
      <c r="B189" s="8">
        <f t="shared" si="2"/>
        <v>21</v>
      </c>
      <c r="C189" s="8">
        <v>5</v>
      </c>
      <c r="D189" s="8" t="s">
        <v>647</v>
      </c>
      <c r="E189" s="7">
        <v>50</v>
      </c>
      <c r="F189" s="8" t="s">
        <v>479</v>
      </c>
    </row>
    <row r="190" spans="1:6" x14ac:dyDescent="0.2">
      <c r="A190" s="7">
        <v>12109</v>
      </c>
      <c r="B190" s="8">
        <f t="shared" si="2"/>
        <v>21</v>
      </c>
      <c r="C190" s="8">
        <v>9</v>
      </c>
      <c r="D190" s="8" t="s">
        <v>648</v>
      </c>
      <c r="E190" s="7">
        <v>50</v>
      </c>
      <c r="F190" s="8" t="s">
        <v>481</v>
      </c>
    </row>
    <row r="191" spans="1:6" x14ac:dyDescent="0.2">
      <c r="A191" s="7">
        <v>12201</v>
      </c>
      <c r="B191" s="8">
        <f t="shared" si="2"/>
        <v>22</v>
      </c>
      <c r="C191" s="8">
        <v>3</v>
      </c>
      <c r="D191" s="8" t="s">
        <v>649</v>
      </c>
      <c r="E191" s="9">
        <v>75</v>
      </c>
      <c r="F191" s="8" t="s">
        <v>466</v>
      </c>
    </row>
    <row r="192" spans="1:6" x14ac:dyDescent="0.2">
      <c r="A192" s="7">
        <v>12202</v>
      </c>
      <c r="B192" s="8">
        <f t="shared" si="2"/>
        <v>22</v>
      </c>
      <c r="C192" s="8">
        <v>2</v>
      </c>
      <c r="D192" s="8" t="s">
        <v>633</v>
      </c>
      <c r="E192" s="9">
        <v>75</v>
      </c>
      <c r="F192" s="8" t="s">
        <v>455</v>
      </c>
    </row>
    <row r="193" spans="1:6" x14ac:dyDescent="0.2">
      <c r="A193" s="7">
        <v>12203</v>
      </c>
      <c r="B193" s="8">
        <f t="shared" si="2"/>
        <v>22</v>
      </c>
      <c r="C193" s="8">
        <v>1001</v>
      </c>
      <c r="D193" s="8" t="s">
        <v>650</v>
      </c>
      <c r="E193" s="7">
        <v>50</v>
      </c>
      <c r="F193" s="8" t="s">
        <v>469</v>
      </c>
    </row>
    <row r="194" spans="1:6" x14ac:dyDescent="0.2">
      <c r="A194" s="7">
        <v>12204</v>
      </c>
      <c r="B194" s="8">
        <f t="shared" si="2"/>
        <v>22</v>
      </c>
      <c r="C194" s="8">
        <v>11</v>
      </c>
      <c r="D194" s="8" t="s">
        <v>651</v>
      </c>
      <c r="E194" s="7">
        <v>50</v>
      </c>
      <c r="F194" s="8" t="s">
        <v>471</v>
      </c>
    </row>
    <row r="195" spans="1:6" x14ac:dyDescent="0.2">
      <c r="A195" s="7">
        <v>12205</v>
      </c>
      <c r="B195" s="8">
        <f t="shared" si="2"/>
        <v>22</v>
      </c>
      <c r="C195" s="8">
        <v>10</v>
      </c>
      <c r="D195" s="8" t="s">
        <v>652</v>
      </c>
      <c r="E195" s="7">
        <v>50</v>
      </c>
      <c r="F195" s="8" t="s">
        <v>473</v>
      </c>
    </row>
    <row r="196" spans="1:6" x14ac:dyDescent="0.2">
      <c r="A196" s="7">
        <v>12206</v>
      </c>
      <c r="B196" s="8">
        <f t="shared" si="2"/>
        <v>22</v>
      </c>
      <c r="C196" s="8">
        <v>7</v>
      </c>
      <c r="D196" s="8" t="s">
        <v>653</v>
      </c>
      <c r="E196" s="7">
        <v>50</v>
      </c>
      <c r="F196" s="8" t="s">
        <v>475</v>
      </c>
    </row>
    <row r="197" spans="1:6" x14ac:dyDescent="0.2">
      <c r="A197" s="7">
        <v>12207</v>
      </c>
      <c r="B197" s="8">
        <f t="shared" si="2"/>
        <v>22</v>
      </c>
      <c r="C197" s="8">
        <v>8</v>
      </c>
      <c r="D197" s="8" t="s">
        <v>654</v>
      </c>
      <c r="E197" s="7">
        <v>50</v>
      </c>
      <c r="F197" s="8" t="s">
        <v>477</v>
      </c>
    </row>
    <row r="198" spans="1:6" x14ac:dyDescent="0.2">
      <c r="A198" s="7">
        <v>12208</v>
      </c>
      <c r="B198" s="8">
        <f t="shared" si="2"/>
        <v>22</v>
      </c>
      <c r="C198" s="8">
        <v>5</v>
      </c>
      <c r="D198" s="8" t="s">
        <v>655</v>
      </c>
      <c r="E198" s="7">
        <v>50</v>
      </c>
      <c r="F198" s="8" t="s">
        <v>479</v>
      </c>
    </row>
    <row r="199" spans="1:6" x14ac:dyDescent="0.2">
      <c r="A199" s="7">
        <v>12209</v>
      </c>
      <c r="B199" s="8">
        <f t="shared" si="2"/>
        <v>22</v>
      </c>
      <c r="C199" s="8">
        <v>9</v>
      </c>
      <c r="D199" s="8" t="s">
        <v>656</v>
      </c>
      <c r="E199" s="7">
        <v>50</v>
      </c>
      <c r="F199" s="8" t="s">
        <v>481</v>
      </c>
    </row>
    <row r="200" spans="1:6" x14ac:dyDescent="0.2">
      <c r="A200" s="7">
        <v>12301</v>
      </c>
      <c r="B200" s="8">
        <f t="shared" si="2"/>
        <v>23</v>
      </c>
      <c r="C200" s="8">
        <v>3</v>
      </c>
      <c r="D200" s="8" t="s">
        <v>203</v>
      </c>
      <c r="E200" s="9">
        <v>75</v>
      </c>
      <c r="F200" s="8" t="s">
        <v>466</v>
      </c>
    </row>
    <row r="201" spans="1:6" x14ac:dyDescent="0.2">
      <c r="A201" s="7">
        <v>12302</v>
      </c>
      <c r="B201" s="8">
        <f t="shared" si="2"/>
        <v>23</v>
      </c>
      <c r="C201" s="8">
        <v>2</v>
      </c>
      <c r="D201" s="8" t="s">
        <v>657</v>
      </c>
      <c r="E201" s="9">
        <v>75</v>
      </c>
      <c r="F201" s="8" t="s">
        <v>455</v>
      </c>
    </row>
    <row r="202" spans="1:6" x14ac:dyDescent="0.2">
      <c r="A202" s="7">
        <v>12303</v>
      </c>
      <c r="B202" s="8">
        <f t="shared" si="2"/>
        <v>23</v>
      </c>
      <c r="C202" s="8">
        <v>1001</v>
      </c>
      <c r="D202" s="8" t="s">
        <v>658</v>
      </c>
      <c r="E202" s="7">
        <v>50</v>
      </c>
      <c r="F202" s="8" t="s">
        <v>469</v>
      </c>
    </row>
    <row r="203" spans="1:6" x14ac:dyDescent="0.2">
      <c r="A203" s="7">
        <v>12304</v>
      </c>
      <c r="B203" s="8">
        <f t="shared" si="2"/>
        <v>23</v>
      </c>
      <c r="C203" s="8">
        <v>11</v>
      </c>
      <c r="D203" s="8" t="s">
        <v>659</v>
      </c>
      <c r="E203" s="7">
        <v>50</v>
      </c>
      <c r="F203" s="8" t="s">
        <v>471</v>
      </c>
    </row>
    <row r="204" spans="1:6" x14ac:dyDescent="0.2">
      <c r="A204" s="7">
        <v>12305</v>
      </c>
      <c r="B204" s="8">
        <f t="shared" ref="B204:B267" si="3">B195+1</f>
        <v>23</v>
      </c>
      <c r="C204" s="8">
        <v>10</v>
      </c>
      <c r="D204" s="8" t="s">
        <v>660</v>
      </c>
      <c r="E204" s="7">
        <v>50</v>
      </c>
      <c r="F204" s="8" t="s">
        <v>473</v>
      </c>
    </row>
    <row r="205" spans="1:6" x14ac:dyDescent="0.2">
      <c r="A205" s="7">
        <v>12306</v>
      </c>
      <c r="B205" s="8">
        <f t="shared" si="3"/>
        <v>23</v>
      </c>
      <c r="C205" s="8">
        <v>7</v>
      </c>
      <c r="D205" s="8" t="s">
        <v>661</v>
      </c>
      <c r="E205" s="7">
        <v>50</v>
      </c>
      <c r="F205" s="8" t="s">
        <v>475</v>
      </c>
    </row>
    <row r="206" spans="1:6" x14ac:dyDescent="0.2">
      <c r="A206" s="7">
        <v>12307</v>
      </c>
      <c r="B206" s="8">
        <f t="shared" si="3"/>
        <v>23</v>
      </c>
      <c r="C206" s="8">
        <v>8</v>
      </c>
      <c r="D206" s="8" t="s">
        <v>662</v>
      </c>
      <c r="E206" s="7">
        <v>50</v>
      </c>
      <c r="F206" s="8" t="s">
        <v>477</v>
      </c>
    </row>
    <row r="207" spans="1:6" x14ac:dyDescent="0.2">
      <c r="A207" s="7">
        <v>12308</v>
      </c>
      <c r="B207" s="8">
        <f t="shared" si="3"/>
        <v>23</v>
      </c>
      <c r="C207" s="8">
        <v>5</v>
      </c>
      <c r="D207" s="8" t="s">
        <v>663</v>
      </c>
      <c r="E207" s="7">
        <v>50</v>
      </c>
      <c r="F207" s="8" t="s">
        <v>479</v>
      </c>
    </row>
    <row r="208" spans="1:6" x14ac:dyDescent="0.2">
      <c r="A208" s="7">
        <v>12309</v>
      </c>
      <c r="B208" s="8">
        <f t="shared" si="3"/>
        <v>23</v>
      </c>
      <c r="C208" s="8">
        <v>9</v>
      </c>
      <c r="D208" s="8" t="s">
        <v>664</v>
      </c>
      <c r="E208" s="7">
        <v>50</v>
      </c>
      <c r="F208" s="8" t="s">
        <v>481</v>
      </c>
    </row>
    <row r="209" spans="1:6" x14ac:dyDescent="0.2">
      <c r="A209" s="7">
        <v>12401</v>
      </c>
      <c r="B209" s="8">
        <f t="shared" si="3"/>
        <v>24</v>
      </c>
      <c r="C209" s="8">
        <v>3</v>
      </c>
      <c r="D209" s="8" t="s">
        <v>665</v>
      </c>
      <c r="E209" s="9">
        <v>75</v>
      </c>
      <c r="F209" s="8" t="s">
        <v>466</v>
      </c>
    </row>
    <row r="210" spans="1:6" x14ac:dyDescent="0.2">
      <c r="A210" s="7">
        <v>12402</v>
      </c>
      <c r="B210" s="8">
        <f t="shared" si="3"/>
        <v>24</v>
      </c>
      <c r="C210" s="8">
        <v>2</v>
      </c>
      <c r="D210" s="8" t="s">
        <v>657</v>
      </c>
      <c r="E210" s="9">
        <v>75</v>
      </c>
      <c r="F210" s="8" t="s">
        <v>455</v>
      </c>
    </row>
    <row r="211" spans="1:6" x14ac:dyDescent="0.2">
      <c r="A211" s="7">
        <v>12403</v>
      </c>
      <c r="B211" s="8">
        <f t="shared" si="3"/>
        <v>24</v>
      </c>
      <c r="C211" s="8">
        <v>1001</v>
      </c>
      <c r="D211" s="8" t="s">
        <v>666</v>
      </c>
      <c r="E211" s="7">
        <v>50</v>
      </c>
      <c r="F211" s="8" t="s">
        <v>469</v>
      </c>
    </row>
    <row r="212" spans="1:6" x14ac:dyDescent="0.2">
      <c r="A212" s="7">
        <v>12404</v>
      </c>
      <c r="B212" s="8">
        <f t="shared" si="3"/>
        <v>24</v>
      </c>
      <c r="C212" s="8">
        <v>11</v>
      </c>
      <c r="D212" s="8" t="s">
        <v>667</v>
      </c>
      <c r="E212" s="7">
        <v>50</v>
      </c>
      <c r="F212" s="8" t="s">
        <v>471</v>
      </c>
    </row>
    <row r="213" spans="1:6" x14ac:dyDescent="0.2">
      <c r="A213" s="7">
        <v>12405</v>
      </c>
      <c r="B213" s="8">
        <f t="shared" si="3"/>
        <v>24</v>
      </c>
      <c r="C213" s="8">
        <v>10</v>
      </c>
      <c r="D213" s="8" t="s">
        <v>668</v>
      </c>
      <c r="E213" s="7">
        <v>50</v>
      </c>
      <c r="F213" s="8" t="s">
        <v>473</v>
      </c>
    </row>
    <row r="214" spans="1:6" x14ac:dyDescent="0.2">
      <c r="A214" s="7">
        <v>12406</v>
      </c>
      <c r="B214" s="8">
        <f t="shared" si="3"/>
        <v>24</v>
      </c>
      <c r="C214" s="8">
        <v>7</v>
      </c>
      <c r="D214" s="8" t="s">
        <v>669</v>
      </c>
      <c r="E214" s="7">
        <v>50</v>
      </c>
      <c r="F214" s="8" t="s">
        <v>475</v>
      </c>
    </row>
    <row r="215" spans="1:6" x14ac:dyDescent="0.2">
      <c r="A215" s="7">
        <v>12407</v>
      </c>
      <c r="B215" s="8">
        <f t="shared" si="3"/>
        <v>24</v>
      </c>
      <c r="C215" s="8">
        <v>8</v>
      </c>
      <c r="D215" s="8" t="s">
        <v>670</v>
      </c>
      <c r="E215" s="7">
        <v>50</v>
      </c>
      <c r="F215" s="8" t="s">
        <v>477</v>
      </c>
    </row>
    <row r="216" spans="1:6" x14ac:dyDescent="0.2">
      <c r="A216" s="7">
        <v>12408</v>
      </c>
      <c r="B216" s="8">
        <f t="shared" si="3"/>
        <v>24</v>
      </c>
      <c r="C216" s="8">
        <v>5</v>
      </c>
      <c r="D216" s="8" t="s">
        <v>671</v>
      </c>
      <c r="E216" s="7">
        <v>50</v>
      </c>
      <c r="F216" s="8" t="s">
        <v>479</v>
      </c>
    </row>
    <row r="217" spans="1:6" x14ac:dyDescent="0.2">
      <c r="A217" s="7">
        <v>12409</v>
      </c>
      <c r="B217" s="8">
        <f t="shared" si="3"/>
        <v>24</v>
      </c>
      <c r="C217" s="8">
        <v>9</v>
      </c>
      <c r="D217" s="8" t="s">
        <v>672</v>
      </c>
      <c r="E217" s="7">
        <v>50</v>
      </c>
      <c r="F217" s="8" t="s">
        <v>481</v>
      </c>
    </row>
    <row r="218" spans="1:6" x14ac:dyDescent="0.2">
      <c r="A218" s="7">
        <v>12501</v>
      </c>
      <c r="B218" s="8">
        <f t="shared" si="3"/>
        <v>25</v>
      </c>
      <c r="C218" s="8">
        <v>3</v>
      </c>
      <c r="D218" s="8" t="s">
        <v>673</v>
      </c>
      <c r="E218" s="9">
        <v>75</v>
      </c>
      <c r="F218" s="8" t="s">
        <v>466</v>
      </c>
    </row>
    <row r="219" spans="1:6" x14ac:dyDescent="0.2">
      <c r="A219" s="7">
        <v>12502</v>
      </c>
      <c r="B219" s="8">
        <f t="shared" si="3"/>
        <v>25</v>
      </c>
      <c r="C219" s="8">
        <v>2</v>
      </c>
      <c r="D219" s="8" t="s">
        <v>674</v>
      </c>
      <c r="E219" s="9">
        <v>75</v>
      </c>
      <c r="F219" s="8" t="s">
        <v>455</v>
      </c>
    </row>
    <row r="220" spans="1:6" x14ac:dyDescent="0.2">
      <c r="A220" s="7">
        <v>12503</v>
      </c>
      <c r="B220" s="8">
        <f t="shared" si="3"/>
        <v>25</v>
      </c>
      <c r="C220" s="8">
        <v>1001</v>
      </c>
      <c r="D220" s="8" t="s">
        <v>675</v>
      </c>
      <c r="E220" s="7">
        <v>50</v>
      </c>
      <c r="F220" s="8" t="s">
        <v>469</v>
      </c>
    </row>
    <row r="221" spans="1:6" x14ac:dyDescent="0.2">
      <c r="A221" s="7">
        <v>12504</v>
      </c>
      <c r="B221" s="8">
        <f t="shared" si="3"/>
        <v>25</v>
      </c>
      <c r="C221" s="8">
        <v>11</v>
      </c>
      <c r="D221" s="8" t="s">
        <v>676</v>
      </c>
      <c r="E221" s="7">
        <v>50</v>
      </c>
      <c r="F221" s="8" t="s">
        <v>471</v>
      </c>
    </row>
    <row r="222" spans="1:6" x14ac:dyDescent="0.2">
      <c r="A222" s="7">
        <v>12505</v>
      </c>
      <c r="B222" s="8">
        <f t="shared" si="3"/>
        <v>25</v>
      </c>
      <c r="C222" s="8">
        <v>10</v>
      </c>
      <c r="D222" s="8" t="s">
        <v>677</v>
      </c>
      <c r="E222" s="7">
        <v>50</v>
      </c>
      <c r="F222" s="8" t="s">
        <v>473</v>
      </c>
    </row>
    <row r="223" spans="1:6" x14ac:dyDescent="0.2">
      <c r="A223" s="7">
        <v>12506</v>
      </c>
      <c r="B223" s="8">
        <f t="shared" si="3"/>
        <v>25</v>
      </c>
      <c r="C223" s="8">
        <v>7</v>
      </c>
      <c r="D223" s="8" t="s">
        <v>678</v>
      </c>
      <c r="E223" s="7">
        <v>50</v>
      </c>
      <c r="F223" s="8" t="s">
        <v>475</v>
      </c>
    </row>
    <row r="224" spans="1:6" x14ac:dyDescent="0.2">
      <c r="A224" s="7">
        <v>12507</v>
      </c>
      <c r="B224" s="8">
        <f t="shared" si="3"/>
        <v>25</v>
      </c>
      <c r="C224" s="8">
        <v>8</v>
      </c>
      <c r="D224" s="8" t="s">
        <v>679</v>
      </c>
      <c r="E224" s="7">
        <v>50</v>
      </c>
      <c r="F224" s="8" t="s">
        <v>477</v>
      </c>
    </row>
    <row r="225" spans="1:6" x14ac:dyDescent="0.2">
      <c r="A225" s="7">
        <v>12508</v>
      </c>
      <c r="B225" s="8">
        <f t="shared" si="3"/>
        <v>25</v>
      </c>
      <c r="C225" s="8">
        <v>5</v>
      </c>
      <c r="D225" s="8" t="s">
        <v>680</v>
      </c>
      <c r="E225" s="7">
        <v>50</v>
      </c>
      <c r="F225" s="8" t="s">
        <v>479</v>
      </c>
    </row>
    <row r="226" spans="1:6" x14ac:dyDescent="0.2">
      <c r="A226" s="7">
        <v>12509</v>
      </c>
      <c r="B226" s="8">
        <f t="shared" si="3"/>
        <v>25</v>
      </c>
      <c r="C226" s="8">
        <v>9</v>
      </c>
      <c r="D226" s="8" t="s">
        <v>681</v>
      </c>
      <c r="E226" s="7">
        <v>50</v>
      </c>
      <c r="F226" s="8" t="s">
        <v>481</v>
      </c>
    </row>
    <row r="227" spans="1:6" x14ac:dyDescent="0.2">
      <c r="A227" s="7">
        <v>12601</v>
      </c>
      <c r="B227" s="8">
        <f t="shared" si="3"/>
        <v>26</v>
      </c>
      <c r="C227" s="8">
        <v>3</v>
      </c>
      <c r="D227" s="8" t="s">
        <v>682</v>
      </c>
      <c r="E227" s="9">
        <v>75</v>
      </c>
      <c r="F227" s="8" t="s">
        <v>466</v>
      </c>
    </row>
    <row r="228" spans="1:6" x14ac:dyDescent="0.2">
      <c r="A228" s="7">
        <v>12602</v>
      </c>
      <c r="B228" s="8">
        <f t="shared" si="3"/>
        <v>26</v>
      </c>
      <c r="C228" s="8">
        <v>2</v>
      </c>
      <c r="D228" s="8" t="s">
        <v>674</v>
      </c>
      <c r="E228" s="9">
        <v>75</v>
      </c>
      <c r="F228" s="8" t="s">
        <v>455</v>
      </c>
    </row>
    <row r="229" spans="1:6" x14ac:dyDescent="0.2">
      <c r="A229" s="7">
        <v>12603</v>
      </c>
      <c r="B229" s="8">
        <f t="shared" si="3"/>
        <v>26</v>
      </c>
      <c r="C229" s="8">
        <v>1001</v>
      </c>
      <c r="D229" s="8" t="s">
        <v>683</v>
      </c>
      <c r="E229" s="7">
        <v>50</v>
      </c>
      <c r="F229" s="8" t="s">
        <v>469</v>
      </c>
    </row>
    <row r="230" spans="1:6" x14ac:dyDescent="0.2">
      <c r="A230" s="7">
        <v>12604</v>
      </c>
      <c r="B230" s="8">
        <f t="shared" si="3"/>
        <v>26</v>
      </c>
      <c r="C230" s="8">
        <v>11</v>
      </c>
      <c r="D230" s="8" t="s">
        <v>684</v>
      </c>
      <c r="E230" s="7">
        <v>50</v>
      </c>
      <c r="F230" s="8" t="s">
        <v>471</v>
      </c>
    </row>
    <row r="231" spans="1:6" x14ac:dyDescent="0.2">
      <c r="A231" s="7">
        <v>12605</v>
      </c>
      <c r="B231" s="8">
        <f t="shared" si="3"/>
        <v>26</v>
      </c>
      <c r="C231" s="8">
        <v>10</v>
      </c>
      <c r="D231" s="8" t="s">
        <v>685</v>
      </c>
      <c r="E231" s="7">
        <v>50</v>
      </c>
      <c r="F231" s="8" t="s">
        <v>473</v>
      </c>
    </row>
    <row r="232" spans="1:6" x14ac:dyDescent="0.2">
      <c r="A232" s="7">
        <v>12606</v>
      </c>
      <c r="B232" s="8">
        <f t="shared" si="3"/>
        <v>26</v>
      </c>
      <c r="C232" s="8">
        <v>7</v>
      </c>
      <c r="D232" s="8" t="s">
        <v>686</v>
      </c>
      <c r="E232" s="7">
        <v>50</v>
      </c>
      <c r="F232" s="8" t="s">
        <v>475</v>
      </c>
    </row>
    <row r="233" spans="1:6" x14ac:dyDescent="0.2">
      <c r="A233" s="7">
        <v>12607</v>
      </c>
      <c r="B233" s="8">
        <f t="shared" si="3"/>
        <v>26</v>
      </c>
      <c r="C233" s="8">
        <v>8</v>
      </c>
      <c r="D233" s="8" t="s">
        <v>687</v>
      </c>
      <c r="E233" s="7">
        <v>50</v>
      </c>
      <c r="F233" s="8" t="s">
        <v>477</v>
      </c>
    </row>
    <row r="234" spans="1:6" x14ac:dyDescent="0.2">
      <c r="A234" s="7">
        <v>12608</v>
      </c>
      <c r="B234" s="8">
        <f t="shared" si="3"/>
        <v>26</v>
      </c>
      <c r="C234" s="8">
        <v>5</v>
      </c>
      <c r="D234" s="8" t="s">
        <v>688</v>
      </c>
      <c r="E234" s="7">
        <v>50</v>
      </c>
      <c r="F234" s="8" t="s">
        <v>479</v>
      </c>
    </row>
    <row r="235" spans="1:6" x14ac:dyDescent="0.2">
      <c r="A235" s="7">
        <v>12609</v>
      </c>
      <c r="B235" s="8">
        <f t="shared" si="3"/>
        <v>26</v>
      </c>
      <c r="C235" s="8">
        <v>9</v>
      </c>
      <c r="D235" s="8" t="s">
        <v>689</v>
      </c>
      <c r="E235" s="7">
        <v>50</v>
      </c>
      <c r="F235" s="8" t="s">
        <v>481</v>
      </c>
    </row>
    <row r="236" spans="1:6" x14ac:dyDescent="0.2">
      <c r="A236" s="7">
        <v>12701</v>
      </c>
      <c r="B236" s="8">
        <f t="shared" si="3"/>
        <v>27</v>
      </c>
      <c r="C236" s="8">
        <v>3</v>
      </c>
      <c r="D236" s="8" t="s">
        <v>690</v>
      </c>
      <c r="E236" s="9">
        <v>75</v>
      </c>
      <c r="F236" s="8" t="s">
        <v>466</v>
      </c>
    </row>
    <row r="237" spans="1:6" x14ac:dyDescent="0.2">
      <c r="A237" s="7">
        <v>12702</v>
      </c>
      <c r="B237" s="8">
        <f t="shared" si="3"/>
        <v>27</v>
      </c>
      <c r="C237" s="8">
        <v>2</v>
      </c>
      <c r="D237" s="8" t="s">
        <v>674</v>
      </c>
      <c r="E237" s="9">
        <v>75</v>
      </c>
      <c r="F237" s="8" t="s">
        <v>455</v>
      </c>
    </row>
    <row r="238" spans="1:6" x14ac:dyDescent="0.2">
      <c r="A238" s="7">
        <v>12703</v>
      </c>
      <c r="B238" s="8">
        <f t="shared" si="3"/>
        <v>27</v>
      </c>
      <c r="C238" s="8">
        <v>1001</v>
      </c>
      <c r="D238" s="8" t="s">
        <v>691</v>
      </c>
      <c r="E238" s="7">
        <v>50</v>
      </c>
      <c r="F238" s="8" t="s">
        <v>469</v>
      </c>
    </row>
    <row r="239" spans="1:6" x14ac:dyDescent="0.2">
      <c r="A239" s="7">
        <v>12704</v>
      </c>
      <c r="B239" s="8">
        <f t="shared" si="3"/>
        <v>27</v>
      </c>
      <c r="C239" s="8">
        <v>11</v>
      </c>
      <c r="D239" s="8" t="s">
        <v>692</v>
      </c>
      <c r="E239" s="7">
        <v>50</v>
      </c>
      <c r="F239" s="8" t="s">
        <v>471</v>
      </c>
    </row>
    <row r="240" spans="1:6" x14ac:dyDescent="0.2">
      <c r="A240" s="7">
        <v>12705</v>
      </c>
      <c r="B240" s="8">
        <f t="shared" si="3"/>
        <v>27</v>
      </c>
      <c r="C240" s="8">
        <v>10</v>
      </c>
      <c r="D240" s="8" t="s">
        <v>693</v>
      </c>
      <c r="E240" s="7">
        <v>50</v>
      </c>
      <c r="F240" s="8" t="s">
        <v>473</v>
      </c>
    </row>
    <row r="241" spans="1:6" x14ac:dyDescent="0.2">
      <c r="A241" s="7">
        <v>12706</v>
      </c>
      <c r="B241" s="8">
        <f t="shared" si="3"/>
        <v>27</v>
      </c>
      <c r="C241" s="8">
        <v>7</v>
      </c>
      <c r="D241" s="8" t="s">
        <v>694</v>
      </c>
      <c r="E241" s="7">
        <v>50</v>
      </c>
      <c r="F241" s="8" t="s">
        <v>475</v>
      </c>
    </row>
    <row r="242" spans="1:6" x14ac:dyDescent="0.2">
      <c r="A242" s="7">
        <v>12707</v>
      </c>
      <c r="B242" s="8">
        <f t="shared" si="3"/>
        <v>27</v>
      </c>
      <c r="C242" s="8">
        <v>8</v>
      </c>
      <c r="D242" s="8" t="s">
        <v>695</v>
      </c>
      <c r="E242" s="7">
        <v>50</v>
      </c>
      <c r="F242" s="8" t="s">
        <v>477</v>
      </c>
    </row>
    <row r="243" spans="1:6" x14ac:dyDescent="0.2">
      <c r="A243" s="7">
        <v>12708</v>
      </c>
      <c r="B243" s="8">
        <f t="shared" si="3"/>
        <v>27</v>
      </c>
      <c r="C243" s="8">
        <v>5</v>
      </c>
      <c r="D243" s="8" t="s">
        <v>696</v>
      </c>
      <c r="E243" s="7">
        <v>50</v>
      </c>
      <c r="F243" s="8" t="s">
        <v>479</v>
      </c>
    </row>
    <row r="244" spans="1:6" x14ac:dyDescent="0.2">
      <c r="A244" s="7">
        <v>12709</v>
      </c>
      <c r="B244" s="8">
        <f t="shared" si="3"/>
        <v>27</v>
      </c>
      <c r="C244" s="8">
        <v>9</v>
      </c>
      <c r="D244" s="8" t="s">
        <v>697</v>
      </c>
      <c r="E244" s="7">
        <v>50</v>
      </c>
      <c r="F244" s="8" t="s">
        <v>481</v>
      </c>
    </row>
    <row r="245" spans="1:6" x14ac:dyDescent="0.2">
      <c r="A245" s="7">
        <v>12801</v>
      </c>
      <c r="B245" s="8">
        <f t="shared" si="3"/>
        <v>28</v>
      </c>
      <c r="C245" s="8">
        <v>3</v>
      </c>
      <c r="D245" s="8" t="s">
        <v>698</v>
      </c>
      <c r="E245" s="9">
        <v>75</v>
      </c>
      <c r="F245" s="8" t="s">
        <v>466</v>
      </c>
    </row>
    <row r="246" spans="1:6" x14ac:dyDescent="0.2">
      <c r="A246" s="7">
        <v>12802</v>
      </c>
      <c r="B246" s="8">
        <f t="shared" si="3"/>
        <v>28</v>
      </c>
      <c r="C246" s="8">
        <v>2</v>
      </c>
      <c r="D246" s="8" t="s">
        <v>699</v>
      </c>
      <c r="E246" s="9">
        <v>75</v>
      </c>
      <c r="F246" s="8" t="s">
        <v>455</v>
      </c>
    </row>
    <row r="247" spans="1:6" x14ac:dyDescent="0.2">
      <c r="A247" s="7">
        <v>12803</v>
      </c>
      <c r="B247" s="8">
        <f t="shared" si="3"/>
        <v>28</v>
      </c>
      <c r="C247" s="8">
        <v>1001</v>
      </c>
      <c r="D247" s="8" t="s">
        <v>700</v>
      </c>
      <c r="E247" s="7">
        <v>50</v>
      </c>
      <c r="F247" s="8" t="s">
        <v>469</v>
      </c>
    </row>
    <row r="248" spans="1:6" x14ac:dyDescent="0.2">
      <c r="A248" s="7">
        <v>12804</v>
      </c>
      <c r="B248" s="8">
        <f t="shared" si="3"/>
        <v>28</v>
      </c>
      <c r="C248" s="8">
        <v>11</v>
      </c>
      <c r="D248" s="8" t="s">
        <v>701</v>
      </c>
      <c r="E248" s="7">
        <v>50</v>
      </c>
      <c r="F248" s="8" t="s">
        <v>471</v>
      </c>
    </row>
    <row r="249" spans="1:6" x14ac:dyDescent="0.2">
      <c r="A249" s="7">
        <v>12805</v>
      </c>
      <c r="B249" s="8">
        <f t="shared" si="3"/>
        <v>28</v>
      </c>
      <c r="C249" s="8">
        <v>10</v>
      </c>
      <c r="D249" s="8" t="s">
        <v>702</v>
      </c>
      <c r="E249" s="7">
        <v>50</v>
      </c>
      <c r="F249" s="8" t="s">
        <v>473</v>
      </c>
    </row>
    <row r="250" spans="1:6" x14ac:dyDescent="0.2">
      <c r="A250" s="7">
        <v>12806</v>
      </c>
      <c r="B250" s="8">
        <f t="shared" si="3"/>
        <v>28</v>
      </c>
      <c r="C250" s="8">
        <v>7</v>
      </c>
      <c r="D250" s="8" t="s">
        <v>703</v>
      </c>
      <c r="E250" s="7">
        <v>50</v>
      </c>
      <c r="F250" s="8" t="s">
        <v>475</v>
      </c>
    </row>
    <row r="251" spans="1:6" x14ac:dyDescent="0.2">
      <c r="A251" s="7">
        <v>12807</v>
      </c>
      <c r="B251" s="8">
        <f t="shared" si="3"/>
        <v>28</v>
      </c>
      <c r="C251" s="8">
        <v>8</v>
      </c>
      <c r="D251" s="8" t="s">
        <v>704</v>
      </c>
      <c r="E251" s="7">
        <v>50</v>
      </c>
      <c r="F251" s="8" t="s">
        <v>477</v>
      </c>
    </row>
    <row r="252" spans="1:6" x14ac:dyDescent="0.2">
      <c r="A252" s="7">
        <v>12808</v>
      </c>
      <c r="B252" s="8">
        <f t="shared" si="3"/>
        <v>28</v>
      </c>
      <c r="C252" s="8">
        <v>5</v>
      </c>
      <c r="D252" s="8" t="s">
        <v>705</v>
      </c>
      <c r="E252" s="7">
        <v>50</v>
      </c>
      <c r="F252" s="8" t="s">
        <v>479</v>
      </c>
    </row>
    <row r="253" spans="1:6" x14ac:dyDescent="0.2">
      <c r="A253" s="7">
        <v>12809</v>
      </c>
      <c r="B253" s="8">
        <f t="shared" si="3"/>
        <v>28</v>
      </c>
      <c r="C253" s="8">
        <v>9</v>
      </c>
      <c r="D253" s="8" t="s">
        <v>706</v>
      </c>
      <c r="E253" s="7">
        <v>50</v>
      </c>
      <c r="F253" s="8" t="s">
        <v>481</v>
      </c>
    </row>
    <row r="254" spans="1:6" x14ac:dyDescent="0.2">
      <c r="A254" s="7">
        <v>12901</v>
      </c>
      <c r="B254" s="8">
        <f t="shared" si="3"/>
        <v>29</v>
      </c>
      <c r="C254" s="8">
        <v>3</v>
      </c>
      <c r="D254" s="8" t="s">
        <v>707</v>
      </c>
      <c r="E254" s="9">
        <v>75</v>
      </c>
      <c r="F254" s="8" t="s">
        <v>466</v>
      </c>
    </row>
    <row r="255" spans="1:6" x14ac:dyDescent="0.2">
      <c r="A255" s="7">
        <v>12902</v>
      </c>
      <c r="B255" s="8">
        <f t="shared" si="3"/>
        <v>29</v>
      </c>
      <c r="C255" s="8">
        <v>2</v>
      </c>
      <c r="D255" s="8" t="s">
        <v>699</v>
      </c>
      <c r="E255" s="9">
        <v>75</v>
      </c>
      <c r="F255" s="8" t="s">
        <v>455</v>
      </c>
    </row>
    <row r="256" spans="1:6" x14ac:dyDescent="0.2">
      <c r="A256" s="7">
        <v>12903</v>
      </c>
      <c r="B256" s="8">
        <f t="shared" si="3"/>
        <v>29</v>
      </c>
      <c r="C256" s="8">
        <v>1001</v>
      </c>
      <c r="D256" s="8" t="s">
        <v>708</v>
      </c>
      <c r="E256" s="7">
        <v>50</v>
      </c>
      <c r="F256" s="8" t="s">
        <v>469</v>
      </c>
    </row>
    <row r="257" spans="1:6" x14ac:dyDescent="0.2">
      <c r="A257" s="7">
        <v>12904</v>
      </c>
      <c r="B257" s="8">
        <f t="shared" si="3"/>
        <v>29</v>
      </c>
      <c r="C257" s="8">
        <v>11</v>
      </c>
      <c r="D257" s="8" t="s">
        <v>709</v>
      </c>
      <c r="E257" s="7">
        <v>50</v>
      </c>
      <c r="F257" s="8" t="s">
        <v>471</v>
      </c>
    </row>
    <row r="258" spans="1:6" x14ac:dyDescent="0.2">
      <c r="A258" s="7">
        <v>12905</v>
      </c>
      <c r="B258" s="8">
        <f t="shared" si="3"/>
        <v>29</v>
      </c>
      <c r="C258" s="8">
        <v>10</v>
      </c>
      <c r="D258" s="8" t="s">
        <v>710</v>
      </c>
      <c r="E258" s="7">
        <v>50</v>
      </c>
      <c r="F258" s="8" t="s">
        <v>473</v>
      </c>
    </row>
    <row r="259" spans="1:6" x14ac:dyDescent="0.2">
      <c r="A259" s="7">
        <v>12906</v>
      </c>
      <c r="B259" s="8">
        <f t="shared" si="3"/>
        <v>29</v>
      </c>
      <c r="C259" s="8">
        <v>7</v>
      </c>
      <c r="D259" s="8" t="s">
        <v>711</v>
      </c>
      <c r="E259" s="7">
        <v>50</v>
      </c>
      <c r="F259" s="8" t="s">
        <v>475</v>
      </c>
    </row>
    <row r="260" spans="1:6" x14ac:dyDescent="0.2">
      <c r="A260" s="7">
        <v>12907</v>
      </c>
      <c r="B260" s="8">
        <f t="shared" si="3"/>
        <v>29</v>
      </c>
      <c r="C260" s="8">
        <v>8</v>
      </c>
      <c r="D260" s="8" t="s">
        <v>712</v>
      </c>
      <c r="E260" s="7">
        <v>50</v>
      </c>
      <c r="F260" s="8" t="s">
        <v>477</v>
      </c>
    </row>
    <row r="261" spans="1:6" x14ac:dyDescent="0.2">
      <c r="A261" s="7">
        <v>12908</v>
      </c>
      <c r="B261" s="8">
        <f t="shared" si="3"/>
        <v>29</v>
      </c>
      <c r="C261" s="8">
        <v>5</v>
      </c>
      <c r="D261" s="8" t="s">
        <v>713</v>
      </c>
      <c r="E261" s="7">
        <v>50</v>
      </c>
      <c r="F261" s="8" t="s">
        <v>479</v>
      </c>
    </row>
    <row r="262" spans="1:6" x14ac:dyDescent="0.2">
      <c r="A262" s="7">
        <v>12909</v>
      </c>
      <c r="B262" s="8">
        <f t="shared" si="3"/>
        <v>29</v>
      </c>
      <c r="C262" s="8">
        <v>9</v>
      </c>
      <c r="D262" s="8" t="s">
        <v>714</v>
      </c>
      <c r="E262" s="7">
        <v>50</v>
      </c>
      <c r="F262" s="8" t="s">
        <v>481</v>
      </c>
    </row>
    <row r="263" spans="1:6" x14ac:dyDescent="0.2">
      <c r="A263" s="7">
        <v>13001</v>
      </c>
      <c r="B263" s="8">
        <f t="shared" si="3"/>
        <v>30</v>
      </c>
      <c r="C263" s="8">
        <v>3</v>
      </c>
      <c r="D263" s="8" t="s">
        <v>715</v>
      </c>
      <c r="E263" s="9">
        <v>75</v>
      </c>
      <c r="F263" s="8" t="s">
        <v>466</v>
      </c>
    </row>
    <row r="264" spans="1:6" x14ac:dyDescent="0.2">
      <c r="A264" s="7">
        <v>13002</v>
      </c>
      <c r="B264" s="8">
        <f t="shared" si="3"/>
        <v>30</v>
      </c>
      <c r="C264" s="8">
        <v>2</v>
      </c>
      <c r="D264" s="8" t="s">
        <v>716</v>
      </c>
      <c r="E264" s="9">
        <v>75</v>
      </c>
      <c r="F264" s="8" t="s">
        <v>455</v>
      </c>
    </row>
    <row r="265" spans="1:6" x14ac:dyDescent="0.2">
      <c r="A265" s="7">
        <v>13003</v>
      </c>
      <c r="B265" s="8">
        <f t="shared" si="3"/>
        <v>30</v>
      </c>
      <c r="C265" s="8">
        <v>1001</v>
      </c>
      <c r="D265" s="8" t="s">
        <v>717</v>
      </c>
      <c r="E265" s="7">
        <v>50</v>
      </c>
      <c r="F265" s="8" t="s">
        <v>469</v>
      </c>
    </row>
    <row r="266" spans="1:6" x14ac:dyDescent="0.2">
      <c r="A266" s="7">
        <v>13004</v>
      </c>
      <c r="B266" s="8">
        <f t="shared" si="3"/>
        <v>30</v>
      </c>
      <c r="C266" s="8">
        <v>11</v>
      </c>
      <c r="D266" s="8" t="s">
        <v>718</v>
      </c>
      <c r="E266" s="7">
        <v>50</v>
      </c>
      <c r="F266" s="8" t="s">
        <v>471</v>
      </c>
    </row>
    <row r="267" spans="1:6" x14ac:dyDescent="0.2">
      <c r="A267" s="7">
        <v>13005</v>
      </c>
      <c r="B267" s="8">
        <f t="shared" si="3"/>
        <v>30</v>
      </c>
      <c r="C267" s="8">
        <v>10</v>
      </c>
      <c r="D267" s="8" t="s">
        <v>719</v>
      </c>
      <c r="E267" s="7">
        <v>50</v>
      </c>
      <c r="F267" s="8" t="s">
        <v>473</v>
      </c>
    </row>
    <row r="268" spans="1:6" x14ac:dyDescent="0.2">
      <c r="A268" s="7">
        <v>13006</v>
      </c>
      <c r="B268" s="8">
        <f t="shared" ref="B268:B331" si="4">B259+1</f>
        <v>30</v>
      </c>
      <c r="C268" s="8">
        <v>7</v>
      </c>
      <c r="D268" s="8" t="s">
        <v>720</v>
      </c>
      <c r="E268" s="7">
        <v>50</v>
      </c>
      <c r="F268" s="8" t="s">
        <v>475</v>
      </c>
    </row>
    <row r="269" spans="1:6" x14ac:dyDescent="0.2">
      <c r="A269" s="7">
        <v>13007</v>
      </c>
      <c r="B269" s="8">
        <f t="shared" si="4"/>
        <v>30</v>
      </c>
      <c r="C269" s="8">
        <v>8</v>
      </c>
      <c r="D269" s="8" t="s">
        <v>721</v>
      </c>
      <c r="E269" s="7">
        <v>50</v>
      </c>
      <c r="F269" s="8" t="s">
        <v>477</v>
      </c>
    </row>
    <row r="270" spans="1:6" x14ac:dyDescent="0.2">
      <c r="A270" s="7">
        <v>13008</v>
      </c>
      <c r="B270" s="8">
        <f t="shared" si="4"/>
        <v>30</v>
      </c>
      <c r="C270" s="8">
        <v>5</v>
      </c>
      <c r="D270" s="8" t="s">
        <v>722</v>
      </c>
      <c r="E270" s="7">
        <v>50</v>
      </c>
      <c r="F270" s="8" t="s">
        <v>479</v>
      </c>
    </row>
    <row r="271" spans="1:6" x14ac:dyDescent="0.2">
      <c r="A271" s="7">
        <v>13009</v>
      </c>
      <c r="B271" s="8">
        <f t="shared" si="4"/>
        <v>30</v>
      </c>
      <c r="C271" s="8">
        <v>9</v>
      </c>
      <c r="D271" s="8" t="s">
        <v>723</v>
      </c>
      <c r="E271" s="7">
        <v>50</v>
      </c>
      <c r="F271" s="8" t="s">
        <v>481</v>
      </c>
    </row>
    <row r="272" spans="1:6" x14ac:dyDescent="0.2">
      <c r="A272" s="7">
        <v>13101</v>
      </c>
      <c r="B272" s="8">
        <f t="shared" si="4"/>
        <v>31</v>
      </c>
      <c r="C272" s="8">
        <v>3</v>
      </c>
      <c r="D272" s="8" t="s">
        <v>724</v>
      </c>
      <c r="E272" s="9">
        <v>75</v>
      </c>
      <c r="F272" s="8" t="s">
        <v>466</v>
      </c>
    </row>
    <row r="273" spans="1:6" x14ac:dyDescent="0.2">
      <c r="A273" s="7">
        <v>13102</v>
      </c>
      <c r="B273" s="8">
        <f t="shared" si="4"/>
        <v>31</v>
      </c>
      <c r="C273" s="8">
        <v>2</v>
      </c>
      <c r="D273" s="8" t="s">
        <v>716</v>
      </c>
      <c r="E273" s="9">
        <v>75</v>
      </c>
      <c r="F273" s="8" t="s">
        <v>455</v>
      </c>
    </row>
    <row r="274" spans="1:6" x14ac:dyDescent="0.2">
      <c r="A274" s="7">
        <v>13103</v>
      </c>
      <c r="B274" s="8">
        <f t="shared" si="4"/>
        <v>31</v>
      </c>
      <c r="C274" s="8">
        <v>1001</v>
      </c>
      <c r="D274" s="8" t="s">
        <v>725</v>
      </c>
      <c r="E274" s="7">
        <v>50</v>
      </c>
      <c r="F274" s="8" t="s">
        <v>469</v>
      </c>
    </row>
    <row r="275" spans="1:6" x14ac:dyDescent="0.2">
      <c r="A275" s="7">
        <v>13104</v>
      </c>
      <c r="B275" s="8">
        <f t="shared" si="4"/>
        <v>31</v>
      </c>
      <c r="C275" s="8">
        <v>11</v>
      </c>
      <c r="D275" s="8" t="s">
        <v>726</v>
      </c>
      <c r="E275" s="7">
        <v>50</v>
      </c>
      <c r="F275" s="8" t="s">
        <v>471</v>
      </c>
    </row>
    <row r="276" spans="1:6" x14ac:dyDescent="0.2">
      <c r="A276" s="7">
        <v>13105</v>
      </c>
      <c r="B276" s="8">
        <f t="shared" si="4"/>
        <v>31</v>
      </c>
      <c r="C276" s="8">
        <v>10</v>
      </c>
      <c r="D276" s="8" t="s">
        <v>727</v>
      </c>
      <c r="E276" s="7">
        <v>50</v>
      </c>
      <c r="F276" s="8" t="s">
        <v>473</v>
      </c>
    </row>
    <row r="277" spans="1:6" x14ac:dyDescent="0.2">
      <c r="A277" s="7">
        <v>13106</v>
      </c>
      <c r="B277" s="8">
        <f t="shared" si="4"/>
        <v>31</v>
      </c>
      <c r="C277" s="8">
        <v>7</v>
      </c>
      <c r="D277" s="8" t="s">
        <v>728</v>
      </c>
      <c r="E277" s="7">
        <v>50</v>
      </c>
      <c r="F277" s="8" t="s">
        <v>475</v>
      </c>
    </row>
    <row r="278" spans="1:6" x14ac:dyDescent="0.2">
      <c r="A278" s="7">
        <v>13107</v>
      </c>
      <c r="B278" s="8">
        <f t="shared" si="4"/>
        <v>31</v>
      </c>
      <c r="C278" s="8">
        <v>8</v>
      </c>
      <c r="D278" s="8" t="s">
        <v>729</v>
      </c>
      <c r="E278" s="7">
        <v>50</v>
      </c>
      <c r="F278" s="8" t="s">
        <v>477</v>
      </c>
    </row>
    <row r="279" spans="1:6" x14ac:dyDescent="0.2">
      <c r="A279" s="7">
        <v>13108</v>
      </c>
      <c r="B279" s="8">
        <f t="shared" si="4"/>
        <v>31</v>
      </c>
      <c r="C279" s="8">
        <v>5</v>
      </c>
      <c r="D279" s="8" t="s">
        <v>730</v>
      </c>
      <c r="E279" s="7">
        <v>50</v>
      </c>
      <c r="F279" s="8" t="s">
        <v>479</v>
      </c>
    </row>
    <row r="280" spans="1:6" x14ac:dyDescent="0.2">
      <c r="A280" s="7">
        <v>13109</v>
      </c>
      <c r="B280" s="8">
        <f t="shared" si="4"/>
        <v>31</v>
      </c>
      <c r="C280" s="8">
        <v>9</v>
      </c>
      <c r="D280" s="8" t="s">
        <v>731</v>
      </c>
      <c r="E280" s="7">
        <v>50</v>
      </c>
      <c r="F280" s="8" t="s">
        <v>481</v>
      </c>
    </row>
    <row r="281" spans="1:6" x14ac:dyDescent="0.2">
      <c r="A281" s="7">
        <v>13201</v>
      </c>
      <c r="B281" s="8">
        <f t="shared" si="4"/>
        <v>32</v>
      </c>
      <c r="C281" s="8">
        <v>3</v>
      </c>
      <c r="D281" s="8" t="s">
        <v>732</v>
      </c>
      <c r="E281" s="9">
        <v>75</v>
      </c>
      <c r="F281" s="8" t="s">
        <v>466</v>
      </c>
    </row>
    <row r="282" spans="1:6" x14ac:dyDescent="0.2">
      <c r="A282" s="7">
        <v>13202</v>
      </c>
      <c r="B282" s="8">
        <f t="shared" si="4"/>
        <v>32</v>
      </c>
      <c r="C282" s="8">
        <v>2</v>
      </c>
      <c r="D282" s="8" t="s">
        <v>716</v>
      </c>
      <c r="E282" s="9">
        <v>75</v>
      </c>
      <c r="F282" s="8" t="s">
        <v>455</v>
      </c>
    </row>
    <row r="283" spans="1:6" x14ac:dyDescent="0.2">
      <c r="A283" s="7">
        <v>13203</v>
      </c>
      <c r="B283" s="8">
        <f t="shared" si="4"/>
        <v>32</v>
      </c>
      <c r="C283" s="8">
        <v>1001</v>
      </c>
      <c r="D283" s="8" t="s">
        <v>733</v>
      </c>
      <c r="E283" s="7">
        <v>50</v>
      </c>
      <c r="F283" s="8" t="s">
        <v>469</v>
      </c>
    </row>
    <row r="284" spans="1:6" x14ac:dyDescent="0.2">
      <c r="A284" s="7">
        <v>13204</v>
      </c>
      <c r="B284" s="8">
        <f t="shared" si="4"/>
        <v>32</v>
      </c>
      <c r="C284" s="8">
        <v>11</v>
      </c>
      <c r="D284" s="8" t="s">
        <v>734</v>
      </c>
      <c r="E284" s="7">
        <v>50</v>
      </c>
      <c r="F284" s="8" t="s">
        <v>471</v>
      </c>
    </row>
    <row r="285" spans="1:6" x14ac:dyDescent="0.2">
      <c r="A285" s="7">
        <v>13205</v>
      </c>
      <c r="B285" s="8">
        <f t="shared" si="4"/>
        <v>32</v>
      </c>
      <c r="C285" s="8">
        <v>10</v>
      </c>
      <c r="D285" s="8" t="s">
        <v>735</v>
      </c>
      <c r="E285" s="7">
        <v>50</v>
      </c>
      <c r="F285" s="8" t="s">
        <v>473</v>
      </c>
    </row>
    <row r="286" spans="1:6" x14ac:dyDescent="0.2">
      <c r="A286" s="7">
        <v>13206</v>
      </c>
      <c r="B286" s="8">
        <f t="shared" si="4"/>
        <v>32</v>
      </c>
      <c r="C286" s="8">
        <v>7</v>
      </c>
      <c r="D286" s="8" t="s">
        <v>736</v>
      </c>
      <c r="E286" s="7">
        <v>50</v>
      </c>
      <c r="F286" s="8" t="s">
        <v>475</v>
      </c>
    </row>
    <row r="287" spans="1:6" x14ac:dyDescent="0.2">
      <c r="A287" s="7">
        <v>13207</v>
      </c>
      <c r="B287" s="8">
        <f t="shared" si="4"/>
        <v>32</v>
      </c>
      <c r="C287" s="8">
        <v>8</v>
      </c>
      <c r="D287" s="8" t="s">
        <v>737</v>
      </c>
      <c r="E287" s="7">
        <v>50</v>
      </c>
      <c r="F287" s="8" t="s">
        <v>477</v>
      </c>
    </row>
    <row r="288" spans="1:6" x14ac:dyDescent="0.2">
      <c r="A288" s="7">
        <v>13208</v>
      </c>
      <c r="B288" s="8">
        <f t="shared" si="4"/>
        <v>32</v>
      </c>
      <c r="C288" s="8">
        <v>5</v>
      </c>
      <c r="D288" s="8" t="s">
        <v>738</v>
      </c>
      <c r="E288" s="7">
        <v>50</v>
      </c>
      <c r="F288" s="8" t="s">
        <v>479</v>
      </c>
    </row>
    <row r="289" spans="1:6" x14ac:dyDescent="0.2">
      <c r="A289" s="7">
        <v>13209</v>
      </c>
      <c r="B289" s="8">
        <f t="shared" si="4"/>
        <v>32</v>
      </c>
      <c r="C289" s="8">
        <v>9</v>
      </c>
      <c r="D289" s="8" t="s">
        <v>739</v>
      </c>
      <c r="E289" s="7">
        <v>50</v>
      </c>
      <c r="F289" s="8" t="s">
        <v>481</v>
      </c>
    </row>
    <row r="290" spans="1:6" x14ac:dyDescent="0.2">
      <c r="A290" s="7">
        <v>13301</v>
      </c>
      <c r="B290" s="8">
        <f t="shared" si="4"/>
        <v>33</v>
      </c>
      <c r="C290" s="8">
        <v>3</v>
      </c>
      <c r="D290" s="8" t="s">
        <v>740</v>
      </c>
      <c r="E290" s="9">
        <v>75</v>
      </c>
      <c r="F290" s="8" t="s">
        <v>466</v>
      </c>
    </row>
    <row r="291" spans="1:6" x14ac:dyDescent="0.2">
      <c r="A291" s="7">
        <v>13302</v>
      </c>
      <c r="B291" s="8">
        <f t="shared" si="4"/>
        <v>33</v>
      </c>
      <c r="C291" s="8">
        <v>2</v>
      </c>
      <c r="D291" s="8" t="s">
        <v>741</v>
      </c>
      <c r="E291" s="9">
        <v>75</v>
      </c>
      <c r="F291" s="8" t="s">
        <v>455</v>
      </c>
    </row>
    <row r="292" spans="1:6" x14ac:dyDescent="0.2">
      <c r="A292" s="7">
        <v>13303</v>
      </c>
      <c r="B292" s="8">
        <f t="shared" si="4"/>
        <v>33</v>
      </c>
      <c r="C292" s="8">
        <v>1001</v>
      </c>
      <c r="D292" s="8" t="s">
        <v>742</v>
      </c>
      <c r="E292" s="7">
        <v>50</v>
      </c>
      <c r="F292" s="8" t="s">
        <v>469</v>
      </c>
    </row>
    <row r="293" spans="1:6" x14ac:dyDescent="0.2">
      <c r="A293" s="7">
        <v>13304</v>
      </c>
      <c r="B293" s="8">
        <f t="shared" si="4"/>
        <v>33</v>
      </c>
      <c r="C293" s="8">
        <v>11</v>
      </c>
      <c r="D293" s="8" t="s">
        <v>743</v>
      </c>
      <c r="E293" s="7">
        <v>50</v>
      </c>
      <c r="F293" s="8" t="s">
        <v>471</v>
      </c>
    </row>
    <row r="294" spans="1:6" x14ac:dyDescent="0.2">
      <c r="A294" s="7">
        <v>13305</v>
      </c>
      <c r="B294" s="8">
        <f t="shared" si="4"/>
        <v>33</v>
      </c>
      <c r="C294" s="8">
        <v>10</v>
      </c>
      <c r="D294" s="8" t="s">
        <v>744</v>
      </c>
      <c r="E294" s="7">
        <v>50</v>
      </c>
      <c r="F294" s="8" t="s">
        <v>473</v>
      </c>
    </row>
    <row r="295" spans="1:6" x14ac:dyDescent="0.2">
      <c r="A295" s="7">
        <v>13306</v>
      </c>
      <c r="B295" s="8">
        <f t="shared" si="4"/>
        <v>33</v>
      </c>
      <c r="C295" s="8">
        <v>7</v>
      </c>
      <c r="D295" s="8" t="s">
        <v>745</v>
      </c>
      <c r="E295" s="7">
        <v>50</v>
      </c>
      <c r="F295" s="8" t="s">
        <v>475</v>
      </c>
    </row>
    <row r="296" spans="1:6" x14ac:dyDescent="0.2">
      <c r="A296" s="7">
        <v>13307</v>
      </c>
      <c r="B296" s="8">
        <f t="shared" si="4"/>
        <v>33</v>
      </c>
      <c r="C296" s="8">
        <v>8</v>
      </c>
      <c r="D296" s="8" t="s">
        <v>746</v>
      </c>
      <c r="E296" s="7">
        <v>50</v>
      </c>
      <c r="F296" s="8" t="s">
        <v>477</v>
      </c>
    </row>
    <row r="297" spans="1:6" x14ac:dyDescent="0.2">
      <c r="A297" s="7">
        <v>13308</v>
      </c>
      <c r="B297" s="8">
        <f t="shared" si="4"/>
        <v>33</v>
      </c>
      <c r="C297" s="8">
        <v>5</v>
      </c>
      <c r="D297" s="8" t="s">
        <v>747</v>
      </c>
      <c r="E297" s="7">
        <v>50</v>
      </c>
      <c r="F297" s="8" t="s">
        <v>479</v>
      </c>
    </row>
    <row r="298" spans="1:6" x14ac:dyDescent="0.2">
      <c r="A298" s="7">
        <v>13309</v>
      </c>
      <c r="B298" s="8">
        <f t="shared" si="4"/>
        <v>33</v>
      </c>
      <c r="C298" s="8">
        <v>9</v>
      </c>
      <c r="D298" s="8" t="s">
        <v>748</v>
      </c>
      <c r="E298" s="7">
        <v>50</v>
      </c>
      <c r="F298" s="8" t="s">
        <v>481</v>
      </c>
    </row>
    <row r="299" spans="1:6" x14ac:dyDescent="0.2">
      <c r="A299" s="7">
        <v>13401</v>
      </c>
      <c r="B299" s="8">
        <f t="shared" si="4"/>
        <v>34</v>
      </c>
      <c r="C299" s="8">
        <v>3</v>
      </c>
      <c r="D299" s="8" t="s">
        <v>749</v>
      </c>
      <c r="E299" s="9">
        <v>75</v>
      </c>
      <c r="F299" s="8" t="s">
        <v>466</v>
      </c>
    </row>
    <row r="300" spans="1:6" x14ac:dyDescent="0.2">
      <c r="A300" s="7">
        <v>13402</v>
      </c>
      <c r="B300" s="8">
        <f t="shared" si="4"/>
        <v>34</v>
      </c>
      <c r="C300" s="8">
        <v>2</v>
      </c>
      <c r="D300" s="8" t="s">
        <v>741</v>
      </c>
      <c r="E300" s="9">
        <v>75</v>
      </c>
      <c r="F300" s="8" t="s">
        <v>455</v>
      </c>
    </row>
    <row r="301" spans="1:6" x14ac:dyDescent="0.2">
      <c r="A301" s="7">
        <v>13403</v>
      </c>
      <c r="B301" s="8">
        <f t="shared" si="4"/>
        <v>34</v>
      </c>
      <c r="C301" s="8">
        <v>1001</v>
      </c>
      <c r="D301" s="8" t="s">
        <v>750</v>
      </c>
      <c r="E301" s="7">
        <v>50</v>
      </c>
      <c r="F301" s="8" t="s">
        <v>469</v>
      </c>
    </row>
    <row r="302" spans="1:6" x14ac:dyDescent="0.2">
      <c r="A302" s="7">
        <v>13404</v>
      </c>
      <c r="B302" s="8">
        <f t="shared" si="4"/>
        <v>34</v>
      </c>
      <c r="C302" s="8">
        <v>11</v>
      </c>
      <c r="D302" s="8" t="s">
        <v>751</v>
      </c>
      <c r="E302" s="7">
        <v>50</v>
      </c>
      <c r="F302" s="8" t="s">
        <v>471</v>
      </c>
    </row>
    <row r="303" spans="1:6" x14ac:dyDescent="0.2">
      <c r="A303" s="7">
        <v>13405</v>
      </c>
      <c r="B303" s="8">
        <f t="shared" si="4"/>
        <v>34</v>
      </c>
      <c r="C303" s="8">
        <v>10</v>
      </c>
      <c r="D303" s="8" t="s">
        <v>752</v>
      </c>
      <c r="E303" s="7">
        <v>50</v>
      </c>
      <c r="F303" s="8" t="s">
        <v>473</v>
      </c>
    </row>
    <row r="304" spans="1:6" x14ac:dyDescent="0.2">
      <c r="A304" s="7">
        <v>13406</v>
      </c>
      <c r="B304" s="8">
        <f t="shared" si="4"/>
        <v>34</v>
      </c>
      <c r="C304" s="8">
        <v>7</v>
      </c>
      <c r="D304" s="8" t="s">
        <v>753</v>
      </c>
      <c r="E304" s="7">
        <v>50</v>
      </c>
      <c r="F304" s="8" t="s">
        <v>475</v>
      </c>
    </row>
    <row r="305" spans="1:6" x14ac:dyDescent="0.2">
      <c r="A305" s="7">
        <v>13407</v>
      </c>
      <c r="B305" s="8">
        <f t="shared" si="4"/>
        <v>34</v>
      </c>
      <c r="C305" s="8">
        <v>8</v>
      </c>
      <c r="D305" s="8" t="s">
        <v>754</v>
      </c>
      <c r="E305" s="7">
        <v>50</v>
      </c>
      <c r="F305" s="8" t="s">
        <v>477</v>
      </c>
    </row>
    <row r="306" spans="1:6" x14ac:dyDescent="0.2">
      <c r="A306" s="7">
        <v>13408</v>
      </c>
      <c r="B306" s="8">
        <f t="shared" si="4"/>
        <v>34</v>
      </c>
      <c r="C306" s="8">
        <v>5</v>
      </c>
      <c r="D306" s="8" t="s">
        <v>755</v>
      </c>
      <c r="E306" s="7">
        <v>50</v>
      </c>
      <c r="F306" s="8" t="s">
        <v>479</v>
      </c>
    </row>
    <row r="307" spans="1:6" x14ac:dyDescent="0.2">
      <c r="A307" s="7">
        <v>13409</v>
      </c>
      <c r="B307" s="8">
        <f t="shared" si="4"/>
        <v>34</v>
      </c>
      <c r="C307" s="8">
        <v>9</v>
      </c>
      <c r="D307" s="8" t="s">
        <v>756</v>
      </c>
      <c r="E307" s="7">
        <v>50</v>
      </c>
      <c r="F307" s="8" t="s">
        <v>481</v>
      </c>
    </row>
    <row r="308" spans="1:6" x14ac:dyDescent="0.2">
      <c r="A308" s="7">
        <v>13501</v>
      </c>
      <c r="B308" s="8">
        <f t="shared" si="4"/>
        <v>35</v>
      </c>
      <c r="C308" s="8">
        <v>3</v>
      </c>
      <c r="D308" s="8" t="s">
        <v>757</v>
      </c>
      <c r="E308" s="9">
        <v>75</v>
      </c>
      <c r="F308" s="8" t="s">
        <v>466</v>
      </c>
    </row>
    <row r="309" spans="1:6" x14ac:dyDescent="0.2">
      <c r="A309" s="7">
        <v>13502</v>
      </c>
      <c r="B309" s="8">
        <f t="shared" si="4"/>
        <v>35</v>
      </c>
      <c r="C309" s="8">
        <v>2</v>
      </c>
      <c r="D309" s="8" t="s">
        <v>758</v>
      </c>
      <c r="E309" s="9">
        <v>75</v>
      </c>
      <c r="F309" s="8" t="s">
        <v>455</v>
      </c>
    </row>
    <row r="310" spans="1:6" x14ac:dyDescent="0.2">
      <c r="A310" s="7">
        <v>13503</v>
      </c>
      <c r="B310" s="8">
        <f t="shared" si="4"/>
        <v>35</v>
      </c>
      <c r="C310" s="8">
        <v>1001</v>
      </c>
      <c r="D310" s="8" t="s">
        <v>759</v>
      </c>
      <c r="E310" s="7">
        <v>50</v>
      </c>
      <c r="F310" s="8" t="s">
        <v>469</v>
      </c>
    </row>
    <row r="311" spans="1:6" x14ac:dyDescent="0.2">
      <c r="A311" s="7">
        <v>13504</v>
      </c>
      <c r="B311" s="8">
        <f t="shared" si="4"/>
        <v>35</v>
      </c>
      <c r="C311" s="8">
        <v>11</v>
      </c>
      <c r="D311" s="8" t="s">
        <v>760</v>
      </c>
      <c r="E311" s="7">
        <v>50</v>
      </c>
      <c r="F311" s="8" t="s">
        <v>471</v>
      </c>
    </row>
    <row r="312" spans="1:6" x14ac:dyDescent="0.2">
      <c r="A312" s="7">
        <v>13505</v>
      </c>
      <c r="B312" s="8">
        <f t="shared" si="4"/>
        <v>35</v>
      </c>
      <c r="C312" s="8">
        <v>10</v>
      </c>
      <c r="D312" s="8" t="s">
        <v>761</v>
      </c>
      <c r="E312" s="7">
        <v>50</v>
      </c>
      <c r="F312" s="8" t="s">
        <v>473</v>
      </c>
    </row>
    <row r="313" spans="1:6" x14ac:dyDescent="0.2">
      <c r="A313" s="7">
        <v>13506</v>
      </c>
      <c r="B313" s="8">
        <f t="shared" si="4"/>
        <v>35</v>
      </c>
      <c r="C313" s="8">
        <v>7</v>
      </c>
      <c r="D313" s="8" t="s">
        <v>762</v>
      </c>
      <c r="E313" s="7">
        <v>50</v>
      </c>
      <c r="F313" s="8" t="s">
        <v>475</v>
      </c>
    </row>
    <row r="314" spans="1:6" x14ac:dyDescent="0.2">
      <c r="A314" s="7">
        <v>13507</v>
      </c>
      <c r="B314" s="8">
        <f t="shared" si="4"/>
        <v>35</v>
      </c>
      <c r="C314" s="8">
        <v>8</v>
      </c>
      <c r="D314" s="8" t="s">
        <v>763</v>
      </c>
      <c r="E314" s="7">
        <v>50</v>
      </c>
      <c r="F314" s="8" t="s">
        <v>477</v>
      </c>
    </row>
    <row r="315" spans="1:6" x14ac:dyDescent="0.2">
      <c r="A315" s="7">
        <v>13508</v>
      </c>
      <c r="B315" s="8">
        <f t="shared" si="4"/>
        <v>35</v>
      </c>
      <c r="C315" s="8">
        <v>5</v>
      </c>
      <c r="D315" s="8" t="s">
        <v>764</v>
      </c>
      <c r="E315" s="7">
        <v>50</v>
      </c>
      <c r="F315" s="8" t="s">
        <v>479</v>
      </c>
    </row>
    <row r="316" spans="1:6" x14ac:dyDescent="0.2">
      <c r="A316" s="7">
        <v>13509</v>
      </c>
      <c r="B316" s="8">
        <f t="shared" si="4"/>
        <v>35</v>
      </c>
      <c r="C316" s="8">
        <v>9</v>
      </c>
      <c r="D316" s="8" t="s">
        <v>765</v>
      </c>
      <c r="E316" s="7">
        <v>50</v>
      </c>
      <c r="F316" s="8" t="s">
        <v>481</v>
      </c>
    </row>
    <row r="317" spans="1:6" x14ac:dyDescent="0.2">
      <c r="A317" s="7">
        <v>13601</v>
      </c>
      <c r="B317" s="8">
        <f t="shared" si="4"/>
        <v>36</v>
      </c>
      <c r="C317" s="8">
        <v>3</v>
      </c>
      <c r="D317" s="8" t="s">
        <v>766</v>
      </c>
      <c r="E317" s="9">
        <v>75</v>
      </c>
      <c r="F317" s="8" t="s">
        <v>466</v>
      </c>
    </row>
    <row r="318" spans="1:6" x14ac:dyDescent="0.2">
      <c r="A318" s="7">
        <v>13602</v>
      </c>
      <c r="B318" s="8">
        <f t="shared" si="4"/>
        <v>36</v>
      </c>
      <c r="C318" s="8">
        <v>2</v>
      </c>
      <c r="D318" s="8" t="s">
        <v>758</v>
      </c>
      <c r="E318" s="9">
        <v>75</v>
      </c>
      <c r="F318" s="8" t="s">
        <v>455</v>
      </c>
    </row>
    <row r="319" spans="1:6" x14ac:dyDescent="0.2">
      <c r="A319" s="7">
        <v>13603</v>
      </c>
      <c r="B319" s="8">
        <f t="shared" si="4"/>
        <v>36</v>
      </c>
      <c r="C319" s="8">
        <v>1001</v>
      </c>
      <c r="D319" s="8" t="s">
        <v>767</v>
      </c>
      <c r="E319" s="7">
        <v>50</v>
      </c>
      <c r="F319" s="8" t="s">
        <v>469</v>
      </c>
    </row>
    <row r="320" spans="1:6" x14ac:dyDescent="0.2">
      <c r="A320" s="7">
        <v>13604</v>
      </c>
      <c r="B320" s="8">
        <f t="shared" si="4"/>
        <v>36</v>
      </c>
      <c r="C320" s="8">
        <v>11</v>
      </c>
      <c r="D320" s="8" t="s">
        <v>768</v>
      </c>
      <c r="E320" s="7">
        <v>50</v>
      </c>
      <c r="F320" s="8" t="s">
        <v>471</v>
      </c>
    </row>
    <row r="321" spans="1:6" x14ac:dyDescent="0.2">
      <c r="A321" s="7">
        <v>13605</v>
      </c>
      <c r="B321" s="8">
        <f t="shared" si="4"/>
        <v>36</v>
      </c>
      <c r="C321" s="8">
        <v>10</v>
      </c>
      <c r="D321" s="8" t="s">
        <v>769</v>
      </c>
      <c r="E321" s="7">
        <v>50</v>
      </c>
      <c r="F321" s="8" t="s">
        <v>473</v>
      </c>
    </row>
    <row r="322" spans="1:6" x14ac:dyDescent="0.2">
      <c r="A322" s="7">
        <v>13606</v>
      </c>
      <c r="B322" s="8">
        <f t="shared" si="4"/>
        <v>36</v>
      </c>
      <c r="C322" s="8">
        <v>7</v>
      </c>
      <c r="D322" s="8" t="s">
        <v>770</v>
      </c>
      <c r="E322" s="7">
        <v>50</v>
      </c>
      <c r="F322" s="8" t="s">
        <v>475</v>
      </c>
    </row>
    <row r="323" spans="1:6" x14ac:dyDescent="0.2">
      <c r="A323" s="7">
        <v>13607</v>
      </c>
      <c r="B323" s="8">
        <f t="shared" si="4"/>
        <v>36</v>
      </c>
      <c r="C323" s="8">
        <v>8</v>
      </c>
      <c r="D323" s="8" t="s">
        <v>771</v>
      </c>
      <c r="E323" s="7">
        <v>50</v>
      </c>
      <c r="F323" s="8" t="s">
        <v>477</v>
      </c>
    </row>
    <row r="324" spans="1:6" x14ac:dyDescent="0.2">
      <c r="A324" s="7">
        <v>13608</v>
      </c>
      <c r="B324" s="8">
        <f t="shared" si="4"/>
        <v>36</v>
      </c>
      <c r="C324" s="8">
        <v>5</v>
      </c>
      <c r="D324" s="8" t="s">
        <v>772</v>
      </c>
      <c r="E324" s="7">
        <v>50</v>
      </c>
      <c r="F324" s="8" t="s">
        <v>479</v>
      </c>
    </row>
    <row r="325" spans="1:6" x14ac:dyDescent="0.2">
      <c r="A325" s="7">
        <v>13609</v>
      </c>
      <c r="B325" s="8">
        <f t="shared" si="4"/>
        <v>36</v>
      </c>
      <c r="C325" s="8">
        <v>9</v>
      </c>
      <c r="D325" s="8" t="s">
        <v>773</v>
      </c>
      <c r="E325" s="7">
        <v>50</v>
      </c>
      <c r="F325" s="8" t="s">
        <v>481</v>
      </c>
    </row>
    <row r="326" spans="1:6" x14ac:dyDescent="0.2">
      <c r="A326" s="7">
        <v>13701</v>
      </c>
      <c r="B326" s="8">
        <f t="shared" si="4"/>
        <v>37</v>
      </c>
      <c r="C326" s="8">
        <v>3</v>
      </c>
      <c r="D326" s="8" t="s">
        <v>774</v>
      </c>
      <c r="E326" s="9">
        <v>75</v>
      </c>
      <c r="F326" s="8" t="s">
        <v>466</v>
      </c>
    </row>
    <row r="327" spans="1:6" x14ac:dyDescent="0.2">
      <c r="A327" s="7">
        <v>13702</v>
      </c>
      <c r="B327" s="8">
        <f t="shared" si="4"/>
        <v>37</v>
      </c>
      <c r="C327" s="8">
        <v>2</v>
      </c>
      <c r="D327" s="8" t="s">
        <v>758</v>
      </c>
      <c r="E327" s="9">
        <v>75</v>
      </c>
      <c r="F327" s="8" t="s">
        <v>455</v>
      </c>
    </row>
    <row r="328" spans="1:6" x14ac:dyDescent="0.2">
      <c r="A328" s="7">
        <v>13703</v>
      </c>
      <c r="B328" s="8">
        <f t="shared" si="4"/>
        <v>37</v>
      </c>
      <c r="C328" s="8">
        <v>1001</v>
      </c>
      <c r="D328" s="8" t="s">
        <v>775</v>
      </c>
      <c r="E328" s="7">
        <v>50</v>
      </c>
      <c r="F328" s="8" t="s">
        <v>469</v>
      </c>
    </row>
    <row r="329" spans="1:6" x14ac:dyDescent="0.2">
      <c r="A329" s="7">
        <v>13704</v>
      </c>
      <c r="B329" s="8">
        <f t="shared" si="4"/>
        <v>37</v>
      </c>
      <c r="C329" s="8">
        <v>11</v>
      </c>
      <c r="D329" s="8" t="s">
        <v>776</v>
      </c>
      <c r="E329" s="7">
        <v>50</v>
      </c>
      <c r="F329" s="8" t="s">
        <v>471</v>
      </c>
    </row>
    <row r="330" spans="1:6" x14ac:dyDescent="0.2">
      <c r="A330" s="7">
        <v>13705</v>
      </c>
      <c r="B330" s="8">
        <f t="shared" si="4"/>
        <v>37</v>
      </c>
      <c r="C330" s="8">
        <v>10</v>
      </c>
      <c r="D330" s="8" t="s">
        <v>777</v>
      </c>
      <c r="E330" s="7">
        <v>50</v>
      </c>
      <c r="F330" s="8" t="s">
        <v>473</v>
      </c>
    </row>
    <row r="331" spans="1:6" x14ac:dyDescent="0.2">
      <c r="A331" s="7">
        <v>13706</v>
      </c>
      <c r="B331" s="8">
        <f t="shared" si="4"/>
        <v>37</v>
      </c>
      <c r="C331" s="8">
        <v>7</v>
      </c>
      <c r="D331" s="8" t="s">
        <v>778</v>
      </c>
      <c r="E331" s="7">
        <v>50</v>
      </c>
      <c r="F331" s="8" t="s">
        <v>475</v>
      </c>
    </row>
    <row r="332" spans="1:6" x14ac:dyDescent="0.2">
      <c r="A332" s="7">
        <v>13707</v>
      </c>
      <c r="B332" s="8">
        <f t="shared" ref="B332:B395" si="5">B323+1</f>
        <v>37</v>
      </c>
      <c r="C332" s="8">
        <v>8</v>
      </c>
      <c r="D332" s="8" t="s">
        <v>779</v>
      </c>
      <c r="E332" s="7">
        <v>50</v>
      </c>
      <c r="F332" s="8" t="s">
        <v>477</v>
      </c>
    </row>
    <row r="333" spans="1:6" x14ac:dyDescent="0.2">
      <c r="A333" s="7">
        <v>13708</v>
      </c>
      <c r="B333" s="8">
        <f t="shared" si="5"/>
        <v>37</v>
      </c>
      <c r="C333" s="8">
        <v>5</v>
      </c>
      <c r="D333" s="8" t="s">
        <v>780</v>
      </c>
      <c r="E333" s="7">
        <v>50</v>
      </c>
      <c r="F333" s="8" t="s">
        <v>479</v>
      </c>
    </row>
    <row r="334" spans="1:6" x14ac:dyDescent="0.2">
      <c r="A334" s="7">
        <v>13709</v>
      </c>
      <c r="B334" s="8">
        <f t="shared" si="5"/>
        <v>37</v>
      </c>
      <c r="C334" s="8">
        <v>9</v>
      </c>
      <c r="D334" s="8" t="s">
        <v>781</v>
      </c>
      <c r="E334" s="7">
        <v>50</v>
      </c>
      <c r="F334" s="8" t="s">
        <v>481</v>
      </c>
    </row>
    <row r="335" spans="1:6" x14ac:dyDescent="0.2">
      <c r="A335" s="7">
        <v>13801</v>
      </c>
      <c r="B335" s="8">
        <f t="shared" si="5"/>
        <v>38</v>
      </c>
      <c r="C335" s="8">
        <v>3</v>
      </c>
      <c r="D335" s="8" t="s">
        <v>782</v>
      </c>
      <c r="E335" s="9">
        <v>75</v>
      </c>
      <c r="F335" s="8" t="s">
        <v>466</v>
      </c>
    </row>
    <row r="336" spans="1:6" x14ac:dyDescent="0.2">
      <c r="A336" s="7">
        <v>13802</v>
      </c>
      <c r="B336" s="8">
        <f t="shared" si="5"/>
        <v>38</v>
      </c>
      <c r="C336" s="8">
        <v>2</v>
      </c>
      <c r="D336" s="8" t="s">
        <v>783</v>
      </c>
      <c r="E336" s="9">
        <v>75</v>
      </c>
      <c r="F336" s="8" t="s">
        <v>455</v>
      </c>
    </row>
    <row r="337" spans="1:6" x14ac:dyDescent="0.2">
      <c r="A337" s="7">
        <v>13803</v>
      </c>
      <c r="B337" s="8">
        <f t="shared" si="5"/>
        <v>38</v>
      </c>
      <c r="C337" s="8">
        <v>1001</v>
      </c>
      <c r="D337" s="8" t="s">
        <v>784</v>
      </c>
      <c r="E337" s="7">
        <v>50</v>
      </c>
      <c r="F337" s="8" t="s">
        <v>469</v>
      </c>
    </row>
    <row r="338" spans="1:6" x14ac:dyDescent="0.2">
      <c r="A338" s="7">
        <v>13804</v>
      </c>
      <c r="B338" s="8">
        <f t="shared" si="5"/>
        <v>38</v>
      </c>
      <c r="C338" s="8">
        <v>11</v>
      </c>
      <c r="D338" s="8" t="s">
        <v>785</v>
      </c>
      <c r="E338" s="7">
        <v>50</v>
      </c>
      <c r="F338" s="8" t="s">
        <v>471</v>
      </c>
    </row>
    <row r="339" spans="1:6" x14ac:dyDescent="0.2">
      <c r="A339" s="7">
        <v>13805</v>
      </c>
      <c r="B339" s="8">
        <f t="shared" si="5"/>
        <v>38</v>
      </c>
      <c r="C339" s="8">
        <v>10</v>
      </c>
      <c r="D339" s="8" t="s">
        <v>786</v>
      </c>
      <c r="E339" s="7">
        <v>50</v>
      </c>
      <c r="F339" s="8" t="s">
        <v>473</v>
      </c>
    </row>
    <row r="340" spans="1:6" x14ac:dyDescent="0.2">
      <c r="A340" s="7">
        <v>13806</v>
      </c>
      <c r="B340" s="8">
        <f t="shared" si="5"/>
        <v>38</v>
      </c>
      <c r="C340" s="8">
        <v>7</v>
      </c>
      <c r="D340" s="8" t="s">
        <v>787</v>
      </c>
      <c r="E340" s="7">
        <v>50</v>
      </c>
      <c r="F340" s="8" t="s">
        <v>475</v>
      </c>
    </row>
    <row r="341" spans="1:6" x14ac:dyDescent="0.2">
      <c r="A341" s="7">
        <v>13807</v>
      </c>
      <c r="B341" s="8">
        <f t="shared" si="5"/>
        <v>38</v>
      </c>
      <c r="C341" s="8">
        <v>8</v>
      </c>
      <c r="D341" s="8" t="s">
        <v>788</v>
      </c>
      <c r="E341" s="7">
        <v>50</v>
      </c>
      <c r="F341" s="8" t="s">
        <v>477</v>
      </c>
    </row>
    <row r="342" spans="1:6" x14ac:dyDescent="0.2">
      <c r="A342" s="7">
        <v>13808</v>
      </c>
      <c r="B342" s="8">
        <f t="shared" si="5"/>
        <v>38</v>
      </c>
      <c r="C342" s="8">
        <v>5</v>
      </c>
      <c r="D342" s="8" t="s">
        <v>789</v>
      </c>
      <c r="E342" s="7">
        <v>50</v>
      </c>
      <c r="F342" s="8" t="s">
        <v>479</v>
      </c>
    </row>
    <row r="343" spans="1:6" x14ac:dyDescent="0.2">
      <c r="A343" s="7">
        <v>13809</v>
      </c>
      <c r="B343" s="8">
        <f t="shared" si="5"/>
        <v>38</v>
      </c>
      <c r="C343" s="8">
        <v>9</v>
      </c>
      <c r="D343" s="8" t="s">
        <v>790</v>
      </c>
      <c r="E343" s="7">
        <v>50</v>
      </c>
      <c r="F343" s="8" t="s">
        <v>481</v>
      </c>
    </row>
    <row r="344" spans="1:6" x14ac:dyDescent="0.2">
      <c r="A344" s="7">
        <v>13901</v>
      </c>
      <c r="B344" s="8">
        <f t="shared" si="5"/>
        <v>39</v>
      </c>
      <c r="C344" s="8">
        <v>3</v>
      </c>
      <c r="D344" s="8" t="s">
        <v>791</v>
      </c>
      <c r="E344" s="9">
        <v>75</v>
      </c>
      <c r="F344" s="8" t="s">
        <v>466</v>
      </c>
    </row>
    <row r="345" spans="1:6" x14ac:dyDescent="0.2">
      <c r="A345" s="7">
        <v>13902</v>
      </c>
      <c r="B345" s="8">
        <f t="shared" si="5"/>
        <v>39</v>
      </c>
      <c r="C345" s="8">
        <v>2</v>
      </c>
      <c r="D345" s="8" t="s">
        <v>783</v>
      </c>
      <c r="E345" s="9">
        <v>75</v>
      </c>
      <c r="F345" s="8" t="s">
        <v>455</v>
      </c>
    </row>
    <row r="346" spans="1:6" x14ac:dyDescent="0.2">
      <c r="A346" s="7">
        <v>13903</v>
      </c>
      <c r="B346" s="8">
        <f t="shared" si="5"/>
        <v>39</v>
      </c>
      <c r="C346" s="8">
        <v>1001</v>
      </c>
      <c r="D346" s="8" t="s">
        <v>792</v>
      </c>
      <c r="E346" s="7">
        <v>50</v>
      </c>
      <c r="F346" s="8" t="s">
        <v>469</v>
      </c>
    </row>
    <row r="347" spans="1:6" x14ac:dyDescent="0.2">
      <c r="A347" s="7">
        <v>13904</v>
      </c>
      <c r="B347" s="8">
        <f t="shared" si="5"/>
        <v>39</v>
      </c>
      <c r="C347" s="8">
        <v>11</v>
      </c>
      <c r="D347" s="8" t="s">
        <v>793</v>
      </c>
      <c r="E347" s="7">
        <v>50</v>
      </c>
      <c r="F347" s="8" t="s">
        <v>471</v>
      </c>
    </row>
    <row r="348" spans="1:6" x14ac:dyDescent="0.2">
      <c r="A348" s="7">
        <v>13905</v>
      </c>
      <c r="B348" s="8">
        <f t="shared" si="5"/>
        <v>39</v>
      </c>
      <c r="C348" s="8">
        <v>10</v>
      </c>
      <c r="D348" s="8" t="s">
        <v>794</v>
      </c>
      <c r="E348" s="7">
        <v>50</v>
      </c>
      <c r="F348" s="8" t="s">
        <v>473</v>
      </c>
    </row>
    <row r="349" spans="1:6" x14ac:dyDescent="0.2">
      <c r="A349" s="7">
        <v>13906</v>
      </c>
      <c r="B349" s="8">
        <f t="shared" si="5"/>
        <v>39</v>
      </c>
      <c r="C349" s="8">
        <v>7</v>
      </c>
      <c r="D349" s="8" t="s">
        <v>795</v>
      </c>
      <c r="E349" s="7">
        <v>50</v>
      </c>
      <c r="F349" s="8" t="s">
        <v>475</v>
      </c>
    </row>
    <row r="350" spans="1:6" x14ac:dyDescent="0.2">
      <c r="A350" s="7">
        <v>13907</v>
      </c>
      <c r="B350" s="8">
        <f t="shared" si="5"/>
        <v>39</v>
      </c>
      <c r="C350" s="8">
        <v>8</v>
      </c>
      <c r="D350" s="8" t="s">
        <v>796</v>
      </c>
      <c r="E350" s="7">
        <v>50</v>
      </c>
      <c r="F350" s="8" t="s">
        <v>477</v>
      </c>
    </row>
    <row r="351" spans="1:6" x14ac:dyDescent="0.2">
      <c r="A351" s="7">
        <v>13908</v>
      </c>
      <c r="B351" s="8">
        <f t="shared" si="5"/>
        <v>39</v>
      </c>
      <c r="C351" s="8">
        <v>5</v>
      </c>
      <c r="D351" s="8" t="s">
        <v>797</v>
      </c>
      <c r="E351" s="7">
        <v>50</v>
      </c>
      <c r="F351" s="8" t="s">
        <v>479</v>
      </c>
    </row>
    <row r="352" spans="1:6" x14ac:dyDescent="0.2">
      <c r="A352" s="7">
        <v>13909</v>
      </c>
      <c r="B352" s="8">
        <f t="shared" si="5"/>
        <v>39</v>
      </c>
      <c r="C352" s="8">
        <v>9</v>
      </c>
      <c r="D352" s="8" t="s">
        <v>798</v>
      </c>
      <c r="E352" s="7">
        <v>50</v>
      </c>
      <c r="F352" s="8" t="s">
        <v>481</v>
      </c>
    </row>
    <row r="353" spans="1:6" x14ac:dyDescent="0.2">
      <c r="A353" s="7">
        <v>14001</v>
      </c>
      <c r="B353" s="8">
        <f t="shared" si="5"/>
        <v>40</v>
      </c>
      <c r="C353" s="8">
        <v>3</v>
      </c>
      <c r="D353" s="8" t="s">
        <v>799</v>
      </c>
      <c r="E353" s="9">
        <v>75</v>
      </c>
      <c r="F353" s="8" t="s">
        <v>466</v>
      </c>
    </row>
    <row r="354" spans="1:6" x14ac:dyDescent="0.2">
      <c r="A354" s="7">
        <v>14002</v>
      </c>
      <c r="B354" s="8">
        <f t="shared" si="5"/>
        <v>40</v>
      </c>
      <c r="C354" s="8">
        <v>2</v>
      </c>
      <c r="D354" s="8" t="s">
        <v>800</v>
      </c>
      <c r="E354" s="9">
        <v>75</v>
      </c>
      <c r="F354" s="8" t="s">
        <v>455</v>
      </c>
    </row>
    <row r="355" spans="1:6" x14ac:dyDescent="0.2">
      <c r="A355" s="7">
        <v>14003</v>
      </c>
      <c r="B355" s="8">
        <f t="shared" si="5"/>
        <v>40</v>
      </c>
      <c r="C355" s="8">
        <v>1001</v>
      </c>
      <c r="D355" s="8" t="s">
        <v>801</v>
      </c>
      <c r="E355" s="7">
        <v>50</v>
      </c>
      <c r="F355" s="8" t="s">
        <v>469</v>
      </c>
    </row>
    <row r="356" spans="1:6" x14ac:dyDescent="0.2">
      <c r="A356" s="7">
        <v>14004</v>
      </c>
      <c r="B356" s="8">
        <f t="shared" si="5"/>
        <v>40</v>
      </c>
      <c r="C356" s="8">
        <v>11</v>
      </c>
      <c r="D356" s="8" t="s">
        <v>802</v>
      </c>
      <c r="E356" s="7">
        <v>50</v>
      </c>
      <c r="F356" s="8" t="s">
        <v>471</v>
      </c>
    </row>
    <row r="357" spans="1:6" x14ac:dyDescent="0.2">
      <c r="A357" s="7">
        <v>14005</v>
      </c>
      <c r="B357" s="8">
        <f t="shared" si="5"/>
        <v>40</v>
      </c>
      <c r="C357" s="8">
        <v>10</v>
      </c>
      <c r="D357" s="8" t="s">
        <v>803</v>
      </c>
      <c r="E357" s="7">
        <v>50</v>
      </c>
      <c r="F357" s="8" t="s">
        <v>473</v>
      </c>
    </row>
    <row r="358" spans="1:6" x14ac:dyDescent="0.2">
      <c r="A358" s="7">
        <v>14006</v>
      </c>
      <c r="B358" s="8">
        <f t="shared" si="5"/>
        <v>40</v>
      </c>
      <c r="C358" s="8">
        <v>7</v>
      </c>
      <c r="D358" s="8" t="s">
        <v>804</v>
      </c>
      <c r="E358" s="7">
        <v>50</v>
      </c>
      <c r="F358" s="8" t="s">
        <v>475</v>
      </c>
    </row>
    <row r="359" spans="1:6" x14ac:dyDescent="0.2">
      <c r="A359" s="7">
        <v>14007</v>
      </c>
      <c r="B359" s="8">
        <f t="shared" si="5"/>
        <v>40</v>
      </c>
      <c r="C359" s="8">
        <v>8</v>
      </c>
      <c r="D359" s="8" t="s">
        <v>805</v>
      </c>
      <c r="E359" s="7">
        <v>50</v>
      </c>
      <c r="F359" s="8" t="s">
        <v>477</v>
      </c>
    </row>
    <row r="360" spans="1:6" x14ac:dyDescent="0.2">
      <c r="A360" s="7">
        <v>14008</v>
      </c>
      <c r="B360" s="8">
        <f t="shared" si="5"/>
        <v>40</v>
      </c>
      <c r="C360" s="8">
        <v>5</v>
      </c>
      <c r="D360" s="8" t="s">
        <v>806</v>
      </c>
      <c r="E360" s="7">
        <v>50</v>
      </c>
      <c r="F360" s="8" t="s">
        <v>479</v>
      </c>
    </row>
    <row r="361" spans="1:6" x14ac:dyDescent="0.2">
      <c r="A361" s="7">
        <v>14009</v>
      </c>
      <c r="B361" s="8">
        <f t="shared" si="5"/>
        <v>40</v>
      </c>
      <c r="C361" s="8">
        <v>9</v>
      </c>
      <c r="D361" s="8" t="s">
        <v>807</v>
      </c>
      <c r="E361" s="7">
        <v>50</v>
      </c>
      <c r="F361" s="8" t="s">
        <v>481</v>
      </c>
    </row>
    <row r="362" spans="1:6" x14ac:dyDescent="0.2">
      <c r="A362" s="7">
        <v>14101</v>
      </c>
      <c r="B362" s="8">
        <f t="shared" si="5"/>
        <v>41</v>
      </c>
      <c r="C362" s="8">
        <v>3</v>
      </c>
      <c r="D362" s="8" t="s">
        <v>808</v>
      </c>
      <c r="E362" s="9">
        <v>75</v>
      </c>
      <c r="F362" s="8" t="s">
        <v>466</v>
      </c>
    </row>
    <row r="363" spans="1:6" x14ac:dyDescent="0.2">
      <c r="A363" s="7">
        <v>14102</v>
      </c>
      <c r="B363" s="8">
        <f t="shared" si="5"/>
        <v>41</v>
      </c>
      <c r="C363" s="8">
        <v>2</v>
      </c>
      <c r="D363" s="8" t="s">
        <v>800</v>
      </c>
      <c r="E363" s="9">
        <v>75</v>
      </c>
      <c r="F363" s="8" t="s">
        <v>455</v>
      </c>
    </row>
    <row r="364" spans="1:6" x14ac:dyDescent="0.2">
      <c r="A364" s="7">
        <v>14103</v>
      </c>
      <c r="B364" s="8">
        <f t="shared" si="5"/>
        <v>41</v>
      </c>
      <c r="C364" s="8">
        <v>1001</v>
      </c>
      <c r="D364" s="8" t="s">
        <v>809</v>
      </c>
      <c r="E364" s="7">
        <v>50</v>
      </c>
      <c r="F364" s="8" t="s">
        <v>469</v>
      </c>
    </row>
    <row r="365" spans="1:6" x14ac:dyDescent="0.2">
      <c r="A365" s="7">
        <v>14104</v>
      </c>
      <c r="B365" s="8">
        <f t="shared" si="5"/>
        <v>41</v>
      </c>
      <c r="C365" s="8">
        <v>11</v>
      </c>
      <c r="D365" s="8" t="s">
        <v>810</v>
      </c>
      <c r="E365" s="7">
        <v>50</v>
      </c>
      <c r="F365" s="8" t="s">
        <v>471</v>
      </c>
    </row>
    <row r="366" spans="1:6" x14ac:dyDescent="0.2">
      <c r="A366" s="7">
        <v>14105</v>
      </c>
      <c r="B366" s="8">
        <f t="shared" si="5"/>
        <v>41</v>
      </c>
      <c r="C366" s="8">
        <v>10</v>
      </c>
      <c r="D366" s="8" t="s">
        <v>811</v>
      </c>
      <c r="E366" s="7">
        <v>50</v>
      </c>
      <c r="F366" s="8" t="s">
        <v>473</v>
      </c>
    </row>
    <row r="367" spans="1:6" x14ac:dyDescent="0.2">
      <c r="A367" s="7">
        <v>14106</v>
      </c>
      <c r="B367" s="8">
        <f t="shared" si="5"/>
        <v>41</v>
      </c>
      <c r="C367" s="8">
        <v>7</v>
      </c>
      <c r="D367" s="8" t="s">
        <v>812</v>
      </c>
      <c r="E367" s="7">
        <v>50</v>
      </c>
      <c r="F367" s="8" t="s">
        <v>475</v>
      </c>
    </row>
    <row r="368" spans="1:6" x14ac:dyDescent="0.2">
      <c r="A368" s="7">
        <v>14107</v>
      </c>
      <c r="B368" s="8">
        <f t="shared" si="5"/>
        <v>41</v>
      </c>
      <c r="C368" s="8">
        <v>8</v>
      </c>
      <c r="D368" s="8" t="s">
        <v>813</v>
      </c>
      <c r="E368" s="7">
        <v>50</v>
      </c>
      <c r="F368" s="8" t="s">
        <v>477</v>
      </c>
    </row>
    <row r="369" spans="1:6" x14ac:dyDescent="0.2">
      <c r="A369" s="7">
        <v>14108</v>
      </c>
      <c r="B369" s="8">
        <f t="shared" si="5"/>
        <v>41</v>
      </c>
      <c r="C369" s="8">
        <v>5</v>
      </c>
      <c r="D369" s="8" t="s">
        <v>814</v>
      </c>
      <c r="E369" s="7">
        <v>50</v>
      </c>
      <c r="F369" s="8" t="s">
        <v>479</v>
      </c>
    </row>
    <row r="370" spans="1:6" x14ac:dyDescent="0.2">
      <c r="A370" s="7">
        <v>14109</v>
      </c>
      <c r="B370" s="8">
        <f t="shared" si="5"/>
        <v>41</v>
      </c>
      <c r="C370" s="8">
        <v>9</v>
      </c>
      <c r="D370" s="8" t="s">
        <v>815</v>
      </c>
      <c r="E370" s="7">
        <v>50</v>
      </c>
      <c r="F370" s="8" t="s">
        <v>481</v>
      </c>
    </row>
    <row r="371" spans="1:6" x14ac:dyDescent="0.2">
      <c r="A371" s="7">
        <v>14201</v>
      </c>
      <c r="B371" s="8">
        <f t="shared" si="5"/>
        <v>42</v>
      </c>
      <c r="C371" s="8">
        <v>3</v>
      </c>
      <c r="D371" s="8" t="s">
        <v>816</v>
      </c>
      <c r="E371" s="9">
        <v>75</v>
      </c>
      <c r="F371" s="8" t="s">
        <v>466</v>
      </c>
    </row>
    <row r="372" spans="1:6" x14ac:dyDescent="0.2">
      <c r="A372" s="7">
        <v>14202</v>
      </c>
      <c r="B372" s="8">
        <f t="shared" si="5"/>
        <v>42</v>
      </c>
      <c r="C372" s="8">
        <v>2</v>
      </c>
      <c r="D372" s="8" t="s">
        <v>800</v>
      </c>
      <c r="E372" s="9">
        <v>75</v>
      </c>
      <c r="F372" s="8" t="s">
        <v>455</v>
      </c>
    </row>
    <row r="373" spans="1:6" x14ac:dyDescent="0.2">
      <c r="A373" s="7">
        <v>14203</v>
      </c>
      <c r="B373" s="8">
        <f t="shared" si="5"/>
        <v>42</v>
      </c>
      <c r="C373" s="8">
        <v>1001</v>
      </c>
      <c r="D373" s="8" t="s">
        <v>817</v>
      </c>
      <c r="E373" s="7">
        <v>50</v>
      </c>
      <c r="F373" s="8" t="s">
        <v>469</v>
      </c>
    </row>
    <row r="374" spans="1:6" x14ac:dyDescent="0.2">
      <c r="A374" s="7">
        <v>14204</v>
      </c>
      <c r="B374" s="8">
        <f t="shared" si="5"/>
        <v>42</v>
      </c>
      <c r="C374" s="8">
        <v>11</v>
      </c>
      <c r="D374" s="8" t="s">
        <v>818</v>
      </c>
      <c r="E374" s="7">
        <v>50</v>
      </c>
      <c r="F374" s="8" t="s">
        <v>471</v>
      </c>
    </row>
    <row r="375" spans="1:6" x14ac:dyDescent="0.2">
      <c r="A375" s="7">
        <v>14205</v>
      </c>
      <c r="B375" s="8">
        <f t="shared" si="5"/>
        <v>42</v>
      </c>
      <c r="C375" s="8">
        <v>10</v>
      </c>
      <c r="D375" s="8" t="s">
        <v>819</v>
      </c>
      <c r="E375" s="7">
        <v>50</v>
      </c>
      <c r="F375" s="8" t="s">
        <v>473</v>
      </c>
    </row>
    <row r="376" spans="1:6" x14ac:dyDescent="0.2">
      <c r="A376" s="7">
        <v>14206</v>
      </c>
      <c r="B376" s="8">
        <f t="shared" si="5"/>
        <v>42</v>
      </c>
      <c r="C376" s="8">
        <v>7</v>
      </c>
      <c r="D376" s="8" t="s">
        <v>820</v>
      </c>
      <c r="E376" s="7">
        <v>50</v>
      </c>
      <c r="F376" s="8" t="s">
        <v>475</v>
      </c>
    </row>
    <row r="377" spans="1:6" x14ac:dyDescent="0.2">
      <c r="A377" s="7">
        <v>14207</v>
      </c>
      <c r="B377" s="8">
        <f t="shared" si="5"/>
        <v>42</v>
      </c>
      <c r="C377" s="8">
        <v>8</v>
      </c>
      <c r="D377" s="8" t="s">
        <v>821</v>
      </c>
      <c r="E377" s="7">
        <v>50</v>
      </c>
      <c r="F377" s="8" t="s">
        <v>477</v>
      </c>
    </row>
    <row r="378" spans="1:6" x14ac:dyDescent="0.2">
      <c r="A378" s="7">
        <v>14208</v>
      </c>
      <c r="B378" s="8">
        <f t="shared" si="5"/>
        <v>42</v>
      </c>
      <c r="C378" s="8">
        <v>5</v>
      </c>
      <c r="D378" s="8" t="s">
        <v>822</v>
      </c>
      <c r="E378" s="7">
        <v>50</v>
      </c>
      <c r="F378" s="8" t="s">
        <v>479</v>
      </c>
    </row>
    <row r="379" spans="1:6" x14ac:dyDescent="0.2">
      <c r="A379" s="7">
        <v>14209</v>
      </c>
      <c r="B379" s="8">
        <f t="shared" si="5"/>
        <v>42</v>
      </c>
      <c r="C379" s="8">
        <v>9</v>
      </c>
      <c r="D379" s="8" t="s">
        <v>823</v>
      </c>
      <c r="E379" s="7">
        <v>50</v>
      </c>
      <c r="F379" s="8" t="s">
        <v>481</v>
      </c>
    </row>
    <row r="380" spans="1:6" x14ac:dyDescent="0.2">
      <c r="A380" s="7">
        <v>14301</v>
      </c>
      <c r="B380" s="8">
        <f t="shared" si="5"/>
        <v>43</v>
      </c>
      <c r="C380" s="8">
        <v>3</v>
      </c>
      <c r="D380" s="8" t="s">
        <v>824</v>
      </c>
      <c r="E380" s="9">
        <v>75</v>
      </c>
      <c r="F380" s="8" t="s">
        <v>466</v>
      </c>
    </row>
    <row r="381" spans="1:6" x14ac:dyDescent="0.2">
      <c r="A381" s="7">
        <v>14302</v>
      </c>
      <c r="B381" s="8">
        <f t="shared" si="5"/>
        <v>43</v>
      </c>
      <c r="C381" s="8">
        <v>2</v>
      </c>
      <c r="D381" s="8" t="s">
        <v>825</v>
      </c>
      <c r="E381" s="9">
        <v>75</v>
      </c>
      <c r="F381" s="8" t="s">
        <v>455</v>
      </c>
    </row>
    <row r="382" spans="1:6" x14ac:dyDescent="0.2">
      <c r="A382" s="7">
        <v>14303</v>
      </c>
      <c r="B382" s="8">
        <f t="shared" si="5"/>
        <v>43</v>
      </c>
      <c r="C382" s="8">
        <v>1001</v>
      </c>
      <c r="D382" s="8" t="s">
        <v>826</v>
      </c>
      <c r="E382" s="7">
        <v>50</v>
      </c>
      <c r="F382" s="8" t="s">
        <v>469</v>
      </c>
    </row>
    <row r="383" spans="1:6" x14ac:dyDescent="0.2">
      <c r="A383" s="7">
        <v>14304</v>
      </c>
      <c r="B383" s="8">
        <f t="shared" si="5"/>
        <v>43</v>
      </c>
      <c r="C383" s="8">
        <v>11</v>
      </c>
      <c r="D383" s="8" t="s">
        <v>827</v>
      </c>
      <c r="E383" s="7">
        <v>50</v>
      </c>
      <c r="F383" s="8" t="s">
        <v>471</v>
      </c>
    </row>
    <row r="384" spans="1:6" x14ac:dyDescent="0.2">
      <c r="A384" s="7">
        <v>14305</v>
      </c>
      <c r="B384" s="8">
        <f t="shared" si="5"/>
        <v>43</v>
      </c>
      <c r="C384" s="8">
        <v>10</v>
      </c>
      <c r="D384" s="8" t="s">
        <v>828</v>
      </c>
      <c r="E384" s="7">
        <v>50</v>
      </c>
      <c r="F384" s="8" t="s">
        <v>473</v>
      </c>
    </row>
    <row r="385" spans="1:6" x14ac:dyDescent="0.2">
      <c r="A385" s="7">
        <v>14306</v>
      </c>
      <c r="B385" s="8">
        <f t="shared" si="5"/>
        <v>43</v>
      </c>
      <c r="C385" s="8">
        <v>7</v>
      </c>
      <c r="D385" s="8" t="s">
        <v>829</v>
      </c>
      <c r="E385" s="7">
        <v>50</v>
      </c>
      <c r="F385" s="8" t="s">
        <v>475</v>
      </c>
    </row>
    <row r="386" spans="1:6" x14ac:dyDescent="0.2">
      <c r="A386" s="7">
        <v>14307</v>
      </c>
      <c r="B386" s="8">
        <f t="shared" si="5"/>
        <v>43</v>
      </c>
      <c r="C386" s="8">
        <v>8</v>
      </c>
      <c r="D386" s="8" t="s">
        <v>830</v>
      </c>
      <c r="E386" s="7">
        <v>50</v>
      </c>
      <c r="F386" s="8" t="s">
        <v>477</v>
      </c>
    </row>
    <row r="387" spans="1:6" x14ac:dyDescent="0.2">
      <c r="A387" s="7">
        <v>14308</v>
      </c>
      <c r="B387" s="8">
        <f t="shared" si="5"/>
        <v>43</v>
      </c>
      <c r="C387" s="8">
        <v>5</v>
      </c>
      <c r="D387" s="8" t="s">
        <v>831</v>
      </c>
      <c r="E387" s="7">
        <v>50</v>
      </c>
      <c r="F387" s="8" t="s">
        <v>479</v>
      </c>
    </row>
    <row r="388" spans="1:6" x14ac:dyDescent="0.2">
      <c r="A388" s="7">
        <v>14309</v>
      </c>
      <c r="B388" s="8">
        <f t="shared" si="5"/>
        <v>43</v>
      </c>
      <c r="C388" s="8">
        <v>9</v>
      </c>
      <c r="D388" s="8" t="s">
        <v>832</v>
      </c>
      <c r="E388" s="7">
        <v>50</v>
      </c>
      <c r="F388" s="8" t="s">
        <v>481</v>
      </c>
    </row>
    <row r="389" spans="1:6" x14ac:dyDescent="0.2">
      <c r="A389" s="7">
        <v>14401</v>
      </c>
      <c r="B389" s="8">
        <f t="shared" si="5"/>
        <v>44</v>
      </c>
      <c r="C389" s="8">
        <v>3</v>
      </c>
      <c r="D389" s="8" t="s">
        <v>833</v>
      </c>
      <c r="E389" s="9">
        <v>75</v>
      </c>
      <c r="F389" s="8" t="s">
        <v>466</v>
      </c>
    </row>
    <row r="390" spans="1:6" x14ac:dyDescent="0.2">
      <c r="A390" s="7">
        <v>14402</v>
      </c>
      <c r="B390" s="8">
        <f t="shared" si="5"/>
        <v>44</v>
      </c>
      <c r="C390" s="8">
        <v>2</v>
      </c>
      <c r="D390" s="8" t="s">
        <v>825</v>
      </c>
      <c r="E390" s="9">
        <v>75</v>
      </c>
      <c r="F390" s="8" t="s">
        <v>455</v>
      </c>
    </row>
    <row r="391" spans="1:6" x14ac:dyDescent="0.2">
      <c r="A391" s="7">
        <v>14403</v>
      </c>
      <c r="B391" s="8">
        <f t="shared" si="5"/>
        <v>44</v>
      </c>
      <c r="C391" s="8">
        <v>1001</v>
      </c>
      <c r="D391" s="8" t="s">
        <v>834</v>
      </c>
      <c r="E391" s="7">
        <v>50</v>
      </c>
      <c r="F391" s="8" t="s">
        <v>469</v>
      </c>
    </row>
    <row r="392" spans="1:6" x14ac:dyDescent="0.2">
      <c r="A392" s="7">
        <v>14404</v>
      </c>
      <c r="B392" s="8">
        <f t="shared" si="5"/>
        <v>44</v>
      </c>
      <c r="C392" s="8">
        <v>11</v>
      </c>
      <c r="D392" s="8" t="s">
        <v>835</v>
      </c>
      <c r="E392" s="7">
        <v>50</v>
      </c>
      <c r="F392" s="8" t="s">
        <v>471</v>
      </c>
    </row>
    <row r="393" spans="1:6" x14ac:dyDescent="0.2">
      <c r="A393" s="7">
        <v>14405</v>
      </c>
      <c r="B393" s="8">
        <f t="shared" si="5"/>
        <v>44</v>
      </c>
      <c r="C393" s="8">
        <v>10</v>
      </c>
      <c r="D393" s="8" t="s">
        <v>836</v>
      </c>
      <c r="E393" s="7">
        <v>50</v>
      </c>
      <c r="F393" s="8" t="s">
        <v>473</v>
      </c>
    </row>
    <row r="394" spans="1:6" x14ac:dyDescent="0.2">
      <c r="A394" s="7">
        <v>14406</v>
      </c>
      <c r="B394" s="8">
        <f t="shared" si="5"/>
        <v>44</v>
      </c>
      <c r="C394" s="8">
        <v>7</v>
      </c>
      <c r="D394" s="8" t="s">
        <v>837</v>
      </c>
      <c r="E394" s="7">
        <v>50</v>
      </c>
      <c r="F394" s="8" t="s">
        <v>475</v>
      </c>
    </row>
    <row r="395" spans="1:6" x14ac:dyDescent="0.2">
      <c r="A395" s="7">
        <v>14407</v>
      </c>
      <c r="B395" s="8">
        <f t="shared" si="5"/>
        <v>44</v>
      </c>
      <c r="C395" s="8">
        <v>8</v>
      </c>
      <c r="D395" s="8" t="s">
        <v>838</v>
      </c>
      <c r="E395" s="7">
        <v>50</v>
      </c>
      <c r="F395" s="8" t="s">
        <v>477</v>
      </c>
    </row>
    <row r="396" spans="1:6" x14ac:dyDescent="0.2">
      <c r="A396" s="7">
        <v>14408</v>
      </c>
      <c r="B396" s="8">
        <f t="shared" ref="B396:B459" si="6">B387+1</f>
        <v>44</v>
      </c>
      <c r="C396" s="8">
        <v>5</v>
      </c>
      <c r="D396" s="8" t="s">
        <v>839</v>
      </c>
      <c r="E396" s="7">
        <v>50</v>
      </c>
      <c r="F396" s="8" t="s">
        <v>479</v>
      </c>
    </row>
    <row r="397" spans="1:6" x14ac:dyDescent="0.2">
      <c r="A397" s="7">
        <v>14409</v>
      </c>
      <c r="B397" s="8">
        <f t="shared" si="6"/>
        <v>44</v>
      </c>
      <c r="C397" s="8">
        <v>9</v>
      </c>
      <c r="D397" s="8" t="s">
        <v>840</v>
      </c>
      <c r="E397" s="7">
        <v>50</v>
      </c>
      <c r="F397" s="8" t="s">
        <v>481</v>
      </c>
    </row>
    <row r="398" spans="1:6" x14ac:dyDescent="0.2">
      <c r="A398" s="7">
        <v>14501</v>
      </c>
      <c r="B398" s="8">
        <f t="shared" si="6"/>
        <v>45</v>
      </c>
      <c r="C398" s="8">
        <v>3</v>
      </c>
      <c r="D398" s="8" t="s">
        <v>841</v>
      </c>
      <c r="E398" s="9">
        <v>75</v>
      </c>
      <c r="F398" s="8" t="s">
        <v>466</v>
      </c>
    </row>
    <row r="399" spans="1:6" x14ac:dyDescent="0.2">
      <c r="A399" s="7">
        <v>14502</v>
      </c>
      <c r="B399" s="8">
        <f t="shared" si="6"/>
        <v>45</v>
      </c>
      <c r="C399" s="8">
        <v>2</v>
      </c>
      <c r="D399" s="8" t="s">
        <v>842</v>
      </c>
      <c r="E399" s="9">
        <v>75</v>
      </c>
      <c r="F399" s="8" t="s">
        <v>455</v>
      </c>
    </row>
    <row r="400" spans="1:6" x14ac:dyDescent="0.2">
      <c r="A400" s="7">
        <v>14503</v>
      </c>
      <c r="B400" s="8">
        <f t="shared" si="6"/>
        <v>45</v>
      </c>
      <c r="C400" s="8">
        <v>1001</v>
      </c>
      <c r="D400" s="8" t="s">
        <v>843</v>
      </c>
      <c r="E400" s="7">
        <v>50</v>
      </c>
      <c r="F400" s="8" t="s">
        <v>469</v>
      </c>
    </row>
    <row r="401" spans="1:6" x14ac:dyDescent="0.2">
      <c r="A401" s="7">
        <v>14504</v>
      </c>
      <c r="B401" s="8">
        <f t="shared" si="6"/>
        <v>45</v>
      </c>
      <c r="C401" s="8">
        <v>11</v>
      </c>
      <c r="D401" s="8" t="s">
        <v>844</v>
      </c>
      <c r="E401" s="7">
        <v>50</v>
      </c>
      <c r="F401" s="8" t="s">
        <v>471</v>
      </c>
    </row>
    <row r="402" spans="1:6" x14ac:dyDescent="0.2">
      <c r="A402" s="7">
        <v>14505</v>
      </c>
      <c r="B402" s="8">
        <f t="shared" si="6"/>
        <v>45</v>
      </c>
      <c r="C402" s="8">
        <v>10</v>
      </c>
      <c r="D402" s="8" t="s">
        <v>845</v>
      </c>
      <c r="E402" s="7">
        <v>50</v>
      </c>
      <c r="F402" s="8" t="s">
        <v>473</v>
      </c>
    </row>
    <row r="403" spans="1:6" x14ac:dyDescent="0.2">
      <c r="A403" s="7">
        <v>14506</v>
      </c>
      <c r="B403" s="8">
        <f t="shared" si="6"/>
        <v>45</v>
      </c>
      <c r="C403" s="8">
        <v>7</v>
      </c>
      <c r="D403" s="8" t="s">
        <v>846</v>
      </c>
      <c r="E403" s="7">
        <v>50</v>
      </c>
      <c r="F403" s="8" t="s">
        <v>475</v>
      </c>
    </row>
    <row r="404" spans="1:6" x14ac:dyDescent="0.2">
      <c r="A404" s="7">
        <v>14507</v>
      </c>
      <c r="B404" s="8">
        <f t="shared" si="6"/>
        <v>45</v>
      </c>
      <c r="C404" s="8">
        <v>8</v>
      </c>
      <c r="D404" s="8" t="s">
        <v>847</v>
      </c>
      <c r="E404" s="7">
        <v>50</v>
      </c>
      <c r="F404" s="8" t="s">
        <v>477</v>
      </c>
    </row>
    <row r="405" spans="1:6" x14ac:dyDescent="0.2">
      <c r="A405" s="7">
        <v>14508</v>
      </c>
      <c r="B405" s="8">
        <f t="shared" si="6"/>
        <v>45</v>
      </c>
      <c r="C405" s="8">
        <v>5</v>
      </c>
      <c r="D405" s="8" t="s">
        <v>848</v>
      </c>
      <c r="E405" s="7">
        <v>50</v>
      </c>
      <c r="F405" s="8" t="s">
        <v>479</v>
      </c>
    </row>
    <row r="406" spans="1:6" x14ac:dyDescent="0.2">
      <c r="A406" s="7">
        <v>14509</v>
      </c>
      <c r="B406" s="8">
        <f t="shared" si="6"/>
        <v>45</v>
      </c>
      <c r="C406" s="8">
        <v>9</v>
      </c>
      <c r="D406" s="8" t="s">
        <v>849</v>
      </c>
      <c r="E406" s="7">
        <v>50</v>
      </c>
      <c r="F406" s="8" t="s">
        <v>481</v>
      </c>
    </row>
    <row r="407" spans="1:6" x14ac:dyDescent="0.2">
      <c r="A407" s="7">
        <v>14601</v>
      </c>
      <c r="B407" s="8">
        <f t="shared" si="6"/>
        <v>46</v>
      </c>
      <c r="C407" s="8">
        <v>3</v>
      </c>
      <c r="D407" s="8" t="s">
        <v>850</v>
      </c>
      <c r="E407" s="9">
        <v>75</v>
      </c>
      <c r="F407" s="8" t="s">
        <v>466</v>
      </c>
    </row>
    <row r="408" spans="1:6" x14ac:dyDescent="0.2">
      <c r="A408" s="7">
        <v>14602</v>
      </c>
      <c r="B408" s="8">
        <f t="shared" si="6"/>
        <v>46</v>
      </c>
      <c r="C408" s="8">
        <v>2</v>
      </c>
      <c r="D408" s="8" t="s">
        <v>842</v>
      </c>
      <c r="E408" s="9">
        <v>75</v>
      </c>
      <c r="F408" s="8" t="s">
        <v>455</v>
      </c>
    </row>
    <row r="409" spans="1:6" x14ac:dyDescent="0.2">
      <c r="A409" s="7">
        <v>14603</v>
      </c>
      <c r="B409" s="8">
        <f t="shared" si="6"/>
        <v>46</v>
      </c>
      <c r="C409" s="8">
        <v>1001</v>
      </c>
      <c r="D409" s="8" t="s">
        <v>851</v>
      </c>
      <c r="E409" s="7">
        <v>50</v>
      </c>
      <c r="F409" s="8" t="s">
        <v>469</v>
      </c>
    </row>
    <row r="410" spans="1:6" x14ac:dyDescent="0.2">
      <c r="A410" s="7">
        <v>14604</v>
      </c>
      <c r="B410" s="8">
        <f t="shared" si="6"/>
        <v>46</v>
      </c>
      <c r="C410" s="8">
        <v>11</v>
      </c>
      <c r="D410" s="8" t="s">
        <v>852</v>
      </c>
      <c r="E410" s="7">
        <v>50</v>
      </c>
      <c r="F410" s="8" t="s">
        <v>471</v>
      </c>
    </row>
    <row r="411" spans="1:6" x14ac:dyDescent="0.2">
      <c r="A411" s="7">
        <v>14605</v>
      </c>
      <c r="B411" s="8">
        <f t="shared" si="6"/>
        <v>46</v>
      </c>
      <c r="C411" s="8">
        <v>10</v>
      </c>
      <c r="D411" s="8" t="s">
        <v>853</v>
      </c>
      <c r="E411" s="7">
        <v>50</v>
      </c>
      <c r="F411" s="8" t="s">
        <v>473</v>
      </c>
    </row>
    <row r="412" spans="1:6" x14ac:dyDescent="0.2">
      <c r="A412" s="7">
        <v>14606</v>
      </c>
      <c r="B412" s="8">
        <f t="shared" si="6"/>
        <v>46</v>
      </c>
      <c r="C412" s="8">
        <v>7</v>
      </c>
      <c r="D412" s="8" t="s">
        <v>854</v>
      </c>
      <c r="E412" s="7">
        <v>50</v>
      </c>
      <c r="F412" s="8" t="s">
        <v>475</v>
      </c>
    </row>
    <row r="413" spans="1:6" x14ac:dyDescent="0.2">
      <c r="A413" s="7">
        <v>14607</v>
      </c>
      <c r="B413" s="8">
        <f t="shared" si="6"/>
        <v>46</v>
      </c>
      <c r="C413" s="8">
        <v>8</v>
      </c>
      <c r="D413" s="8" t="s">
        <v>855</v>
      </c>
      <c r="E413" s="7">
        <v>50</v>
      </c>
      <c r="F413" s="8" t="s">
        <v>477</v>
      </c>
    </row>
    <row r="414" spans="1:6" x14ac:dyDescent="0.2">
      <c r="A414" s="7">
        <v>14608</v>
      </c>
      <c r="B414" s="8">
        <f t="shared" si="6"/>
        <v>46</v>
      </c>
      <c r="C414" s="8">
        <v>5</v>
      </c>
      <c r="D414" s="8" t="s">
        <v>856</v>
      </c>
      <c r="E414" s="7">
        <v>50</v>
      </c>
      <c r="F414" s="8" t="s">
        <v>479</v>
      </c>
    </row>
    <row r="415" spans="1:6" x14ac:dyDescent="0.2">
      <c r="A415" s="7">
        <v>14609</v>
      </c>
      <c r="B415" s="8">
        <f t="shared" si="6"/>
        <v>46</v>
      </c>
      <c r="C415" s="8">
        <v>9</v>
      </c>
      <c r="D415" s="8" t="s">
        <v>857</v>
      </c>
      <c r="E415" s="7">
        <v>50</v>
      </c>
      <c r="F415" s="8" t="s">
        <v>481</v>
      </c>
    </row>
    <row r="416" spans="1:6" x14ac:dyDescent="0.2">
      <c r="A416" s="7">
        <v>14701</v>
      </c>
      <c r="B416" s="8">
        <f t="shared" si="6"/>
        <v>47</v>
      </c>
      <c r="C416" s="8">
        <v>3</v>
      </c>
      <c r="D416" s="8" t="s">
        <v>858</v>
      </c>
      <c r="E416" s="9">
        <v>75</v>
      </c>
      <c r="F416" s="8" t="s">
        <v>466</v>
      </c>
    </row>
    <row r="417" spans="1:6" x14ac:dyDescent="0.2">
      <c r="A417" s="7">
        <v>14702</v>
      </c>
      <c r="B417" s="8">
        <f t="shared" si="6"/>
        <v>47</v>
      </c>
      <c r="C417" s="8">
        <v>2</v>
      </c>
      <c r="D417" s="8" t="s">
        <v>842</v>
      </c>
      <c r="E417" s="9">
        <v>75</v>
      </c>
      <c r="F417" s="8" t="s">
        <v>455</v>
      </c>
    </row>
    <row r="418" spans="1:6" x14ac:dyDescent="0.2">
      <c r="A418" s="7">
        <v>14703</v>
      </c>
      <c r="B418" s="8">
        <f t="shared" si="6"/>
        <v>47</v>
      </c>
      <c r="C418" s="8">
        <v>1001</v>
      </c>
      <c r="D418" s="8" t="s">
        <v>859</v>
      </c>
      <c r="E418" s="7">
        <v>50</v>
      </c>
      <c r="F418" s="8" t="s">
        <v>469</v>
      </c>
    </row>
    <row r="419" spans="1:6" x14ac:dyDescent="0.2">
      <c r="A419" s="7">
        <v>14704</v>
      </c>
      <c r="B419" s="8">
        <f t="shared" si="6"/>
        <v>47</v>
      </c>
      <c r="C419" s="8">
        <v>11</v>
      </c>
      <c r="D419" s="8" t="s">
        <v>860</v>
      </c>
      <c r="E419" s="7">
        <v>50</v>
      </c>
      <c r="F419" s="8" t="s">
        <v>471</v>
      </c>
    </row>
    <row r="420" spans="1:6" x14ac:dyDescent="0.2">
      <c r="A420" s="7">
        <v>14705</v>
      </c>
      <c r="B420" s="8">
        <f t="shared" si="6"/>
        <v>47</v>
      </c>
      <c r="C420" s="8">
        <v>10</v>
      </c>
      <c r="D420" s="8" t="s">
        <v>861</v>
      </c>
      <c r="E420" s="7">
        <v>50</v>
      </c>
      <c r="F420" s="8" t="s">
        <v>473</v>
      </c>
    </row>
    <row r="421" spans="1:6" x14ac:dyDescent="0.2">
      <c r="A421" s="7">
        <v>14706</v>
      </c>
      <c r="B421" s="8">
        <f t="shared" si="6"/>
        <v>47</v>
      </c>
      <c r="C421" s="8">
        <v>7</v>
      </c>
      <c r="D421" s="8" t="s">
        <v>862</v>
      </c>
      <c r="E421" s="7">
        <v>50</v>
      </c>
      <c r="F421" s="8" t="s">
        <v>475</v>
      </c>
    </row>
    <row r="422" spans="1:6" x14ac:dyDescent="0.2">
      <c r="A422" s="7">
        <v>14707</v>
      </c>
      <c r="B422" s="8">
        <f t="shared" si="6"/>
        <v>47</v>
      </c>
      <c r="C422" s="8">
        <v>8</v>
      </c>
      <c r="D422" s="8" t="s">
        <v>863</v>
      </c>
      <c r="E422" s="7">
        <v>50</v>
      </c>
      <c r="F422" s="8" t="s">
        <v>477</v>
      </c>
    </row>
    <row r="423" spans="1:6" x14ac:dyDescent="0.2">
      <c r="A423" s="7">
        <v>14708</v>
      </c>
      <c r="B423" s="8">
        <f t="shared" si="6"/>
        <v>47</v>
      </c>
      <c r="C423" s="8">
        <v>5</v>
      </c>
      <c r="D423" s="8" t="s">
        <v>864</v>
      </c>
      <c r="E423" s="7">
        <v>50</v>
      </c>
      <c r="F423" s="8" t="s">
        <v>479</v>
      </c>
    </row>
    <row r="424" spans="1:6" x14ac:dyDescent="0.2">
      <c r="A424" s="7">
        <v>14709</v>
      </c>
      <c r="B424" s="8">
        <f t="shared" si="6"/>
        <v>47</v>
      </c>
      <c r="C424" s="8">
        <v>9</v>
      </c>
      <c r="D424" s="8" t="s">
        <v>865</v>
      </c>
      <c r="E424" s="7">
        <v>50</v>
      </c>
      <c r="F424" s="8" t="s">
        <v>481</v>
      </c>
    </row>
    <row r="425" spans="1:6" x14ac:dyDescent="0.2">
      <c r="A425" s="7">
        <v>14801</v>
      </c>
      <c r="B425" s="8">
        <f t="shared" si="6"/>
        <v>48</v>
      </c>
      <c r="C425" s="8">
        <v>3</v>
      </c>
      <c r="D425" s="8" t="s">
        <v>866</v>
      </c>
      <c r="E425" s="9">
        <v>75</v>
      </c>
      <c r="F425" s="8" t="s">
        <v>466</v>
      </c>
    </row>
    <row r="426" spans="1:6" x14ac:dyDescent="0.2">
      <c r="A426" s="7">
        <v>14802</v>
      </c>
      <c r="B426" s="8">
        <f t="shared" si="6"/>
        <v>48</v>
      </c>
      <c r="C426" s="8">
        <v>2</v>
      </c>
      <c r="D426" s="8" t="s">
        <v>867</v>
      </c>
      <c r="E426" s="9">
        <v>75</v>
      </c>
      <c r="F426" s="8" t="s">
        <v>455</v>
      </c>
    </row>
    <row r="427" spans="1:6" x14ac:dyDescent="0.2">
      <c r="A427" s="7">
        <v>14803</v>
      </c>
      <c r="B427" s="8">
        <f t="shared" si="6"/>
        <v>48</v>
      </c>
      <c r="C427" s="8">
        <v>1001</v>
      </c>
      <c r="D427" s="8" t="s">
        <v>868</v>
      </c>
      <c r="E427" s="7">
        <v>50</v>
      </c>
      <c r="F427" s="8" t="s">
        <v>469</v>
      </c>
    </row>
    <row r="428" spans="1:6" x14ac:dyDescent="0.2">
      <c r="A428" s="7">
        <v>14804</v>
      </c>
      <c r="B428" s="8">
        <f t="shared" si="6"/>
        <v>48</v>
      </c>
      <c r="C428" s="8">
        <v>11</v>
      </c>
      <c r="D428" s="8" t="s">
        <v>869</v>
      </c>
      <c r="E428" s="7">
        <v>50</v>
      </c>
      <c r="F428" s="8" t="s">
        <v>471</v>
      </c>
    </row>
    <row r="429" spans="1:6" x14ac:dyDescent="0.2">
      <c r="A429" s="7">
        <v>14805</v>
      </c>
      <c r="B429" s="8">
        <f t="shared" si="6"/>
        <v>48</v>
      </c>
      <c r="C429" s="8">
        <v>10</v>
      </c>
      <c r="D429" s="8" t="s">
        <v>870</v>
      </c>
      <c r="E429" s="7">
        <v>50</v>
      </c>
      <c r="F429" s="8" t="s">
        <v>473</v>
      </c>
    </row>
    <row r="430" spans="1:6" x14ac:dyDescent="0.2">
      <c r="A430" s="7">
        <v>14806</v>
      </c>
      <c r="B430" s="8">
        <f t="shared" si="6"/>
        <v>48</v>
      </c>
      <c r="C430" s="8">
        <v>7</v>
      </c>
      <c r="D430" s="8" t="s">
        <v>871</v>
      </c>
      <c r="E430" s="7">
        <v>50</v>
      </c>
      <c r="F430" s="8" t="s">
        <v>475</v>
      </c>
    </row>
    <row r="431" spans="1:6" x14ac:dyDescent="0.2">
      <c r="A431" s="7">
        <v>14807</v>
      </c>
      <c r="B431" s="8">
        <f t="shared" si="6"/>
        <v>48</v>
      </c>
      <c r="C431" s="8">
        <v>8</v>
      </c>
      <c r="D431" s="8" t="s">
        <v>872</v>
      </c>
      <c r="E431" s="7">
        <v>50</v>
      </c>
      <c r="F431" s="8" t="s">
        <v>477</v>
      </c>
    </row>
    <row r="432" spans="1:6" x14ac:dyDescent="0.2">
      <c r="A432" s="7">
        <v>14808</v>
      </c>
      <c r="B432" s="8">
        <f t="shared" si="6"/>
        <v>48</v>
      </c>
      <c r="C432" s="8">
        <v>5</v>
      </c>
      <c r="D432" s="8" t="s">
        <v>873</v>
      </c>
      <c r="E432" s="7">
        <v>50</v>
      </c>
      <c r="F432" s="8" t="s">
        <v>479</v>
      </c>
    </row>
    <row r="433" spans="1:6" x14ac:dyDescent="0.2">
      <c r="A433" s="7">
        <v>14809</v>
      </c>
      <c r="B433" s="8">
        <f t="shared" si="6"/>
        <v>48</v>
      </c>
      <c r="C433" s="8">
        <v>9</v>
      </c>
      <c r="D433" s="8" t="s">
        <v>874</v>
      </c>
      <c r="E433" s="7">
        <v>50</v>
      </c>
      <c r="F433" s="8" t="s">
        <v>481</v>
      </c>
    </row>
    <row r="434" spans="1:6" x14ac:dyDescent="0.2">
      <c r="A434" s="7">
        <v>14901</v>
      </c>
      <c r="B434" s="8">
        <f t="shared" si="6"/>
        <v>49</v>
      </c>
      <c r="C434" s="8">
        <v>3</v>
      </c>
      <c r="D434" s="8" t="s">
        <v>875</v>
      </c>
      <c r="E434" s="9">
        <v>75</v>
      </c>
      <c r="F434" s="8" t="s">
        <v>466</v>
      </c>
    </row>
    <row r="435" spans="1:6" x14ac:dyDescent="0.2">
      <c r="A435" s="7">
        <v>14902</v>
      </c>
      <c r="B435" s="8">
        <f t="shared" si="6"/>
        <v>49</v>
      </c>
      <c r="C435" s="8">
        <v>2</v>
      </c>
      <c r="D435" s="8" t="s">
        <v>867</v>
      </c>
      <c r="E435" s="9">
        <v>75</v>
      </c>
      <c r="F435" s="8" t="s">
        <v>455</v>
      </c>
    </row>
    <row r="436" spans="1:6" x14ac:dyDescent="0.2">
      <c r="A436" s="7">
        <v>14903</v>
      </c>
      <c r="B436" s="8">
        <f t="shared" si="6"/>
        <v>49</v>
      </c>
      <c r="C436" s="8">
        <v>1001</v>
      </c>
      <c r="D436" s="8" t="s">
        <v>876</v>
      </c>
      <c r="E436" s="7">
        <v>50</v>
      </c>
      <c r="F436" s="8" t="s">
        <v>469</v>
      </c>
    </row>
    <row r="437" spans="1:6" x14ac:dyDescent="0.2">
      <c r="A437" s="7">
        <v>14904</v>
      </c>
      <c r="B437" s="8">
        <f t="shared" si="6"/>
        <v>49</v>
      </c>
      <c r="C437" s="8">
        <v>11</v>
      </c>
      <c r="D437" s="8" t="s">
        <v>877</v>
      </c>
      <c r="E437" s="7">
        <v>50</v>
      </c>
      <c r="F437" s="8" t="s">
        <v>471</v>
      </c>
    </row>
    <row r="438" spans="1:6" x14ac:dyDescent="0.2">
      <c r="A438" s="7">
        <v>14905</v>
      </c>
      <c r="B438" s="8">
        <f t="shared" si="6"/>
        <v>49</v>
      </c>
      <c r="C438" s="8">
        <v>10</v>
      </c>
      <c r="D438" s="8" t="s">
        <v>878</v>
      </c>
      <c r="E438" s="7">
        <v>50</v>
      </c>
      <c r="F438" s="8" t="s">
        <v>473</v>
      </c>
    </row>
    <row r="439" spans="1:6" x14ac:dyDescent="0.2">
      <c r="A439" s="7">
        <v>14906</v>
      </c>
      <c r="B439" s="8">
        <f t="shared" si="6"/>
        <v>49</v>
      </c>
      <c r="C439" s="8">
        <v>7</v>
      </c>
      <c r="D439" s="8" t="s">
        <v>879</v>
      </c>
      <c r="E439" s="7">
        <v>50</v>
      </c>
      <c r="F439" s="8" t="s">
        <v>475</v>
      </c>
    </row>
    <row r="440" spans="1:6" x14ac:dyDescent="0.2">
      <c r="A440" s="7">
        <v>14907</v>
      </c>
      <c r="B440" s="8">
        <f t="shared" si="6"/>
        <v>49</v>
      </c>
      <c r="C440" s="8">
        <v>8</v>
      </c>
      <c r="D440" s="8" t="s">
        <v>880</v>
      </c>
      <c r="E440" s="7">
        <v>50</v>
      </c>
      <c r="F440" s="8" t="s">
        <v>477</v>
      </c>
    </row>
    <row r="441" spans="1:6" x14ac:dyDescent="0.2">
      <c r="A441" s="7">
        <v>14908</v>
      </c>
      <c r="B441" s="8">
        <f t="shared" si="6"/>
        <v>49</v>
      </c>
      <c r="C441" s="8">
        <v>5</v>
      </c>
      <c r="D441" s="8" t="s">
        <v>881</v>
      </c>
      <c r="E441" s="7">
        <v>50</v>
      </c>
      <c r="F441" s="8" t="s">
        <v>479</v>
      </c>
    </row>
    <row r="442" spans="1:6" x14ac:dyDescent="0.2">
      <c r="A442" s="7">
        <v>14909</v>
      </c>
      <c r="B442" s="8">
        <f t="shared" si="6"/>
        <v>49</v>
      </c>
      <c r="C442" s="8">
        <v>9</v>
      </c>
      <c r="D442" s="8" t="s">
        <v>882</v>
      </c>
      <c r="E442" s="7">
        <v>50</v>
      </c>
      <c r="F442" s="8" t="s">
        <v>481</v>
      </c>
    </row>
    <row r="443" spans="1:6" x14ac:dyDescent="0.2">
      <c r="A443" s="7">
        <v>15001</v>
      </c>
      <c r="B443" s="8">
        <f t="shared" si="6"/>
        <v>50</v>
      </c>
      <c r="C443" s="8">
        <v>3</v>
      </c>
      <c r="D443" s="8" t="s">
        <v>883</v>
      </c>
      <c r="E443" s="9">
        <v>75</v>
      </c>
      <c r="F443" s="8" t="s">
        <v>466</v>
      </c>
    </row>
    <row r="444" spans="1:6" x14ac:dyDescent="0.2">
      <c r="A444" s="7">
        <v>15002</v>
      </c>
      <c r="B444" s="8">
        <f t="shared" si="6"/>
        <v>50</v>
      </c>
      <c r="C444" s="8">
        <v>2</v>
      </c>
      <c r="D444" s="8" t="s">
        <v>884</v>
      </c>
      <c r="E444" s="9">
        <v>75</v>
      </c>
      <c r="F444" s="8" t="s">
        <v>455</v>
      </c>
    </row>
    <row r="445" spans="1:6" x14ac:dyDescent="0.2">
      <c r="A445" s="7">
        <v>15003</v>
      </c>
      <c r="B445" s="8">
        <f t="shared" si="6"/>
        <v>50</v>
      </c>
      <c r="C445" s="8">
        <v>1001</v>
      </c>
      <c r="D445" s="8" t="s">
        <v>885</v>
      </c>
      <c r="E445" s="7">
        <v>50</v>
      </c>
      <c r="F445" s="8" t="s">
        <v>469</v>
      </c>
    </row>
    <row r="446" spans="1:6" x14ac:dyDescent="0.2">
      <c r="A446" s="7">
        <v>15004</v>
      </c>
      <c r="B446" s="8">
        <f t="shared" si="6"/>
        <v>50</v>
      </c>
      <c r="C446" s="8">
        <v>11</v>
      </c>
      <c r="D446" s="8" t="s">
        <v>886</v>
      </c>
      <c r="E446" s="7">
        <v>50</v>
      </c>
      <c r="F446" s="8" t="s">
        <v>471</v>
      </c>
    </row>
    <row r="447" spans="1:6" x14ac:dyDescent="0.2">
      <c r="A447" s="7">
        <v>15005</v>
      </c>
      <c r="B447" s="8">
        <f t="shared" si="6"/>
        <v>50</v>
      </c>
      <c r="C447" s="8">
        <v>10</v>
      </c>
      <c r="D447" s="8" t="s">
        <v>887</v>
      </c>
      <c r="E447" s="7">
        <v>50</v>
      </c>
      <c r="F447" s="8" t="s">
        <v>473</v>
      </c>
    </row>
    <row r="448" spans="1:6" x14ac:dyDescent="0.2">
      <c r="A448" s="7">
        <v>15006</v>
      </c>
      <c r="B448" s="8">
        <f t="shared" si="6"/>
        <v>50</v>
      </c>
      <c r="C448" s="8">
        <v>7</v>
      </c>
      <c r="D448" s="8" t="s">
        <v>888</v>
      </c>
      <c r="E448" s="7">
        <v>50</v>
      </c>
      <c r="F448" s="8" t="s">
        <v>475</v>
      </c>
    </row>
    <row r="449" spans="1:6" x14ac:dyDescent="0.2">
      <c r="A449" s="7">
        <v>15007</v>
      </c>
      <c r="B449" s="8">
        <f t="shared" si="6"/>
        <v>50</v>
      </c>
      <c r="C449" s="8">
        <v>8</v>
      </c>
      <c r="D449" s="8" t="s">
        <v>889</v>
      </c>
      <c r="E449" s="7">
        <v>50</v>
      </c>
      <c r="F449" s="8" t="s">
        <v>477</v>
      </c>
    </row>
    <row r="450" spans="1:6" x14ac:dyDescent="0.2">
      <c r="A450" s="7">
        <v>15008</v>
      </c>
      <c r="B450" s="8">
        <f t="shared" si="6"/>
        <v>50</v>
      </c>
      <c r="C450" s="8">
        <v>5</v>
      </c>
      <c r="D450" s="8" t="s">
        <v>890</v>
      </c>
      <c r="E450" s="7">
        <v>50</v>
      </c>
      <c r="F450" s="8" t="s">
        <v>479</v>
      </c>
    </row>
    <row r="451" spans="1:6" x14ac:dyDescent="0.2">
      <c r="A451" s="7">
        <v>15009</v>
      </c>
      <c r="B451" s="8">
        <f t="shared" si="6"/>
        <v>50</v>
      </c>
      <c r="C451" s="8">
        <v>9</v>
      </c>
      <c r="D451" s="8" t="s">
        <v>891</v>
      </c>
      <c r="E451" s="7">
        <v>50</v>
      </c>
      <c r="F451" s="8" t="s">
        <v>481</v>
      </c>
    </row>
    <row r="452" spans="1:6" x14ac:dyDescent="0.2">
      <c r="A452" s="7">
        <v>15101</v>
      </c>
      <c r="B452" s="8">
        <f t="shared" si="6"/>
        <v>51</v>
      </c>
      <c r="C452" s="8">
        <v>3</v>
      </c>
      <c r="D452" s="8" t="s">
        <v>209</v>
      </c>
      <c r="E452" s="9">
        <v>75</v>
      </c>
      <c r="F452" s="8" t="s">
        <v>466</v>
      </c>
    </row>
    <row r="453" spans="1:6" x14ac:dyDescent="0.2">
      <c r="A453" s="7">
        <v>15102</v>
      </c>
      <c r="B453" s="8">
        <f t="shared" si="6"/>
        <v>51</v>
      </c>
      <c r="C453" s="8">
        <v>2</v>
      </c>
      <c r="D453" s="8" t="s">
        <v>884</v>
      </c>
      <c r="E453" s="9">
        <v>75</v>
      </c>
      <c r="F453" s="8" t="s">
        <v>455</v>
      </c>
    </row>
    <row r="454" spans="1:6" x14ac:dyDescent="0.2">
      <c r="A454" s="7">
        <v>15103</v>
      </c>
      <c r="B454" s="8">
        <f t="shared" si="6"/>
        <v>51</v>
      </c>
      <c r="C454" s="8">
        <v>1001</v>
      </c>
      <c r="D454" s="8" t="s">
        <v>892</v>
      </c>
      <c r="E454" s="7">
        <v>50</v>
      </c>
      <c r="F454" s="8" t="s">
        <v>469</v>
      </c>
    </row>
    <row r="455" spans="1:6" x14ac:dyDescent="0.2">
      <c r="A455" s="7">
        <v>15104</v>
      </c>
      <c r="B455" s="8">
        <f t="shared" si="6"/>
        <v>51</v>
      </c>
      <c r="C455" s="8">
        <v>11</v>
      </c>
      <c r="D455" s="8" t="s">
        <v>893</v>
      </c>
      <c r="E455" s="7">
        <v>50</v>
      </c>
      <c r="F455" s="8" t="s">
        <v>471</v>
      </c>
    </row>
    <row r="456" spans="1:6" x14ac:dyDescent="0.2">
      <c r="A456" s="7">
        <v>15105</v>
      </c>
      <c r="B456" s="8">
        <f t="shared" si="6"/>
        <v>51</v>
      </c>
      <c r="C456" s="8">
        <v>10</v>
      </c>
      <c r="D456" s="8" t="s">
        <v>894</v>
      </c>
      <c r="E456" s="7">
        <v>50</v>
      </c>
      <c r="F456" s="8" t="s">
        <v>473</v>
      </c>
    </row>
    <row r="457" spans="1:6" x14ac:dyDescent="0.2">
      <c r="A457" s="7">
        <v>15106</v>
      </c>
      <c r="B457" s="8">
        <f t="shared" si="6"/>
        <v>51</v>
      </c>
      <c r="C457" s="8">
        <v>7</v>
      </c>
      <c r="D457" s="8" t="s">
        <v>895</v>
      </c>
      <c r="E457" s="7">
        <v>50</v>
      </c>
      <c r="F457" s="8" t="s">
        <v>475</v>
      </c>
    </row>
    <row r="458" spans="1:6" x14ac:dyDescent="0.2">
      <c r="A458" s="7">
        <v>15107</v>
      </c>
      <c r="B458" s="8">
        <f t="shared" si="6"/>
        <v>51</v>
      </c>
      <c r="C458" s="8">
        <v>8</v>
      </c>
      <c r="D458" s="8" t="s">
        <v>896</v>
      </c>
      <c r="E458" s="7">
        <v>50</v>
      </c>
      <c r="F458" s="8" t="s">
        <v>477</v>
      </c>
    </row>
    <row r="459" spans="1:6" x14ac:dyDescent="0.2">
      <c r="A459" s="7">
        <v>15108</v>
      </c>
      <c r="B459" s="8">
        <f t="shared" si="6"/>
        <v>51</v>
      </c>
      <c r="C459" s="8">
        <v>5</v>
      </c>
      <c r="D459" s="8" t="s">
        <v>897</v>
      </c>
      <c r="E459" s="7">
        <v>50</v>
      </c>
      <c r="F459" s="8" t="s">
        <v>479</v>
      </c>
    </row>
    <row r="460" spans="1:6" x14ac:dyDescent="0.2">
      <c r="A460" s="7">
        <v>15109</v>
      </c>
      <c r="B460" s="8">
        <f t="shared" ref="B460:B523" si="7">B451+1</f>
        <v>51</v>
      </c>
      <c r="C460" s="8">
        <v>9</v>
      </c>
      <c r="D460" s="8" t="s">
        <v>898</v>
      </c>
      <c r="E460" s="7">
        <v>50</v>
      </c>
      <c r="F460" s="8" t="s">
        <v>481</v>
      </c>
    </row>
    <row r="461" spans="1:6" x14ac:dyDescent="0.2">
      <c r="A461" s="7">
        <v>15201</v>
      </c>
      <c r="B461" s="8">
        <f t="shared" si="7"/>
        <v>52</v>
      </c>
      <c r="C461" s="8">
        <v>3</v>
      </c>
      <c r="D461" s="8" t="s">
        <v>899</v>
      </c>
      <c r="E461" s="9">
        <v>75</v>
      </c>
      <c r="F461" s="8" t="s">
        <v>466</v>
      </c>
    </row>
    <row r="462" spans="1:6" x14ac:dyDescent="0.2">
      <c r="A462" s="7">
        <v>15202</v>
      </c>
      <c r="B462" s="8">
        <f t="shared" si="7"/>
        <v>52</v>
      </c>
      <c r="C462" s="8">
        <v>2</v>
      </c>
      <c r="D462" s="8" t="s">
        <v>884</v>
      </c>
      <c r="E462" s="9">
        <v>75</v>
      </c>
      <c r="F462" s="8" t="s">
        <v>455</v>
      </c>
    </row>
    <row r="463" spans="1:6" x14ac:dyDescent="0.2">
      <c r="A463" s="7">
        <v>15203</v>
      </c>
      <c r="B463" s="8">
        <f t="shared" si="7"/>
        <v>52</v>
      </c>
      <c r="C463" s="8">
        <v>1001</v>
      </c>
      <c r="D463" s="8" t="s">
        <v>900</v>
      </c>
      <c r="E463" s="7">
        <v>50</v>
      </c>
      <c r="F463" s="8" t="s">
        <v>469</v>
      </c>
    </row>
    <row r="464" spans="1:6" x14ac:dyDescent="0.2">
      <c r="A464" s="7">
        <v>15204</v>
      </c>
      <c r="B464" s="8">
        <f t="shared" si="7"/>
        <v>52</v>
      </c>
      <c r="C464" s="8">
        <v>11</v>
      </c>
      <c r="D464" s="8" t="s">
        <v>901</v>
      </c>
      <c r="E464" s="7">
        <v>50</v>
      </c>
      <c r="F464" s="8" t="s">
        <v>471</v>
      </c>
    </row>
    <row r="465" spans="1:6" x14ac:dyDescent="0.2">
      <c r="A465" s="7">
        <v>15205</v>
      </c>
      <c r="B465" s="8">
        <f t="shared" si="7"/>
        <v>52</v>
      </c>
      <c r="C465" s="8">
        <v>10</v>
      </c>
      <c r="D465" s="8" t="s">
        <v>902</v>
      </c>
      <c r="E465" s="7">
        <v>50</v>
      </c>
      <c r="F465" s="8" t="s">
        <v>473</v>
      </c>
    </row>
    <row r="466" spans="1:6" x14ac:dyDescent="0.2">
      <c r="A466" s="7">
        <v>15206</v>
      </c>
      <c r="B466" s="8">
        <f t="shared" si="7"/>
        <v>52</v>
      </c>
      <c r="C466" s="8">
        <v>7</v>
      </c>
      <c r="D466" s="8" t="s">
        <v>903</v>
      </c>
      <c r="E466" s="7">
        <v>50</v>
      </c>
      <c r="F466" s="8" t="s">
        <v>475</v>
      </c>
    </row>
    <row r="467" spans="1:6" x14ac:dyDescent="0.2">
      <c r="A467" s="7">
        <v>15207</v>
      </c>
      <c r="B467" s="8">
        <f t="shared" si="7"/>
        <v>52</v>
      </c>
      <c r="C467" s="8">
        <v>8</v>
      </c>
      <c r="D467" s="8" t="s">
        <v>904</v>
      </c>
      <c r="E467" s="7">
        <v>50</v>
      </c>
      <c r="F467" s="8" t="s">
        <v>477</v>
      </c>
    </row>
    <row r="468" spans="1:6" x14ac:dyDescent="0.2">
      <c r="A468" s="7">
        <v>15208</v>
      </c>
      <c r="B468" s="8">
        <f t="shared" si="7"/>
        <v>52</v>
      </c>
      <c r="C468" s="8">
        <v>5</v>
      </c>
      <c r="D468" s="8" t="s">
        <v>905</v>
      </c>
      <c r="E468" s="7">
        <v>50</v>
      </c>
      <c r="F468" s="8" t="s">
        <v>479</v>
      </c>
    </row>
    <row r="469" spans="1:6" x14ac:dyDescent="0.2">
      <c r="A469" s="7">
        <v>15209</v>
      </c>
      <c r="B469" s="8">
        <f t="shared" si="7"/>
        <v>52</v>
      </c>
      <c r="C469" s="8">
        <v>9</v>
      </c>
      <c r="D469" s="8" t="s">
        <v>906</v>
      </c>
      <c r="E469" s="7">
        <v>50</v>
      </c>
      <c r="F469" s="8" t="s">
        <v>481</v>
      </c>
    </row>
    <row r="470" spans="1:6" x14ac:dyDescent="0.2">
      <c r="A470" s="7">
        <v>15301</v>
      </c>
      <c r="B470" s="8">
        <f t="shared" si="7"/>
        <v>53</v>
      </c>
      <c r="C470" s="8">
        <v>3</v>
      </c>
      <c r="D470" s="8" t="s">
        <v>907</v>
      </c>
      <c r="E470" s="9">
        <v>75</v>
      </c>
      <c r="F470" s="8" t="s">
        <v>466</v>
      </c>
    </row>
    <row r="471" spans="1:6" x14ac:dyDescent="0.2">
      <c r="A471" s="7">
        <v>15302</v>
      </c>
      <c r="B471" s="8">
        <f t="shared" si="7"/>
        <v>53</v>
      </c>
      <c r="C471" s="8">
        <v>2</v>
      </c>
      <c r="D471" s="8" t="s">
        <v>908</v>
      </c>
      <c r="E471" s="9">
        <v>75</v>
      </c>
      <c r="F471" s="8" t="s">
        <v>455</v>
      </c>
    </row>
    <row r="472" spans="1:6" x14ac:dyDescent="0.2">
      <c r="A472" s="7">
        <v>15303</v>
      </c>
      <c r="B472" s="8">
        <f t="shared" si="7"/>
        <v>53</v>
      </c>
      <c r="C472" s="8">
        <v>1001</v>
      </c>
      <c r="D472" s="8" t="s">
        <v>909</v>
      </c>
      <c r="E472" s="7">
        <v>50</v>
      </c>
      <c r="F472" s="8" t="s">
        <v>469</v>
      </c>
    </row>
    <row r="473" spans="1:6" x14ac:dyDescent="0.2">
      <c r="A473" s="7">
        <v>15304</v>
      </c>
      <c r="B473" s="8">
        <f t="shared" si="7"/>
        <v>53</v>
      </c>
      <c r="C473" s="8">
        <v>11</v>
      </c>
      <c r="D473" s="8" t="s">
        <v>910</v>
      </c>
      <c r="E473" s="7">
        <v>50</v>
      </c>
      <c r="F473" s="8" t="s">
        <v>471</v>
      </c>
    </row>
    <row r="474" spans="1:6" x14ac:dyDescent="0.2">
      <c r="A474" s="7">
        <v>15305</v>
      </c>
      <c r="B474" s="8">
        <f t="shared" si="7"/>
        <v>53</v>
      </c>
      <c r="C474" s="8">
        <v>10</v>
      </c>
      <c r="D474" s="8" t="s">
        <v>911</v>
      </c>
      <c r="E474" s="7">
        <v>50</v>
      </c>
      <c r="F474" s="8" t="s">
        <v>473</v>
      </c>
    </row>
    <row r="475" spans="1:6" x14ac:dyDescent="0.2">
      <c r="A475" s="7">
        <v>15306</v>
      </c>
      <c r="B475" s="8">
        <f t="shared" si="7"/>
        <v>53</v>
      </c>
      <c r="C475" s="8">
        <v>7</v>
      </c>
      <c r="D475" s="8" t="s">
        <v>912</v>
      </c>
      <c r="E475" s="7">
        <v>50</v>
      </c>
      <c r="F475" s="8" t="s">
        <v>475</v>
      </c>
    </row>
    <row r="476" spans="1:6" x14ac:dyDescent="0.2">
      <c r="A476" s="7">
        <v>15307</v>
      </c>
      <c r="B476" s="8">
        <f t="shared" si="7"/>
        <v>53</v>
      </c>
      <c r="C476" s="8">
        <v>8</v>
      </c>
      <c r="D476" s="8" t="s">
        <v>913</v>
      </c>
      <c r="E476" s="7">
        <v>50</v>
      </c>
      <c r="F476" s="8" t="s">
        <v>477</v>
      </c>
    </row>
    <row r="477" spans="1:6" x14ac:dyDescent="0.2">
      <c r="A477" s="7">
        <v>15308</v>
      </c>
      <c r="B477" s="8">
        <f t="shared" si="7"/>
        <v>53</v>
      </c>
      <c r="C477" s="8">
        <v>5</v>
      </c>
      <c r="D477" s="8" t="s">
        <v>914</v>
      </c>
      <c r="E477" s="7">
        <v>50</v>
      </c>
      <c r="F477" s="8" t="s">
        <v>479</v>
      </c>
    </row>
    <row r="478" spans="1:6" x14ac:dyDescent="0.2">
      <c r="A478" s="7">
        <v>15309</v>
      </c>
      <c r="B478" s="8">
        <f t="shared" si="7"/>
        <v>53</v>
      </c>
      <c r="C478" s="8">
        <v>9</v>
      </c>
      <c r="D478" s="8" t="s">
        <v>915</v>
      </c>
      <c r="E478" s="7">
        <v>50</v>
      </c>
      <c r="F478" s="8" t="s">
        <v>481</v>
      </c>
    </row>
    <row r="479" spans="1:6" x14ac:dyDescent="0.2">
      <c r="A479" s="7">
        <v>15401</v>
      </c>
      <c r="B479" s="8">
        <f t="shared" si="7"/>
        <v>54</v>
      </c>
      <c r="C479" s="8">
        <v>3</v>
      </c>
      <c r="D479" s="8" t="s">
        <v>916</v>
      </c>
      <c r="E479" s="9">
        <v>75</v>
      </c>
      <c r="F479" s="8" t="s">
        <v>466</v>
      </c>
    </row>
    <row r="480" spans="1:6" x14ac:dyDescent="0.2">
      <c r="A480" s="7">
        <v>15402</v>
      </c>
      <c r="B480" s="8">
        <f t="shared" si="7"/>
        <v>54</v>
      </c>
      <c r="C480" s="8">
        <v>2</v>
      </c>
      <c r="D480" s="8" t="s">
        <v>908</v>
      </c>
      <c r="E480" s="9">
        <v>75</v>
      </c>
      <c r="F480" s="8" t="s">
        <v>455</v>
      </c>
    </row>
    <row r="481" spans="1:6" x14ac:dyDescent="0.2">
      <c r="A481" s="7">
        <v>15403</v>
      </c>
      <c r="B481" s="8">
        <f t="shared" si="7"/>
        <v>54</v>
      </c>
      <c r="C481" s="8">
        <v>1001</v>
      </c>
      <c r="D481" s="8" t="s">
        <v>917</v>
      </c>
      <c r="E481" s="7">
        <v>50</v>
      </c>
      <c r="F481" s="8" t="s">
        <v>469</v>
      </c>
    </row>
    <row r="482" spans="1:6" x14ac:dyDescent="0.2">
      <c r="A482" s="7">
        <v>15404</v>
      </c>
      <c r="B482" s="8">
        <f t="shared" si="7"/>
        <v>54</v>
      </c>
      <c r="C482" s="8">
        <v>11</v>
      </c>
      <c r="D482" s="8" t="s">
        <v>918</v>
      </c>
      <c r="E482" s="7">
        <v>50</v>
      </c>
      <c r="F482" s="8" t="s">
        <v>471</v>
      </c>
    </row>
    <row r="483" spans="1:6" x14ac:dyDescent="0.2">
      <c r="A483" s="7">
        <v>15405</v>
      </c>
      <c r="B483" s="8">
        <f t="shared" si="7"/>
        <v>54</v>
      </c>
      <c r="C483" s="8">
        <v>10</v>
      </c>
      <c r="D483" s="8" t="s">
        <v>919</v>
      </c>
      <c r="E483" s="7">
        <v>50</v>
      </c>
      <c r="F483" s="8" t="s">
        <v>473</v>
      </c>
    </row>
    <row r="484" spans="1:6" x14ac:dyDescent="0.2">
      <c r="A484" s="7">
        <v>15406</v>
      </c>
      <c r="B484" s="8">
        <f t="shared" si="7"/>
        <v>54</v>
      </c>
      <c r="C484" s="8">
        <v>7</v>
      </c>
      <c r="D484" s="8" t="s">
        <v>920</v>
      </c>
      <c r="E484" s="7">
        <v>50</v>
      </c>
      <c r="F484" s="8" t="s">
        <v>475</v>
      </c>
    </row>
    <row r="485" spans="1:6" x14ac:dyDescent="0.2">
      <c r="A485" s="7">
        <v>15407</v>
      </c>
      <c r="B485" s="8">
        <f t="shared" si="7"/>
        <v>54</v>
      </c>
      <c r="C485" s="8">
        <v>8</v>
      </c>
      <c r="D485" s="8" t="s">
        <v>921</v>
      </c>
      <c r="E485" s="7">
        <v>50</v>
      </c>
      <c r="F485" s="8" t="s">
        <v>477</v>
      </c>
    </row>
    <row r="486" spans="1:6" x14ac:dyDescent="0.2">
      <c r="A486" s="7">
        <v>15408</v>
      </c>
      <c r="B486" s="8">
        <f t="shared" si="7"/>
        <v>54</v>
      </c>
      <c r="C486" s="8">
        <v>5</v>
      </c>
      <c r="D486" s="8" t="s">
        <v>922</v>
      </c>
      <c r="E486" s="7">
        <v>50</v>
      </c>
      <c r="F486" s="8" t="s">
        <v>479</v>
      </c>
    </row>
    <row r="487" spans="1:6" x14ac:dyDescent="0.2">
      <c r="A487" s="7">
        <v>15409</v>
      </c>
      <c r="B487" s="8">
        <f t="shared" si="7"/>
        <v>54</v>
      </c>
      <c r="C487" s="8">
        <v>9</v>
      </c>
      <c r="D487" s="8" t="s">
        <v>923</v>
      </c>
      <c r="E487" s="7">
        <v>50</v>
      </c>
      <c r="F487" s="8" t="s">
        <v>481</v>
      </c>
    </row>
    <row r="488" spans="1:6" x14ac:dyDescent="0.2">
      <c r="A488" s="7">
        <v>15501</v>
      </c>
      <c r="B488" s="8">
        <f t="shared" si="7"/>
        <v>55</v>
      </c>
      <c r="C488" s="8">
        <v>3</v>
      </c>
      <c r="D488" s="8" t="s">
        <v>924</v>
      </c>
      <c r="E488" s="9">
        <v>75</v>
      </c>
      <c r="F488" s="8" t="s">
        <v>466</v>
      </c>
    </row>
    <row r="489" spans="1:6" x14ac:dyDescent="0.2">
      <c r="A489" s="7">
        <v>15502</v>
      </c>
      <c r="B489" s="8">
        <f t="shared" si="7"/>
        <v>55</v>
      </c>
      <c r="C489" s="8">
        <v>2</v>
      </c>
      <c r="D489" s="8" t="s">
        <v>925</v>
      </c>
      <c r="E489" s="9">
        <v>75</v>
      </c>
      <c r="F489" s="8" t="s">
        <v>455</v>
      </c>
    </row>
    <row r="490" spans="1:6" x14ac:dyDescent="0.2">
      <c r="A490" s="7">
        <v>15503</v>
      </c>
      <c r="B490" s="8">
        <f t="shared" si="7"/>
        <v>55</v>
      </c>
      <c r="C490" s="8">
        <v>1001</v>
      </c>
      <c r="D490" s="8" t="s">
        <v>926</v>
      </c>
      <c r="E490" s="7">
        <v>50</v>
      </c>
      <c r="F490" s="8" t="s">
        <v>469</v>
      </c>
    </row>
    <row r="491" spans="1:6" x14ac:dyDescent="0.2">
      <c r="A491" s="7">
        <v>15504</v>
      </c>
      <c r="B491" s="8">
        <f t="shared" si="7"/>
        <v>55</v>
      </c>
      <c r="C491" s="8">
        <v>11</v>
      </c>
      <c r="D491" s="8" t="s">
        <v>927</v>
      </c>
      <c r="E491" s="7">
        <v>50</v>
      </c>
      <c r="F491" s="8" t="s">
        <v>471</v>
      </c>
    </row>
    <row r="492" spans="1:6" x14ac:dyDescent="0.2">
      <c r="A492" s="7">
        <v>15505</v>
      </c>
      <c r="B492" s="8">
        <f t="shared" si="7"/>
        <v>55</v>
      </c>
      <c r="C492" s="8">
        <v>10</v>
      </c>
      <c r="D492" s="8" t="s">
        <v>928</v>
      </c>
      <c r="E492" s="7">
        <v>50</v>
      </c>
      <c r="F492" s="8" t="s">
        <v>473</v>
      </c>
    </row>
    <row r="493" spans="1:6" x14ac:dyDescent="0.2">
      <c r="A493" s="7">
        <v>15506</v>
      </c>
      <c r="B493" s="8">
        <f t="shared" si="7"/>
        <v>55</v>
      </c>
      <c r="C493" s="8">
        <v>7</v>
      </c>
      <c r="D493" s="8" t="s">
        <v>929</v>
      </c>
      <c r="E493" s="7">
        <v>50</v>
      </c>
      <c r="F493" s="8" t="s">
        <v>475</v>
      </c>
    </row>
    <row r="494" spans="1:6" x14ac:dyDescent="0.2">
      <c r="A494" s="7">
        <v>15507</v>
      </c>
      <c r="B494" s="8">
        <f t="shared" si="7"/>
        <v>55</v>
      </c>
      <c r="C494" s="8">
        <v>8</v>
      </c>
      <c r="D494" s="8" t="s">
        <v>930</v>
      </c>
      <c r="E494" s="7">
        <v>50</v>
      </c>
      <c r="F494" s="8" t="s">
        <v>477</v>
      </c>
    </row>
    <row r="495" spans="1:6" x14ac:dyDescent="0.2">
      <c r="A495" s="7">
        <v>15508</v>
      </c>
      <c r="B495" s="8">
        <f t="shared" si="7"/>
        <v>55</v>
      </c>
      <c r="C495" s="8">
        <v>5</v>
      </c>
      <c r="D495" s="8" t="s">
        <v>931</v>
      </c>
      <c r="E495" s="7">
        <v>50</v>
      </c>
      <c r="F495" s="8" t="s">
        <v>479</v>
      </c>
    </row>
    <row r="496" spans="1:6" x14ac:dyDescent="0.2">
      <c r="A496" s="7">
        <v>15509</v>
      </c>
      <c r="B496" s="8">
        <f t="shared" si="7"/>
        <v>55</v>
      </c>
      <c r="C496" s="8">
        <v>9</v>
      </c>
      <c r="D496" s="8" t="s">
        <v>932</v>
      </c>
      <c r="E496" s="7">
        <v>50</v>
      </c>
      <c r="F496" s="8" t="s">
        <v>481</v>
      </c>
    </row>
    <row r="497" spans="1:6" x14ac:dyDescent="0.2">
      <c r="A497" s="7">
        <v>15601</v>
      </c>
      <c r="B497" s="8">
        <f t="shared" si="7"/>
        <v>56</v>
      </c>
      <c r="C497" s="8">
        <v>3</v>
      </c>
      <c r="D497" s="8" t="s">
        <v>933</v>
      </c>
      <c r="E497" s="9">
        <v>75</v>
      </c>
      <c r="F497" s="8" t="s">
        <v>466</v>
      </c>
    </row>
    <row r="498" spans="1:6" x14ac:dyDescent="0.2">
      <c r="A498" s="7">
        <v>15602</v>
      </c>
      <c r="B498" s="8">
        <f t="shared" si="7"/>
        <v>56</v>
      </c>
      <c r="C498" s="8">
        <v>2</v>
      </c>
      <c r="D498" s="8" t="s">
        <v>925</v>
      </c>
      <c r="E498" s="9">
        <v>75</v>
      </c>
      <c r="F498" s="8" t="s">
        <v>455</v>
      </c>
    </row>
    <row r="499" spans="1:6" x14ac:dyDescent="0.2">
      <c r="A499" s="7">
        <v>15603</v>
      </c>
      <c r="B499" s="8">
        <f t="shared" si="7"/>
        <v>56</v>
      </c>
      <c r="C499" s="8">
        <v>1001</v>
      </c>
      <c r="D499" s="8" t="s">
        <v>934</v>
      </c>
      <c r="E499" s="7">
        <v>50</v>
      </c>
      <c r="F499" s="8" t="s">
        <v>469</v>
      </c>
    </row>
    <row r="500" spans="1:6" x14ac:dyDescent="0.2">
      <c r="A500" s="7">
        <v>15604</v>
      </c>
      <c r="B500" s="8">
        <f t="shared" si="7"/>
        <v>56</v>
      </c>
      <c r="C500" s="8">
        <v>11</v>
      </c>
      <c r="D500" s="8" t="s">
        <v>935</v>
      </c>
      <c r="E500" s="7">
        <v>50</v>
      </c>
      <c r="F500" s="8" t="s">
        <v>471</v>
      </c>
    </row>
    <row r="501" spans="1:6" x14ac:dyDescent="0.2">
      <c r="A501" s="7">
        <v>15605</v>
      </c>
      <c r="B501" s="8">
        <f t="shared" si="7"/>
        <v>56</v>
      </c>
      <c r="C501" s="8">
        <v>10</v>
      </c>
      <c r="D501" s="8" t="s">
        <v>936</v>
      </c>
      <c r="E501" s="7">
        <v>50</v>
      </c>
      <c r="F501" s="8" t="s">
        <v>473</v>
      </c>
    </row>
    <row r="502" spans="1:6" x14ac:dyDescent="0.2">
      <c r="A502" s="7">
        <v>15606</v>
      </c>
      <c r="B502" s="8">
        <f t="shared" si="7"/>
        <v>56</v>
      </c>
      <c r="C502" s="8">
        <v>7</v>
      </c>
      <c r="D502" s="8" t="s">
        <v>937</v>
      </c>
      <c r="E502" s="7">
        <v>50</v>
      </c>
      <c r="F502" s="8" t="s">
        <v>475</v>
      </c>
    </row>
    <row r="503" spans="1:6" x14ac:dyDescent="0.2">
      <c r="A503" s="7">
        <v>15607</v>
      </c>
      <c r="B503" s="8">
        <f t="shared" si="7"/>
        <v>56</v>
      </c>
      <c r="C503" s="8">
        <v>8</v>
      </c>
      <c r="D503" s="8" t="s">
        <v>938</v>
      </c>
      <c r="E503" s="7">
        <v>50</v>
      </c>
      <c r="F503" s="8" t="s">
        <v>477</v>
      </c>
    </row>
    <row r="504" spans="1:6" x14ac:dyDescent="0.2">
      <c r="A504" s="7">
        <v>15608</v>
      </c>
      <c r="B504" s="8">
        <f t="shared" si="7"/>
        <v>56</v>
      </c>
      <c r="C504" s="8">
        <v>5</v>
      </c>
      <c r="D504" s="8" t="s">
        <v>939</v>
      </c>
      <c r="E504" s="7">
        <v>50</v>
      </c>
      <c r="F504" s="8" t="s">
        <v>479</v>
      </c>
    </row>
    <row r="505" spans="1:6" x14ac:dyDescent="0.2">
      <c r="A505" s="7">
        <v>15609</v>
      </c>
      <c r="B505" s="8">
        <f t="shared" si="7"/>
        <v>56</v>
      </c>
      <c r="C505" s="8">
        <v>9</v>
      </c>
      <c r="D505" s="8" t="s">
        <v>940</v>
      </c>
      <c r="E505" s="7">
        <v>50</v>
      </c>
      <c r="F505" s="8" t="s">
        <v>481</v>
      </c>
    </row>
    <row r="506" spans="1:6" x14ac:dyDescent="0.2">
      <c r="A506" s="7">
        <v>15701</v>
      </c>
      <c r="B506" s="8">
        <f t="shared" si="7"/>
        <v>57</v>
      </c>
      <c r="C506" s="8">
        <v>3</v>
      </c>
      <c r="D506" s="8" t="s">
        <v>941</v>
      </c>
      <c r="E506" s="9">
        <v>75</v>
      </c>
      <c r="F506" s="8" t="s">
        <v>466</v>
      </c>
    </row>
    <row r="507" spans="1:6" x14ac:dyDescent="0.2">
      <c r="A507" s="7">
        <v>15702</v>
      </c>
      <c r="B507" s="8">
        <f t="shared" si="7"/>
        <v>57</v>
      </c>
      <c r="C507" s="8">
        <v>2</v>
      </c>
      <c r="D507" s="8" t="s">
        <v>925</v>
      </c>
      <c r="E507" s="9">
        <v>75</v>
      </c>
      <c r="F507" s="8" t="s">
        <v>455</v>
      </c>
    </row>
    <row r="508" spans="1:6" x14ac:dyDescent="0.2">
      <c r="A508" s="7">
        <v>15703</v>
      </c>
      <c r="B508" s="8">
        <f t="shared" si="7"/>
        <v>57</v>
      </c>
      <c r="C508" s="8">
        <v>1001</v>
      </c>
      <c r="D508" s="8" t="s">
        <v>942</v>
      </c>
      <c r="E508" s="7">
        <v>50</v>
      </c>
      <c r="F508" s="8" t="s">
        <v>469</v>
      </c>
    </row>
    <row r="509" spans="1:6" x14ac:dyDescent="0.2">
      <c r="A509" s="7">
        <v>15704</v>
      </c>
      <c r="B509" s="8">
        <f t="shared" si="7"/>
        <v>57</v>
      </c>
      <c r="C509" s="8">
        <v>11</v>
      </c>
      <c r="D509" s="8" t="s">
        <v>943</v>
      </c>
      <c r="E509" s="7">
        <v>50</v>
      </c>
      <c r="F509" s="8" t="s">
        <v>471</v>
      </c>
    </row>
    <row r="510" spans="1:6" x14ac:dyDescent="0.2">
      <c r="A510" s="7">
        <v>15705</v>
      </c>
      <c r="B510" s="8">
        <f t="shared" si="7"/>
        <v>57</v>
      </c>
      <c r="C510" s="8">
        <v>10</v>
      </c>
      <c r="D510" s="8" t="s">
        <v>944</v>
      </c>
      <c r="E510" s="7">
        <v>50</v>
      </c>
      <c r="F510" s="8" t="s">
        <v>473</v>
      </c>
    </row>
    <row r="511" spans="1:6" x14ac:dyDescent="0.2">
      <c r="A511" s="7">
        <v>15706</v>
      </c>
      <c r="B511" s="8">
        <f t="shared" si="7"/>
        <v>57</v>
      </c>
      <c r="C511" s="8">
        <v>7</v>
      </c>
      <c r="D511" s="8" t="s">
        <v>945</v>
      </c>
      <c r="E511" s="7">
        <v>50</v>
      </c>
      <c r="F511" s="8" t="s">
        <v>475</v>
      </c>
    </row>
    <row r="512" spans="1:6" x14ac:dyDescent="0.2">
      <c r="A512" s="7">
        <v>15707</v>
      </c>
      <c r="B512" s="8">
        <f t="shared" si="7"/>
        <v>57</v>
      </c>
      <c r="C512" s="8">
        <v>8</v>
      </c>
      <c r="D512" s="8" t="s">
        <v>946</v>
      </c>
      <c r="E512" s="7">
        <v>50</v>
      </c>
      <c r="F512" s="8" t="s">
        <v>477</v>
      </c>
    </row>
    <row r="513" spans="1:6" x14ac:dyDescent="0.2">
      <c r="A513" s="7">
        <v>15708</v>
      </c>
      <c r="B513" s="8">
        <f t="shared" si="7"/>
        <v>57</v>
      </c>
      <c r="C513" s="8">
        <v>5</v>
      </c>
      <c r="D513" s="8" t="s">
        <v>947</v>
      </c>
      <c r="E513" s="7">
        <v>50</v>
      </c>
      <c r="F513" s="8" t="s">
        <v>479</v>
      </c>
    </row>
    <row r="514" spans="1:6" x14ac:dyDescent="0.2">
      <c r="A514" s="7">
        <v>15709</v>
      </c>
      <c r="B514" s="8">
        <f t="shared" si="7"/>
        <v>57</v>
      </c>
      <c r="C514" s="8">
        <v>9</v>
      </c>
      <c r="D514" s="8" t="s">
        <v>948</v>
      </c>
      <c r="E514" s="7">
        <v>50</v>
      </c>
      <c r="F514" s="8" t="s">
        <v>481</v>
      </c>
    </row>
    <row r="515" spans="1:6" x14ac:dyDescent="0.2">
      <c r="A515" s="7">
        <v>15801</v>
      </c>
      <c r="B515" s="8">
        <f t="shared" si="7"/>
        <v>58</v>
      </c>
      <c r="C515" s="8">
        <v>3</v>
      </c>
      <c r="D515" s="8" t="s">
        <v>949</v>
      </c>
      <c r="E515" s="9">
        <v>75</v>
      </c>
      <c r="F515" s="8" t="s">
        <v>466</v>
      </c>
    </row>
    <row r="516" spans="1:6" x14ac:dyDescent="0.2">
      <c r="A516" s="7">
        <v>15802</v>
      </c>
      <c r="B516" s="8">
        <f t="shared" si="7"/>
        <v>58</v>
      </c>
      <c r="C516" s="8">
        <v>2</v>
      </c>
      <c r="D516" s="8" t="s">
        <v>950</v>
      </c>
      <c r="E516" s="9">
        <v>75</v>
      </c>
      <c r="F516" s="8" t="s">
        <v>455</v>
      </c>
    </row>
    <row r="517" spans="1:6" x14ac:dyDescent="0.2">
      <c r="A517" s="7">
        <v>15803</v>
      </c>
      <c r="B517" s="8">
        <f t="shared" si="7"/>
        <v>58</v>
      </c>
      <c r="C517" s="8">
        <v>1001</v>
      </c>
      <c r="D517" s="8" t="s">
        <v>951</v>
      </c>
      <c r="E517" s="7">
        <v>50</v>
      </c>
      <c r="F517" s="8" t="s">
        <v>469</v>
      </c>
    </row>
    <row r="518" spans="1:6" x14ac:dyDescent="0.2">
      <c r="A518" s="7">
        <v>15804</v>
      </c>
      <c r="B518" s="8">
        <f t="shared" si="7"/>
        <v>58</v>
      </c>
      <c r="C518" s="8">
        <v>11</v>
      </c>
      <c r="D518" s="8" t="s">
        <v>952</v>
      </c>
      <c r="E518" s="7">
        <v>50</v>
      </c>
      <c r="F518" s="8" t="s">
        <v>471</v>
      </c>
    </row>
    <row r="519" spans="1:6" x14ac:dyDescent="0.2">
      <c r="A519" s="7">
        <v>15805</v>
      </c>
      <c r="B519" s="8">
        <f t="shared" si="7"/>
        <v>58</v>
      </c>
      <c r="C519" s="8">
        <v>10</v>
      </c>
      <c r="D519" s="8" t="s">
        <v>953</v>
      </c>
      <c r="E519" s="7">
        <v>50</v>
      </c>
      <c r="F519" s="8" t="s">
        <v>473</v>
      </c>
    </row>
    <row r="520" spans="1:6" x14ac:dyDescent="0.2">
      <c r="A520" s="7">
        <v>15806</v>
      </c>
      <c r="B520" s="8">
        <f t="shared" si="7"/>
        <v>58</v>
      </c>
      <c r="C520" s="8">
        <v>7</v>
      </c>
      <c r="D520" s="8" t="s">
        <v>954</v>
      </c>
      <c r="E520" s="7">
        <v>50</v>
      </c>
      <c r="F520" s="8" t="s">
        <v>475</v>
      </c>
    </row>
    <row r="521" spans="1:6" x14ac:dyDescent="0.2">
      <c r="A521" s="7">
        <v>15807</v>
      </c>
      <c r="B521" s="8">
        <f t="shared" si="7"/>
        <v>58</v>
      </c>
      <c r="C521" s="8">
        <v>8</v>
      </c>
      <c r="D521" s="8" t="s">
        <v>955</v>
      </c>
      <c r="E521" s="7">
        <v>50</v>
      </c>
      <c r="F521" s="8" t="s">
        <v>477</v>
      </c>
    </row>
    <row r="522" spans="1:6" x14ac:dyDescent="0.2">
      <c r="A522" s="7">
        <v>15808</v>
      </c>
      <c r="B522" s="8">
        <f t="shared" si="7"/>
        <v>58</v>
      </c>
      <c r="C522" s="8">
        <v>5</v>
      </c>
      <c r="D522" s="8" t="s">
        <v>956</v>
      </c>
      <c r="E522" s="7">
        <v>50</v>
      </c>
      <c r="F522" s="8" t="s">
        <v>479</v>
      </c>
    </row>
    <row r="523" spans="1:6" x14ac:dyDescent="0.2">
      <c r="A523" s="7">
        <v>15809</v>
      </c>
      <c r="B523" s="8">
        <f t="shared" si="7"/>
        <v>58</v>
      </c>
      <c r="C523" s="8">
        <v>9</v>
      </c>
      <c r="D523" s="8" t="s">
        <v>957</v>
      </c>
      <c r="E523" s="7">
        <v>50</v>
      </c>
      <c r="F523" s="8" t="s">
        <v>481</v>
      </c>
    </row>
    <row r="524" spans="1:6" x14ac:dyDescent="0.2">
      <c r="A524" s="7">
        <v>15901</v>
      </c>
      <c r="B524" s="8">
        <f t="shared" ref="B524:B587" si="8">B515+1</f>
        <v>59</v>
      </c>
      <c r="C524" s="8">
        <v>3</v>
      </c>
      <c r="D524" s="8" t="s">
        <v>958</v>
      </c>
      <c r="E524" s="9">
        <v>75</v>
      </c>
      <c r="F524" s="8" t="s">
        <v>466</v>
      </c>
    </row>
    <row r="525" spans="1:6" x14ac:dyDescent="0.2">
      <c r="A525" s="7">
        <v>15902</v>
      </c>
      <c r="B525" s="8">
        <f t="shared" si="8"/>
        <v>59</v>
      </c>
      <c r="C525" s="8">
        <v>2</v>
      </c>
      <c r="D525" s="8" t="s">
        <v>950</v>
      </c>
      <c r="E525" s="9">
        <v>75</v>
      </c>
      <c r="F525" s="8" t="s">
        <v>455</v>
      </c>
    </row>
    <row r="526" spans="1:6" x14ac:dyDescent="0.2">
      <c r="A526" s="7">
        <v>15903</v>
      </c>
      <c r="B526" s="8">
        <f t="shared" si="8"/>
        <v>59</v>
      </c>
      <c r="C526" s="8">
        <v>1001</v>
      </c>
      <c r="D526" s="8" t="s">
        <v>959</v>
      </c>
      <c r="E526" s="7">
        <v>50</v>
      </c>
      <c r="F526" s="8" t="s">
        <v>469</v>
      </c>
    </row>
    <row r="527" spans="1:6" x14ac:dyDescent="0.2">
      <c r="A527" s="7">
        <v>15904</v>
      </c>
      <c r="B527" s="8">
        <f t="shared" si="8"/>
        <v>59</v>
      </c>
      <c r="C527" s="8">
        <v>11</v>
      </c>
      <c r="D527" s="8" t="s">
        <v>960</v>
      </c>
      <c r="E527" s="7">
        <v>50</v>
      </c>
      <c r="F527" s="8" t="s">
        <v>471</v>
      </c>
    </row>
    <row r="528" spans="1:6" x14ac:dyDescent="0.2">
      <c r="A528" s="7">
        <v>15905</v>
      </c>
      <c r="B528" s="8">
        <f t="shared" si="8"/>
        <v>59</v>
      </c>
      <c r="C528" s="8">
        <v>10</v>
      </c>
      <c r="D528" s="8" t="s">
        <v>961</v>
      </c>
      <c r="E528" s="7">
        <v>50</v>
      </c>
      <c r="F528" s="8" t="s">
        <v>473</v>
      </c>
    </row>
    <row r="529" spans="1:6" x14ac:dyDescent="0.2">
      <c r="A529" s="7">
        <v>15906</v>
      </c>
      <c r="B529" s="8">
        <f t="shared" si="8"/>
        <v>59</v>
      </c>
      <c r="C529" s="8">
        <v>7</v>
      </c>
      <c r="D529" s="8" t="s">
        <v>962</v>
      </c>
      <c r="E529" s="7">
        <v>50</v>
      </c>
      <c r="F529" s="8" t="s">
        <v>475</v>
      </c>
    </row>
    <row r="530" spans="1:6" x14ac:dyDescent="0.2">
      <c r="A530" s="7">
        <v>15907</v>
      </c>
      <c r="B530" s="8">
        <f t="shared" si="8"/>
        <v>59</v>
      </c>
      <c r="C530" s="8">
        <v>8</v>
      </c>
      <c r="D530" s="8" t="s">
        <v>963</v>
      </c>
      <c r="E530" s="7">
        <v>50</v>
      </c>
      <c r="F530" s="8" t="s">
        <v>477</v>
      </c>
    </row>
    <row r="531" spans="1:6" x14ac:dyDescent="0.2">
      <c r="A531" s="7">
        <v>15908</v>
      </c>
      <c r="B531" s="8">
        <f t="shared" si="8"/>
        <v>59</v>
      </c>
      <c r="C531" s="8">
        <v>5</v>
      </c>
      <c r="D531" s="8" t="s">
        <v>964</v>
      </c>
      <c r="E531" s="7">
        <v>50</v>
      </c>
      <c r="F531" s="8" t="s">
        <v>479</v>
      </c>
    </row>
    <row r="532" spans="1:6" x14ac:dyDescent="0.2">
      <c r="A532" s="7">
        <v>15909</v>
      </c>
      <c r="B532" s="8">
        <f t="shared" si="8"/>
        <v>59</v>
      </c>
      <c r="C532" s="8">
        <v>9</v>
      </c>
      <c r="D532" s="8" t="s">
        <v>965</v>
      </c>
      <c r="E532" s="7">
        <v>50</v>
      </c>
      <c r="F532" s="8" t="s">
        <v>481</v>
      </c>
    </row>
    <row r="533" spans="1:6" x14ac:dyDescent="0.2">
      <c r="A533" s="7">
        <v>16001</v>
      </c>
      <c r="B533" s="8">
        <f t="shared" si="8"/>
        <v>60</v>
      </c>
      <c r="C533" s="8">
        <v>3</v>
      </c>
      <c r="D533" s="8" t="s">
        <v>966</v>
      </c>
      <c r="E533" s="9">
        <v>75</v>
      </c>
      <c r="F533" s="8" t="s">
        <v>466</v>
      </c>
    </row>
    <row r="534" spans="1:6" x14ac:dyDescent="0.2">
      <c r="A534" s="7">
        <v>16002</v>
      </c>
      <c r="B534" s="8">
        <f t="shared" si="8"/>
        <v>60</v>
      </c>
      <c r="C534" s="8">
        <v>2</v>
      </c>
      <c r="D534" s="8" t="s">
        <v>967</v>
      </c>
      <c r="E534" s="9">
        <v>75</v>
      </c>
      <c r="F534" s="8" t="s">
        <v>455</v>
      </c>
    </row>
    <row r="535" spans="1:6" x14ac:dyDescent="0.2">
      <c r="A535" s="7">
        <v>16003</v>
      </c>
      <c r="B535" s="8">
        <f t="shared" si="8"/>
        <v>60</v>
      </c>
      <c r="C535" s="8">
        <v>1001</v>
      </c>
      <c r="D535" s="8" t="s">
        <v>968</v>
      </c>
      <c r="E535" s="7">
        <v>50</v>
      </c>
      <c r="F535" s="8" t="s">
        <v>469</v>
      </c>
    </row>
    <row r="536" spans="1:6" x14ac:dyDescent="0.2">
      <c r="A536" s="7">
        <v>16004</v>
      </c>
      <c r="B536" s="8">
        <f t="shared" si="8"/>
        <v>60</v>
      </c>
      <c r="C536" s="8">
        <v>11</v>
      </c>
      <c r="D536" s="8" t="s">
        <v>969</v>
      </c>
      <c r="E536" s="7">
        <v>50</v>
      </c>
      <c r="F536" s="8" t="s">
        <v>471</v>
      </c>
    </row>
    <row r="537" spans="1:6" x14ac:dyDescent="0.2">
      <c r="A537" s="7">
        <v>16005</v>
      </c>
      <c r="B537" s="8">
        <f t="shared" si="8"/>
        <v>60</v>
      </c>
      <c r="C537" s="8">
        <v>10</v>
      </c>
      <c r="D537" s="8" t="s">
        <v>970</v>
      </c>
      <c r="E537" s="7">
        <v>50</v>
      </c>
      <c r="F537" s="8" t="s">
        <v>473</v>
      </c>
    </row>
    <row r="538" spans="1:6" x14ac:dyDescent="0.2">
      <c r="A538" s="7">
        <v>16006</v>
      </c>
      <c r="B538" s="8">
        <f t="shared" si="8"/>
        <v>60</v>
      </c>
      <c r="C538" s="8">
        <v>7</v>
      </c>
      <c r="D538" s="8" t="s">
        <v>971</v>
      </c>
      <c r="E538" s="7">
        <v>50</v>
      </c>
      <c r="F538" s="8" t="s">
        <v>475</v>
      </c>
    </row>
    <row r="539" spans="1:6" x14ac:dyDescent="0.2">
      <c r="A539" s="7">
        <v>16007</v>
      </c>
      <c r="B539" s="8">
        <f t="shared" si="8"/>
        <v>60</v>
      </c>
      <c r="C539" s="8">
        <v>8</v>
      </c>
      <c r="D539" s="8" t="s">
        <v>972</v>
      </c>
      <c r="E539" s="7">
        <v>50</v>
      </c>
      <c r="F539" s="8" t="s">
        <v>477</v>
      </c>
    </row>
    <row r="540" spans="1:6" x14ac:dyDescent="0.2">
      <c r="A540" s="7">
        <v>16008</v>
      </c>
      <c r="B540" s="8">
        <f t="shared" si="8"/>
        <v>60</v>
      </c>
      <c r="C540" s="8">
        <v>5</v>
      </c>
      <c r="D540" s="8" t="s">
        <v>973</v>
      </c>
      <c r="E540" s="7">
        <v>50</v>
      </c>
      <c r="F540" s="8" t="s">
        <v>479</v>
      </c>
    </row>
    <row r="541" spans="1:6" x14ac:dyDescent="0.2">
      <c r="A541" s="7">
        <v>16009</v>
      </c>
      <c r="B541" s="8">
        <f t="shared" si="8"/>
        <v>60</v>
      </c>
      <c r="C541" s="8">
        <v>9</v>
      </c>
      <c r="D541" s="8" t="s">
        <v>974</v>
      </c>
      <c r="E541" s="7">
        <v>50</v>
      </c>
      <c r="F541" s="8" t="s">
        <v>481</v>
      </c>
    </row>
    <row r="542" spans="1:6" x14ac:dyDescent="0.2">
      <c r="A542" s="7">
        <v>16101</v>
      </c>
      <c r="B542" s="8">
        <f t="shared" si="8"/>
        <v>61</v>
      </c>
      <c r="C542" s="8">
        <v>3</v>
      </c>
      <c r="D542" s="8" t="s">
        <v>975</v>
      </c>
      <c r="E542" s="9">
        <v>75</v>
      </c>
      <c r="F542" s="8" t="s">
        <v>466</v>
      </c>
    </row>
    <row r="543" spans="1:6" x14ac:dyDescent="0.2">
      <c r="A543" s="7">
        <v>16102</v>
      </c>
      <c r="B543" s="8">
        <f t="shared" si="8"/>
        <v>61</v>
      </c>
      <c r="C543" s="8">
        <v>2</v>
      </c>
      <c r="D543" s="8" t="s">
        <v>967</v>
      </c>
      <c r="E543" s="9">
        <v>75</v>
      </c>
      <c r="F543" s="8" t="s">
        <v>455</v>
      </c>
    </row>
    <row r="544" spans="1:6" x14ac:dyDescent="0.2">
      <c r="A544" s="7">
        <v>16103</v>
      </c>
      <c r="B544" s="8">
        <f t="shared" si="8"/>
        <v>61</v>
      </c>
      <c r="C544" s="8">
        <v>1001</v>
      </c>
      <c r="D544" s="8" t="s">
        <v>976</v>
      </c>
      <c r="E544" s="7">
        <v>50</v>
      </c>
      <c r="F544" s="8" t="s">
        <v>469</v>
      </c>
    </row>
    <row r="545" spans="1:6" x14ac:dyDescent="0.2">
      <c r="A545" s="7">
        <v>16104</v>
      </c>
      <c r="B545" s="8">
        <f t="shared" si="8"/>
        <v>61</v>
      </c>
      <c r="C545" s="8">
        <v>11</v>
      </c>
      <c r="D545" s="8" t="s">
        <v>977</v>
      </c>
      <c r="E545" s="7">
        <v>50</v>
      </c>
      <c r="F545" s="8" t="s">
        <v>471</v>
      </c>
    </row>
    <row r="546" spans="1:6" x14ac:dyDescent="0.2">
      <c r="A546" s="7">
        <v>16105</v>
      </c>
      <c r="B546" s="8">
        <f t="shared" si="8"/>
        <v>61</v>
      </c>
      <c r="C546" s="8">
        <v>10</v>
      </c>
      <c r="D546" s="8" t="s">
        <v>978</v>
      </c>
      <c r="E546" s="7">
        <v>50</v>
      </c>
      <c r="F546" s="8" t="s">
        <v>473</v>
      </c>
    </row>
    <row r="547" spans="1:6" x14ac:dyDescent="0.2">
      <c r="A547" s="7">
        <v>16106</v>
      </c>
      <c r="B547" s="8">
        <f t="shared" si="8"/>
        <v>61</v>
      </c>
      <c r="C547" s="8">
        <v>7</v>
      </c>
      <c r="D547" s="8" t="s">
        <v>979</v>
      </c>
      <c r="E547" s="7">
        <v>50</v>
      </c>
      <c r="F547" s="8" t="s">
        <v>475</v>
      </c>
    </row>
    <row r="548" spans="1:6" x14ac:dyDescent="0.2">
      <c r="A548" s="7">
        <v>16107</v>
      </c>
      <c r="B548" s="8">
        <f t="shared" si="8"/>
        <v>61</v>
      </c>
      <c r="C548" s="8">
        <v>8</v>
      </c>
      <c r="D548" s="8" t="s">
        <v>980</v>
      </c>
      <c r="E548" s="7">
        <v>50</v>
      </c>
      <c r="F548" s="8" t="s">
        <v>477</v>
      </c>
    </row>
    <row r="549" spans="1:6" x14ac:dyDescent="0.2">
      <c r="A549" s="7">
        <v>16108</v>
      </c>
      <c r="B549" s="8">
        <f t="shared" si="8"/>
        <v>61</v>
      </c>
      <c r="C549" s="8">
        <v>5</v>
      </c>
      <c r="D549" s="8" t="s">
        <v>981</v>
      </c>
      <c r="E549" s="7">
        <v>50</v>
      </c>
      <c r="F549" s="8" t="s">
        <v>479</v>
      </c>
    </row>
    <row r="550" spans="1:6" x14ac:dyDescent="0.2">
      <c r="A550" s="7">
        <v>16109</v>
      </c>
      <c r="B550" s="8">
        <f t="shared" si="8"/>
        <v>61</v>
      </c>
      <c r="C550" s="8">
        <v>9</v>
      </c>
      <c r="D550" s="8" t="s">
        <v>982</v>
      </c>
      <c r="E550" s="7">
        <v>50</v>
      </c>
      <c r="F550" s="8" t="s">
        <v>481</v>
      </c>
    </row>
    <row r="551" spans="1:6" x14ac:dyDescent="0.2">
      <c r="A551" s="7">
        <v>16201</v>
      </c>
      <c r="B551" s="8">
        <f t="shared" si="8"/>
        <v>62</v>
      </c>
      <c r="C551" s="8">
        <v>3</v>
      </c>
      <c r="D551" s="8" t="s">
        <v>983</v>
      </c>
      <c r="E551" s="9">
        <v>75</v>
      </c>
      <c r="F551" s="8" t="s">
        <v>466</v>
      </c>
    </row>
    <row r="552" spans="1:6" x14ac:dyDescent="0.2">
      <c r="A552" s="7">
        <v>16202</v>
      </c>
      <c r="B552" s="8">
        <f t="shared" si="8"/>
        <v>62</v>
      </c>
      <c r="C552" s="8">
        <v>2</v>
      </c>
      <c r="D552" s="8" t="s">
        <v>984</v>
      </c>
      <c r="E552" s="9">
        <v>75</v>
      </c>
      <c r="F552" s="8" t="s">
        <v>455</v>
      </c>
    </row>
    <row r="553" spans="1:6" x14ac:dyDescent="0.2">
      <c r="A553" s="7">
        <v>16203</v>
      </c>
      <c r="B553" s="8">
        <f t="shared" si="8"/>
        <v>62</v>
      </c>
      <c r="C553" s="8">
        <v>1001</v>
      </c>
      <c r="D553" s="8" t="s">
        <v>985</v>
      </c>
      <c r="E553" s="7">
        <v>50</v>
      </c>
      <c r="F553" s="8" t="s">
        <v>469</v>
      </c>
    </row>
    <row r="554" spans="1:6" x14ac:dyDescent="0.2">
      <c r="A554" s="7">
        <v>16204</v>
      </c>
      <c r="B554" s="8">
        <f t="shared" si="8"/>
        <v>62</v>
      </c>
      <c r="C554" s="8">
        <v>11</v>
      </c>
      <c r="D554" s="8" t="s">
        <v>986</v>
      </c>
      <c r="E554" s="7">
        <v>50</v>
      </c>
      <c r="F554" s="8" t="s">
        <v>471</v>
      </c>
    </row>
    <row r="555" spans="1:6" x14ac:dyDescent="0.2">
      <c r="A555" s="7">
        <v>16205</v>
      </c>
      <c r="B555" s="8">
        <f t="shared" si="8"/>
        <v>62</v>
      </c>
      <c r="C555" s="8">
        <v>10</v>
      </c>
      <c r="D555" s="8" t="s">
        <v>987</v>
      </c>
      <c r="E555" s="7">
        <v>50</v>
      </c>
      <c r="F555" s="8" t="s">
        <v>473</v>
      </c>
    </row>
    <row r="556" spans="1:6" x14ac:dyDescent="0.2">
      <c r="A556" s="7">
        <v>16206</v>
      </c>
      <c r="B556" s="8">
        <f t="shared" si="8"/>
        <v>62</v>
      </c>
      <c r="C556" s="8">
        <v>7</v>
      </c>
      <c r="D556" s="8" t="s">
        <v>988</v>
      </c>
      <c r="E556" s="7">
        <v>50</v>
      </c>
      <c r="F556" s="8" t="s">
        <v>475</v>
      </c>
    </row>
    <row r="557" spans="1:6" x14ac:dyDescent="0.2">
      <c r="A557" s="7">
        <v>16207</v>
      </c>
      <c r="B557" s="8">
        <f t="shared" si="8"/>
        <v>62</v>
      </c>
      <c r="C557" s="8">
        <v>8</v>
      </c>
      <c r="D557" s="8" t="s">
        <v>989</v>
      </c>
      <c r="E557" s="7">
        <v>50</v>
      </c>
      <c r="F557" s="8" t="s">
        <v>477</v>
      </c>
    </row>
    <row r="558" spans="1:6" x14ac:dyDescent="0.2">
      <c r="A558" s="7">
        <v>16208</v>
      </c>
      <c r="B558" s="8">
        <f t="shared" si="8"/>
        <v>62</v>
      </c>
      <c r="C558" s="8">
        <v>5</v>
      </c>
      <c r="D558" s="8" t="s">
        <v>990</v>
      </c>
      <c r="E558" s="7">
        <v>50</v>
      </c>
      <c r="F558" s="8" t="s">
        <v>479</v>
      </c>
    </row>
    <row r="559" spans="1:6" x14ac:dyDescent="0.2">
      <c r="A559" s="7">
        <v>16209</v>
      </c>
      <c r="B559" s="8">
        <f t="shared" si="8"/>
        <v>62</v>
      </c>
      <c r="C559" s="8">
        <v>9</v>
      </c>
      <c r="D559" s="8" t="s">
        <v>991</v>
      </c>
      <c r="E559" s="7">
        <v>50</v>
      </c>
      <c r="F559" s="8" t="s">
        <v>481</v>
      </c>
    </row>
    <row r="560" spans="1:6" x14ac:dyDescent="0.2">
      <c r="A560" s="7">
        <v>16301</v>
      </c>
      <c r="B560" s="8">
        <f t="shared" si="8"/>
        <v>63</v>
      </c>
      <c r="C560" s="8">
        <v>3</v>
      </c>
      <c r="D560" s="8" t="s">
        <v>992</v>
      </c>
      <c r="E560" s="9">
        <v>75</v>
      </c>
      <c r="F560" s="8" t="s">
        <v>466</v>
      </c>
    </row>
    <row r="561" spans="1:6" x14ac:dyDescent="0.2">
      <c r="A561" s="7">
        <v>16302</v>
      </c>
      <c r="B561" s="8">
        <f t="shared" si="8"/>
        <v>63</v>
      </c>
      <c r="C561" s="8">
        <v>2</v>
      </c>
      <c r="D561" s="8" t="s">
        <v>984</v>
      </c>
      <c r="E561" s="9">
        <v>75</v>
      </c>
      <c r="F561" s="8" t="s">
        <v>455</v>
      </c>
    </row>
    <row r="562" spans="1:6" x14ac:dyDescent="0.2">
      <c r="A562" s="7">
        <v>16303</v>
      </c>
      <c r="B562" s="8">
        <f t="shared" si="8"/>
        <v>63</v>
      </c>
      <c r="C562" s="8">
        <v>1001</v>
      </c>
      <c r="D562" s="8" t="s">
        <v>993</v>
      </c>
      <c r="E562" s="7">
        <v>50</v>
      </c>
      <c r="F562" s="8" t="s">
        <v>469</v>
      </c>
    </row>
    <row r="563" spans="1:6" x14ac:dyDescent="0.2">
      <c r="A563" s="7">
        <v>16304</v>
      </c>
      <c r="B563" s="8">
        <f t="shared" si="8"/>
        <v>63</v>
      </c>
      <c r="C563" s="8">
        <v>11</v>
      </c>
      <c r="D563" s="8" t="s">
        <v>994</v>
      </c>
      <c r="E563" s="7">
        <v>50</v>
      </c>
      <c r="F563" s="8" t="s">
        <v>471</v>
      </c>
    </row>
    <row r="564" spans="1:6" x14ac:dyDescent="0.2">
      <c r="A564" s="7">
        <v>16305</v>
      </c>
      <c r="B564" s="8">
        <f t="shared" si="8"/>
        <v>63</v>
      </c>
      <c r="C564" s="8">
        <v>10</v>
      </c>
      <c r="D564" s="8" t="s">
        <v>995</v>
      </c>
      <c r="E564" s="7">
        <v>50</v>
      </c>
      <c r="F564" s="8" t="s">
        <v>473</v>
      </c>
    </row>
    <row r="565" spans="1:6" x14ac:dyDescent="0.2">
      <c r="A565" s="7">
        <v>16306</v>
      </c>
      <c r="B565" s="8">
        <f t="shared" si="8"/>
        <v>63</v>
      </c>
      <c r="C565" s="8">
        <v>7</v>
      </c>
      <c r="D565" s="8" t="s">
        <v>996</v>
      </c>
      <c r="E565" s="7">
        <v>50</v>
      </c>
      <c r="F565" s="8" t="s">
        <v>475</v>
      </c>
    </row>
    <row r="566" spans="1:6" x14ac:dyDescent="0.2">
      <c r="A566" s="7">
        <v>16307</v>
      </c>
      <c r="B566" s="8">
        <f t="shared" si="8"/>
        <v>63</v>
      </c>
      <c r="C566" s="8">
        <v>8</v>
      </c>
      <c r="D566" s="8" t="s">
        <v>997</v>
      </c>
      <c r="E566" s="7">
        <v>50</v>
      </c>
      <c r="F566" s="8" t="s">
        <v>477</v>
      </c>
    </row>
    <row r="567" spans="1:6" x14ac:dyDescent="0.2">
      <c r="A567" s="7">
        <v>16308</v>
      </c>
      <c r="B567" s="8">
        <f t="shared" si="8"/>
        <v>63</v>
      </c>
      <c r="C567" s="8">
        <v>5</v>
      </c>
      <c r="D567" s="8" t="s">
        <v>998</v>
      </c>
      <c r="E567" s="7">
        <v>50</v>
      </c>
      <c r="F567" s="8" t="s">
        <v>479</v>
      </c>
    </row>
    <row r="568" spans="1:6" x14ac:dyDescent="0.2">
      <c r="A568" s="7">
        <v>16309</v>
      </c>
      <c r="B568" s="8">
        <f t="shared" si="8"/>
        <v>63</v>
      </c>
      <c r="C568" s="8">
        <v>9</v>
      </c>
      <c r="D568" s="8" t="s">
        <v>999</v>
      </c>
      <c r="E568" s="7">
        <v>50</v>
      </c>
      <c r="F568" s="8" t="s">
        <v>481</v>
      </c>
    </row>
    <row r="569" spans="1:6" x14ac:dyDescent="0.2">
      <c r="A569" s="7">
        <v>16401</v>
      </c>
      <c r="B569" s="8">
        <f t="shared" si="8"/>
        <v>64</v>
      </c>
      <c r="C569" s="8">
        <v>3</v>
      </c>
      <c r="D569" s="8" t="s">
        <v>1000</v>
      </c>
      <c r="E569" s="9">
        <v>75</v>
      </c>
      <c r="F569" s="8" t="s">
        <v>466</v>
      </c>
    </row>
    <row r="570" spans="1:6" x14ac:dyDescent="0.2">
      <c r="A570" s="7">
        <v>16402</v>
      </c>
      <c r="B570" s="8">
        <f t="shared" si="8"/>
        <v>64</v>
      </c>
      <c r="C570" s="8">
        <v>2</v>
      </c>
      <c r="D570" s="8" t="s">
        <v>1001</v>
      </c>
      <c r="E570" s="9">
        <v>75</v>
      </c>
      <c r="F570" s="8" t="s">
        <v>455</v>
      </c>
    </row>
    <row r="571" spans="1:6" x14ac:dyDescent="0.2">
      <c r="A571" s="7">
        <v>16403</v>
      </c>
      <c r="B571" s="8">
        <f t="shared" si="8"/>
        <v>64</v>
      </c>
      <c r="C571" s="8">
        <v>1001</v>
      </c>
      <c r="D571" s="8" t="s">
        <v>1002</v>
      </c>
      <c r="E571" s="7">
        <v>50</v>
      </c>
      <c r="F571" s="8" t="s">
        <v>469</v>
      </c>
    </row>
    <row r="572" spans="1:6" x14ac:dyDescent="0.2">
      <c r="A572" s="7">
        <v>16404</v>
      </c>
      <c r="B572" s="8">
        <f t="shared" si="8"/>
        <v>64</v>
      </c>
      <c r="C572" s="8">
        <v>11</v>
      </c>
      <c r="D572" s="8" t="s">
        <v>1003</v>
      </c>
      <c r="E572" s="7">
        <v>50</v>
      </c>
      <c r="F572" s="8" t="s">
        <v>471</v>
      </c>
    </row>
    <row r="573" spans="1:6" x14ac:dyDescent="0.2">
      <c r="A573" s="7">
        <v>16405</v>
      </c>
      <c r="B573" s="8">
        <f t="shared" si="8"/>
        <v>64</v>
      </c>
      <c r="C573" s="8">
        <v>10</v>
      </c>
      <c r="D573" s="8" t="s">
        <v>1004</v>
      </c>
      <c r="E573" s="7">
        <v>50</v>
      </c>
      <c r="F573" s="8" t="s">
        <v>473</v>
      </c>
    </row>
    <row r="574" spans="1:6" x14ac:dyDescent="0.2">
      <c r="A574" s="7">
        <v>16406</v>
      </c>
      <c r="B574" s="8">
        <f t="shared" si="8"/>
        <v>64</v>
      </c>
      <c r="C574" s="8">
        <v>7</v>
      </c>
      <c r="D574" s="8" t="s">
        <v>1005</v>
      </c>
      <c r="E574" s="7">
        <v>50</v>
      </c>
      <c r="F574" s="8" t="s">
        <v>475</v>
      </c>
    </row>
    <row r="575" spans="1:6" x14ac:dyDescent="0.2">
      <c r="A575" s="7">
        <v>16407</v>
      </c>
      <c r="B575" s="8">
        <f t="shared" si="8"/>
        <v>64</v>
      </c>
      <c r="C575" s="8">
        <v>8</v>
      </c>
      <c r="D575" s="8" t="s">
        <v>1006</v>
      </c>
      <c r="E575" s="7">
        <v>50</v>
      </c>
      <c r="F575" s="8" t="s">
        <v>477</v>
      </c>
    </row>
    <row r="576" spans="1:6" x14ac:dyDescent="0.2">
      <c r="A576" s="7">
        <v>16408</v>
      </c>
      <c r="B576" s="8">
        <f t="shared" si="8"/>
        <v>64</v>
      </c>
      <c r="C576" s="8">
        <v>5</v>
      </c>
      <c r="D576" s="8" t="s">
        <v>1007</v>
      </c>
      <c r="E576" s="7">
        <v>50</v>
      </c>
      <c r="F576" s="8" t="s">
        <v>479</v>
      </c>
    </row>
    <row r="577" spans="1:6" x14ac:dyDescent="0.2">
      <c r="A577" s="7">
        <v>16409</v>
      </c>
      <c r="B577" s="8">
        <f t="shared" si="8"/>
        <v>64</v>
      </c>
      <c r="C577" s="8">
        <v>9</v>
      </c>
      <c r="D577" s="8" t="s">
        <v>1008</v>
      </c>
      <c r="E577" s="7">
        <v>50</v>
      </c>
      <c r="F577" s="8" t="s">
        <v>481</v>
      </c>
    </row>
    <row r="578" spans="1:6" x14ac:dyDescent="0.2">
      <c r="A578" s="7">
        <v>16501</v>
      </c>
      <c r="B578" s="8">
        <f t="shared" si="8"/>
        <v>65</v>
      </c>
      <c r="C578" s="8">
        <v>3</v>
      </c>
      <c r="D578" s="8" t="s">
        <v>1009</v>
      </c>
      <c r="E578" s="9">
        <v>75</v>
      </c>
      <c r="F578" s="8" t="s">
        <v>466</v>
      </c>
    </row>
    <row r="579" spans="1:6" x14ac:dyDescent="0.2">
      <c r="A579" s="7">
        <v>16502</v>
      </c>
      <c r="B579" s="8">
        <f t="shared" si="8"/>
        <v>65</v>
      </c>
      <c r="C579" s="8">
        <v>2</v>
      </c>
      <c r="D579" s="8" t="s">
        <v>1001</v>
      </c>
      <c r="E579" s="9">
        <v>75</v>
      </c>
      <c r="F579" s="8" t="s">
        <v>455</v>
      </c>
    </row>
    <row r="580" spans="1:6" x14ac:dyDescent="0.2">
      <c r="A580" s="7">
        <v>16503</v>
      </c>
      <c r="B580" s="8">
        <f t="shared" si="8"/>
        <v>65</v>
      </c>
      <c r="C580" s="8">
        <v>1001</v>
      </c>
      <c r="D580" s="8" t="s">
        <v>1010</v>
      </c>
      <c r="E580" s="7">
        <v>50</v>
      </c>
      <c r="F580" s="8" t="s">
        <v>469</v>
      </c>
    </row>
    <row r="581" spans="1:6" x14ac:dyDescent="0.2">
      <c r="A581" s="7">
        <v>16504</v>
      </c>
      <c r="B581" s="8">
        <f t="shared" si="8"/>
        <v>65</v>
      </c>
      <c r="C581" s="8">
        <v>11</v>
      </c>
      <c r="D581" s="8" t="s">
        <v>1011</v>
      </c>
      <c r="E581" s="7">
        <v>50</v>
      </c>
      <c r="F581" s="8" t="s">
        <v>471</v>
      </c>
    </row>
    <row r="582" spans="1:6" x14ac:dyDescent="0.2">
      <c r="A582" s="7">
        <v>16505</v>
      </c>
      <c r="B582" s="8">
        <f t="shared" si="8"/>
        <v>65</v>
      </c>
      <c r="C582" s="8">
        <v>10</v>
      </c>
      <c r="D582" s="8" t="s">
        <v>1012</v>
      </c>
      <c r="E582" s="7">
        <v>50</v>
      </c>
      <c r="F582" s="8" t="s">
        <v>473</v>
      </c>
    </row>
    <row r="583" spans="1:6" x14ac:dyDescent="0.2">
      <c r="A583" s="7">
        <v>16506</v>
      </c>
      <c r="B583" s="8">
        <f t="shared" si="8"/>
        <v>65</v>
      </c>
      <c r="C583" s="8">
        <v>7</v>
      </c>
      <c r="D583" s="8" t="s">
        <v>1013</v>
      </c>
      <c r="E583" s="7">
        <v>50</v>
      </c>
      <c r="F583" s="8" t="s">
        <v>475</v>
      </c>
    </row>
    <row r="584" spans="1:6" x14ac:dyDescent="0.2">
      <c r="A584" s="7">
        <v>16507</v>
      </c>
      <c r="B584" s="8">
        <f t="shared" si="8"/>
        <v>65</v>
      </c>
      <c r="C584" s="8">
        <v>8</v>
      </c>
      <c r="D584" s="8" t="s">
        <v>1014</v>
      </c>
      <c r="E584" s="7">
        <v>50</v>
      </c>
      <c r="F584" s="8" t="s">
        <v>477</v>
      </c>
    </row>
    <row r="585" spans="1:6" x14ac:dyDescent="0.2">
      <c r="A585" s="7">
        <v>16508</v>
      </c>
      <c r="B585" s="8">
        <f t="shared" si="8"/>
        <v>65</v>
      </c>
      <c r="C585" s="8">
        <v>5</v>
      </c>
      <c r="D585" s="8" t="s">
        <v>1015</v>
      </c>
      <c r="E585" s="7">
        <v>50</v>
      </c>
      <c r="F585" s="8" t="s">
        <v>479</v>
      </c>
    </row>
    <row r="586" spans="1:6" x14ac:dyDescent="0.2">
      <c r="A586" s="7">
        <v>16509</v>
      </c>
      <c r="B586" s="8">
        <f t="shared" si="8"/>
        <v>65</v>
      </c>
      <c r="C586" s="8">
        <v>9</v>
      </c>
      <c r="D586" s="8" t="s">
        <v>1016</v>
      </c>
      <c r="E586" s="7">
        <v>50</v>
      </c>
      <c r="F586" s="8" t="s">
        <v>481</v>
      </c>
    </row>
    <row r="587" spans="1:6" x14ac:dyDescent="0.2">
      <c r="A587" s="7">
        <v>16601</v>
      </c>
      <c r="B587" s="8">
        <f t="shared" si="8"/>
        <v>66</v>
      </c>
      <c r="C587" s="8">
        <v>3</v>
      </c>
      <c r="D587" s="8" t="s">
        <v>1017</v>
      </c>
      <c r="E587" s="9">
        <v>75</v>
      </c>
      <c r="F587" s="8" t="s">
        <v>466</v>
      </c>
    </row>
    <row r="588" spans="1:6" x14ac:dyDescent="0.2">
      <c r="A588" s="7">
        <v>16602</v>
      </c>
      <c r="B588" s="8">
        <f t="shared" ref="B588:B651" si="9">B579+1</f>
        <v>66</v>
      </c>
      <c r="C588" s="8">
        <v>2</v>
      </c>
      <c r="D588" s="8" t="s">
        <v>1018</v>
      </c>
      <c r="E588" s="9">
        <v>75</v>
      </c>
      <c r="F588" s="8" t="s">
        <v>455</v>
      </c>
    </row>
    <row r="589" spans="1:6" x14ac:dyDescent="0.2">
      <c r="A589" s="7">
        <v>16603</v>
      </c>
      <c r="B589" s="8">
        <f t="shared" si="9"/>
        <v>66</v>
      </c>
      <c r="C589" s="8">
        <v>1001</v>
      </c>
      <c r="D589" s="8" t="s">
        <v>1019</v>
      </c>
      <c r="E589" s="7">
        <v>50</v>
      </c>
      <c r="F589" s="8" t="s">
        <v>469</v>
      </c>
    </row>
    <row r="590" spans="1:6" x14ac:dyDescent="0.2">
      <c r="A590" s="7">
        <v>16604</v>
      </c>
      <c r="B590" s="8">
        <f t="shared" si="9"/>
        <v>66</v>
      </c>
      <c r="C590" s="8">
        <v>11</v>
      </c>
      <c r="D590" s="8" t="s">
        <v>1020</v>
      </c>
      <c r="E590" s="7">
        <v>50</v>
      </c>
      <c r="F590" s="8" t="s">
        <v>471</v>
      </c>
    </row>
    <row r="591" spans="1:6" x14ac:dyDescent="0.2">
      <c r="A591" s="7">
        <v>16605</v>
      </c>
      <c r="B591" s="8">
        <f t="shared" si="9"/>
        <v>66</v>
      </c>
      <c r="C591" s="8">
        <v>10</v>
      </c>
      <c r="D591" s="8" t="s">
        <v>1021</v>
      </c>
      <c r="E591" s="7">
        <v>50</v>
      </c>
      <c r="F591" s="8" t="s">
        <v>473</v>
      </c>
    </row>
    <row r="592" spans="1:6" x14ac:dyDescent="0.2">
      <c r="A592" s="7">
        <v>16606</v>
      </c>
      <c r="B592" s="8">
        <f t="shared" si="9"/>
        <v>66</v>
      </c>
      <c r="C592" s="8">
        <v>7</v>
      </c>
      <c r="D592" s="8" t="s">
        <v>1022</v>
      </c>
      <c r="E592" s="7">
        <v>50</v>
      </c>
      <c r="F592" s="8" t="s">
        <v>475</v>
      </c>
    </row>
    <row r="593" spans="1:6" x14ac:dyDescent="0.2">
      <c r="A593" s="7">
        <v>16607</v>
      </c>
      <c r="B593" s="8">
        <f t="shared" si="9"/>
        <v>66</v>
      </c>
      <c r="C593" s="8">
        <v>8</v>
      </c>
      <c r="D593" s="8" t="s">
        <v>1023</v>
      </c>
      <c r="E593" s="7">
        <v>50</v>
      </c>
      <c r="F593" s="8" t="s">
        <v>477</v>
      </c>
    </row>
    <row r="594" spans="1:6" x14ac:dyDescent="0.2">
      <c r="A594" s="7">
        <v>16608</v>
      </c>
      <c r="B594" s="8">
        <f t="shared" si="9"/>
        <v>66</v>
      </c>
      <c r="C594" s="8">
        <v>5</v>
      </c>
      <c r="D594" s="8" t="s">
        <v>1024</v>
      </c>
      <c r="E594" s="7">
        <v>50</v>
      </c>
      <c r="F594" s="8" t="s">
        <v>479</v>
      </c>
    </row>
    <row r="595" spans="1:6" x14ac:dyDescent="0.2">
      <c r="A595" s="7">
        <v>16609</v>
      </c>
      <c r="B595" s="8">
        <f t="shared" si="9"/>
        <v>66</v>
      </c>
      <c r="C595" s="8">
        <v>9</v>
      </c>
      <c r="D595" s="8" t="s">
        <v>1025</v>
      </c>
      <c r="E595" s="7">
        <v>50</v>
      </c>
      <c r="F595" s="8" t="s">
        <v>481</v>
      </c>
    </row>
    <row r="596" spans="1:6" x14ac:dyDescent="0.2">
      <c r="A596" s="7">
        <v>16701</v>
      </c>
      <c r="B596" s="8">
        <f t="shared" si="9"/>
        <v>67</v>
      </c>
      <c r="C596" s="8">
        <v>3</v>
      </c>
      <c r="D596" s="8" t="s">
        <v>1026</v>
      </c>
      <c r="E596" s="9">
        <v>75</v>
      </c>
      <c r="F596" s="8" t="s">
        <v>466</v>
      </c>
    </row>
    <row r="597" spans="1:6" x14ac:dyDescent="0.2">
      <c r="A597" s="7">
        <v>16702</v>
      </c>
      <c r="B597" s="8">
        <f t="shared" si="9"/>
        <v>67</v>
      </c>
      <c r="C597" s="8">
        <v>2</v>
      </c>
      <c r="D597" s="8" t="s">
        <v>1018</v>
      </c>
      <c r="E597" s="9">
        <v>75</v>
      </c>
      <c r="F597" s="8" t="s">
        <v>455</v>
      </c>
    </row>
    <row r="598" spans="1:6" x14ac:dyDescent="0.2">
      <c r="A598" s="7">
        <v>16703</v>
      </c>
      <c r="B598" s="8">
        <f t="shared" si="9"/>
        <v>67</v>
      </c>
      <c r="C598" s="8">
        <v>1001</v>
      </c>
      <c r="D598" s="8" t="s">
        <v>1027</v>
      </c>
      <c r="E598" s="7">
        <v>50</v>
      </c>
      <c r="F598" s="8" t="s">
        <v>469</v>
      </c>
    </row>
    <row r="599" spans="1:6" x14ac:dyDescent="0.2">
      <c r="A599" s="7">
        <v>16704</v>
      </c>
      <c r="B599" s="8">
        <f t="shared" si="9"/>
        <v>67</v>
      </c>
      <c r="C599" s="8">
        <v>11</v>
      </c>
      <c r="D599" s="8" t="s">
        <v>1028</v>
      </c>
      <c r="E599" s="7">
        <v>50</v>
      </c>
      <c r="F599" s="8" t="s">
        <v>471</v>
      </c>
    </row>
    <row r="600" spans="1:6" x14ac:dyDescent="0.2">
      <c r="A600" s="7">
        <v>16705</v>
      </c>
      <c r="B600" s="8">
        <f t="shared" si="9"/>
        <v>67</v>
      </c>
      <c r="C600" s="8">
        <v>10</v>
      </c>
      <c r="D600" s="8" t="s">
        <v>1029</v>
      </c>
      <c r="E600" s="7">
        <v>50</v>
      </c>
      <c r="F600" s="8" t="s">
        <v>473</v>
      </c>
    </row>
    <row r="601" spans="1:6" x14ac:dyDescent="0.2">
      <c r="A601" s="7">
        <v>16706</v>
      </c>
      <c r="B601" s="8">
        <f t="shared" si="9"/>
        <v>67</v>
      </c>
      <c r="C601" s="8">
        <v>7</v>
      </c>
      <c r="D601" s="8" t="s">
        <v>1030</v>
      </c>
      <c r="E601" s="7">
        <v>50</v>
      </c>
      <c r="F601" s="8" t="s">
        <v>475</v>
      </c>
    </row>
    <row r="602" spans="1:6" x14ac:dyDescent="0.2">
      <c r="A602" s="7">
        <v>16707</v>
      </c>
      <c r="B602" s="8">
        <f t="shared" si="9"/>
        <v>67</v>
      </c>
      <c r="C602" s="8">
        <v>8</v>
      </c>
      <c r="D602" s="8" t="s">
        <v>1031</v>
      </c>
      <c r="E602" s="7">
        <v>50</v>
      </c>
      <c r="F602" s="8" t="s">
        <v>477</v>
      </c>
    </row>
    <row r="603" spans="1:6" x14ac:dyDescent="0.2">
      <c r="A603" s="7">
        <v>16708</v>
      </c>
      <c r="B603" s="8">
        <f t="shared" si="9"/>
        <v>67</v>
      </c>
      <c r="C603" s="8">
        <v>5</v>
      </c>
      <c r="D603" s="8" t="s">
        <v>1032</v>
      </c>
      <c r="E603" s="7">
        <v>50</v>
      </c>
      <c r="F603" s="8" t="s">
        <v>479</v>
      </c>
    </row>
    <row r="604" spans="1:6" x14ac:dyDescent="0.2">
      <c r="A604" s="7">
        <v>16709</v>
      </c>
      <c r="B604" s="8">
        <f t="shared" si="9"/>
        <v>67</v>
      </c>
      <c r="C604" s="8">
        <v>9</v>
      </c>
      <c r="D604" s="8" t="s">
        <v>1033</v>
      </c>
      <c r="E604" s="7">
        <v>50</v>
      </c>
      <c r="F604" s="8" t="s">
        <v>481</v>
      </c>
    </row>
    <row r="605" spans="1:6" x14ac:dyDescent="0.2">
      <c r="A605" s="7">
        <v>16801</v>
      </c>
      <c r="B605" s="8">
        <f t="shared" si="9"/>
        <v>68</v>
      </c>
      <c r="C605" s="8">
        <v>3</v>
      </c>
      <c r="D605" s="8" t="s">
        <v>1034</v>
      </c>
      <c r="E605" s="9">
        <v>75</v>
      </c>
      <c r="F605" s="8" t="s">
        <v>466</v>
      </c>
    </row>
    <row r="606" spans="1:6" x14ac:dyDescent="0.2">
      <c r="A606" s="7">
        <v>16802</v>
      </c>
      <c r="B606" s="8">
        <f t="shared" si="9"/>
        <v>68</v>
      </c>
      <c r="C606" s="8">
        <v>2</v>
      </c>
      <c r="D606" s="8" t="s">
        <v>1035</v>
      </c>
      <c r="E606" s="9">
        <v>75</v>
      </c>
      <c r="F606" s="8" t="s">
        <v>455</v>
      </c>
    </row>
    <row r="607" spans="1:6" x14ac:dyDescent="0.2">
      <c r="A607" s="7">
        <v>16803</v>
      </c>
      <c r="B607" s="8">
        <f t="shared" si="9"/>
        <v>68</v>
      </c>
      <c r="C607" s="8">
        <v>1001</v>
      </c>
      <c r="D607" s="8" t="s">
        <v>1036</v>
      </c>
      <c r="E607" s="7">
        <v>50</v>
      </c>
      <c r="F607" s="8" t="s">
        <v>469</v>
      </c>
    </row>
    <row r="608" spans="1:6" x14ac:dyDescent="0.2">
      <c r="A608" s="7">
        <v>16804</v>
      </c>
      <c r="B608" s="8">
        <f t="shared" si="9"/>
        <v>68</v>
      </c>
      <c r="C608" s="8">
        <v>11</v>
      </c>
      <c r="D608" s="8" t="s">
        <v>1037</v>
      </c>
      <c r="E608" s="7">
        <v>50</v>
      </c>
      <c r="F608" s="8" t="s">
        <v>471</v>
      </c>
    </row>
    <row r="609" spans="1:6" x14ac:dyDescent="0.2">
      <c r="A609" s="7">
        <v>16805</v>
      </c>
      <c r="B609" s="8">
        <f t="shared" si="9"/>
        <v>68</v>
      </c>
      <c r="C609" s="8">
        <v>10</v>
      </c>
      <c r="D609" s="8" t="s">
        <v>1038</v>
      </c>
      <c r="E609" s="7">
        <v>50</v>
      </c>
      <c r="F609" s="8" t="s">
        <v>473</v>
      </c>
    </row>
    <row r="610" spans="1:6" x14ac:dyDescent="0.2">
      <c r="A610" s="7">
        <v>16806</v>
      </c>
      <c r="B610" s="8">
        <f t="shared" si="9"/>
        <v>68</v>
      </c>
      <c r="C610" s="8">
        <v>7</v>
      </c>
      <c r="D610" s="8" t="s">
        <v>1039</v>
      </c>
      <c r="E610" s="7">
        <v>50</v>
      </c>
      <c r="F610" s="8" t="s">
        <v>475</v>
      </c>
    </row>
    <row r="611" spans="1:6" x14ac:dyDescent="0.2">
      <c r="A611" s="7">
        <v>16807</v>
      </c>
      <c r="B611" s="8">
        <f t="shared" si="9"/>
        <v>68</v>
      </c>
      <c r="C611" s="8">
        <v>8</v>
      </c>
      <c r="D611" s="8" t="s">
        <v>1040</v>
      </c>
      <c r="E611" s="7">
        <v>50</v>
      </c>
      <c r="F611" s="8" t="s">
        <v>477</v>
      </c>
    </row>
    <row r="612" spans="1:6" x14ac:dyDescent="0.2">
      <c r="A612" s="7">
        <v>16808</v>
      </c>
      <c r="B612" s="8">
        <f t="shared" si="9"/>
        <v>68</v>
      </c>
      <c r="C612" s="8">
        <v>5</v>
      </c>
      <c r="D612" s="8" t="s">
        <v>1041</v>
      </c>
      <c r="E612" s="7">
        <v>50</v>
      </c>
      <c r="F612" s="8" t="s">
        <v>479</v>
      </c>
    </row>
    <row r="613" spans="1:6" x14ac:dyDescent="0.2">
      <c r="A613" s="7">
        <v>16809</v>
      </c>
      <c r="B613" s="8">
        <f t="shared" si="9"/>
        <v>68</v>
      </c>
      <c r="C613" s="8">
        <v>9</v>
      </c>
      <c r="D613" s="8" t="s">
        <v>1042</v>
      </c>
      <c r="E613" s="7">
        <v>50</v>
      </c>
      <c r="F613" s="8" t="s">
        <v>481</v>
      </c>
    </row>
    <row r="614" spans="1:6" x14ac:dyDescent="0.2">
      <c r="A614" s="7">
        <v>16901</v>
      </c>
      <c r="B614" s="8">
        <f t="shared" si="9"/>
        <v>69</v>
      </c>
      <c r="C614" s="8">
        <v>3</v>
      </c>
      <c r="D614" s="8" t="s">
        <v>1043</v>
      </c>
      <c r="E614" s="9">
        <v>75</v>
      </c>
      <c r="F614" s="8" t="s">
        <v>466</v>
      </c>
    </row>
    <row r="615" spans="1:6" x14ac:dyDescent="0.2">
      <c r="A615" s="7">
        <v>16902</v>
      </c>
      <c r="B615" s="8">
        <f t="shared" si="9"/>
        <v>69</v>
      </c>
      <c r="C615" s="8">
        <v>2</v>
      </c>
      <c r="D615" s="8" t="s">
        <v>1035</v>
      </c>
      <c r="E615" s="9">
        <v>75</v>
      </c>
      <c r="F615" s="8" t="s">
        <v>455</v>
      </c>
    </row>
    <row r="616" spans="1:6" x14ac:dyDescent="0.2">
      <c r="A616" s="7">
        <v>16903</v>
      </c>
      <c r="B616" s="8">
        <f t="shared" si="9"/>
        <v>69</v>
      </c>
      <c r="C616" s="8">
        <v>1001</v>
      </c>
      <c r="D616" s="8" t="s">
        <v>1044</v>
      </c>
      <c r="E616" s="7">
        <v>50</v>
      </c>
      <c r="F616" s="8" t="s">
        <v>469</v>
      </c>
    </row>
    <row r="617" spans="1:6" x14ac:dyDescent="0.2">
      <c r="A617" s="7">
        <v>16904</v>
      </c>
      <c r="B617" s="8">
        <f t="shared" si="9"/>
        <v>69</v>
      </c>
      <c r="C617" s="8">
        <v>11</v>
      </c>
      <c r="D617" s="8" t="s">
        <v>1045</v>
      </c>
      <c r="E617" s="7">
        <v>50</v>
      </c>
      <c r="F617" s="8" t="s">
        <v>471</v>
      </c>
    </row>
    <row r="618" spans="1:6" x14ac:dyDescent="0.2">
      <c r="A618" s="7">
        <v>16905</v>
      </c>
      <c r="B618" s="8">
        <f t="shared" si="9"/>
        <v>69</v>
      </c>
      <c r="C618" s="8">
        <v>10</v>
      </c>
      <c r="D618" s="8" t="s">
        <v>1046</v>
      </c>
      <c r="E618" s="7">
        <v>50</v>
      </c>
      <c r="F618" s="8" t="s">
        <v>473</v>
      </c>
    </row>
    <row r="619" spans="1:6" x14ac:dyDescent="0.2">
      <c r="A619" s="7">
        <v>16906</v>
      </c>
      <c r="B619" s="8">
        <f t="shared" si="9"/>
        <v>69</v>
      </c>
      <c r="C619" s="8">
        <v>7</v>
      </c>
      <c r="D619" s="8" t="s">
        <v>1047</v>
      </c>
      <c r="E619" s="7">
        <v>50</v>
      </c>
      <c r="F619" s="8" t="s">
        <v>475</v>
      </c>
    </row>
    <row r="620" spans="1:6" x14ac:dyDescent="0.2">
      <c r="A620" s="7">
        <v>16907</v>
      </c>
      <c r="B620" s="8">
        <f t="shared" si="9"/>
        <v>69</v>
      </c>
      <c r="C620" s="8">
        <v>8</v>
      </c>
      <c r="D620" s="8" t="s">
        <v>1048</v>
      </c>
      <c r="E620" s="7">
        <v>50</v>
      </c>
      <c r="F620" s="8" t="s">
        <v>477</v>
      </c>
    </row>
    <row r="621" spans="1:6" x14ac:dyDescent="0.2">
      <c r="A621" s="7">
        <v>16908</v>
      </c>
      <c r="B621" s="8">
        <f t="shared" si="9"/>
        <v>69</v>
      </c>
      <c r="C621" s="8">
        <v>5</v>
      </c>
      <c r="D621" s="8" t="s">
        <v>1049</v>
      </c>
      <c r="E621" s="7">
        <v>50</v>
      </c>
      <c r="F621" s="8" t="s">
        <v>479</v>
      </c>
    </row>
    <row r="622" spans="1:6" x14ac:dyDescent="0.2">
      <c r="A622" s="7">
        <v>16909</v>
      </c>
      <c r="B622" s="8">
        <f t="shared" si="9"/>
        <v>69</v>
      </c>
      <c r="C622" s="8">
        <v>9</v>
      </c>
      <c r="D622" s="8" t="s">
        <v>1050</v>
      </c>
      <c r="E622" s="7">
        <v>50</v>
      </c>
      <c r="F622" s="8" t="s">
        <v>481</v>
      </c>
    </row>
    <row r="623" spans="1:6" x14ac:dyDescent="0.2">
      <c r="A623" s="7">
        <v>17001</v>
      </c>
      <c r="B623" s="8">
        <f t="shared" si="9"/>
        <v>70</v>
      </c>
      <c r="C623" s="8">
        <v>3</v>
      </c>
      <c r="D623" s="8" t="s">
        <v>1051</v>
      </c>
      <c r="E623" s="9">
        <v>75</v>
      </c>
      <c r="F623" s="8" t="s">
        <v>466</v>
      </c>
    </row>
    <row r="624" spans="1:6" x14ac:dyDescent="0.2">
      <c r="A624" s="7">
        <v>17002</v>
      </c>
      <c r="B624" s="8">
        <f t="shared" si="9"/>
        <v>70</v>
      </c>
      <c r="C624" s="8">
        <v>2</v>
      </c>
      <c r="D624" s="8" t="s">
        <v>1052</v>
      </c>
      <c r="E624" s="9">
        <v>75</v>
      </c>
      <c r="F624" s="8" t="s">
        <v>455</v>
      </c>
    </row>
    <row r="625" spans="1:6" x14ac:dyDescent="0.2">
      <c r="A625" s="7">
        <v>17003</v>
      </c>
      <c r="B625" s="8">
        <f t="shared" si="9"/>
        <v>70</v>
      </c>
      <c r="C625" s="8">
        <v>1001</v>
      </c>
      <c r="D625" s="8" t="s">
        <v>1053</v>
      </c>
      <c r="E625" s="7">
        <v>50</v>
      </c>
      <c r="F625" s="8" t="s">
        <v>469</v>
      </c>
    </row>
    <row r="626" spans="1:6" x14ac:dyDescent="0.2">
      <c r="A626" s="7">
        <v>17004</v>
      </c>
      <c r="B626" s="8">
        <f t="shared" si="9"/>
        <v>70</v>
      </c>
      <c r="C626" s="8">
        <v>11</v>
      </c>
      <c r="D626" s="8" t="s">
        <v>1054</v>
      </c>
      <c r="E626" s="7">
        <v>50</v>
      </c>
      <c r="F626" s="8" t="s">
        <v>471</v>
      </c>
    </row>
    <row r="627" spans="1:6" x14ac:dyDescent="0.2">
      <c r="A627" s="7">
        <v>17005</v>
      </c>
      <c r="B627" s="8">
        <f t="shared" si="9"/>
        <v>70</v>
      </c>
      <c r="C627" s="8">
        <v>10</v>
      </c>
      <c r="D627" s="8" t="s">
        <v>1055</v>
      </c>
      <c r="E627" s="7">
        <v>50</v>
      </c>
      <c r="F627" s="8" t="s">
        <v>473</v>
      </c>
    </row>
    <row r="628" spans="1:6" x14ac:dyDescent="0.2">
      <c r="A628" s="7">
        <v>17006</v>
      </c>
      <c r="B628" s="8">
        <f t="shared" si="9"/>
        <v>70</v>
      </c>
      <c r="C628" s="8">
        <v>7</v>
      </c>
      <c r="D628" s="8" t="s">
        <v>1056</v>
      </c>
      <c r="E628" s="7">
        <v>50</v>
      </c>
      <c r="F628" s="8" t="s">
        <v>475</v>
      </c>
    </row>
    <row r="629" spans="1:6" x14ac:dyDescent="0.2">
      <c r="A629" s="7">
        <v>17007</v>
      </c>
      <c r="B629" s="8">
        <f t="shared" si="9"/>
        <v>70</v>
      </c>
      <c r="C629" s="8">
        <v>8</v>
      </c>
      <c r="D629" s="8" t="s">
        <v>1057</v>
      </c>
      <c r="E629" s="7">
        <v>50</v>
      </c>
      <c r="F629" s="8" t="s">
        <v>477</v>
      </c>
    </row>
    <row r="630" spans="1:6" x14ac:dyDescent="0.2">
      <c r="A630" s="7">
        <v>17008</v>
      </c>
      <c r="B630" s="8">
        <f t="shared" si="9"/>
        <v>70</v>
      </c>
      <c r="C630" s="8">
        <v>5</v>
      </c>
      <c r="D630" s="8" t="s">
        <v>1058</v>
      </c>
      <c r="E630" s="7">
        <v>50</v>
      </c>
      <c r="F630" s="8" t="s">
        <v>479</v>
      </c>
    </row>
    <row r="631" spans="1:6" x14ac:dyDescent="0.2">
      <c r="A631" s="7">
        <v>17009</v>
      </c>
      <c r="B631" s="8">
        <f t="shared" si="9"/>
        <v>70</v>
      </c>
      <c r="C631" s="8">
        <v>9</v>
      </c>
      <c r="D631" s="8" t="s">
        <v>1059</v>
      </c>
      <c r="E631" s="7">
        <v>50</v>
      </c>
      <c r="F631" s="8" t="s">
        <v>481</v>
      </c>
    </row>
    <row r="632" spans="1:6" x14ac:dyDescent="0.2">
      <c r="A632" s="7">
        <v>17101</v>
      </c>
      <c r="B632" s="8">
        <f t="shared" si="9"/>
        <v>71</v>
      </c>
      <c r="C632" s="8">
        <v>3</v>
      </c>
      <c r="D632" s="8" t="s">
        <v>1060</v>
      </c>
      <c r="E632" s="9">
        <v>75</v>
      </c>
      <c r="F632" s="8" t="s">
        <v>466</v>
      </c>
    </row>
    <row r="633" spans="1:6" x14ac:dyDescent="0.2">
      <c r="A633" s="7">
        <v>17102</v>
      </c>
      <c r="B633" s="8">
        <f t="shared" si="9"/>
        <v>71</v>
      </c>
      <c r="C633" s="8">
        <v>2</v>
      </c>
      <c r="D633" s="8" t="s">
        <v>1052</v>
      </c>
      <c r="E633" s="9">
        <v>75</v>
      </c>
      <c r="F633" s="8" t="s">
        <v>455</v>
      </c>
    </row>
    <row r="634" spans="1:6" x14ac:dyDescent="0.2">
      <c r="A634" s="7">
        <v>17103</v>
      </c>
      <c r="B634" s="8">
        <f t="shared" si="9"/>
        <v>71</v>
      </c>
      <c r="C634" s="8">
        <v>1001</v>
      </c>
      <c r="D634" s="8" t="s">
        <v>1061</v>
      </c>
      <c r="E634" s="7">
        <v>50</v>
      </c>
      <c r="F634" s="8" t="s">
        <v>469</v>
      </c>
    </row>
    <row r="635" spans="1:6" x14ac:dyDescent="0.2">
      <c r="A635" s="7">
        <v>17104</v>
      </c>
      <c r="B635" s="8">
        <f t="shared" si="9"/>
        <v>71</v>
      </c>
      <c r="C635" s="8">
        <v>11</v>
      </c>
      <c r="D635" s="8" t="s">
        <v>1062</v>
      </c>
      <c r="E635" s="7">
        <v>50</v>
      </c>
      <c r="F635" s="8" t="s">
        <v>471</v>
      </c>
    </row>
    <row r="636" spans="1:6" x14ac:dyDescent="0.2">
      <c r="A636" s="7">
        <v>17105</v>
      </c>
      <c r="B636" s="8">
        <f t="shared" si="9"/>
        <v>71</v>
      </c>
      <c r="C636" s="8">
        <v>10</v>
      </c>
      <c r="D636" s="8" t="s">
        <v>1063</v>
      </c>
      <c r="E636" s="7">
        <v>50</v>
      </c>
      <c r="F636" s="8" t="s">
        <v>473</v>
      </c>
    </row>
    <row r="637" spans="1:6" x14ac:dyDescent="0.2">
      <c r="A637" s="7">
        <v>17106</v>
      </c>
      <c r="B637" s="8">
        <f t="shared" si="9"/>
        <v>71</v>
      </c>
      <c r="C637" s="8">
        <v>7</v>
      </c>
      <c r="D637" s="8" t="s">
        <v>1064</v>
      </c>
      <c r="E637" s="7">
        <v>50</v>
      </c>
      <c r="F637" s="8" t="s">
        <v>475</v>
      </c>
    </row>
    <row r="638" spans="1:6" x14ac:dyDescent="0.2">
      <c r="A638" s="7">
        <v>17107</v>
      </c>
      <c r="B638" s="8">
        <f t="shared" si="9"/>
        <v>71</v>
      </c>
      <c r="C638" s="8">
        <v>8</v>
      </c>
      <c r="D638" s="8" t="s">
        <v>1065</v>
      </c>
      <c r="E638" s="7">
        <v>50</v>
      </c>
      <c r="F638" s="8" t="s">
        <v>477</v>
      </c>
    </row>
    <row r="639" spans="1:6" x14ac:dyDescent="0.2">
      <c r="A639" s="7">
        <v>17108</v>
      </c>
      <c r="B639" s="8">
        <f t="shared" si="9"/>
        <v>71</v>
      </c>
      <c r="C639" s="8">
        <v>5</v>
      </c>
      <c r="D639" s="8" t="s">
        <v>1066</v>
      </c>
      <c r="E639" s="7">
        <v>50</v>
      </c>
      <c r="F639" s="8" t="s">
        <v>479</v>
      </c>
    </row>
    <row r="640" spans="1:6" x14ac:dyDescent="0.2">
      <c r="A640" s="7">
        <v>17109</v>
      </c>
      <c r="B640" s="8">
        <f t="shared" si="9"/>
        <v>71</v>
      </c>
      <c r="C640" s="8">
        <v>9</v>
      </c>
      <c r="D640" s="8" t="s">
        <v>1067</v>
      </c>
      <c r="E640" s="7">
        <v>50</v>
      </c>
      <c r="F640" s="8" t="s">
        <v>481</v>
      </c>
    </row>
    <row r="641" spans="1:6" x14ac:dyDescent="0.2">
      <c r="A641" s="7">
        <v>17201</v>
      </c>
      <c r="B641" s="8">
        <f t="shared" si="9"/>
        <v>72</v>
      </c>
      <c r="C641" s="8">
        <v>3</v>
      </c>
      <c r="D641" s="8" t="s">
        <v>1068</v>
      </c>
      <c r="E641" s="9">
        <v>75</v>
      </c>
      <c r="F641" s="8" t="s">
        <v>466</v>
      </c>
    </row>
    <row r="642" spans="1:6" x14ac:dyDescent="0.2">
      <c r="A642" s="7">
        <v>17202</v>
      </c>
      <c r="B642" s="8">
        <f t="shared" si="9"/>
        <v>72</v>
      </c>
      <c r="C642" s="8">
        <v>2</v>
      </c>
      <c r="D642" s="8" t="s">
        <v>1069</v>
      </c>
      <c r="E642" s="9">
        <v>75</v>
      </c>
      <c r="F642" s="8" t="s">
        <v>455</v>
      </c>
    </row>
    <row r="643" spans="1:6" x14ac:dyDescent="0.2">
      <c r="A643" s="7">
        <v>17203</v>
      </c>
      <c r="B643" s="8">
        <f t="shared" si="9"/>
        <v>72</v>
      </c>
      <c r="C643" s="8">
        <v>1001</v>
      </c>
      <c r="D643" s="8" t="s">
        <v>1070</v>
      </c>
      <c r="E643" s="7">
        <v>50</v>
      </c>
      <c r="F643" s="8" t="s">
        <v>469</v>
      </c>
    </row>
    <row r="644" spans="1:6" x14ac:dyDescent="0.2">
      <c r="A644" s="7">
        <v>17204</v>
      </c>
      <c r="B644" s="8">
        <f t="shared" si="9"/>
        <v>72</v>
      </c>
      <c r="C644" s="8">
        <v>11</v>
      </c>
      <c r="D644" s="8" t="s">
        <v>1071</v>
      </c>
      <c r="E644" s="7">
        <v>50</v>
      </c>
      <c r="F644" s="8" t="s">
        <v>471</v>
      </c>
    </row>
    <row r="645" spans="1:6" x14ac:dyDescent="0.2">
      <c r="A645" s="7">
        <v>17205</v>
      </c>
      <c r="B645" s="8">
        <f t="shared" si="9"/>
        <v>72</v>
      </c>
      <c r="C645" s="8">
        <v>10</v>
      </c>
      <c r="D645" s="8" t="s">
        <v>1072</v>
      </c>
      <c r="E645" s="7">
        <v>50</v>
      </c>
      <c r="F645" s="8" t="s">
        <v>473</v>
      </c>
    </row>
    <row r="646" spans="1:6" x14ac:dyDescent="0.2">
      <c r="A646" s="7">
        <v>17206</v>
      </c>
      <c r="B646" s="8">
        <f t="shared" si="9"/>
        <v>72</v>
      </c>
      <c r="C646" s="8">
        <v>7</v>
      </c>
      <c r="D646" s="8" t="s">
        <v>1073</v>
      </c>
      <c r="E646" s="7">
        <v>50</v>
      </c>
      <c r="F646" s="8" t="s">
        <v>475</v>
      </c>
    </row>
    <row r="647" spans="1:6" x14ac:dyDescent="0.2">
      <c r="A647" s="7">
        <v>17207</v>
      </c>
      <c r="B647" s="8">
        <f t="shared" si="9"/>
        <v>72</v>
      </c>
      <c r="C647" s="8">
        <v>8</v>
      </c>
      <c r="D647" s="8" t="s">
        <v>1074</v>
      </c>
      <c r="E647" s="7">
        <v>50</v>
      </c>
      <c r="F647" s="8" t="s">
        <v>477</v>
      </c>
    </row>
    <row r="648" spans="1:6" x14ac:dyDescent="0.2">
      <c r="A648" s="7">
        <v>17208</v>
      </c>
      <c r="B648" s="8">
        <f t="shared" si="9"/>
        <v>72</v>
      </c>
      <c r="C648" s="8">
        <v>5</v>
      </c>
      <c r="D648" s="8" t="s">
        <v>1075</v>
      </c>
      <c r="E648" s="7">
        <v>50</v>
      </c>
      <c r="F648" s="8" t="s">
        <v>479</v>
      </c>
    </row>
    <row r="649" spans="1:6" x14ac:dyDescent="0.2">
      <c r="A649" s="7">
        <v>17209</v>
      </c>
      <c r="B649" s="8">
        <f t="shared" si="9"/>
        <v>72</v>
      </c>
      <c r="C649" s="8">
        <v>9</v>
      </c>
      <c r="D649" s="8" t="s">
        <v>1076</v>
      </c>
      <c r="E649" s="7">
        <v>50</v>
      </c>
      <c r="F649" s="8" t="s">
        <v>481</v>
      </c>
    </row>
    <row r="650" spans="1:6" x14ac:dyDescent="0.2">
      <c r="A650" s="7">
        <v>17301</v>
      </c>
      <c r="B650" s="8">
        <f t="shared" si="9"/>
        <v>73</v>
      </c>
      <c r="C650" s="8">
        <v>3</v>
      </c>
      <c r="D650" s="8" t="s">
        <v>1077</v>
      </c>
      <c r="E650" s="9">
        <v>75</v>
      </c>
      <c r="F650" s="8" t="s">
        <v>466</v>
      </c>
    </row>
    <row r="651" spans="1:6" x14ac:dyDescent="0.2">
      <c r="A651" s="7">
        <v>17302</v>
      </c>
      <c r="B651" s="8">
        <f t="shared" si="9"/>
        <v>73</v>
      </c>
      <c r="C651" s="8">
        <v>2</v>
      </c>
      <c r="D651" s="8" t="s">
        <v>1069</v>
      </c>
      <c r="E651" s="9">
        <v>75</v>
      </c>
      <c r="F651" s="8" t="s">
        <v>455</v>
      </c>
    </row>
    <row r="652" spans="1:6" x14ac:dyDescent="0.2">
      <c r="A652" s="7">
        <v>17303</v>
      </c>
      <c r="B652" s="8">
        <f t="shared" ref="B652:B715" si="10">B643+1</f>
        <v>73</v>
      </c>
      <c r="C652" s="8">
        <v>1001</v>
      </c>
      <c r="D652" s="8" t="s">
        <v>1078</v>
      </c>
      <c r="E652" s="7">
        <v>50</v>
      </c>
      <c r="F652" s="8" t="s">
        <v>469</v>
      </c>
    </row>
    <row r="653" spans="1:6" x14ac:dyDescent="0.2">
      <c r="A653" s="7">
        <v>17304</v>
      </c>
      <c r="B653" s="8">
        <f t="shared" si="10"/>
        <v>73</v>
      </c>
      <c r="C653" s="8">
        <v>11</v>
      </c>
      <c r="D653" s="8" t="s">
        <v>1079</v>
      </c>
      <c r="E653" s="7">
        <v>50</v>
      </c>
      <c r="F653" s="8" t="s">
        <v>471</v>
      </c>
    </row>
    <row r="654" spans="1:6" x14ac:dyDescent="0.2">
      <c r="A654" s="7">
        <v>17305</v>
      </c>
      <c r="B654" s="8">
        <f t="shared" si="10"/>
        <v>73</v>
      </c>
      <c r="C654" s="8">
        <v>10</v>
      </c>
      <c r="D654" s="8" t="s">
        <v>1080</v>
      </c>
      <c r="E654" s="7">
        <v>50</v>
      </c>
      <c r="F654" s="8" t="s">
        <v>473</v>
      </c>
    </row>
    <row r="655" spans="1:6" x14ac:dyDescent="0.2">
      <c r="A655" s="7">
        <v>17306</v>
      </c>
      <c r="B655" s="8">
        <f t="shared" si="10"/>
        <v>73</v>
      </c>
      <c r="C655" s="8">
        <v>7</v>
      </c>
      <c r="D655" s="8" t="s">
        <v>1081</v>
      </c>
      <c r="E655" s="7">
        <v>50</v>
      </c>
      <c r="F655" s="8" t="s">
        <v>475</v>
      </c>
    </row>
    <row r="656" spans="1:6" x14ac:dyDescent="0.2">
      <c r="A656" s="7">
        <v>17307</v>
      </c>
      <c r="B656" s="8">
        <f t="shared" si="10"/>
        <v>73</v>
      </c>
      <c r="C656" s="8">
        <v>8</v>
      </c>
      <c r="D656" s="8" t="s">
        <v>1082</v>
      </c>
      <c r="E656" s="7">
        <v>50</v>
      </c>
      <c r="F656" s="8" t="s">
        <v>477</v>
      </c>
    </row>
    <row r="657" spans="1:6" x14ac:dyDescent="0.2">
      <c r="A657" s="7">
        <v>17308</v>
      </c>
      <c r="B657" s="8">
        <f t="shared" si="10"/>
        <v>73</v>
      </c>
      <c r="C657" s="8">
        <v>5</v>
      </c>
      <c r="D657" s="8" t="s">
        <v>1083</v>
      </c>
      <c r="E657" s="7">
        <v>50</v>
      </c>
      <c r="F657" s="8" t="s">
        <v>479</v>
      </c>
    </row>
    <row r="658" spans="1:6" x14ac:dyDescent="0.2">
      <c r="A658" s="7">
        <v>17309</v>
      </c>
      <c r="B658" s="8">
        <f t="shared" si="10"/>
        <v>73</v>
      </c>
      <c r="C658" s="8">
        <v>9</v>
      </c>
      <c r="D658" s="8" t="s">
        <v>1084</v>
      </c>
      <c r="E658" s="7">
        <v>50</v>
      </c>
      <c r="F658" s="8" t="s">
        <v>481</v>
      </c>
    </row>
    <row r="659" spans="1:6" x14ac:dyDescent="0.2">
      <c r="A659" s="7">
        <v>17401</v>
      </c>
      <c r="B659" s="8">
        <f t="shared" si="10"/>
        <v>74</v>
      </c>
      <c r="C659" s="8">
        <v>3</v>
      </c>
      <c r="D659" s="8" t="s">
        <v>1085</v>
      </c>
      <c r="E659" s="9">
        <v>75</v>
      </c>
      <c r="F659" s="8" t="s">
        <v>466</v>
      </c>
    </row>
    <row r="660" spans="1:6" x14ac:dyDescent="0.2">
      <c r="A660" s="7">
        <v>17402</v>
      </c>
      <c r="B660" s="8">
        <f t="shared" si="10"/>
        <v>74</v>
      </c>
      <c r="C660" s="8">
        <v>2</v>
      </c>
      <c r="D660" s="8" t="s">
        <v>1086</v>
      </c>
      <c r="E660" s="9">
        <v>75</v>
      </c>
      <c r="F660" s="8" t="s">
        <v>455</v>
      </c>
    </row>
    <row r="661" spans="1:6" x14ac:dyDescent="0.2">
      <c r="A661" s="7">
        <v>17403</v>
      </c>
      <c r="B661" s="8">
        <f t="shared" si="10"/>
        <v>74</v>
      </c>
      <c r="C661" s="8">
        <v>1001</v>
      </c>
      <c r="D661" s="8" t="s">
        <v>1087</v>
      </c>
      <c r="E661" s="7">
        <v>50</v>
      </c>
      <c r="F661" s="8" t="s">
        <v>469</v>
      </c>
    </row>
    <row r="662" spans="1:6" x14ac:dyDescent="0.2">
      <c r="A662" s="7">
        <v>17404</v>
      </c>
      <c r="B662" s="8">
        <f t="shared" si="10"/>
        <v>74</v>
      </c>
      <c r="C662" s="8">
        <v>11</v>
      </c>
      <c r="D662" s="8" t="s">
        <v>1088</v>
      </c>
      <c r="E662" s="7">
        <v>50</v>
      </c>
      <c r="F662" s="8" t="s">
        <v>471</v>
      </c>
    </row>
    <row r="663" spans="1:6" x14ac:dyDescent="0.2">
      <c r="A663" s="7">
        <v>17405</v>
      </c>
      <c r="B663" s="8">
        <f t="shared" si="10"/>
        <v>74</v>
      </c>
      <c r="C663" s="8">
        <v>10</v>
      </c>
      <c r="D663" s="8" t="s">
        <v>1089</v>
      </c>
      <c r="E663" s="7">
        <v>50</v>
      </c>
      <c r="F663" s="8" t="s">
        <v>473</v>
      </c>
    </row>
    <row r="664" spans="1:6" x14ac:dyDescent="0.2">
      <c r="A664" s="7">
        <v>17406</v>
      </c>
      <c r="B664" s="8">
        <f t="shared" si="10"/>
        <v>74</v>
      </c>
      <c r="C664" s="8">
        <v>7</v>
      </c>
      <c r="D664" s="8" t="s">
        <v>1090</v>
      </c>
      <c r="E664" s="7">
        <v>50</v>
      </c>
      <c r="F664" s="8" t="s">
        <v>475</v>
      </c>
    </row>
    <row r="665" spans="1:6" x14ac:dyDescent="0.2">
      <c r="A665" s="7">
        <v>17407</v>
      </c>
      <c r="B665" s="8">
        <f t="shared" si="10"/>
        <v>74</v>
      </c>
      <c r="C665" s="8">
        <v>8</v>
      </c>
      <c r="D665" s="8" t="s">
        <v>1091</v>
      </c>
      <c r="E665" s="7">
        <v>50</v>
      </c>
      <c r="F665" s="8" t="s">
        <v>477</v>
      </c>
    </row>
    <row r="666" spans="1:6" x14ac:dyDescent="0.2">
      <c r="A666" s="7">
        <v>17408</v>
      </c>
      <c r="B666" s="8">
        <f t="shared" si="10"/>
        <v>74</v>
      </c>
      <c r="C666" s="8">
        <v>5</v>
      </c>
      <c r="D666" s="8" t="s">
        <v>1092</v>
      </c>
      <c r="E666" s="7">
        <v>50</v>
      </c>
      <c r="F666" s="8" t="s">
        <v>479</v>
      </c>
    </row>
    <row r="667" spans="1:6" x14ac:dyDescent="0.2">
      <c r="A667" s="7">
        <v>17409</v>
      </c>
      <c r="B667" s="8">
        <f t="shared" si="10"/>
        <v>74</v>
      </c>
      <c r="C667" s="8">
        <v>9</v>
      </c>
      <c r="D667" s="8" t="s">
        <v>1093</v>
      </c>
      <c r="E667" s="7">
        <v>50</v>
      </c>
      <c r="F667" s="8" t="s">
        <v>481</v>
      </c>
    </row>
    <row r="668" spans="1:6" x14ac:dyDescent="0.2">
      <c r="A668" s="7">
        <v>17501</v>
      </c>
      <c r="B668" s="8">
        <f t="shared" si="10"/>
        <v>75</v>
      </c>
      <c r="C668" s="8">
        <v>3</v>
      </c>
      <c r="D668" s="8" t="s">
        <v>1094</v>
      </c>
      <c r="E668" s="9">
        <v>75</v>
      </c>
      <c r="F668" s="8" t="s">
        <v>466</v>
      </c>
    </row>
    <row r="669" spans="1:6" x14ac:dyDescent="0.2">
      <c r="A669" s="7">
        <v>17502</v>
      </c>
      <c r="B669" s="8">
        <f t="shared" si="10"/>
        <v>75</v>
      </c>
      <c r="C669" s="8">
        <v>2</v>
      </c>
      <c r="D669" s="8" t="s">
        <v>1086</v>
      </c>
      <c r="E669" s="9">
        <v>75</v>
      </c>
      <c r="F669" s="8" t="s">
        <v>455</v>
      </c>
    </row>
    <row r="670" spans="1:6" x14ac:dyDescent="0.2">
      <c r="A670" s="7">
        <v>17503</v>
      </c>
      <c r="B670" s="8">
        <f t="shared" si="10"/>
        <v>75</v>
      </c>
      <c r="C670" s="8">
        <v>1001</v>
      </c>
      <c r="D670" s="8" t="s">
        <v>1095</v>
      </c>
      <c r="E670" s="7">
        <v>50</v>
      </c>
      <c r="F670" s="8" t="s">
        <v>469</v>
      </c>
    </row>
    <row r="671" spans="1:6" x14ac:dyDescent="0.2">
      <c r="A671" s="7">
        <v>17504</v>
      </c>
      <c r="B671" s="8">
        <f t="shared" si="10"/>
        <v>75</v>
      </c>
      <c r="C671" s="8">
        <v>11</v>
      </c>
      <c r="D671" s="8" t="s">
        <v>1096</v>
      </c>
      <c r="E671" s="7">
        <v>50</v>
      </c>
      <c r="F671" s="8" t="s">
        <v>471</v>
      </c>
    </row>
    <row r="672" spans="1:6" x14ac:dyDescent="0.2">
      <c r="A672" s="7">
        <v>17505</v>
      </c>
      <c r="B672" s="8">
        <f t="shared" si="10"/>
        <v>75</v>
      </c>
      <c r="C672" s="8">
        <v>10</v>
      </c>
      <c r="D672" s="8" t="s">
        <v>1097</v>
      </c>
      <c r="E672" s="7">
        <v>50</v>
      </c>
      <c r="F672" s="8" t="s">
        <v>473</v>
      </c>
    </row>
    <row r="673" spans="1:6" x14ac:dyDescent="0.2">
      <c r="A673" s="7">
        <v>17506</v>
      </c>
      <c r="B673" s="8">
        <f t="shared" si="10"/>
        <v>75</v>
      </c>
      <c r="C673" s="8">
        <v>7</v>
      </c>
      <c r="D673" s="8" t="s">
        <v>1098</v>
      </c>
      <c r="E673" s="7">
        <v>50</v>
      </c>
      <c r="F673" s="8" t="s">
        <v>475</v>
      </c>
    </row>
    <row r="674" spans="1:6" x14ac:dyDescent="0.2">
      <c r="A674" s="7">
        <v>17507</v>
      </c>
      <c r="B674" s="8">
        <f t="shared" si="10"/>
        <v>75</v>
      </c>
      <c r="C674" s="8">
        <v>8</v>
      </c>
      <c r="D674" s="8" t="s">
        <v>1099</v>
      </c>
      <c r="E674" s="7">
        <v>50</v>
      </c>
      <c r="F674" s="8" t="s">
        <v>477</v>
      </c>
    </row>
    <row r="675" spans="1:6" x14ac:dyDescent="0.2">
      <c r="A675" s="7">
        <v>17508</v>
      </c>
      <c r="B675" s="8">
        <f t="shared" si="10"/>
        <v>75</v>
      </c>
      <c r="C675" s="8">
        <v>5</v>
      </c>
      <c r="D675" s="8" t="s">
        <v>1100</v>
      </c>
      <c r="E675" s="7">
        <v>50</v>
      </c>
      <c r="F675" s="8" t="s">
        <v>479</v>
      </c>
    </row>
    <row r="676" spans="1:6" x14ac:dyDescent="0.2">
      <c r="A676" s="7">
        <v>17509</v>
      </c>
      <c r="B676" s="8">
        <f t="shared" si="10"/>
        <v>75</v>
      </c>
      <c r="C676" s="8">
        <v>9</v>
      </c>
      <c r="D676" s="8" t="s">
        <v>1101</v>
      </c>
      <c r="E676" s="7">
        <v>50</v>
      </c>
      <c r="F676" s="8" t="s">
        <v>481</v>
      </c>
    </row>
    <row r="677" spans="1:6" x14ac:dyDescent="0.2">
      <c r="A677" s="7">
        <v>17601</v>
      </c>
      <c r="B677" s="8">
        <f t="shared" si="10"/>
        <v>76</v>
      </c>
      <c r="C677" s="8">
        <v>3</v>
      </c>
      <c r="D677" s="8" t="s">
        <v>1102</v>
      </c>
      <c r="E677" s="9">
        <v>75</v>
      </c>
      <c r="F677" s="8" t="s">
        <v>466</v>
      </c>
    </row>
    <row r="678" spans="1:6" x14ac:dyDescent="0.2">
      <c r="A678" s="7">
        <v>17602</v>
      </c>
      <c r="B678" s="8">
        <f t="shared" si="10"/>
        <v>76</v>
      </c>
      <c r="C678" s="8">
        <v>2</v>
      </c>
      <c r="D678" s="8" t="s">
        <v>1103</v>
      </c>
      <c r="E678" s="9">
        <v>75</v>
      </c>
      <c r="F678" s="8" t="s">
        <v>455</v>
      </c>
    </row>
    <row r="679" spans="1:6" x14ac:dyDescent="0.2">
      <c r="A679" s="7">
        <v>17603</v>
      </c>
      <c r="B679" s="8">
        <f t="shared" si="10"/>
        <v>76</v>
      </c>
      <c r="C679" s="8">
        <v>1001</v>
      </c>
      <c r="D679" s="8" t="s">
        <v>1104</v>
      </c>
      <c r="E679" s="7">
        <v>50</v>
      </c>
      <c r="F679" s="8" t="s">
        <v>469</v>
      </c>
    </row>
    <row r="680" spans="1:6" x14ac:dyDescent="0.2">
      <c r="A680" s="7">
        <v>17604</v>
      </c>
      <c r="B680" s="8">
        <f t="shared" si="10"/>
        <v>76</v>
      </c>
      <c r="C680" s="8">
        <v>11</v>
      </c>
      <c r="D680" s="8" t="s">
        <v>1105</v>
      </c>
      <c r="E680" s="7">
        <v>50</v>
      </c>
      <c r="F680" s="8" t="s">
        <v>471</v>
      </c>
    </row>
    <row r="681" spans="1:6" x14ac:dyDescent="0.2">
      <c r="A681" s="7">
        <v>17605</v>
      </c>
      <c r="B681" s="8">
        <f t="shared" si="10"/>
        <v>76</v>
      </c>
      <c r="C681" s="8">
        <v>10</v>
      </c>
      <c r="D681" s="8" t="s">
        <v>1106</v>
      </c>
      <c r="E681" s="7">
        <v>50</v>
      </c>
      <c r="F681" s="8" t="s">
        <v>473</v>
      </c>
    </row>
    <row r="682" spans="1:6" x14ac:dyDescent="0.2">
      <c r="A682" s="7">
        <v>17606</v>
      </c>
      <c r="B682" s="8">
        <f t="shared" si="10"/>
        <v>76</v>
      </c>
      <c r="C682" s="8">
        <v>7</v>
      </c>
      <c r="D682" s="8" t="s">
        <v>1107</v>
      </c>
      <c r="E682" s="7">
        <v>50</v>
      </c>
      <c r="F682" s="8" t="s">
        <v>475</v>
      </c>
    </row>
    <row r="683" spans="1:6" x14ac:dyDescent="0.2">
      <c r="A683" s="7">
        <v>17607</v>
      </c>
      <c r="B683" s="8">
        <f t="shared" si="10"/>
        <v>76</v>
      </c>
      <c r="C683" s="8">
        <v>8</v>
      </c>
      <c r="D683" s="8" t="s">
        <v>1108</v>
      </c>
      <c r="E683" s="7">
        <v>50</v>
      </c>
      <c r="F683" s="8" t="s">
        <v>477</v>
      </c>
    </row>
    <row r="684" spans="1:6" x14ac:dyDescent="0.2">
      <c r="A684" s="7">
        <v>17608</v>
      </c>
      <c r="B684" s="8">
        <f t="shared" si="10"/>
        <v>76</v>
      </c>
      <c r="C684" s="8">
        <v>5</v>
      </c>
      <c r="D684" s="8" t="s">
        <v>1109</v>
      </c>
      <c r="E684" s="7">
        <v>50</v>
      </c>
      <c r="F684" s="8" t="s">
        <v>479</v>
      </c>
    </row>
    <row r="685" spans="1:6" x14ac:dyDescent="0.2">
      <c r="A685" s="7">
        <v>17609</v>
      </c>
      <c r="B685" s="8">
        <f t="shared" si="10"/>
        <v>76</v>
      </c>
      <c r="C685" s="8">
        <v>9</v>
      </c>
      <c r="D685" s="8" t="s">
        <v>1110</v>
      </c>
      <c r="E685" s="7">
        <v>50</v>
      </c>
      <c r="F685" s="8" t="s">
        <v>481</v>
      </c>
    </row>
    <row r="686" spans="1:6" x14ac:dyDescent="0.2">
      <c r="A686" s="7">
        <v>17701</v>
      </c>
      <c r="B686" s="8">
        <f t="shared" si="10"/>
        <v>77</v>
      </c>
      <c r="C686" s="8">
        <v>3</v>
      </c>
      <c r="D686" s="8" t="s">
        <v>1111</v>
      </c>
      <c r="E686" s="9">
        <v>75</v>
      </c>
      <c r="F686" s="8" t="s">
        <v>466</v>
      </c>
    </row>
    <row r="687" spans="1:6" x14ac:dyDescent="0.2">
      <c r="A687" s="7">
        <v>17702</v>
      </c>
      <c r="B687" s="8">
        <f t="shared" si="10"/>
        <v>77</v>
      </c>
      <c r="C687" s="8">
        <v>2</v>
      </c>
      <c r="D687" s="8" t="s">
        <v>1103</v>
      </c>
      <c r="E687" s="9">
        <v>75</v>
      </c>
      <c r="F687" s="8" t="s">
        <v>455</v>
      </c>
    </row>
    <row r="688" spans="1:6" x14ac:dyDescent="0.2">
      <c r="A688" s="7">
        <v>17703</v>
      </c>
      <c r="B688" s="8">
        <f t="shared" si="10"/>
        <v>77</v>
      </c>
      <c r="C688" s="8">
        <v>1001</v>
      </c>
      <c r="D688" s="8" t="s">
        <v>1112</v>
      </c>
      <c r="E688" s="7">
        <v>50</v>
      </c>
      <c r="F688" s="8" t="s">
        <v>469</v>
      </c>
    </row>
    <row r="689" spans="1:6" x14ac:dyDescent="0.2">
      <c r="A689" s="7">
        <v>17704</v>
      </c>
      <c r="B689" s="8">
        <f t="shared" si="10"/>
        <v>77</v>
      </c>
      <c r="C689" s="8">
        <v>11</v>
      </c>
      <c r="D689" s="8" t="s">
        <v>1113</v>
      </c>
      <c r="E689" s="7">
        <v>50</v>
      </c>
      <c r="F689" s="8" t="s">
        <v>471</v>
      </c>
    </row>
    <row r="690" spans="1:6" x14ac:dyDescent="0.2">
      <c r="A690" s="7">
        <v>17705</v>
      </c>
      <c r="B690" s="8">
        <f t="shared" si="10"/>
        <v>77</v>
      </c>
      <c r="C690" s="8">
        <v>10</v>
      </c>
      <c r="D690" s="8" t="s">
        <v>1114</v>
      </c>
      <c r="E690" s="7">
        <v>50</v>
      </c>
      <c r="F690" s="8" t="s">
        <v>473</v>
      </c>
    </row>
    <row r="691" spans="1:6" x14ac:dyDescent="0.2">
      <c r="A691" s="7">
        <v>17706</v>
      </c>
      <c r="B691" s="8">
        <f t="shared" si="10"/>
        <v>77</v>
      </c>
      <c r="C691" s="8">
        <v>7</v>
      </c>
      <c r="D691" s="8" t="s">
        <v>1115</v>
      </c>
      <c r="E691" s="7">
        <v>50</v>
      </c>
      <c r="F691" s="8" t="s">
        <v>475</v>
      </c>
    </row>
    <row r="692" spans="1:6" x14ac:dyDescent="0.2">
      <c r="A692" s="7">
        <v>17707</v>
      </c>
      <c r="B692" s="8">
        <f t="shared" si="10"/>
        <v>77</v>
      </c>
      <c r="C692" s="8">
        <v>8</v>
      </c>
      <c r="D692" s="8" t="s">
        <v>1116</v>
      </c>
      <c r="E692" s="7">
        <v>50</v>
      </c>
      <c r="F692" s="8" t="s">
        <v>477</v>
      </c>
    </row>
    <row r="693" spans="1:6" x14ac:dyDescent="0.2">
      <c r="A693" s="7">
        <v>17708</v>
      </c>
      <c r="B693" s="8">
        <f t="shared" si="10"/>
        <v>77</v>
      </c>
      <c r="C693" s="8">
        <v>5</v>
      </c>
      <c r="D693" s="8" t="s">
        <v>1117</v>
      </c>
      <c r="E693" s="7">
        <v>50</v>
      </c>
      <c r="F693" s="8" t="s">
        <v>479</v>
      </c>
    </row>
    <row r="694" spans="1:6" x14ac:dyDescent="0.2">
      <c r="A694" s="7">
        <v>17709</v>
      </c>
      <c r="B694" s="8">
        <f t="shared" si="10"/>
        <v>77</v>
      </c>
      <c r="C694" s="8">
        <v>9</v>
      </c>
      <c r="D694" s="8" t="s">
        <v>1118</v>
      </c>
      <c r="E694" s="7">
        <v>50</v>
      </c>
      <c r="F694" s="8" t="s">
        <v>481</v>
      </c>
    </row>
    <row r="695" spans="1:6" x14ac:dyDescent="0.2">
      <c r="A695" s="7">
        <v>17801</v>
      </c>
      <c r="B695" s="8">
        <f t="shared" si="10"/>
        <v>78</v>
      </c>
      <c r="C695" s="8">
        <v>3</v>
      </c>
      <c r="D695" s="8" t="s">
        <v>1119</v>
      </c>
      <c r="E695" s="9">
        <v>75</v>
      </c>
      <c r="F695" s="8" t="s">
        <v>466</v>
      </c>
    </row>
    <row r="696" spans="1:6" x14ac:dyDescent="0.2">
      <c r="A696" s="7">
        <v>17802</v>
      </c>
      <c r="B696" s="8">
        <f t="shared" si="10"/>
        <v>78</v>
      </c>
      <c r="C696" s="8">
        <v>2</v>
      </c>
      <c r="D696" s="8" t="s">
        <v>1120</v>
      </c>
      <c r="E696" s="9">
        <v>75</v>
      </c>
      <c r="F696" s="8" t="s">
        <v>455</v>
      </c>
    </row>
    <row r="697" spans="1:6" x14ac:dyDescent="0.2">
      <c r="A697" s="7">
        <v>17803</v>
      </c>
      <c r="B697" s="8">
        <f t="shared" si="10"/>
        <v>78</v>
      </c>
      <c r="C697" s="8">
        <v>1001</v>
      </c>
      <c r="D697" s="8" t="s">
        <v>1121</v>
      </c>
      <c r="E697" s="7">
        <v>50</v>
      </c>
      <c r="F697" s="8" t="s">
        <v>469</v>
      </c>
    </row>
    <row r="698" spans="1:6" x14ac:dyDescent="0.2">
      <c r="A698" s="7">
        <v>17804</v>
      </c>
      <c r="B698" s="8">
        <f t="shared" si="10"/>
        <v>78</v>
      </c>
      <c r="C698" s="8">
        <v>11</v>
      </c>
      <c r="D698" s="8" t="s">
        <v>1122</v>
      </c>
      <c r="E698" s="7">
        <v>50</v>
      </c>
      <c r="F698" s="8" t="s">
        <v>471</v>
      </c>
    </row>
    <row r="699" spans="1:6" x14ac:dyDescent="0.2">
      <c r="A699" s="7">
        <v>17805</v>
      </c>
      <c r="B699" s="8">
        <f t="shared" si="10"/>
        <v>78</v>
      </c>
      <c r="C699" s="8">
        <v>10</v>
      </c>
      <c r="D699" s="8" t="s">
        <v>1123</v>
      </c>
      <c r="E699" s="7">
        <v>50</v>
      </c>
      <c r="F699" s="8" t="s">
        <v>473</v>
      </c>
    </row>
    <row r="700" spans="1:6" x14ac:dyDescent="0.2">
      <c r="A700" s="7">
        <v>17806</v>
      </c>
      <c r="B700" s="8">
        <f t="shared" si="10"/>
        <v>78</v>
      </c>
      <c r="C700" s="8">
        <v>7</v>
      </c>
      <c r="D700" s="8" t="s">
        <v>1124</v>
      </c>
      <c r="E700" s="7">
        <v>50</v>
      </c>
      <c r="F700" s="8" t="s">
        <v>475</v>
      </c>
    </row>
    <row r="701" spans="1:6" x14ac:dyDescent="0.2">
      <c r="A701" s="7">
        <v>17807</v>
      </c>
      <c r="B701" s="8">
        <f t="shared" si="10"/>
        <v>78</v>
      </c>
      <c r="C701" s="8">
        <v>8</v>
      </c>
      <c r="D701" s="8" t="s">
        <v>1125</v>
      </c>
      <c r="E701" s="7">
        <v>50</v>
      </c>
      <c r="F701" s="8" t="s">
        <v>477</v>
      </c>
    </row>
    <row r="702" spans="1:6" x14ac:dyDescent="0.2">
      <c r="A702" s="7">
        <v>17808</v>
      </c>
      <c r="B702" s="8">
        <f t="shared" si="10"/>
        <v>78</v>
      </c>
      <c r="C702" s="8">
        <v>5</v>
      </c>
      <c r="D702" s="8" t="s">
        <v>1126</v>
      </c>
      <c r="E702" s="7">
        <v>50</v>
      </c>
      <c r="F702" s="8" t="s">
        <v>479</v>
      </c>
    </row>
    <row r="703" spans="1:6" x14ac:dyDescent="0.2">
      <c r="A703" s="7">
        <v>17809</v>
      </c>
      <c r="B703" s="8">
        <f t="shared" si="10"/>
        <v>78</v>
      </c>
      <c r="C703" s="8">
        <v>9</v>
      </c>
      <c r="D703" s="8" t="s">
        <v>1127</v>
      </c>
      <c r="E703" s="7">
        <v>50</v>
      </c>
      <c r="F703" s="8" t="s">
        <v>481</v>
      </c>
    </row>
    <row r="704" spans="1:6" x14ac:dyDescent="0.2">
      <c r="A704" s="7">
        <v>17901</v>
      </c>
      <c r="B704" s="8">
        <f t="shared" si="10"/>
        <v>79</v>
      </c>
      <c r="C704" s="8">
        <v>3</v>
      </c>
      <c r="D704" s="8" t="s">
        <v>1128</v>
      </c>
      <c r="E704" s="9">
        <v>75</v>
      </c>
      <c r="F704" s="8" t="s">
        <v>466</v>
      </c>
    </row>
    <row r="705" spans="1:6" x14ac:dyDescent="0.2">
      <c r="A705" s="7">
        <v>17902</v>
      </c>
      <c r="B705" s="8">
        <f t="shared" si="10"/>
        <v>79</v>
      </c>
      <c r="C705" s="8">
        <v>2</v>
      </c>
      <c r="D705" s="8" t="s">
        <v>1120</v>
      </c>
      <c r="E705" s="9">
        <v>75</v>
      </c>
      <c r="F705" s="8" t="s">
        <v>455</v>
      </c>
    </row>
    <row r="706" spans="1:6" x14ac:dyDescent="0.2">
      <c r="A706" s="7">
        <v>17903</v>
      </c>
      <c r="B706" s="8">
        <f t="shared" si="10"/>
        <v>79</v>
      </c>
      <c r="C706" s="8">
        <v>1001</v>
      </c>
      <c r="D706" s="8" t="s">
        <v>1129</v>
      </c>
      <c r="E706" s="7">
        <v>50</v>
      </c>
      <c r="F706" s="8" t="s">
        <v>469</v>
      </c>
    </row>
    <row r="707" spans="1:6" x14ac:dyDescent="0.2">
      <c r="A707" s="7">
        <v>17904</v>
      </c>
      <c r="B707" s="8">
        <f t="shared" si="10"/>
        <v>79</v>
      </c>
      <c r="C707" s="8">
        <v>11</v>
      </c>
      <c r="D707" s="8" t="s">
        <v>1130</v>
      </c>
      <c r="E707" s="7">
        <v>50</v>
      </c>
      <c r="F707" s="8" t="s">
        <v>471</v>
      </c>
    </row>
    <row r="708" spans="1:6" x14ac:dyDescent="0.2">
      <c r="A708" s="7">
        <v>17905</v>
      </c>
      <c r="B708" s="8">
        <f t="shared" si="10"/>
        <v>79</v>
      </c>
      <c r="C708" s="8">
        <v>10</v>
      </c>
      <c r="D708" s="8" t="s">
        <v>1131</v>
      </c>
      <c r="E708" s="7">
        <v>50</v>
      </c>
      <c r="F708" s="8" t="s">
        <v>473</v>
      </c>
    </row>
    <row r="709" spans="1:6" x14ac:dyDescent="0.2">
      <c r="A709" s="7">
        <v>17906</v>
      </c>
      <c r="B709" s="8">
        <f t="shared" si="10"/>
        <v>79</v>
      </c>
      <c r="C709" s="8">
        <v>7</v>
      </c>
      <c r="D709" s="8" t="s">
        <v>1132</v>
      </c>
      <c r="E709" s="7">
        <v>50</v>
      </c>
      <c r="F709" s="8" t="s">
        <v>475</v>
      </c>
    </row>
    <row r="710" spans="1:6" x14ac:dyDescent="0.2">
      <c r="A710" s="7">
        <v>17907</v>
      </c>
      <c r="B710" s="8">
        <f t="shared" si="10"/>
        <v>79</v>
      </c>
      <c r="C710" s="8">
        <v>8</v>
      </c>
      <c r="D710" s="8" t="s">
        <v>1133</v>
      </c>
      <c r="E710" s="7">
        <v>50</v>
      </c>
      <c r="F710" s="8" t="s">
        <v>477</v>
      </c>
    </row>
    <row r="711" spans="1:6" x14ac:dyDescent="0.2">
      <c r="A711" s="7">
        <v>17908</v>
      </c>
      <c r="B711" s="8">
        <f t="shared" si="10"/>
        <v>79</v>
      </c>
      <c r="C711" s="8">
        <v>5</v>
      </c>
      <c r="D711" s="8" t="s">
        <v>1134</v>
      </c>
      <c r="E711" s="7">
        <v>50</v>
      </c>
      <c r="F711" s="8" t="s">
        <v>479</v>
      </c>
    </row>
    <row r="712" spans="1:6" x14ac:dyDescent="0.2">
      <c r="A712" s="7">
        <v>17909</v>
      </c>
      <c r="B712" s="8">
        <f t="shared" si="10"/>
        <v>79</v>
      </c>
      <c r="C712" s="8">
        <v>9</v>
      </c>
      <c r="D712" s="8" t="s">
        <v>1135</v>
      </c>
      <c r="E712" s="7">
        <v>50</v>
      </c>
      <c r="F712" s="8" t="s">
        <v>481</v>
      </c>
    </row>
    <row r="713" spans="1:6" x14ac:dyDescent="0.2">
      <c r="A713" s="7">
        <v>18001</v>
      </c>
      <c r="B713" s="8">
        <f t="shared" si="10"/>
        <v>80</v>
      </c>
      <c r="C713" s="8">
        <v>3</v>
      </c>
      <c r="D713" s="8" t="s">
        <v>1136</v>
      </c>
      <c r="E713" s="9">
        <v>75</v>
      </c>
      <c r="F713" s="8" t="s">
        <v>466</v>
      </c>
    </row>
    <row r="714" spans="1:6" x14ac:dyDescent="0.2">
      <c r="A714" s="7">
        <v>18002</v>
      </c>
      <c r="B714" s="8">
        <f t="shared" si="10"/>
        <v>80</v>
      </c>
      <c r="C714" s="8">
        <v>2</v>
      </c>
      <c r="D714" s="8" t="s">
        <v>1137</v>
      </c>
      <c r="E714" s="9">
        <v>75</v>
      </c>
      <c r="F714" s="8" t="s">
        <v>455</v>
      </c>
    </row>
    <row r="715" spans="1:6" x14ac:dyDescent="0.2">
      <c r="A715" s="7">
        <v>18003</v>
      </c>
      <c r="B715" s="8">
        <f t="shared" si="10"/>
        <v>80</v>
      </c>
      <c r="C715" s="8">
        <v>1001</v>
      </c>
      <c r="D715" s="8" t="s">
        <v>1138</v>
      </c>
      <c r="E715" s="7">
        <v>50</v>
      </c>
      <c r="F715" s="8" t="s">
        <v>469</v>
      </c>
    </row>
    <row r="716" spans="1:6" x14ac:dyDescent="0.2">
      <c r="A716" s="7">
        <v>18004</v>
      </c>
      <c r="B716" s="8">
        <f t="shared" ref="B716:B779" si="11">B707+1</f>
        <v>80</v>
      </c>
      <c r="C716" s="8">
        <v>11</v>
      </c>
      <c r="D716" s="8" t="s">
        <v>1139</v>
      </c>
      <c r="E716" s="7">
        <v>50</v>
      </c>
      <c r="F716" s="8" t="s">
        <v>471</v>
      </c>
    </row>
    <row r="717" spans="1:6" x14ac:dyDescent="0.2">
      <c r="A717" s="7">
        <v>18005</v>
      </c>
      <c r="B717" s="8">
        <f t="shared" si="11"/>
        <v>80</v>
      </c>
      <c r="C717" s="8">
        <v>10</v>
      </c>
      <c r="D717" s="8" t="s">
        <v>1140</v>
      </c>
      <c r="E717" s="7">
        <v>50</v>
      </c>
      <c r="F717" s="8" t="s">
        <v>473</v>
      </c>
    </row>
    <row r="718" spans="1:6" x14ac:dyDescent="0.2">
      <c r="A718" s="7">
        <v>18006</v>
      </c>
      <c r="B718" s="8">
        <f t="shared" si="11"/>
        <v>80</v>
      </c>
      <c r="C718" s="8">
        <v>7</v>
      </c>
      <c r="D718" s="8" t="s">
        <v>1141</v>
      </c>
      <c r="E718" s="7">
        <v>50</v>
      </c>
      <c r="F718" s="8" t="s">
        <v>475</v>
      </c>
    </row>
    <row r="719" spans="1:6" x14ac:dyDescent="0.2">
      <c r="A719" s="7">
        <v>18007</v>
      </c>
      <c r="B719" s="8">
        <f t="shared" si="11"/>
        <v>80</v>
      </c>
      <c r="C719" s="8">
        <v>8</v>
      </c>
      <c r="D719" s="8" t="s">
        <v>1142</v>
      </c>
      <c r="E719" s="7">
        <v>50</v>
      </c>
      <c r="F719" s="8" t="s">
        <v>477</v>
      </c>
    </row>
    <row r="720" spans="1:6" x14ac:dyDescent="0.2">
      <c r="A720" s="7">
        <v>18008</v>
      </c>
      <c r="B720" s="8">
        <f t="shared" si="11"/>
        <v>80</v>
      </c>
      <c r="C720" s="8">
        <v>5</v>
      </c>
      <c r="D720" s="8" t="s">
        <v>1143</v>
      </c>
      <c r="E720" s="7">
        <v>50</v>
      </c>
      <c r="F720" s="8" t="s">
        <v>479</v>
      </c>
    </row>
    <row r="721" spans="1:6" x14ac:dyDescent="0.2">
      <c r="A721" s="7">
        <v>18009</v>
      </c>
      <c r="B721" s="8">
        <f t="shared" si="11"/>
        <v>80</v>
      </c>
      <c r="C721" s="8">
        <v>9</v>
      </c>
      <c r="D721" s="8" t="s">
        <v>1144</v>
      </c>
      <c r="E721" s="7">
        <v>50</v>
      </c>
      <c r="F721" s="8" t="s">
        <v>481</v>
      </c>
    </row>
    <row r="722" spans="1:6" x14ac:dyDescent="0.2">
      <c r="A722" s="7">
        <v>18101</v>
      </c>
      <c r="B722" s="8">
        <f t="shared" si="11"/>
        <v>81</v>
      </c>
      <c r="C722" s="8">
        <v>3</v>
      </c>
      <c r="D722" s="8" t="s">
        <v>1145</v>
      </c>
      <c r="E722" s="9">
        <v>75</v>
      </c>
      <c r="F722" s="8" t="s">
        <v>466</v>
      </c>
    </row>
    <row r="723" spans="1:6" x14ac:dyDescent="0.2">
      <c r="A723" s="7">
        <v>18102</v>
      </c>
      <c r="B723" s="8">
        <f t="shared" si="11"/>
        <v>81</v>
      </c>
      <c r="C723" s="8">
        <v>2</v>
      </c>
      <c r="D723" s="8" t="s">
        <v>1137</v>
      </c>
      <c r="E723" s="9">
        <v>75</v>
      </c>
      <c r="F723" s="8" t="s">
        <v>455</v>
      </c>
    </row>
    <row r="724" spans="1:6" x14ac:dyDescent="0.2">
      <c r="A724" s="7">
        <v>18103</v>
      </c>
      <c r="B724" s="8">
        <f t="shared" si="11"/>
        <v>81</v>
      </c>
      <c r="C724" s="8">
        <v>1001</v>
      </c>
      <c r="D724" s="8" t="s">
        <v>1146</v>
      </c>
      <c r="E724" s="7">
        <v>50</v>
      </c>
      <c r="F724" s="8" t="s">
        <v>469</v>
      </c>
    </row>
    <row r="725" spans="1:6" x14ac:dyDescent="0.2">
      <c r="A725" s="7">
        <v>18104</v>
      </c>
      <c r="B725" s="8">
        <f t="shared" si="11"/>
        <v>81</v>
      </c>
      <c r="C725" s="8">
        <v>11</v>
      </c>
      <c r="D725" s="8" t="s">
        <v>1147</v>
      </c>
      <c r="E725" s="7">
        <v>50</v>
      </c>
      <c r="F725" s="8" t="s">
        <v>471</v>
      </c>
    </row>
    <row r="726" spans="1:6" x14ac:dyDescent="0.2">
      <c r="A726" s="7">
        <v>18105</v>
      </c>
      <c r="B726" s="8">
        <f t="shared" si="11"/>
        <v>81</v>
      </c>
      <c r="C726" s="8">
        <v>10</v>
      </c>
      <c r="D726" s="8" t="s">
        <v>1148</v>
      </c>
      <c r="E726" s="7">
        <v>50</v>
      </c>
      <c r="F726" s="8" t="s">
        <v>473</v>
      </c>
    </row>
    <row r="727" spans="1:6" x14ac:dyDescent="0.2">
      <c r="A727" s="7">
        <v>18106</v>
      </c>
      <c r="B727" s="8">
        <f t="shared" si="11"/>
        <v>81</v>
      </c>
      <c r="C727" s="8">
        <v>7</v>
      </c>
      <c r="D727" s="8" t="s">
        <v>1149</v>
      </c>
      <c r="E727" s="7">
        <v>50</v>
      </c>
      <c r="F727" s="8" t="s">
        <v>475</v>
      </c>
    </row>
    <row r="728" spans="1:6" x14ac:dyDescent="0.2">
      <c r="A728" s="7">
        <v>18107</v>
      </c>
      <c r="B728" s="8">
        <f t="shared" si="11"/>
        <v>81</v>
      </c>
      <c r="C728" s="8">
        <v>8</v>
      </c>
      <c r="D728" s="8" t="s">
        <v>1150</v>
      </c>
      <c r="E728" s="7">
        <v>50</v>
      </c>
      <c r="F728" s="8" t="s">
        <v>477</v>
      </c>
    </row>
    <row r="729" spans="1:6" x14ac:dyDescent="0.2">
      <c r="A729" s="7">
        <v>18108</v>
      </c>
      <c r="B729" s="8">
        <f t="shared" si="11"/>
        <v>81</v>
      </c>
      <c r="C729" s="8">
        <v>5</v>
      </c>
      <c r="D729" s="8" t="s">
        <v>1151</v>
      </c>
      <c r="E729" s="7">
        <v>50</v>
      </c>
      <c r="F729" s="8" t="s">
        <v>479</v>
      </c>
    </row>
    <row r="730" spans="1:6" x14ac:dyDescent="0.2">
      <c r="A730" s="7">
        <v>18109</v>
      </c>
      <c r="B730" s="8">
        <f t="shared" si="11"/>
        <v>81</v>
      </c>
      <c r="C730" s="8">
        <v>9</v>
      </c>
      <c r="D730" s="8" t="s">
        <v>1152</v>
      </c>
      <c r="E730" s="7">
        <v>50</v>
      </c>
      <c r="F730" s="8" t="s">
        <v>481</v>
      </c>
    </row>
    <row r="731" spans="1:6" x14ac:dyDescent="0.2">
      <c r="A731" s="7">
        <v>18201</v>
      </c>
      <c r="B731" s="8">
        <f t="shared" si="11"/>
        <v>82</v>
      </c>
      <c r="C731" s="8">
        <v>3</v>
      </c>
      <c r="D731" s="8" t="s">
        <v>1153</v>
      </c>
      <c r="E731" s="9">
        <v>75</v>
      </c>
      <c r="F731" s="8" t="s">
        <v>466</v>
      </c>
    </row>
    <row r="732" spans="1:6" x14ac:dyDescent="0.2">
      <c r="A732" s="7">
        <v>18202</v>
      </c>
      <c r="B732" s="8">
        <f t="shared" si="11"/>
        <v>82</v>
      </c>
      <c r="C732" s="8">
        <v>2</v>
      </c>
      <c r="D732" s="8" t="s">
        <v>1154</v>
      </c>
      <c r="E732" s="9">
        <v>75</v>
      </c>
      <c r="F732" s="8" t="s">
        <v>455</v>
      </c>
    </row>
    <row r="733" spans="1:6" x14ac:dyDescent="0.2">
      <c r="A733" s="7">
        <v>18203</v>
      </c>
      <c r="B733" s="8">
        <f t="shared" si="11"/>
        <v>82</v>
      </c>
      <c r="C733" s="8">
        <v>1001</v>
      </c>
      <c r="D733" s="8" t="s">
        <v>1155</v>
      </c>
      <c r="E733" s="7">
        <v>50</v>
      </c>
      <c r="F733" s="8" t="s">
        <v>469</v>
      </c>
    </row>
    <row r="734" spans="1:6" x14ac:dyDescent="0.2">
      <c r="A734" s="7">
        <v>18204</v>
      </c>
      <c r="B734" s="8">
        <f t="shared" si="11"/>
        <v>82</v>
      </c>
      <c r="C734" s="8">
        <v>11</v>
      </c>
      <c r="D734" s="8" t="s">
        <v>1156</v>
      </c>
      <c r="E734" s="7">
        <v>50</v>
      </c>
      <c r="F734" s="8" t="s">
        <v>471</v>
      </c>
    </row>
    <row r="735" spans="1:6" x14ac:dyDescent="0.2">
      <c r="A735" s="7">
        <v>18205</v>
      </c>
      <c r="B735" s="8">
        <f t="shared" si="11"/>
        <v>82</v>
      </c>
      <c r="C735" s="8">
        <v>10</v>
      </c>
      <c r="D735" s="8" t="s">
        <v>1157</v>
      </c>
      <c r="E735" s="7">
        <v>50</v>
      </c>
      <c r="F735" s="8" t="s">
        <v>473</v>
      </c>
    </row>
    <row r="736" spans="1:6" x14ac:dyDescent="0.2">
      <c r="A736" s="7">
        <v>18206</v>
      </c>
      <c r="B736" s="8">
        <f t="shared" si="11"/>
        <v>82</v>
      </c>
      <c r="C736" s="8">
        <v>7</v>
      </c>
      <c r="D736" s="8" t="s">
        <v>1158</v>
      </c>
      <c r="E736" s="7">
        <v>50</v>
      </c>
      <c r="F736" s="8" t="s">
        <v>475</v>
      </c>
    </row>
    <row r="737" spans="1:6" x14ac:dyDescent="0.2">
      <c r="A737" s="7">
        <v>18207</v>
      </c>
      <c r="B737" s="8">
        <f t="shared" si="11"/>
        <v>82</v>
      </c>
      <c r="C737" s="8">
        <v>8</v>
      </c>
      <c r="D737" s="8" t="s">
        <v>1159</v>
      </c>
      <c r="E737" s="7">
        <v>50</v>
      </c>
      <c r="F737" s="8" t="s">
        <v>477</v>
      </c>
    </row>
    <row r="738" spans="1:6" x14ac:dyDescent="0.2">
      <c r="A738" s="7">
        <v>18208</v>
      </c>
      <c r="B738" s="8">
        <f t="shared" si="11"/>
        <v>82</v>
      </c>
      <c r="C738" s="8">
        <v>5</v>
      </c>
      <c r="D738" s="8" t="s">
        <v>1160</v>
      </c>
      <c r="E738" s="7">
        <v>50</v>
      </c>
      <c r="F738" s="8" t="s">
        <v>479</v>
      </c>
    </row>
    <row r="739" spans="1:6" x14ac:dyDescent="0.2">
      <c r="A739" s="7">
        <v>18209</v>
      </c>
      <c r="B739" s="8">
        <f t="shared" si="11"/>
        <v>82</v>
      </c>
      <c r="C739" s="8">
        <v>9</v>
      </c>
      <c r="D739" s="8" t="s">
        <v>1161</v>
      </c>
      <c r="E739" s="7">
        <v>50</v>
      </c>
      <c r="F739" s="8" t="s">
        <v>481</v>
      </c>
    </row>
    <row r="740" spans="1:6" x14ac:dyDescent="0.2">
      <c r="A740" s="7">
        <v>18301</v>
      </c>
      <c r="B740" s="8">
        <f t="shared" si="11"/>
        <v>83</v>
      </c>
      <c r="C740" s="8">
        <v>3</v>
      </c>
      <c r="D740" s="8" t="s">
        <v>1162</v>
      </c>
      <c r="E740" s="9">
        <v>75</v>
      </c>
      <c r="F740" s="8" t="s">
        <v>466</v>
      </c>
    </row>
    <row r="741" spans="1:6" x14ac:dyDescent="0.2">
      <c r="A741" s="7">
        <v>18302</v>
      </c>
      <c r="B741" s="8">
        <f t="shared" si="11"/>
        <v>83</v>
      </c>
      <c r="C741" s="8">
        <v>2</v>
      </c>
      <c r="D741" s="8" t="s">
        <v>1154</v>
      </c>
      <c r="E741" s="9">
        <v>75</v>
      </c>
      <c r="F741" s="8" t="s">
        <v>455</v>
      </c>
    </row>
    <row r="742" spans="1:6" x14ac:dyDescent="0.2">
      <c r="A742" s="7">
        <v>18303</v>
      </c>
      <c r="B742" s="8">
        <f t="shared" si="11"/>
        <v>83</v>
      </c>
      <c r="C742" s="8">
        <v>1001</v>
      </c>
      <c r="D742" s="8" t="s">
        <v>1163</v>
      </c>
      <c r="E742" s="7">
        <v>50</v>
      </c>
      <c r="F742" s="8" t="s">
        <v>469</v>
      </c>
    </row>
    <row r="743" spans="1:6" x14ac:dyDescent="0.2">
      <c r="A743" s="7">
        <v>18304</v>
      </c>
      <c r="B743" s="8">
        <f t="shared" si="11"/>
        <v>83</v>
      </c>
      <c r="C743" s="8">
        <v>11</v>
      </c>
      <c r="D743" s="8" t="s">
        <v>1164</v>
      </c>
      <c r="E743" s="7">
        <v>50</v>
      </c>
      <c r="F743" s="8" t="s">
        <v>471</v>
      </c>
    </row>
    <row r="744" spans="1:6" x14ac:dyDescent="0.2">
      <c r="A744" s="7">
        <v>18305</v>
      </c>
      <c r="B744" s="8">
        <f t="shared" si="11"/>
        <v>83</v>
      </c>
      <c r="C744" s="8">
        <v>10</v>
      </c>
      <c r="D744" s="8" t="s">
        <v>1165</v>
      </c>
      <c r="E744" s="7">
        <v>50</v>
      </c>
      <c r="F744" s="8" t="s">
        <v>473</v>
      </c>
    </row>
    <row r="745" spans="1:6" x14ac:dyDescent="0.2">
      <c r="A745" s="7">
        <v>18306</v>
      </c>
      <c r="B745" s="8">
        <f t="shared" si="11"/>
        <v>83</v>
      </c>
      <c r="C745" s="8">
        <v>7</v>
      </c>
      <c r="D745" s="8" t="s">
        <v>1166</v>
      </c>
      <c r="E745" s="7">
        <v>50</v>
      </c>
      <c r="F745" s="8" t="s">
        <v>475</v>
      </c>
    </row>
    <row r="746" spans="1:6" x14ac:dyDescent="0.2">
      <c r="A746" s="7">
        <v>18307</v>
      </c>
      <c r="B746" s="8">
        <f t="shared" si="11"/>
        <v>83</v>
      </c>
      <c r="C746" s="8">
        <v>8</v>
      </c>
      <c r="D746" s="8" t="s">
        <v>1167</v>
      </c>
      <c r="E746" s="7">
        <v>50</v>
      </c>
      <c r="F746" s="8" t="s">
        <v>477</v>
      </c>
    </row>
    <row r="747" spans="1:6" x14ac:dyDescent="0.2">
      <c r="A747" s="7">
        <v>18308</v>
      </c>
      <c r="B747" s="8">
        <f t="shared" si="11"/>
        <v>83</v>
      </c>
      <c r="C747" s="8">
        <v>5</v>
      </c>
      <c r="D747" s="8" t="s">
        <v>1168</v>
      </c>
      <c r="E747" s="7">
        <v>50</v>
      </c>
      <c r="F747" s="8" t="s">
        <v>479</v>
      </c>
    </row>
    <row r="748" spans="1:6" x14ac:dyDescent="0.2">
      <c r="A748" s="7">
        <v>18309</v>
      </c>
      <c r="B748" s="8">
        <f t="shared" si="11"/>
        <v>83</v>
      </c>
      <c r="C748" s="8">
        <v>9</v>
      </c>
      <c r="D748" s="8" t="s">
        <v>1169</v>
      </c>
      <c r="E748" s="7">
        <v>50</v>
      </c>
      <c r="F748" s="8" t="s">
        <v>481</v>
      </c>
    </row>
    <row r="749" spans="1:6" x14ac:dyDescent="0.2">
      <c r="A749" s="7">
        <v>18401</v>
      </c>
      <c r="B749" s="8">
        <f t="shared" si="11"/>
        <v>84</v>
      </c>
      <c r="C749" s="8">
        <v>3</v>
      </c>
      <c r="D749" s="8" t="s">
        <v>1170</v>
      </c>
      <c r="E749" s="9">
        <v>75</v>
      </c>
      <c r="F749" s="8" t="s">
        <v>466</v>
      </c>
    </row>
    <row r="750" spans="1:6" x14ac:dyDescent="0.2">
      <c r="A750" s="7">
        <v>18402</v>
      </c>
      <c r="B750" s="8">
        <f t="shared" si="11"/>
        <v>84</v>
      </c>
      <c r="C750" s="8">
        <v>2</v>
      </c>
      <c r="D750" s="8" t="s">
        <v>1171</v>
      </c>
      <c r="E750" s="9">
        <v>75</v>
      </c>
      <c r="F750" s="8" t="s">
        <v>455</v>
      </c>
    </row>
    <row r="751" spans="1:6" x14ac:dyDescent="0.2">
      <c r="A751" s="7">
        <v>18403</v>
      </c>
      <c r="B751" s="8">
        <f t="shared" si="11"/>
        <v>84</v>
      </c>
      <c r="C751" s="8">
        <v>1001</v>
      </c>
      <c r="D751" s="8" t="s">
        <v>1172</v>
      </c>
      <c r="E751" s="7">
        <v>50</v>
      </c>
      <c r="F751" s="8" t="s">
        <v>469</v>
      </c>
    </row>
    <row r="752" spans="1:6" x14ac:dyDescent="0.2">
      <c r="A752" s="7">
        <v>18404</v>
      </c>
      <c r="B752" s="8">
        <f t="shared" si="11"/>
        <v>84</v>
      </c>
      <c r="C752" s="8">
        <v>11</v>
      </c>
      <c r="D752" s="8" t="s">
        <v>1173</v>
      </c>
      <c r="E752" s="7">
        <v>50</v>
      </c>
      <c r="F752" s="8" t="s">
        <v>471</v>
      </c>
    </row>
    <row r="753" spans="1:6" x14ac:dyDescent="0.2">
      <c r="A753" s="7">
        <v>18405</v>
      </c>
      <c r="B753" s="8">
        <f t="shared" si="11"/>
        <v>84</v>
      </c>
      <c r="C753" s="8">
        <v>10</v>
      </c>
      <c r="D753" s="8" t="s">
        <v>1174</v>
      </c>
      <c r="E753" s="7">
        <v>50</v>
      </c>
      <c r="F753" s="8" t="s">
        <v>473</v>
      </c>
    </row>
    <row r="754" spans="1:6" x14ac:dyDescent="0.2">
      <c r="A754" s="7">
        <v>18406</v>
      </c>
      <c r="B754" s="8">
        <f t="shared" si="11"/>
        <v>84</v>
      </c>
      <c r="C754" s="8">
        <v>7</v>
      </c>
      <c r="D754" s="8" t="s">
        <v>1175</v>
      </c>
      <c r="E754" s="7">
        <v>50</v>
      </c>
      <c r="F754" s="8" t="s">
        <v>475</v>
      </c>
    </row>
    <row r="755" spans="1:6" x14ac:dyDescent="0.2">
      <c r="A755" s="7">
        <v>18407</v>
      </c>
      <c r="B755" s="8">
        <f t="shared" si="11"/>
        <v>84</v>
      </c>
      <c r="C755" s="8">
        <v>8</v>
      </c>
      <c r="D755" s="8" t="s">
        <v>1176</v>
      </c>
      <c r="E755" s="7">
        <v>50</v>
      </c>
      <c r="F755" s="8" t="s">
        <v>477</v>
      </c>
    </row>
    <row r="756" spans="1:6" x14ac:dyDescent="0.2">
      <c r="A756" s="7">
        <v>18408</v>
      </c>
      <c r="B756" s="8">
        <f t="shared" si="11"/>
        <v>84</v>
      </c>
      <c r="C756" s="8">
        <v>5</v>
      </c>
      <c r="D756" s="8" t="s">
        <v>1177</v>
      </c>
      <c r="E756" s="7">
        <v>50</v>
      </c>
      <c r="F756" s="8" t="s">
        <v>479</v>
      </c>
    </row>
    <row r="757" spans="1:6" x14ac:dyDescent="0.2">
      <c r="A757" s="7">
        <v>18409</v>
      </c>
      <c r="B757" s="8">
        <f t="shared" si="11"/>
        <v>84</v>
      </c>
      <c r="C757" s="8">
        <v>9</v>
      </c>
      <c r="D757" s="8" t="s">
        <v>1178</v>
      </c>
      <c r="E757" s="7">
        <v>50</v>
      </c>
      <c r="F757" s="8" t="s">
        <v>481</v>
      </c>
    </row>
    <row r="758" spans="1:6" x14ac:dyDescent="0.2">
      <c r="A758" s="7">
        <v>18501</v>
      </c>
      <c r="B758" s="8">
        <f t="shared" si="11"/>
        <v>85</v>
      </c>
      <c r="C758" s="8">
        <v>3</v>
      </c>
      <c r="D758" s="8" t="s">
        <v>1179</v>
      </c>
      <c r="E758" s="9">
        <v>75</v>
      </c>
      <c r="F758" s="8" t="s">
        <v>466</v>
      </c>
    </row>
    <row r="759" spans="1:6" x14ac:dyDescent="0.2">
      <c r="A759" s="7">
        <v>18502</v>
      </c>
      <c r="B759" s="8">
        <f t="shared" si="11"/>
        <v>85</v>
      </c>
      <c r="C759" s="8">
        <v>2</v>
      </c>
      <c r="D759" s="8" t="s">
        <v>1171</v>
      </c>
      <c r="E759" s="9">
        <v>75</v>
      </c>
      <c r="F759" s="8" t="s">
        <v>455</v>
      </c>
    </row>
    <row r="760" spans="1:6" x14ac:dyDescent="0.2">
      <c r="A760" s="7">
        <v>18503</v>
      </c>
      <c r="B760" s="8">
        <f t="shared" si="11"/>
        <v>85</v>
      </c>
      <c r="C760" s="8">
        <v>1001</v>
      </c>
      <c r="D760" s="8" t="s">
        <v>1180</v>
      </c>
      <c r="E760" s="7">
        <v>50</v>
      </c>
      <c r="F760" s="8" t="s">
        <v>469</v>
      </c>
    </row>
    <row r="761" spans="1:6" x14ac:dyDescent="0.2">
      <c r="A761" s="7">
        <v>18504</v>
      </c>
      <c r="B761" s="8">
        <f t="shared" si="11"/>
        <v>85</v>
      </c>
      <c r="C761" s="8">
        <v>11</v>
      </c>
      <c r="D761" s="8" t="s">
        <v>1181</v>
      </c>
      <c r="E761" s="7">
        <v>50</v>
      </c>
      <c r="F761" s="8" t="s">
        <v>471</v>
      </c>
    </row>
    <row r="762" spans="1:6" x14ac:dyDescent="0.2">
      <c r="A762" s="7">
        <v>18505</v>
      </c>
      <c r="B762" s="8">
        <f t="shared" si="11"/>
        <v>85</v>
      </c>
      <c r="C762" s="8">
        <v>10</v>
      </c>
      <c r="D762" s="8" t="s">
        <v>1182</v>
      </c>
      <c r="E762" s="7">
        <v>50</v>
      </c>
      <c r="F762" s="8" t="s">
        <v>473</v>
      </c>
    </row>
    <row r="763" spans="1:6" x14ac:dyDescent="0.2">
      <c r="A763" s="7">
        <v>18506</v>
      </c>
      <c r="B763" s="8">
        <f t="shared" si="11"/>
        <v>85</v>
      </c>
      <c r="C763" s="8">
        <v>7</v>
      </c>
      <c r="D763" s="8" t="s">
        <v>1183</v>
      </c>
      <c r="E763" s="7">
        <v>50</v>
      </c>
      <c r="F763" s="8" t="s">
        <v>475</v>
      </c>
    </row>
    <row r="764" spans="1:6" x14ac:dyDescent="0.2">
      <c r="A764" s="7">
        <v>18507</v>
      </c>
      <c r="B764" s="8">
        <f t="shared" si="11"/>
        <v>85</v>
      </c>
      <c r="C764" s="8">
        <v>8</v>
      </c>
      <c r="D764" s="8" t="s">
        <v>1184</v>
      </c>
      <c r="E764" s="7">
        <v>50</v>
      </c>
      <c r="F764" s="8" t="s">
        <v>477</v>
      </c>
    </row>
    <row r="765" spans="1:6" x14ac:dyDescent="0.2">
      <c r="A765" s="7">
        <v>18508</v>
      </c>
      <c r="B765" s="8">
        <f t="shared" si="11"/>
        <v>85</v>
      </c>
      <c r="C765" s="8">
        <v>5</v>
      </c>
      <c r="D765" s="8" t="s">
        <v>1185</v>
      </c>
      <c r="E765" s="7">
        <v>50</v>
      </c>
      <c r="F765" s="8" t="s">
        <v>479</v>
      </c>
    </row>
    <row r="766" spans="1:6" x14ac:dyDescent="0.2">
      <c r="A766" s="7">
        <v>18509</v>
      </c>
      <c r="B766" s="8">
        <f t="shared" si="11"/>
        <v>85</v>
      </c>
      <c r="C766" s="8">
        <v>9</v>
      </c>
      <c r="D766" s="8" t="s">
        <v>1186</v>
      </c>
      <c r="E766" s="7">
        <v>50</v>
      </c>
      <c r="F766" s="8" t="s">
        <v>481</v>
      </c>
    </row>
    <row r="767" spans="1:6" x14ac:dyDescent="0.2">
      <c r="A767" s="7">
        <v>18601</v>
      </c>
      <c r="B767" s="8">
        <f t="shared" si="11"/>
        <v>86</v>
      </c>
      <c r="C767" s="8">
        <v>3</v>
      </c>
      <c r="D767" s="8" t="s">
        <v>1187</v>
      </c>
      <c r="E767" s="9">
        <v>75</v>
      </c>
      <c r="F767" s="8" t="s">
        <v>466</v>
      </c>
    </row>
    <row r="768" spans="1:6" x14ac:dyDescent="0.2">
      <c r="A768" s="7">
        <v>18602</v>
      </c>
      <c r="B768" s="8">
        <f t="shared" si="11"/>
        <v>86</v>
      </c>
      <c r="C768" s="8">
        <v>2</v>
      </c>
      <c r="D768" s="8" t="s">
        <v>1188</v>
      </c>
      <c r="E768" s="9">
        <v>75</v>
      </c>
      <c r="F768" s="8" t="s">
        <v>455</v>
      </c>
    </row>
    <row r="769" spans="1:6" x14ac:dyDescent="0.2">
      <c r="A769" s="7">
        <v>18603</v>
      </c>
      <c r="B769" s="8">
        <f t="shared" si="11"/>
        <v>86</v>
      </c>
      <c r="C769" s="8">
        <v>1001</v>
      </c>
      <c r="D769" s="8" t="s">
        <v>1189</v>
      </c>
      <c r="E769" s="7">
        <v>50</v>
      </c>
      <c r="F769" s="8" t="s">
        <v>469</v>
      </c>
    </row>
    <row r="770" spans="1:6" x14ac:dyDescent="0.2">
      <c r="A770" s="7">
        <v>18604</v>
      </c>
      <c r="B770" s="8">
        <f t="shared" si="11"/>
        <v>86</v>
      </c>
      <c r="C770" s="8">
        <v>11</v>
      </c>
      <c r="D770" s="8" t="s">
        <v>1190</v>
      </c>
      <c r="E770" s="7">
        <v>50</v>
      </c>
      <c r="F770" s="8" t="s">
        <v>471</v>
      </c>
    </row>
    <row r="771" spans="1:6" x14ac:dyDescent="0.2">
      <c r="A771" s="7">
        <v>18605</v>
      </c>
      <c r="B771" s="8">
        <f t="shared" si="11"/>
        <v>86</v>
      </c>
      <c r="C771" s="8">
        <v>10</v>
      </c>
      <c r="D771" s="8" t="s">
        <v>1191</v>
      </c>
      <c r="E771" s="7">
        <v>50</v>
      </c>
      <c r="F771" s="8" t="s">
        <v>473</v>
      </c>
    </row>
    <row r="772" spans="1:6" x14ac:dyDescent="0.2">
      <c r="A772" s="7">
        <v>18606</v>
      </c>
      <c r="B772" s="8">
        <f t="shared" si="11"/>
        <v>86</v>
      </c>
      <c r="C772" s="8">
        <v>7</v>
      </c>
      <c r="D772" s="8" t="s">
        <v>1192</v>
      </c>
      <c r="E772" s="7">
        <v>50</v>
      </c>
      <c r="F772" s="8" t="s">
        <v>475</v>
      </c>
    </row>
    <row r="773" spans="1:6" x14ac:dyDescent="0.2">
      <c r="A773" s="7">
        <v>18607</v>
      </c>
      <c r="B773" s="8">
        <f t="shared" si="11"/>
        <v>86</v>
      </c>
      <c r="C773" s="8">
        <v>8</v>
      </c>
      <c r="D773" s="8" t="s">
        <v>1193</v>
      </c>
      <c r="E773" s="7">
        <v>50</v>
      </c>
      <c r="F773" s="8" t="s">
        <v>477</v>
      </c>
    </row>
    <row r="774" spans="1:6" x14ac:dyDescent="0.2">
      <c r="A774" s="7">
        <v>18608</v>
      </c>
      <c r="B774" s="8">
        <f t="shared" si="11"/>
        <v>86</v>
      </c>
      <c r="C774" s="8">
        <v>5</v>
      </c>
      <c r="D774" s="8" t="s">
        <v>1194</v>
      </c>
      <c r="E774" s="7">
        <v>50</v>
      </c>
      <c r="F774" s="8" t="s">
        <v>479</v>
      </c>
    </row>
    <row r="775" spans="1:6" x14ac:dyDescent="0.2">
      <c r="A775" s="7">
        <v>18609</v>
      </c>
      <c r="B775" s="8">
        <f t="shared" si="11"/>
        <v>86</v>
      </c>
      <c r="C775" s="8">
        <v>9</v>
      </c>
      <c r="D775" s="8" t="s">
        <v>1195</v>
      </c>
      <c r="E775" s="7">
        <v>50</v>
      </c>
      <c r="F775" s="8" t="s">
        <v>481</v>
      </c>
    </row>
    <row r="776" spans="1:6" x14ac:dyDescent="0.2">
      <c r="A776" s="7">
        <v>18701</v>
      </c>
      <c r="B776" s="8">
        <f t="shared" si="11"/>
        <v>87</v>
      </c>
      <c r="C776" s="8">
        <v>3</v>
      </c>
      <c r="D776" s="8" t="s">
        <v>1196</v>
      </c>
      <c r="E776" s="9">
        <v>75</v>
      </c>
      <c r="F776" s="8" t="s">
        <v>466</v>
      </c>
    </row>
    <row r="777" spans="1:6" x14ac:dyDescent="0.2">
      <c r="A777" s="7">
        <v>18702</v>
      </c>
      <c r="B777" s="8">
        <f t="shared" si="11"/>
        <v>87</v>
      </c>
      <c r="C777" s="8">
        <v>2</v>
      </c>
      <c r="D777" s="8" t="s">
        <v>1188</v>
      </c>
      <c r="E777" s="9">
        <v>75</v>
      </c>
      <c r="F777" s="8" t="s">
        <v>455</v>
      </c>
    </row>
    <row r="778" spans="1:6" x14ac:dyDescent="0.2">
      <c r="A778" s="7">
        <v>18703</v>
      </c>
      <c r="B778" s="8">
        <f t="shared" si="11"/>
        <v>87</v>
      </c>
      <c r="C778" s="8">
        <v>1001</v>
      </c>
      <c r="D778" s="8" t="s">
        <v>1197</v>
      </c>
      <c r="E778" s="7">
        <v>50</v>
      </c>
      <c r="F778" s="8" t="s">
        <v>469</v>
      </c>
    </row>
    <row r="779" spans="1:6" x14ac:dyDescent="0.2">
      <c r="A779" s="7">
        <v>18704</v>
      </c>
      <c r="B779" s="8">
        <f t="shared" si="11"/>
        <v>87</v>
      </c>
      <c r="C779" s="8">
        <v>11</v>
      </c>
      <c r="D779" s="8" t="s">
        <v>1198</v>
      </c>
      <c r="E779" s="7">
        <v>50</v>
      </c>
      <c r="F779" s="8" t="s">
        <v>471</v>
      </c>
    </row>
    <row r="780" spans="1:6" x14ac:dyDescent="0.2">
      <c r="A780" s="7">
        <v>18705</v>
      </c>
      <c r="B780" s="8">
        <f t="shared" ref="B780:B843" si="12">B771+1</f>
        <v>87</v>
      </c>
      <c r="C780" s="8">
        <v>10</v>
      </c>
      <c r="D780" s="8" t="s">
        <v>1199</v>
      </c>
      <c r="E780" s="7">
        <v>50</v>
      </c>
      <c r="F780" s="8" t="s">
        <v>473</v>
      </c>
    </row>
    <row r="781" spans="1:6" x14ac:dyDescent="0.2">
      <c r="A781" s="7">
        <v>18706</v>
      </c>
      <c r="B781" s="8">
        <f t="shared" si="12"/>
        <v>87</v>
      </c>
      <c r="C781" s="8">
        <v>7</v>
      </c>
      <c r="D781" s="8" t="s">
        <v>1200</v>
      </c>
      <c r="E781" s="7">
        <v>50</v>
      </c>
      <c r="F781" s="8" t="s">
        <v>475</v>
      </c>
    </row>
    <row r="782" spans="1:6" x14ac:dyDescent="0.2">
      <c r="A782" s="7">
        <v>18707</v>
      </c>
      <c r="B782" s="8">
        <f t="shared" si="12"/>
        <v>87</v>
      </c>
      <c r="C782" s="8">
        <v>8</v>
      </c>
      <c r="D782" s="8" t="s">
        <v>1201</v>
      </c>
      <c r="E782" s="7">
        <v>50</v>
      </c>
      <c r="F782" s="8" t="s">
        <v>477</v>
      </c>
    </row>
    <row r="783" spans="1:6" x14ac:dyDescent="0.2">
      <c r="A783" s="7">
        <v>18708</v>
      </c>
      <c r="B783" s="8">
        <f t="shared" si="12"/>
        <v>87</v>
      </c>
      <c r="C783" s="8">
        <v>5</v>
      </c>
      <c r="D783" s="8" t="s">
        <v>1202</v>
      </c>
      <c r="E783" s="7">
        <v>50</v>
      </c>
      <c r="F783" s="8" t="s">
        <v>479</v>
      </c>
    </row>
    <row r="784" spans="1:6" x14ac:dyDescent="0.2">
      <c r="A784" s="7">
        <v>18709</v>
      </c>
      <c r="B784" s="8">
        <f t="shared" si="12"/>
        <v>87</v>
      </c>
      <c r="C784" s="8">
        <v>9</v>
      </c>
      <c r="D784" s="8" t="s">
        <v>1203</v>
      </c>
      <c r="E784" s="7">
        <v>50</v>
      </c>
      <c r="F784" s="8" t="s">
        <v>481</v>
      </c>
    </row>
    <row r="785" spans="1:6" x14ac:dyDescent="0.2">
      <c r="A785" s="7">
        <v>18801</v>
      </c>
      <c r="B785" s="8">
        <f t="shared" si="12"/>
        <v>88</v>
      </c>
      <c r="C785" s="8">
        <v>3</v>
      </c>
      <c r="D785" s="8" t="s">
        <v>1204</v>
      </c>
      <c r="E785" s="9">
        <v>75</v>
      </c>
      <c r="F785" s="8" t="s">
        <v>466</v>
      </c>
    </row>
    <row r="786" spans="1:6" x14ac:dyDescent="0.2">
      <c r="A786" s="7">
        <v>18802</v>
      </c>
      <c r="B786" s="8">
        <f t="shared" si="12"/>
        <v>88</v>
      </c>
      <c r="C786" s="8">
        <v>2</v>
      </c>
      <c r="D786" s="8" t="s">
        <v>1205</v>
      </c>
      <c r="E786" s="9">
        <v>75</v>
      </c>
      <c r="F786" s="8" t="s">
        <v>455</v>
      </c>
    </row>
    <row r="787" spans="1:6" x14ac:dyDescent="0.2">
      <c r="A787" s="7">
        <v>18803</v>
      </c>
      <c r="B787" s="8">
        <f t="shared" si="12"/>
        <v>88</v>
      </c>
      <c r="C787" s="8">
        <v>1001</v>
      </c>
      <c r="D787" s="8" t="s">
        <v>1206</v>
      </c>
      <c r="E787" s="7">
        <v>50</v>
      </c>
      <c r="F787" s="8" t="s">
        <v>469</v>
      </c>
    </row>
    <row r="788" spans="1:6" x14ac:dyDescent="0.2">
      <c r="A788" s="7">
        <v>18804</v>
      </c>
      <c r="B788" s="8">
        <f t="shared" si="12"/>
        <v>88</v>
      </c>
      <c r="C788" s="8">
        <v>11</v>
      </c>
      <c r="D788" s="8" t="s">
        <v>1207</v>
      </c>
      <c r="E788" s="7">
        <v>50</v>
      </c>
      <c r="F788" s="8" t="s">
        <v>471</v>
      </c>
    </row>
    <row r="789" spans="1:6" x14ac:dyDescent="0.2">
      <c r="A789" s="7">
        <v>18805</v>
      </c>
      <c r="B789" s="8">
        <f t="shared" si="12"/>
        <v>88</v>
      </c>
      <c r="C789" s="8">
        <v>10</v>
      </c>
      <c r="D789" s="8" t="s">
        <v>1208</v>
      </c>
      <c r="E789" s="7">
        <v>50</v>
      </c>
      <c r="F789" s="8" t="s">
        <v>473</v>
      </c>
    </row>
    <row r="790" spans="1:6" x14ac:dyDescent="0.2">
      <c r="A790" s="7">
        <v>18806</v>
      </c>
      <c r="B790" s="8">
        <f t="shared" si="12"/>
        <v>88</v>
      </c>
      <c r="C790" s="8">
        <v>7</v>
      </c>
      <c r="D790" s="8" t="s">
        <v>1209</v>
      </c>
      <c r="E790" s="7">
        <v>50</v>
      </c>
      <c r="F790" s="8" t="s">
        <v>475</v>
      </c>
    </row>
    <row r="791" spans="1:6" x14ac:dyDescent="0.2">
      <c r="A791" s="7">
        <v>18807</v>
      </c>
      <c r="B791" s="8">
        <f t="shared" si="12"/>
        <v>88</v>
      </c>
      <c r="C791" s="8">
        <v>8</v>
      </c>
      <c r="D791" s="8" t="s">
        <v>1210</v>
      </c>
      <c r="E791" s="7">
        <v>50</v>
      </c>
      <c r="F791" s="8" t="s">
        <v>477</v>
      </c>
    </row>
    <row r="792" spans="1:6" x14ac:dyDescent="0.2">
      <c r="A792" s="7">
        <v>18808</v>
      </c>
      <c r="B792" s="8">
        <f t="shared" si="12"/>
        <v>88</v>
      </c>
      <c r="C792" s="8">
        <v>5</v>
      </c>
      <c r="D792" s="8" t="s">
        <v>1211</v>
      </c>
      <c r="E792" s="7">
        <v>50</v>
      </c>
      <c r="F792" s="8" t="s">
        <v>479</v>
      </c>
    </row>
    <row r="793" spans="1:6" x14ac:dyDescent="0.2">
      <c r="A793" s="7">
        <v>18809</v>
      </c>
      <c r="B793" s="8">
        <f t="shared" si="12"/>
        <v>88</v>
      </c>
      <c r="C793" s="8">
        <v>9</v>
      </c>
      <c r="D793" s="8" t="s">
        <v>1212</v>
      </c>
      <c r="E793" s="7">
        <v>50</v>
      </c>
      <c r="F793" s="8" t="s">
        <v>481</v>
      </c>
    </row>
    <row r="794" spans="1:6" x14ac:dyDescent="0.2">
      <c r="A794" s="7">
        <v>18901</v>
      </c>
      <c r="B794" s="8">
        <f t="shared" si="12"/>
        <v>89</v>
      </c>
      <c r="C794" s="8">
        <v>3</v>
      </c>
      <c r="D794" s="8" t="s">
        <v>1213</v>
      </c>
      <c r="E794" s="9">
        <v>75</v>
      </c>
      <c r="F794" s="8" t="s">
        <v>466</v>
      </c>
    </row>
    <row r="795" spans="1:6" x14ac:dyDescent="0.2">
      <c r="A795" s="7">
        <v>18902</v>
      </c>
      <c r="B795" s="8">
        <f t="shared" si="12"/>
        <v>89</v>
      </c>
      <c r="C795" s="8">
        <v>2</v>
      </c>
      <c r="D795" s="8" t="s">
        <v>1205</v>
      </c>
      <c r="E795" s="9">
        <v>75</v>
      </c>
      <c r="F795" s="8" t="s">
        <v>455</v>
      </c>
    </row>
    <row r="796" spans="1:6" x14ac:dyDescent="0.2">
      <c r="A796" s="7">
        <v>18903</v>
      </c>
      <c r="B796" s="8">
        <f t="shared" si="12"/>
        <v>89</v>
      </c>
      <c r="C796" s="8">
        <v>1001</v>
      </c>
      <c r="D796" s="8" t="s">
        <v>1214</v>
      </c>
      <c r="E796" s="7">
        <v>50</v>
      </c>
      <c r="F796" s="8" t="s">
        <v>469</v>
      </c>
    </row>
    <row r="797" spans="1:6" x14ac:dyDescent="0.2">
      <c r="A797" s="7">
        <v>18904</v>
      </c>
      <c r="B797" s="8">
        <f t="shared" si="12"/>
        <v>89</v>
      </c>
      <c r="C797" s="8">
        <v>11</v>
      </c>
      <c r="D797" s="8" t="s">
        <v>1215</v>
      </c>
      <c r="E797" s="7">
        <v>50</v>
      </c>
      <c r="F797" s="8" t="s">
        <v>471</v>
      </c>
    </row>
    <row r="798" spans="1:6" x14ac:dyDescent="0.2">
      <c r="A798" s="7">
        <v>18905</v>
      </c>
      <c r="B798" s="8">
        <f t="shared" si="12"/>
        <v>89</v>
      </c>
      <c r="C798" s="8">
        <v>10</v>
      </c>
      <c r="D798" s="8" t="s">
        <v>1216</v>
      </c>
      <c r="E798" s="7">
        <v>50</v>
      </c>
      <c r="F798" s="8" t="s">
        <v>473</v>
      </c>
    </row>
    <row r="799" spans="1:6" x14ac:dyDescent="0.2">
      <c r="A799" s="7">
        <v>18906</v>
      </c>
      <c r="B799" s="8">
        <f t="shared" si="12"/>
        <v>89</v>
      </c>
      <c r="C799" s="8">
        <v>7</v>
      </c>
      <c r="D799" s="8" t="s">
        <v>1217</v>
      </c>
      <c r="E799" s="7">
        <v>50</v>
      </c>
      <c r="F799" s="8" t="s">
        <v>475</v>
      </c>
    </row>
    <row r="800" spans="1:6" x14ac:dyDescent="0.2">
      <c r="A800" s="7">
        <v>18907</v>
      </c>
      <c r="B800" s="8">
        <f t="shared" si="12"/>
        <v>89</v>
      </c>
      <c r="C800" s="8">
        <v>8</v>
      </c>
      <c r="D800" s="8" t="s">
        <v>1218</v>
      </c>
      <c r="E800" s="7">
        <v>50</v>
      </c>
      <c r="F800" s="8" t="s">
        <v>477</v>
      </c>
    </row>
    <row r="801" spans="1:6" x14ac:dyDescent="0.2">
      <c r="A801" s="7">
        <v>18908</v>
      </c>
      <c r="B801" s="8">
        <f t="shared" si="12"/>
        <v>89</v>
      </c>
      <c r="C801" s="8">
        <v>5</v>
      </c>
      <c r="D801" s="8" t="s">
        <v>1219</v>
      </c>
      <c r="E801" s="7">
        <v>50</v>
      </c>
      <c r="F801" s="8" t="s">
        <v>479</v>
      </c>
    </row>
    <row r="802" spans="1:6" x14ac:dyDescent="0.2">
      <c r="A802" s="7">
        <v>18909</v>
      </c>
      <c r="B802" s="8">
        <f t="shared" si="12"/>
        <v>89</v>
      </c>
      <c r="C802" s="8">
        <v>9</v>
      </c>
      <c r="D802" s="8" t="s">
        <v>1220</v>
      </c>
      <c r="E802" s="7">
        <v>50</v>
      </c>
      <c r="F802" s="8" t="s">
        <v>481</v>
      </c>
    </row>
    <row r="803" spans="1:6" x14ac:dyDescent="0.2">
      <c r="A803" s="7">
        <v>19001</v>
      </c>
      <c r="B803" s="8">
        <f t="shared" si="12"/>
        <v>90</v>
      </c>
      <c r="C803" s="8">
        <v>3</v>
      </c>
      <c r="D803" s="8" t="s">
        <v>1221</v>
      </c>
      <c r="E803" s="9">
        <v>75</v>
      </c>
      <c r="F803" s="8" t="s">
        <v>466</v>
      </c>
    </row>
    <row r="804" spans="1:6" x14ac:dyDescent="0.2">
      <c r="A804" s="7">
        <v>19002</v>
      </c>
      <c r="B804" s="8">
        <f t="shared" si="12"/>
        <v>90</v>
      </c>
      <c r="C804" s="8">
        <v>2</v>
      </c>
      <c r="D804" s="8" t="s">
        <v>1222</v>
      </c>
      <c r="E804" s="9">
        <v>75</v>
      </c>
      <c r="F804" s="8" t="s">
        <v>455</v>
      </c>
    </row>
    <row r="805" spans="1:6" x14ac:dyDescent="0.2">
      <c r="A805" s="7">
        <v>19003</v>
      </c>
      <c r="B805" s="8">
        <f t="shared" si="12"/>
        <v>90</v>
      </c>
      <c r="C805" s="8">
        <v>1001</v>
      </c>
      <c r="D805" s="8" t="s">
        <v>1223</v>
      </c>
      <c r="E805" s="7">
        <v>50</v>
      </c>
      <c r="F805" s="8" t="s">
        <v>469</v>
      </c>
    </row>
    <row r="806" spans="1:6" x14ac:dyDescent="0.2">
      <c r="A806" s="7">
        <v>19004</v>
      </c>
      <c r="B806" s="8">
        <f t="shared" si="12"/>
        <v>90</v>
      </c>
      <c r="C806" s="8">
        <v>11</v>
      </c>
      <c r="D806" s="8" t="s">
        <v>1224</v>
      </c>
      <c r="E806" s="7">
        <v>50</v>
      </c>
      <c r="F806" s="8" t="s">
        <v>471</v>
      </c>
    </row>
    <row r="807" spans="1:6" x14ac:dyDescent="0.2">
      <c r="A807" s="7">
        <v>19005</v>
      </c>
      <c r="B807" s="8">
        <f t="shared" si="12"/>
        <v>90</v>
      </c>
      <c r="C807" s="8">
        <v>10</v>
      </c>
      <c r="D807" s="8" t="s">
        <v>1225</v>
      </c>
      <c r="E807" s="7">
        <v>50</v>
      </c>
      <c r="F807" s="8" t="s">
        <v>473</v>
      </c>
    </row>
    <row r="808" spans="1:6" x14ac:dyDescent="0.2">
      <c r="A808" s="7">
        <v>19006</v>
      </c>
      <c r="B808" s="8">
        <f t="shared" si="12"/>
        <v>90</v>
      </c>
      <c r="C808" s="8">
        <v>7</v>
      </c>
      <c r="D808" s="8" t="s">
        <v>1226</v>
      </c>
      <c r="E808" s="7">
        <v>50</v>
      </c>
      <c r="F808" s="8" t="s">
        <v>475</v>
      </c>
    </row>
    <row r="809" spans="1:6" x14ac:dyDescent="0.2">
      <c r="A809" s="7">
        <v>19007</v>
      </c>
      <c r="B809" s="8">
        <f t="shared" si="12"/>
        <v>90</v>
      </c>
      <c r="C809" s="8">
        <v>8</v>
      </c>
      <c r="D809" s="8" t="s">
        <v>1227</v>
      </c>
      <c r="E809" s="7">
        <v>50</v>
      </c>
      <c r="F809" s="8" t="s">
        <v>477</v>
      </c>
    </row>
    <row r="810" spans="1:6" x14ac:dyDescent="0.2">
      <c r="A810" s="7">
        <v>19008</v>
      </c>
      <c r="B810" s="8">
        <f t="shared" si="12"/>
        <v>90</v>
      </c>
      <c r="C810" s="8">
        <v>5</v>
      </c>
      <c r="D810" s="8" t="s">
        <v>1228</v>
      </c>
      <c r="E810" s="7">
        <v>50</v>
      </c>
      <c r="F810" s="8" t="s">
        <v>479</v>
      </c>
    </row>
    <row r="811" spans="1:6" x14ac:dyDescent="0.2">
      <c r="A811" s="7">
        <v>19009</v>
      </c>
      <c r="B811" s="8">
        <f t="shared" si="12"/>
        <v>90</v>
      </c>
      <c r="C811" s="8">
        <v>9</v>
      </c>
      <c r="D811" s="8" t="s">
        <v>1229</v>
      </c>
      <c r="E811" s="7">
        <v>50</v>
      </c>
      <c r="F811" s="8" t="s">
        <v>481</v>
      </c>
    </row>
    <row r="812" spans="1:6" x14ac:dyDescent="0.2">
      <c r="A812" s="7">
        <v>19101</v>
      </c>
      <c r="B812" s="8">
        <f t="shared" si="12"/>
        <v>91</v>
      </c>
      <c r="C812" s="8">
        <v>3</v>
      </c>
      <c r="D812" s="8" t="s">
        <v>1230</v>
      </c>
      <c r="E812" s="9">
        <v>75</v>
      </c>
      <c r="F812" s="8" t="s">
        <v>466</v>
      </c>
    </row>
    <row r="813" spans="1:6" x14ac:dyDescent="0.2">
      <c r="A813" s="7">
        <v>19102</v>
      </c>
      <c r="B813" s="8">
        <f t="shared" si="12"/>
        <v>91</v>
      </c>
      <c r="C813" s="8">
        <v>2</v>
      </c>
      <c r="D813" s="8" t="s">
        <v>1222</v>
      </c>
      <c r="E813" s="9">
        <v>75</v>
      </c>
      <c r="F813" s="8" t="s">
        <v>455</v>
      </c>
    </row>
    <row r="814" spans="1:6" x14ac:dyDescent="0.2">
      <c r="A814" s="7">
        <v>19103</v>
      </c>
      <c r="B814" s="8">
        <f t="shared" si="12"/>
        <v>91</v>
      </c>
      <c r="C814" s="8">
        <v>1001</v>
      </c>
      <c r="D814" s="8" t="s">
        <v>1231</v>
      </c>
      <c r="E814" s="7">
        <v>50</v>
      </c>
      <c r="F814" s="8" t="s">
        <v>469</v>
      </c>
    </row>
    <row r="815" spans="1:6" x14ac:dyDescent="0.2">
      <c r="A815" s="7">
        <v>19104</v>
      </c>
      <c r="B815" s="8">
        <f t="shared" si="12"/>
        <v>91</v>
      </c>
      <c r="C815" s="8">
        <v>11</v>
      </c>
      <c r="D815" s="8" t="s">
        <v>1232</v>
      </c>
      <c r="E815" s="7">
        <v>50</v>
      </c>
      <c r="F815" s="8" t="s">
        <v>471</v>
      </c>
    </row>
    <row r="816" spans="1:6" x14ac:dyDescent="0.2">
      <c r="A816" s="7">
        <v>19105</v>
      </c>
      <c r="B816" s="8">
        <f t="shared" si="12"/>
        <v>91</v>
      </c>
      <c r="C816" s="8">
        <v>10</v>
      </c>
      <c r="D816" s="8" t="s">
        <v>1233</v>
      </c>
      <c r="E816" s="7">
        <v>50</v>
      </c>
      <c r="F816" s="8" t="s">
        <v>473</v>
      </c>
    </row>
    <row r="817" spans="1:6" x14ac:dyDescent="0.2">
      <c r="A817" s="7">
        <v>19106</v>
      </c>
      <c r="B817" s="8">
        <f t="shared" si="12"/>
        <v>91</v>
      </c>
      <c r="C817" s="8">
        <v>7</v>
      </c>
      <c r="D817" s="8" t="s">
        <v>1234</v>
      </c>
      <c r="E817" s="7">
        <v>50</v>
      </c>
      <c r="F817" s="8" t="s">
        <v>475</v>
      </c>
    </row>
    <row r="818" spans="1:6" x14ac:dyDescent="0.2">
      <c r="A818" s="7">
        <v>19107</v>
      </c>
      <c r="B818" s="8">
        <f t="shared" si="12"/>
        <v>91</v>
      </c>
      <c r="C818" s="8">
        <v>8</v>
      </c>
      <c r="D818" s="8" t="s">
        <v>1235</v>
      </c>
      <c r="E818" s="7">
        <v>50</v>
      </c>
      <c r="F818" s="8" t="s">
        <v>477</v>
      </c>
    </row>
    <row r="819" spans="1:6" x14ac:dyDescent="0.2">
      <c r="A819" s="7">
        <v>19108</v>
      </c>
      <c r="B819" s="8">
        <f t="shared" si="12"/>
        <v>91</v>
      </c>
      <c r="C819" s="8">
        <v>5</v>
      </c>
      <c r="D819" s="8" t="s">
        <v>1236</v>
      </c>
      <c r="E819" s="7">
        <v>50</v>
      </c>
      <c r="F819" s="8" t="s">
        <v>479</v>
      </c>
    </row>
    <row r="820" spans="1:6" x14ac:dyDescent="0.2">
      <c r="A820" s="7">
        <v>19109</v>
      </c>
      <c r="B820" s="8">
        <f t="shared" si="12"/>
        <v>91</v>
      </c>
      <c r="C820" s="8">
        <v>9</v>
      </c>
      <c r="D820" s="8" t="s">
        <v>1237</v>
      </c>
      <c r="E820" s="7">
        <v>50</v>
      </c>
      <c r="F820" s="8" t="s">
        <v>481</v>
      </c>
    </row>
    <row r="821" spans="1:6" x14ac:dyDescent="0.2">
      <c r="A821" s="7">
        <v>19201</v>
      </c>
      <c r="B821" s="8">
        <f t="shared" si="12"/>
        <v>92</v>
      </c>
      <c r="C821" s="8">
        <v>3</v>
      </c>
      <c r="D821" s="8" t="s">
        <v>1238</v>
      </c>
      <c r="E821" s="9">
        <v>75</v>
      </c>
      <c r="F821" s="8" t="s">
        <v>466</v>
      </c>
    </row>
    <row r="822" spans="1:6" x14ac:dyDescent="0.2">
      <c r="A822" s="7">
        <v>19202</v>
      </c>
      <c r="B822" s="8">
        <f t="shared" si="12"/>
        <v>92</v>
      </c>
      <c r="C822" s="8">
        <v>2</v>
      </c>
      <c r="D822" s="8" t="s">
        <v>1239</v>
      </c>
      <c r="E822" s="9">
        <v>75</v>
      </c>
      <c r="F822" s="8" t="s">
        <v>455</v>
      </c>
    </row>
    <row r="823" spans="1:6" x14ac:dyDescent="0.2">
      <c r="A823" s="7">
        <v>19203</v>
      </c>
      <c r="B823" s="8">
        <f t="shared" si="12"/>
        <v>92</v>
      </c>
      <c r="C823" s="8">
        <v>1001</v>
      </c>
      <c r="D823" s="8" t="s">
        <v>1240</v>
      </c>
      <c r="E823" s="7">
        <v>50</v>
      </c>
      <c r="F823" s="8" t="s">
        <v>469</v>
      </c>
    </row>
    <row r="824" spans="1:6" x14ac:dyDescent="0.2">
      <c r="A824" s="7">
        <v>19204</v>
      </c>
      <c r="B824" s="8">
        <f t="shared" si="12"/>
        <v>92</v>
      </c>
      <c r="C824" s="8">
        <v>11</v>
      </c>
      <c r="D824" s="8" t="s">
        <v>1241</v>
      </c>
      <c r="E824" s="7">
        <v>50</v>
      </c>
      <c r="F824" s="8" t="s">
        <v>471</v>
      </c>
    </row>
    <row r="825" spans="1:6" x14ac:dyDescent="0.2">
      <c r="A825" s="7">
        <v>19205</v>
      </c>
      <c r="B825" s="8">
        <f t="shared" si="12"/>
        <v>92</v>
      </c>
      <c r="C825" s="8">
        <v>10</v>
      </c>
      <c r="D825" s="8" t="s">
        <v>1242</v>
      </c>
      <c r="E825" s="7">
        <v>50</v>
      </c>
      <c r="F825" s="8" t="s">
        <v>473</v>
      </c>
    </row>
    <row r="826" spans="1:6" x14ac:dyDescent="0.2">
      <c r="A826" s="7">
        <v>19206</v>
      </c>
      <c r="B826" s="8">
        <f t="shared" si="12"/>
        <v>92</v>
      </c>
      <c r="C826" s="8">
        <v>7</v>
      </c>
      <c r="D826" s="8" t="s">
        <v>1243</v>
      </c>
      <c r="E826" s="7">
        <v>50</v>
      </c>
      <c r="F826" s="8" t="s">
        <v>475</v>
      </c>
    </row>
    <row r="827" spans="1:6" x14ac:dyDescent="0.2">
      <c r="A827" s="7">
        <v>19207</v>
      </c>
      <c r="B827" s="8">
        <f t="shared" si="12"/>
        <v>92</v>
      </c>
      <c r="C827" s="8">
        <v>8</v>
      </c>
      <c r="D827" s="8" t="s">
        <v>1244</v>
      </c>
      <c r="E827" s="7">
        <v>50</v>
      </c>
      <c r="F827" s="8" t="s">
        <v>477</v>
      </c>
    </row>
    <row r="828" spans="1:6" x14ac:dyDescent="0.2">
      <c r="A828" s="7">
        <v>19208</v>
      </c>
      <c r="B828" s="8">
        <f t="shared" si="12"/>
        <v>92</v>
      </c>
      <c r="C828" s="8">
        <v>5</v>
      </c>
      <c r="D828" s="8" t="s">
        <v>1245</v>
      </c>
      <c r="E828" s="7">
        <v>50</v>
      </c>
      <c r="F828" s="8" t="s">
        <v>479</v>
      </c>
    </row>
    <row r="829" spans="1:6" x14ac:dyDescent="0.2">
      <c r="A829" s="7">
        <v>19209</v>
      </c>
      <c r="B829" s="8">
        <f t="shared" si="12"/>
        <v>92</v>
      </c>
      <c r="C829" s="8">
        <v>9</v>
      </c>
      <c r="D829" s="8" t="s">
        <v>1246</v>
      </c>
      <c r="E829" s="7">
        <v>50</v>
      </c>
      <c r="F829" s="8" t="s">
        <v>481</v>
      </c>
    </row>
    <row r="830" spans="1:6" x14ac:dyDescent="0.2">
      <c r="A830" s="7">
        <v>19301</v>
      </c>
      <c r="B830" s="8">
        <f t="shared" si="12"/>
        <v>93</v>
      </c>
      <c r="C830" s="8">
        <v>3</v>
      </c>
      <c r="D830" s="8" t="s">
        <v>1247</v>
      </c>
      <c r="E830" s="9">
        <v>75</v>
      </c>
      <c r="F830" s="8" t="s">
        <v>466</v>
      </c>
    </row>
    <row r="831" spans="1:6" x14ac:dyDescent="0.2">
      <c r="A831" s="7">
        <v>19302</v>
      </c>
      <c r="B831" s="8">
        <f t="shared" si="12"/>
        <v>93</v>
      </c>
      <c r="C831" s="8">
        <v>2</v>
      </c>
      <c r="D831" s="8" t="s">
        <v>1239</v>
      </c>
      <c r="E831" s="9">
        <v>75</v>
      </c>
      <c r="F831" s="8" t="s">
        <v>455</v>
      </c>
    </row>
    <row r="832" spans="1:6" x14ac:dyDescent="0.2">
      <c r="A832" s="7">
        <v>19303</v>
      </c>
      <c r="B832" s="8">
        <f t="shared" si="12"/>
        <v>93</v>
      </c>
      <c r="C832" s="8">
        <v>1001</v>
      </c>
      <c r="D832" s="8" t="s">
        <v>1248</v>
      </c>
      <c r="E832" s="7">
        <v>50</v>
      </c>
      <c r="F832" s="8" t="s">
        <v>469</v>
      </c>
    </row>
    <row r="833" spans="1:6" x14ac:dyDescent="0.2">
      <c r="A833" s="7">
        <v>19304</v>
      </c>
      <c r="B833" s="8">
        <f t="shared" si="12"/>
        <v>93</v>
      </c>
      <c r="C833" s="8">
        <v>11</v>
      </c>
      <c r="D833" s="8" t="s">
        <v>1249</v>
      </c>
      <c r="E833" s="7">
        <v>50</v>
      </c>
      <c r="F833" s="8" t="s">
        <v>471</v>
      </c>
    </row>
    <row r="834" spans="1:6" x14ac:dyDescent="0.2">
      <c r="A834" s="7">
        <v>19305</v>
      </c>
      <c r="B834" s="8">
        <f t="shared" si="12"/>
        <v>93</v>
      </c>
      <c r="C834" s="8">
        <v>10</v>
      </c>
      <c r="D834" s="8" t="s">
        <v>1250</v>
      </c>
      <c r="E834" s="7">
        <v>50</v>
      </c>
      <c r="F834" s="8" t="s">
        <v>473</v>
      </c>
    </row>
    <row r="835" spans="1:6" x14ac:dyDescent="0.2">
      <c r="A835" s="7">
        <v>19306</v>
      </c>
      <c r="B835" s="8">
        <f t="shared" si="12"/>
        <v>93</v>
      </c>
      <c r="C835" s="8">
        <v>7</v>
      </c>
      <c r="D835" s="8" t="s">
        <v>1251</v>
      </c>
      <c r="E835" s="7">
        <v>50</v>
      </c>
      <c r="F835" s="8" t="s">
        <v>475</v>
      </c>
    </row>
    <row r="836" spans="1:6" x14ac:dyDescent="0.2">
      <c r="A836" s="7">
        <v>19307</v>
      </c>
      <c r="B836" s="8">
        <f t="shared" si="12"/>
        <v>93</v>
      </c>
      <c r="C836" s="8">
        <v>8</v>
      </c>
      <c r="D836" s="8" t="s">
        <v>1252</v>
      </c>
      <c r="E836" s="7">
        <v>50</v>
      </c>
      <c r="F836" s="8" t="s">
        <v>477</v>
      </c>
    </row>
    <row r="837" spans="1:6" x14ac:dyDescent="0.2">
      <c r="A837" s="7">
        <v>19308</v>
      </c>
      <c r="B837" s="8">
        <f t="shared" si="12"/>
        <v>93</v>
      </c>
      <c r="C837" s="8">
        <v>5</v>
      </c>
      <c r="D837" s="8" t="s">
        <v>1253</v>
      </c>
      <c r="E837" s="7">
        <v>50</v>
      </c>
      <c r="F837" s="8" t="s">
        <v>479</v>
      </c>
    </row>
    <row r="838" spans="1:6" x14ac:dyDescent="0.2">
      <c r="A838" s="7">
        <v>19309</v>
      </c>
      <c r="B838" s="8">
        <f t="shared" si="12"/>
        <v>93</v>
      </c>
      <c r="C838" s="8">
        <v>9</v>
      </c>
      <c r="D838" s="8" t="s">
        <v>1254</v>
      </c>
      <c r="E838" s="7">
        <v>50</v>
      </c>
      <c r="F838" s="8" t="s">
        <v>481</v>
      </c>
    </row>
    <row r="839" spans="1:6" x14ac:dyDescent="0.2">
      <c r="A839" s="7">
        <v>19401</v>
      </c>
      <c r="B839" s="8">
        <f t="shared" si="12"/>
        <v>94</v>
      </c>
      <c r="C839" s="8">
        <v>3</v>
      </c>
      <c r="D839" s="8" t="s">
        <v>1255</v>
      </c>
      <c r="E839" s="9">
        <v>75</v>
      </c>
      <c r="F839" s="8" t="s">
        <v>466</v>
      </c>
    </row>
    <row r="840" spans="1:6" x14ac:dyDescent="0.2">
      <c r="A840" s="7">
        <v>19402</v>
      </c>
      <c r="B840" s="8">
        <f t="shared" si="12"/>
        <v>94</v>
      </c>
      <c r="C840" s="8">
        <v>2</v>
      </c>
      <c r="D840" s="8" t="s">
        <v>1256</v>
      </c>
      <c r="E840" s="9">
        <v>75</v>
      </c>
      <c r="F840" s="8" t="s">
        <v>455</v>
      </c>
    </row>
    <row r="841" spans="1:6" x14ac:dyDescent="0.2">
      <c r="A841" s="7">
        <v>19403</v>
      </c>
      <c r="B841" s="8">
        <f t="shared" si="12"/>
        <v>94</v>
      </c>
      <c r="C841" s="8">
        <v>1001</v>
      </c>
      <c r="D841" s="8" t="s">
        <v>1257</v>
      </c>
      <c r="E841" s="7">
        <v>50</v>
      </c>
      <c r="F841" s="8" t="s">
        <v>469</v>
      </c>
    </row>
    <row r="842" spans="1:6" x14ac:dyDescent="0.2">
      <c r="A842" s="7">
        <v>19404</v>
      </c>
      <c r="B842" s="8">
        <f t="shared" si="12"/>
        <v>94</v>
      </c>
      <c r="C842" s="8">
        <v>11</v>
      </c>
      <c r="D842" s="8" t="s">
        <v>1258</v>
      </c>
      <c r="E842" s="7">
        <v>50</v>
      </c>
      <c r="F842" s="8" t="s">
        <v>471</v>
      </c>
    </row>
    <row r="843" spans="1:6" x14ac:dyDescent="0.2">
      <c r="A843" s="7">
        <v>19405</v>
      </c>
      <c r="B843" s="8">
        <f t="shared" si="12"/>
        <v>94</v>
      </c>
      <c r="C843" s="8">
        <v>10</v>
      </c>
      <c r="D843" s="8" t="s">
        <v>1259</v>
      </c>
      <c r="E843" s="7">
        <v>50</v>
      </c>
      <c r="F843" s="8" t="s">
        <v>473</v>
      </c>
    </row>
    <row r="844" spans="1:6" x14ac:dyDescent="0.2">
      <c r="A844" s="7">
        <v>19406</v>
      </c>
      <c r="B844" s="8">
        <f t="shared" ref="B844:B901" si="13">B835+1</f>
        <v>94</v>
      </c>
      <c r="C844" s="8">
        <v>7</v>
      </c>
      <c r="D844" s="8" t="s">
        <v>1260</v>
      </c>
      <c r="E844" s="7">
        <v>50</v>
      </c>
      <c r="F844" s="8" t="s">
        <v>475</v>
      </c>
    </row>
    <row r="845" spans="1:6" x14ac:dyDescent="0.2">
      <c r="A845" s="7">
        <v>19407</v>
      </c>
      <c r="B845" s="8">
        <f t="shared" si="13"/>
        <v>94</v>
      </c>
      <c r="C845" s="8">
        <v>8</v>
      </c>
      <c r="D845" s="8" t="s">
        <v>1261</v>
      </c>
      <c r="E845" s="7">
        <v>50</v>
      </c>
      <c r="F845" s="8" t="s">
        <v>477</v>
      </c>
    </row>
    <row r="846" spans="1:6" x14ac:dyDescent="0.2">
      <c r="A846" s="7">
        <v>19408</v>
      </c>
      <c r="B846" s="8">
        <f t="shared" si="13"/>
        <v>94</v>
      </c>
      <c r="C846" s="8">
        <v>5</v>
      </c>
      <c r="D846" s="8" t="s">
        <v>1262</v>
      </c>
      <c r="E846" s="7">
        <v>50</v>
      </c>
      <c r="F846" s="8" t="s">
        <v>479</v>
      </c>
    </row>
    <row r="847" spans="1:6" x14ac:dyDescent="0.2">
      <c r="A847" s="7">
        <v>19409</v>
      </c>
      <c r="B847" s="8">
        <f t="shared" si="13"/>
        <v>94</v>
      </c>
      <c r="C847" s="8">
        <v>9</v>
      </c>
      <c r="D847" s="8" t="s">
        <v>1263</v>
      </c>
      <c r="E847" s="7">
        <v>50</v>
      </c>
      <c r="F847" s="8" t="s">
        <v>481</v>
      </c>
    </row>
    <row r="848" spans="1:6" x14ac:dyDescent="0.2">
      <c r="A848" s="7">
        <v>19501</v>
      </c>
      <c r="B848" s="8">
        <f t="shared" si="13"/>
        <v>95</v>
      </c>
      <c r="C848" s="8">
        <v>3</v>
      </c>
      <c r="D848" s="8" t="s">
        <v>1264</v>
      </c>
      <c r="E848" s="9">
        <v>75</v>
      </c>
      <c r="F848" s="8" t="s">
        <v>466</v>
      </c>
    </row>
    <row r="849" spans="1:6" x14ac:dyDescent="0.2">
      <c r="A849" s="7">
        <v>19502</v>
      </c>
      <c r="B849" s="8">
        <f t="shared" si="13"/>
        <v>95</v>
      </c>
      <c r="C849" s="8">
        <v>2</v>
      </c>
      <c r="D849" s="8" t="s">
        <v>1256</v>
      </c>
      <c r="E849" s="9">
        <v>75</v>
      </c>
      <c r="F849" s="8" t="s">
        <v>455</v>
      </c>
    </row>
    <row r="850" spans="1:6" x14ac:dyDescent="0.2">
      <c r="A850" s="7">
        <v>19503</v>
      </c>
      <c r="B850" s="8">
        <f t="shared" si="13"/>
        <v>95</v>
      </c>
      <c r="C850" s="8">
        <v>1001</v>
      </c>
      <c r="D850" s="8" t="s">
        <v>1265</v>
      </c>
      <c r="E850" s="7">
        <v>50</v>
      </c>
      <c r="F850" s="8" t="s">
        <v>469</v>
      </c>
    </row>
    <row r="851" spans="1:6" x14ac:dyDescent="0.2">
      <c r="A851" s="7">
        <v>19504</v>
      </c>
      <c r="B851" s="8">
        <f t="shared" si="13"/>
        <v>95</v>
      </c>
      <c r="C851" s="8">
        <v>11</v>
      </c>
      <c r="D851" s="8" t="s">
        <v>1266</v>
      </c>
      <c r="E851" s="7">
        <v>50</v>
      </c>
      <c r="F851" s="8" t="s">
        <v>471</v>
      </c>
    </row>
    <row r="852" spans="1:6" x14ac:dyDescent="0.2">
      <c r="A852" s="7">
        <v>19505</v>
      </c>
      <c r="B852" s="8">
        <f t="shared" si="13"/>
        <v>95</v>
      </c>
      <c r="C852" s="8">
        <v>10</v>
      </c>
      <c r="D852" s="8" t="s">
        <v>1267</v>
      </c>
      <c r="E852" s="7">
        <v>50</v>
      </c>
      <c r="F852" s="8" t="s">
        <v>473</v>
      </c>
    </row>
    <row r="853" spans="1:6" x14ac:dyDescent="0.2">
      <c r="A853" s="7">
        <v>19506</v>
      </c>
      <c r="B853" s="8">
        <f t="shared" si="13"/>
        <v>95</v>
      </c>
      <c r="C853" s="8">
        <v>7</v>
      </c>
      <c r="D853" s="8" t="s">
        <v>1268</v>
      </c>
      <c r="E853" s="7">
        <v>50</v>
      </c>
      <c r="F853" s="8" t="s">
        <v>475</v>
      </c>
    </row>
    <row r="854" spans="1:6" x14ac:dyDescent="0.2">
      <c r="A854" s="7">
        <v>19507</v>
      </c>
      <c r="B854" s="8">
        <f t="shared" si="13"/>
        <v>95</v>
      </c>
      <c r="C854" s="8">
        <v>8</v>
      </c>
      <c r="D854" s="8" t="s">
        <v>1269</v>
      </c>
      <c r="E854" s="7">
        <v>50</v>
      </c>
      <c r="F854" s="8" t="s">
        <v>477</v>
      </c>
    </row>
    <row r="855" spans="1:6" x14ac:dyDescent="0.2">
      <c r="A855" s="7">
        <v>19508</v>
      </c>
      <c r="B855" s="8">
        <f t="shared" si="13"/>
        <v>95</v>
      </c>
      <c r="C855" s="8">
        <v>5</v>
      </c>
      <c r="D855" s="8" t="s">
        <v>1270</v>
      </c>
      <c r="E855" s="7">
        <v>50</v>
      </c>
      <c r="F855" s="8" t="s">
        <v>479</v>
      </c>
    </row>
    <row r="856" spans="1:6" x14ac:dyDescent="0.2">
      <c r="A856" s="7">
        <v>19509</v>
      </c>
      <c r="B856" s="8">
        <f t="shared" si="13"/>
        <v>95</v>
      </c>
      <c r="C856" s="8">
        <v>9</v>
      </c>
      <c r="D856" s="8" t="s">
        <v>1271</v>
      </c>
      <c r="E856" s="7">
        <v>50</v>
      </c>
      <c r="F856" s="8" t="s">
        <v>481</v>
      </c>
    </row>
    <row r="857" spans="1:6" x14ac:dyDescent="0.2">
      <c r="A857" s="7">
        <v>19601</v>
      </c>
      <c r="B857" s="8">
        <f t="shared" si="13"/>
        <v>96</v>
      </c>
      <c r="C857" s="8">
        <v>3</v>
      </c>
      <c r="D857" s="8" t="s">
        <v>1272</v>
      </c>
      <c r="E857" s="9">
        <v>75</v>
      </c>
      <c r="F857" s="8" t="s">
        <v>466</v>
      </c>
    </row>
    <row r="858" spans="1:6" x14ac:dyDescent="0.2">
      <c r="A858" s="7">
        <v>19602</v>
      </c>
      <c r="B858" s="8">
        <f t="shared" si="13"/>
        <v>96</v>
      </c>
      <c r="C858" s="8">
        <v>2</v>
      </c>
      <c r="D858" s="8" t="s">
        <v>1273</v>
      </c>
      <c r="E858" s="9">
        <v>75</v>
      </c>
      <c r="F858" s="8" t="s">
        <v>455</v>
      </c>
    </row>
    <row r="859" spans="1:6" x14ac:dyDescent="0.2">
      <c r="A859" s="7">
        <v>19603</v>
      </c>
      <c r="B859" s="8">
        <f t="shared" si="13"/>
        <v>96</v>
      </c>
      <c r="C859" s="8">
        <v>1001</v>
      </c>
      <c r="D859" s="8" t="s">
        <v>1274</v>
      </c>
      <c r="E859" s="7">
        <v>50</v>
      </c>
      <c r="F859" s="8" t="s">
        <v>469</v>
      </c>
    </row>
    <row r="860" spans="1:6" x14ac:dyDescent="0.2">
      <c r="A860" s="7">
        <v>19604</v>
      </c>
      <c r="B860" s="8">
        <f t="shared" si="13"/>
        <v>96</v>
      </c>
      <c r="C860" s="8">
        <v>11</v>
      </c>
      <c r="D860" s="8" t="s">
        <v>1275</v>
      </c>
      <c r="E860" s="7">
        <v>50</v>
      </c>
      <c r="F860" s="8" t="s">
        <v>471</v>
      </c>
    </row>
    <row r="861" spans="1:6" x14ac:dyDescent="0.2">
      <c r="A861" s="7">
        <v>19605</v>
      </c>
      <c r="B861" s="8">
        <f t="shared" si="13"/>
        <v>96</v>
      </c>
      <c r="C861" s="8">
        <v>10</v>
      </c>
      <c r="D861" s="8" t="s">
        <v>1276</v>
      </c>
      <c r="E861" s="7">
        <v>50</v>
      </c>
      <c r="F861" s="8" t="s">
        <v>473</v>
      </c>
    </row>
    <row r="862" spans="1:6" x14ac:dyDescent="0.2">
      <c r="A862" s="7">
        <v>19606</v>
      </c>
      <c r="B862" s="8">
        <f t="shared" si="13"/>
        <v>96</v>
      </c>
      <c r="C862" s="8">
        <v>7</v>
      </c>
      <c r="D862" s="8" t="s">
        <v>1277</v>
      </c>
      <c r="E862" s="7">
        <v>50</v>
      </c>
      <c r="F862" s="8" t="s">
        <v>475</v>
      </c>
    </row>
    <row r="863" spans="1:6" x14ac:dyDescent="0.2">
      <c r="A863" s="7">
        <v>19607</v>
      </c>
      <c r="B863" s="8">
        <f t="shared" si="13"/>
        <v>96</v>
      </c>
      <c r="C863" s="8">
        <v>8</v>
      </c>
      <c r="D863" s="8" t="s">
        <v>1278</v>
      </c>
      <c r="E863" s="7">
        <v>50</v>
      </c>
      <c r="F863" s="8" t="s">
        <v>477</v>
      </c>
    </row>
    <row r="864" spans="1:6" x14ac:dyDescent="0.2">
      <c r="A864" s="7">
        <v>19608</v>
      </c>
      <c r="B864" s="8">
        <f t="shared" si="13"/>
        <v>96</v>
      </c>
      <c r="C864" s="8">
        <v>5</v>
      </c>
      <c r="D864" s="8" t="s">
        <v>1279</v>
      </c>
      <c r="E864" s="7">
        <v>50</v>
      </c>
      <c r="F864" s="8" t="s">
        <v>479</v>
      </c>
    </row>
    <row r="865" spans="1:6" x14ac:dyDescent="0.2">
      <c r="A865" s="7">
        <v>19609</v>
      </c>
      <c r="B865" s="8">
        <f t="shared" si="13"/>
        <v>96</v>
      </c>
      <c r="C865" s="8">
        <v>9</v>
      </c>
      <c r="D865" s="8" t="s">
        <v>1280</v>
      </c>
      <c r="E865" s="7">
        <v>50</v>
      </c>
      <c r="F865" s="8" t="s">
        <v>481</v>
      </c>
    </row>
    <row r="866" spans="1:6" x14ac:dyDescent="0.2">
      <c r="A866" s="7">
        <v>19701</v>
      </c>
      <c r="B866" s="8">
        <f t="shared" si="13"/>
        <v>97</v>
      </c>
      <c r="C866" s="8">
        <v>3</v>
      </c>
      <c r="D866" s="8" t="s">
        <v>1281</v>
      </c>
      <c r="E866" s="9">
        <v>75</v>
      </c>
      <c r="F866" s="8" t="s">
        <v>466</v>
      </c>
    </row>
    <row r="867" spans="1:6" x14ac:dyDescent="0.2">
      <c r="A867" s="7">
        <v>19702</v>
      </c>
      <c r="B867" s="8">
        <f t="shared" si="13"/>
        <v>97</v>
      </c>
      <c r="C867" s="8">
        <v>2</v>
      </c>
      <c r="D867" s="8" t="s">
        <v>1273</v>
      </c>
      <c r="E867" s="9">
        <v>75</v>
      </c>
      <c r="F867" s="8" t="s">
        <v>455</v>
      </c>
    </row>
    <row r="868" spans="1:6" x14ac:dyDescent="0.2">
      <c r="A868" s="7">
        <v>19703</v>
      </c>
      <c r="B868" s="8">
        <f t="shared" si="13"/>
        <v>97</v>
      </c>
      <c r="C868" s="8">
        <v>1001</v>
      </c>
      <c r="D868" s="8" t="s">
        <v>1282</v>
      </c>
      <c r="E868" s="7">
        <v>50</v>
      </c>
      <c r="F868" s="8" t="s">
        <v>469</v>
      </c>
    </row>
    <row r="869" spans="1:6" x14ac:dyDescent="0.2">
      <c r="A869" s="7">
        <v>19704</v>
      </c>
      <c r="B869" s="8">
        <f t="shared" si="13"/>
        <v>97</v>
      </c>
      <c r="C869" s="8">
        <v>11</v>
      </c>
      <c r="D869" s="8" t="s">
        <v>1283</v>
      </c>
      <c r="E869" s="7">
        <v>50</v>
      </c>
      <c r="F869" s="8" t="s">
        <v>471</v>
      </c>
    </row>
    <row r="870" spans="1:6" x14ac:dyDescent="0.2">
      <c r="A870" s="7">
        <v>19705</v>
      </c>
      <c r="B870" s="8">
        <f t="shared" si="13"/>
        <v>97</v>
      </c>
      <c r="C870" s="8">
        <v>10</v>
      </c>
      <c r="D870" s="8" t="s">
        <v>1284</v>
      </c>
      <c r="E870" s="7">
        <v>50</v>
      </c>
      <c r="F870" s="8" t="s">
        <v>473</v>
      </c>
    </row>
    <row r="871" spans="1:6" x14ac:dyDescent="0.2">
      <c r="A871" s="7">
        <v>19706</v>
      </c>
      <c r="B871" s="8">
        <f t="shared" si="13"/>
        <v>97</v>
      </c>
      <c r="C871" s="8">
        <v>7</v>
      </c>
      <c r="D871" s="8" t="s">
        <v>1285</v>
      </c>
      <c r="E871" s="7">
        <v>50</v>
      </c>
      <c r="F871" s="8" t="s">
        <v>475</v>
      </c>
    </row>
    <row r="872" spans="1:6" x14ac:dyDescent="0.2">
      <c r="A872" s="7">
        <v>19707</v>
      </c>
      <c r="B872" s="8">
        <f t="shared" si="13"/>
        <v>97</v>
      </c>
      <c r="C872" s="8">
        <v>8</v>
      </c>
      <c r="D872" s="8" t="s">
        <v>1286</v>
      </c>
      <c r="E872" s="7">
        <v>50</v>
      </c>
      <c r="F872" s="8" t="s">
        <v>477</v>
      </c>
    </row>
    <row r="873" spans="1:6" x14ac:dyDescent="0.2">
      <c r="A873" s="7">
        <v>19708</v>
      </c>
      <c r="B873" s="8">
        <f t="shared" si="13"/>
        <v>97</v>
      </c>
      <c r="C873" s="8">
        <v>5</v>
      </c>
      <c r="D873" s="8" t="s">
        <v>1287</v>
      </c>
      <c r="E873" s="7">
        <v>50</v>
      </c>
      <c r="F873" s="8" t="s">
        <v>479</v>
      </c>
    </row>
    <row r="874" spans="1:6" x14ac:dyDescent="0.2">
      <c r="A874" s="7">
        <v>19709</v>
      </c>
      <c r="B874" s="8">
        <f t="shared" si="13"/>
        <v>97</v>
      </c>
      <c r="C874" s="8">
        <v>9</v>
      </c>
      <c r="D874" s="8" t="s">
        <v>1288</v>
      </c>
      <c r="E874" s="7">
        <v>50</v>
      </c>
      <c r="F874" s="8" t="s">
        <v>481</v>
      </c>
    </row>
    <row r="875" spans="1:6" x14ac:dyDescent="0.2">
      <c r="A875" s="7">
        <v>19801</v>
      </c>
      <c r="B875" s="8">
        <f t="shared" si="13"/>
        <v>98</v>
      </c>
      <c r="C875" s="8">
        <v>3</v>
      </c>
      <c r="D875" s="8" t="s">
        <v>1289</v>
      </c>
      <c r="E875" s="9">
        <v>75</v>
      </c>
      <c r="F875" s="8" t="s">
        <v>466</v>
      </c>
    </row>
    <row r="876" spans="1:6" x14ac:dyDescent="0.2">
      <c r="A876" s="7">
        <v>19802</v>
      </c>
      <c r="B876" s="8">
        <f t="shared" si="13"/>
        <v>98</v>
      </c>
      <c r="C876" s="8">
        <v>2</v>
      </c>
      <c r="D876" s="8" t="s">
        <v>1290</v>
      </c>
      <c r="E876" s="9">
        <v>75</v>
      </c>
      <c r="F876" s="8" t="s">
        <v>455</v>
      </c>
    </row>
    <row r="877" spans="1:6" x14ac:dyDescent="0.2">
      <c r="A877" s="7">
        <v>19803</v>
      </c>
      <c r="B877" s="8">
        <f t="shared" si="13"/>
        <v>98</v>
      </c>
      <c r="C877" s="8">
        <v>1001</v>
      </c>
      <c r="D877" s="8" t="s">
        <v>1291</v>
      </c>
      <c r="E877" s="7">
        <v>50</v>
      </c>
      <c r="F877" s="8" t="s">
        <v>469</v>
      </c>
    </row>
    <row r="878" spans="1:6" x14ac:dyDescent="0.2">
      <c r="A878" s="7">
        <v>19804</v>
      </c>
      <c r="B878" s="8">
        <f t="shared" si="13"/>
        <v>98</v>
      </c>
      <c r="C878" s="8">
        <v>11</v>
      </c>
      <c r="D878" s="8" t="s">
        <v>1292</v>
      </c>
      <c r="E878" s="7">
        <v>50</v>
      </c>
      <c r="F878" s="8" t="s">
        <v>471</v>
      </c>
    </row>
    <row r="879" spans="1:6" x14ac:dyDescent="0.2">
      <c r="A879" s="7">
        <v>19805</v>
      </c>
      <c r="B879" s="8">
        <f t="shared" si="13"/>
        <v>98</v>
      </c>
      <c r="C879" s="8">
        <v>10</v>
      </c>
      <c r="D879" s="8" t="s">
        <v>1293</v>
      </c>
      <c r="E879" s="7">
        <v>50</v>
      </c>
      <c r="F879" s="8" t="s">
        <v>473</v>
      </c>
    </row>
    <row r="880" spans="1:6" x14ac:dyDescent="0.2">
      <c r="A880" s="7">
        <v>19806</v>
      </c>
      <c r="B880" s="8">
        <f t="shared" si="13"/>
        <v>98</v>
      </c>
      <c r="C880" s="8">
        <v>7</v>
      </c>
      <c r="D880" s="8" t="s">
        <v>1294</v>
      </c>
      <c r="E880" s="7">
        <v>50</v>
      </c>
      <c r="F880" s="8" t="s">
        <v>475</v>
      </c>
    </row>
    <row r="881" spans="1:6" x14ac:dyDescent="0.2">
      <c r="A881" s="7">
        <v>19807</v>
      </c>
      <c r="B881" s="8">
        <f t="shared" si="13"/>
        <v>98</v>
      </c>
      <c r="C881" s="8">
        <v>8</v>
      </c>
      <c r="D881" s="8" t="s">
        <v>1295</v>
      </c>
      <c r="E881" s="7">
        <v>50</v>
      </c>
      <c r="F881" s="8" t="s">
        <v>477</v>
      </c>
    </row>
    <row r="882" spans="1:6" x14ac:dyDescent="0.2">
      <c r="A882" s="7">
        <v>19808</v>
      </c>
      <c r="B882" s="8">
        <f t="shared" si="13"/>
        <v>98</v>
      </c>
      <c r="C882" s="8">
        <v>5</v>
      </c>
      <c r="D882" s="8" t="s">
        <v>1296</v>
      </c>
      <c r="E882" s="7">
        <v>50</v>
      </c>
      <c r="F882" s="8" t="s">
        <v>479</v>
      </c>
    </row>
    <row r="883" spans="1:6" x14ac:dyDescent="0.2">
      <c r="A883" s="7">
        <v>19809</v>
      </c>
      <c r="B883" s="8">
        <f t="shared" si="13"/>
        <v>98</v>
      </c>
      <c r="C883" s="8">
        <v>9</v>
      </c>
      <c r="D883" s="8" t="s">
        <v>1297</v>
      </c>
      <c r="E883" s="7">
        <v>50</v>
      </c>
      <c r="F883" s="8" t="s">
        <v>481</v>
      </c>
    </row>
    <row r="884" spans="1:6" x14ac:dyDescent="0.2">
      <c r="A884" s="7">
        <v>19901</v>
      </c>
      <c r="B884" s="8">
        <f t="shared" si="13"/>
        <v>99</v>
      </c>
      <c r="C884" s="8">
        <v>3</v>
      </c>
      <c r="D884" s="8" t="s">
        <v>1298</v>
      </c>
      <c r="E884" s="9">
        <v>75</v>
      </c>
      <c r="F884" s="8" t="s">
        <v>466</v>
      </c>
    </row>
    <row r="885" spans="1:6" x14ac:dyDescent="0.2">
      <c r="A885" s="7">
        <v>19902</v>
      </c>
      <c r="B885" s="8">
        <f t="shared" si="13"/>
        <v>99</v>
      </c>
      <c r="C885" s="8">
        <v>2</v>
      </c>
      <c r="D885" s="8" t="s">
        <v>1290</v>
      </c>
      <c r="E885" s="9">
        <v>75</v>
      </c>
      <c r="F885" s="8" t="s">
        <v>455</v>
      </c>
    </row>
    <row r="886" spans="1:6" x14ac:dyDescent="0.2">
      <c r="A886" s="7">
        <v>19903</v>
      </c>
      <c r="B886" s="8">
        <f t="shared" si="13"/>
        <v>99</v>
      </c>
      <c r="C886" s="8">
        <v>1001</v>
      </c>
      <c r="D886" s="8" t="s">
        <v>1299</v>
      </c>
      <c r="E886" s="7">
        <v>50</v>
      </c>
      <c r="F886" s="8" t="s">
        <v>469</v>
      </c>
    </row>
    <row r="887" spans="1:6" x14ac:dyDescent="0.2">
      <c r="A887" s="7">
        <v>19904</v>
      </c>
      <c r="B887" s="8">
        <f t="shared" si="13"/>
        <v>99</v>
      </c>
      <c r="C887" s="8">
        <v>11</v>
      </c>
      <c r="D887" s="8" t="s">
        <v>1300</v>
      </c>
      <c r="E887" s="7">
        <v>50</v>
      </c>
      <c r="F887" s="8" t="s">
        <v>471</v>
      </c>
    </row>
    <row r="888" spans="1:6" x14ac:dyDescent="0.2">
      <c r="A888" s="7">
        <v>19905</v>
      </c>
      <c r="B888" s="8">
        <f t="shared" si="13"/>
        <v>99</v>
      </c>
      <c r="C888" s="8">
        <v>10</v>
      </c>
      <c r="D888" s="8" t="s">
        <v>1301</v>
      </c>
      <c r="E888" s="7">
        <v>50</v>
      </c>
      <c r="F888" s="8" t="s">
        <v>473</v>
      </c>
    </row>
    <row r="889" spans="1:6" x14ac:dyDescent="0.2">
      <c r="A889" s="7">
        <v>19906</v>
      </c>
      <c r="B889" s="8">
        <f t="shared" si="13"/>
        <v>99</v>
      </c>
      <c r="C889" s="8">
        <v>7</v>
      </c>
      <c r="D889" s="8" t="s">
        <v>1302</v>
      </c>
      <c r="E889" s="7">
        <v>50</v>
      </c>
      <c r="F889" s="8" t="s">
        <v>475</v>
      </c>
    </row>
    <row r="890" spans="1:6" x14ac:dyDescent="0.2">
      <c r="A890" s="7">
        <v>19907</v>
      </c>
      <c r="B890" s="8">
        <f t="shared" si="13"/>
        <v>99</v>
      </c>
      <c r="C890" s="8">
        <v>8</v>
      </c>
      <c r="D890" s="8" t="s">
        <v>1303</v>
      </c>
      <c r="E890" s="7">
        <v>50</v>
      </c>
      <c r="F890" s="8" t="s">
        <v>477</v>
      </c>
    </row>
    <row r="891" spans="1:6" x14ac:dyDescent="0.2">
      <c r="A891" s="7">
        <v>19908</v>
      </c>
      <c r="B891" s="8">
        <f t="shared" si="13"/>
        <v>99</v>
      </c>
      <c r="C891" s="8">
        <v>5</v>
      </c>
      <c r="D891" s="8" t="s">
        <v>1304</v>
      </c>
      <c r="E891" s="7">
        <v>50</v>
      </c>
      <c r="F891" s="8" t="s">
        <v>479</v>
      </c>
    </row>
    <row r="892" spans="1:6" x14ac:dyDescent="0.2">
      <c r="A892" s="7">
        <v>19909</v>
      </c>
      <c r="B892" s="8">
        <f t="shared" si="13"/>
        <v>99</v>
      </c>
      <c r="C892" s="8">
        <v>9</v>
      </c>
      <c r="D892" s="8" t="s">
        <v>1305</v>
      </c>
      <c r="E892" s="7">
        <v>50</v>
      </c>
      <c r="F892" s="8" t="s">
        <v>481</v>
      </c>
    </row>
    <row r="893" spans="1:6" x14ac:dyDescent="0.2">
      <c r="A893" s="7">
        <v>20001</v>
      </c>
      <c r="B893" s="8">
        <f t="shared" si="13"/>
        <v>100</v>
      </c>
      <c r="C893" s="8">
        <v>3</v>
      </c>
      <c r="D893" s="8" t="s">
        <v>1306</v>
      </c>
      <c r="E893" s="9">
        <v>75</v>
      </c>
      <c r="F893" s="8" t="s">
        <v>466</v>
      </c>
    </row>
    <row r="894" spans="1:6" x14ac:dyDescent="0.2">
      <c r="A894" s="7">
        <v>20002</v>
      </c>
      <c r="B894" s="8">
        <f t="shared" si="13"/>
        <v>100</v>
      </c>
      <c r="C894" s="8">
        <v>2</v>
      </c>
      <c r="D894" s="8" t="s">
        <v>1307</v>
      </c>
      <c r="E894" s="9">
        <v>75</v>
      </c>
      <c r="F894" s="8" t="s">
        <v>455</v>
      </c>
    </row>
    <row r="895" spans="1:6" x14ac:dyDescent="0.2">
      <c r="A895" s="7">
        <v>20003</v>
      </c>
      <c r="B895" s="8">
        <f t="shared" si="13"/>
        <v>100</v>
      </c>
      <c r="C895" s="8">
        <v>1001</v>
      </c>
      <c r="D895" s="11" t="s">
        <v>1308</v>
      </c>
      <c r="E895" s="7">
        <v>50</v>
      </c>
      <c r="F895" s="8" t="s">
        <v>469</v>
      </c>
    </row>
    <row r="896" spans="1:6" x14ac:dyDescent="0.2">
      <c r="A896" s="7">
        <v>20004</v>
      </c>
      <c r="B896" s="8">
        <f t="shared" si="13"/>
        <v>100</v>
      </c>
      <c r="C896" s="8">
        <v>11</v>
      </c>
      <c r="D896" s="8" t="s">
        <v>1309</v>
      </c>
      <c r="E896" s="7">
        <v>50</v>
      </c>
      <c r="F896" s="8" t="s">
        <v>471</v>
      </c>
    </row>
    <row r="897" spans="1:6" x14ac:dyDescent="0.2">
      <c r="A897" s="7">
        <v>20005</v>
      </c>
      <c r="B897" s="8">
        <f t="shared" si="13"/>
        <v>100</v>
      </c>
      <c r="C897" s="8">
        <v>10</v>
      </c>
      <c r="D897" s="8" t="s">
        <v>1310</v>
      </c>
      <c r="E897" s="7">
        <v>50</v>
      </c>
      <c r="F897" s="8" t="s">
        <v>473</v>
      </c>
    </row>
    <row r="898" spans="1:6" x14ac:dyDescent="0.2">
      <c r="A898" s="7">
        <v>20006</v>
      </c>
      <c r="B898" s="8">
        <f t="shared" si="13"/>
        <v>100</v>
      </c>
      <c r="C898" s="8">
        <v>7</v>
      </c>
      <c r="D898" s="8" t="s">
        <v>1311</v>
      </c>
      <c r="E898" s="7">
        <v>50</v>
      </c>
      <c r="F898" s="8" t="s">
        <v>475</v>
      </c>
    </row>
    <row r="899" spans="1:6" x14ac:dyDescent="0.2">
      <c r="A899" s="7">
        <v>20007</v>
      </c>
      <c r="B899" s="8">
        <f t="shared" si="13"/>
        <v>100</v>
      </c>
      <c r="C899" s="8">
        <v>8</v>
      </c>
      <c r="D899" s="8" t="s">
        <v>1312</v>
      </c>
      <c r="E899" s="7">
        <v>50</v>
      </c>
      <c r="F899" s="8" t="s">
        <v>477</v>
      </c>
    </row>
    <row r="900" spans="1:6" x14ac:dyDescent="0.2">
      <c r="A900" s="7">
        <v>20008</v>
      </c>
      <c r="B900" s="8">
        <f t="shared" si="13"/>
        <v>100</v>
      </c>
      <c r="C900" s="8">
        <v>5</v>
      </c>
      <c r="D900" s="8" t="s">
        <v>1313</v>
      </c>
      <c r="E900" s="7">
        <v>50</v>
      </c>
      <c r="F900" s="8" t="s">
        <v>479</v>
      </c>
    </row>
    <row r="901" spans="1:6" x14ac:dyDescent="0.2">
      <c r="A901" s="7">
        <v>20009</v>
      </c>
      <c r="B901" s="8">
        <f t="shared" si="13"/>
        <v>100</v>
      </c>
      <c r="C901" s="8">
        <v>9</v>
      </c>
      <c r="D901" s="8" t="s">
        <v>1314</v>
      </c>
      <c r="E901" s="7">
        <v>50</v>
      </c>
      <c r="F901" s="8" t="s">
        <v>481</v>
      </c>
    </row>
  </sheetData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23" sqref="F23"/>
    </sheetView>
  </sheetViews>
  <sheetFormatPr defaultColWidth="9" defaultRowHeight="14.25" x14ac:dyDescent="0.2"/>
  <cols>
    <col min="4" max="4" width="27.5" customWidth="1"/>
  </cols>
  <sheetData>
    <row r="1" spans="1:7" x14ac:dyDescent="0.2">
      <c r="A1" t="s">
        <v>383</v>
      </c>
      <c r="B1" t="s">
        <v>1315</v>
      </c>
      <c r="C1" t="s">
        <v>1316</v>
      </c>
      <c r="D1" t="s">
        <v>1317</v>
      </c>
    </row>
    <row r="2" spans="1:7" x14ac:dyDescent="0.2">
      <c r="A2">
        <v>1</v>
      </c>
      <c r="B2">
        <v>1</v>
      </c>
      <c r="C2">
        <v>30</v>
      </c>
      <c r="D2" s="1" t="s">
        <v>1318</v>
      </c>
      <c r="E2">
        <f>0.7+0.2*2+0.08*3+0.02*5</f>
        <v>1.4400000000000002</v>
      </c>
      <c r="F2">
        <f>30/E2</f>
        <v>20.833333333333332</v>
      </c>
      <c r="G2">
        <f>800*F2</f>
        <v>16666.666666666664</v>
      </c>
    </row>
    <row r="3" spans="1:7" x14ac:dyDescent="0.2">
      <c r="A3">
        <v>2</v>
      </c>
      <c r="B3">
        <v>31</v>
      </c>
      <c r="C3">
        <v>60</v>
      </c>
      <c r="D3" s="1" t="s">
        <v>1319</v>
      </c>
      <c r="E3">
        <f>0.75+0.18*2+0.05*3+0.02*5</f>
        <v>1.3599999999999999</v>
      </c>
      <c r="F3">
        <f t="shared" ref="F3" si="0">30/E3</f>
        <v>22.058823529411768</v>
      </c>
      <c r="G3">
        <f>2000*F3</f>
        <v>44117.647058823539</v>
      </c>
    </row>
    <row r="4" spans="1:7" x14ac:dyDescent="0.2">
      <c r="A4">
        <v>3</v>
      </c>
      <c r="B4">
        <v>61</v>
      </c>
      <c r="C4">
        <v>100</v>
      </c>
      <c r="D4" s="1" t="s">
        <v>1320</v>
      </c>
      <c r="E4">
        <f>0.8+0.15*2+0.03*3+0.02*5</f>
        <v>1.2900000000000003</v>
      </c>
      <c r="F4">
        <f>40/E4</f>
        <v>31.007751937984491</v>
      </c>
      <c r="G4">
        <f>4000*F4</f>
        <v>124031.00775193797</v>
      </c>
    </row>
    <row r="5" spans="1:7" x14ac:dyDescent="0.2">
      <c r="A5">
        <v>4</v>
      </c>
      <c r="B5">
        <v>100</v>
      </c>
      <c r="C5">
        <v>100</v>
      </c>
      <c r="D5" s="2" t="s">
        <v>1321</v>
      </c>
    </row>
  </sheetData>
  <phoneticPr fontId="7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N2" sqref="N2:N25"/>
    </sheetView>
  </sheetViews>
  <sheetFormatPr defaultRowHeight="14.25" x14ac:dyDescent="0.2"/>
  <cols>
    <col min="1" max="1" width="22" customWidth="1"/>
    <col min="10" max="10" width="18.125" customWidth="1"/>
  </cols>
  <sheetData>
    <row r="1" spans="1:14" x14ac:dyDescent="0.2">
      <c r="A1" s="12" t="s">
        <v>345</v>
      </c>
      <c r="J1" s="12" t="s">
        <v>346</v>
      </c>
    </row>
    <row r="2" spans="1:14" x14ac:dyDescent="0.2">
      <c r="A2" s="12">
        <v>3</v>
      </c>
      <c r="B2">
        <v>15225</v>
      </c>
      <c r="C2">
        <v>10000</v>
      </c>
      <c r="D2">
        <v>254</v>
      </c>
      <c r="E2" t="str">
        <f>CONCATENATE(A2,":",B2,"#",C2,":",D2)</f>
        <v>3:15225#10000:254</v>
      </c>
      <c r="J2" s="12">
        <v>3</v>
      </c>
      <c r="K2">
        <v>3806</v>
      </c>
      <c r="L2">
        <v>10000</v>
      </c>
      <c r="M2">
        <v>63</v>
      </c>
      <c r="N2" t="str">
        <f>CONCATENATE(J2,":",K2,"#",L2,":",M2)</f>
        <v>3:3806#10000:63</v>
      </c>
    </row>
    <row r="3" spans="1:14" x14ac:dyDescent="0.2">
      <c r="A3" s="12">
        <v>3</v>
      </c>
      <c r="B3">
        <v>21315</v>
      </c>
      <c r="C3">
        <v>10000</v>
      </c>
      <c r="D3">
        <v>644</v>
      </c>
      <c r="E3" t="str">
        <f t="shared" ref="E3:E25" si="0">CONCATENATE(A3,":",B3,"#",C3,":",D3)</f>
        <v>3:21315#10000:644</v>
      </c>
      <c r="J3" s="12">
        <v>3</v>
      </c>
      <c r="K3">
        <v>5329</v>
      </c>
      <c r="L3">
        <v>10000</v>
      </c>
      <c r="M3">
        <v>161</v>
      </c>
      <c r="N3" t="str">
        <f t="shared" ref="N3:N25" si="1">CONCATENATE(J3,":",K3,"#",L3,":",M3)</f>
        <v>3:5329#10000:161</v>
      </c>
    </row>
    <row r="4" spans="1:14" x14ac:dyDescent="0.2">
      <c r="A4" s="12">
        <v>3</v>
      </c>
      <c r="B4">
        <v>29841</v>
      </c>
      <c r="C4">
        <v>10000</v>
      </c>
      <c r="D4">
        <v>1166</v>
      </c>
      <c r="E4" t="str">
        <f t="shared" si="0"/>
        <v>3:29841#10000:1166</v>
      </c>
      <c r="J4" s="12">
        <v>3</v>
      </c>
      <c r="K4">
        <v>7460</v>
      </c>
      <c r="L4">
        <v>10000</v>
      </c>
      <c r="M4">
        <v>291</v>
      </c>
      <c r="N4" t="str">
        <f t="shared" si="1"/>
        <v>3:7460#10000:291</v>
      </c>
    </row>
    <row r="5" spans="1:14" x14ac:dyDescent="0.2">
      <c r="A5" s="12">
        <v>3</v>
      </c>
      <c r="B5">
        <v>41777</v>
      </c>
      <c r="C5">
        <v>10000</v>
      </c>
      <c r="D5">
        <v>1632</v>
      </c>
      <c r="E5" t="str">
        <f t="shared" si="0"/>
        <v>3:41777#10000:1632</v>
      </c>
      <c r="J5" s="12">
        <v>3</v>
      </c>
      <c r="K5">
        <v>10444</v>
      </c>
      <c r="L5">
        <v>10000</v>
      </c>
      <c r="M5">
        <v>407</v>
      </c>
      <c r="N5" t="str">
        <f t="shared" si="1"/>
        <v>3:10444#10000:407</v>
      </c>
    </row>
    <row r="6" spans="1:14" x14ac:dyDescent="0.2">
      <c r="A6" s="12">
        <v>3</v>
      </c>
      <c r="B6">
        <f>ROUND(B5*1.4,0)</f>
        <v>58488</v>
      </c>
      <c r="C6">
        <v>10000</v>
      </c>
      <c r="D6">
        <f t="shared" ref="D6:D7" si="2">ROUND(D5*1.4,0)</f>
        <v>2285</v>
      </c>
      <c r="E6" t="str">
        <f t="shared" si="0"/>
        <v>3:58488#10000:2285</v>
      </c>
      <c r="J6" s="12">
        <v>3</v>
      </c>
      <c r="K6">
        <f t="shared" ref="K6:K7" si="3">ROUND(K5*1.4,0)</f>
        <v>14622</v>
      </c>
      <c r="L6">
        <v>10000</v>
      </c>
      <c r="M6">
        <f t="shared" ref="M6:M7" si="4">ROUND(M5*1.4,0)</f>
        <v>570</v>
      </c>
      <c r="N6" t="str">
        <f t="shared" si="1"/>
        <v>3:14622#10000:570</v>
      </c>
    </row>
    <row r="7" spans="1:14" x14ac:dyDescent="0.2">
      <c r="A7" s="12">
        <v>3</v>
      </c>
      <c r="B7">
        <f>ROUND(B6*1.4,0)</f>
        <v>81883</v>
      </c>
      <c r="C7">
        <v>10000</v>
      </c>
      <c r="D7">
        <f t="shared" si="2"/>
        <v>3199</v>
      </c>
      <c r="E7" t="str">
        <f t="shared" si="0"/>
        <v>3:81883#10000:3199</v>
      </c>
      <c r="J7" s="12">
        <v>3</v>
      </c>
      <c r="K7">
        <f t="shared" si="3"/>
        <v>20471</v>
      </c>
      <c r="L7">
        <v>10000</v>
      </c>
      <c r="M7">
        <f t="shared" si="4"/>
        <v>798</v>
      </c>
      <c r="N7" t="str">
        <f t="shared" si="1"/>
        <v>3:20471#10000:798</v>
      </c>
    </row>
    <row r="8" spans="1:14" x14ac:dyDescent="0.2">
      <c r="A8" s="12">
        <v>1</v>
      </c>
      <c r="B8">
        <v>114223</v>
      </c>
      <c r="C8">
        <v>10003</v>
      </c>
      <c r="D8">
        <v>20</v>
      </c>
      <c r="E8" t="str">
        <f t="shared" si="0"/>
        <v>1:114223#10003:20</v>
      </c>
      <c r="J8" s="12">
        <v>1</v>
      </c>
      <c r="K8">
        <v>28556</v>
      </c>
      <c r="L8">
        <v>10003</v>
      </c>
      <c r="M8">
        <v>5</v>
      </c>
      <c r="N8" t="str">
        <f t="shared" si="1"/>
        <v>1:28556#10003:5</v>
      </c>
    </row>
    <row r="9" spans="1:14" x14ac:dyDescent="0.2">
      <c r="A9" s="12">
        <v>1</v>
      </c>
      <c r="B9">
        <v>159912</v>
      </c>
      <c r="C9">
        <v>10003</v>
      </c>
      <c r="D9">
        <v>51</v>
      </c>
      <c r="E9" t="str">
        <f t="shared" si="0"/>
        <v>1:159912#10003:51</v>
      </c>
      <c r="J9" s="12">
        <v>1</v>
      </c>
      <c r="K9">
        <v>39978</v>
      </c>
      <c r="L9">
        <v>10003</v>
      </c>
      <c r="M9">
        <v>12</v>
      </c>
      <c r="N9" t="str">
        <f t="shared" si="1"/>
        <v>1:39978#10003:12</v>
      </c>
    </row>
    <row r="10" spans="1:14" x14ac:dyDescent="0.2">
      <c r="A10" s="12">
        <v>1</v>
      </c>
      <c r="B10">
        <v>223877</v>
      </c>
      <c r="C10">
        <v>10003</v>
      </c>
      <c r="D10">
        <v>92</v>
      </c>
      <c r="E10" t="str">
        <f t="shared" si="0"/>
        <v>1:223877#10003:92</v>
      </c>
      <c r="J10" s="12">
        <v>1</v>
      </c>
      <c r="K10">
        <v>55969</v>
      </c>
      <c r="L10">
        <v>10003</v>
      </c>
      <c r="M10">
        <v>23</v>
      </c>
      <c r="N10" t="str">
        <f t="shared" si="1"/>
        <v>1:55969#10003:23</v>
      </c>
    </row>
    <row r="11" spans="1:14" x14ac:dyDescent="0.2">
      <c r="A11" s="12">
        <v>1</v>
      </c>
      <c r="B11">
        <v>313428</v>
      </c>
      <c r="C11">
        <v>10003</v>
      </c>
      <c r="D11">
        <v>129</v>
      </c>
      <c r="E11" t="str">
        <f t="shared" si="0"/>
        <v>1:313428#10003:129</v>
      </c>
      <c r="J11" s="12">
        <v>1</v>
      </c>
      <c r="K11">
        <v>78357</v>
      </c>
      <c r="L11">
        <v>10003</v>
      </c>
      <c r="M11">
        <v>32</v>
      </c>
      <c r="N11" t="str">
        <f t="shared" si="1"/>
        <v>1:78357#10003:32</v>
      </c>
    </row>
    <row r="12" spans="1:14" x14ac:dyDescent="0.2">
      <c r="A12" s="12">
        <v>1</v>
      </c>
      <c r="B12">
        <f t="shared" ref="B12:B13" si="5">ROUND(B11*1.4,0)</f>
        <v>438799</v>
      </c>
      <c r="C12">
        <v>10003</v>
      </c>
      <c r="D12">
        <f t="shared" ref="D12:D13" si="6">ROUND(D11*1.4,0)</f>
        <v>181</v>
      </c>
      <c r="E12" t="str">
        <f t="shared" si="0"/>
        <v>1:438799#10003:181</v>
      </c>
      <c r="J12" s="12">
        <v>1</v>
      </c>
      <c r="K12">
        <f t="shared" ref="K12:K13" si="7">ROUND(K11*1.4,0)</f>
        <v>109700</v>
      </c>
      <c r="L12">
        <v>10003</v>
      </c>
      <c r="M12">
        <f t="shared" ref="M12:M13" si="8">ROUND(M11*1.4,0)</f>
        <v>45</v>
      </c>
      <c r="N12" t="str">
        <f t="shared" si="1"/>
        <v>1:109700#10003:45</v>
      </c>
    </row>
    <row r="13" spans="1:14" x14ac:dyDescent="0.2">
      <c r="A13" s="12">
        <v>1</v>
      </c>
      <c r="B13">
        <f t="shared" si="5"/>
        <v>614319</v>
      </c>
      <c r="C13">
        <v>10003</v>
      </c>
      <c r="D13">
        <f t="shared" si="6"/>
        <v>253</v>
      </c>
      <c r="E13" t="str">
        <f t="shared" si="0"/>
        <v>1:614319#10003:253</v>
      </c>
      <c r="J13" s="12">
        <v>1</v>
      </c>
      <c r="K13">
        <f t="shared" si="7"/>
        <v>153580</v>
      </c>
      <c r="L13">
        <v>10003</v>
      </c>
      <c r="M13">
        <f t="shared" si="8"/>
        <v>63</v>
      </c>
      <c r="N13" t="str">
        <f t="shared" si="1"/>
        <v>1:153580#10003:63</v>
      </c>
    </row>
    <row r="14" spans="1:14" x14ac:dyDescent="0.2">
      <c r="A14" s="12">
        <v>1</v>
      </c>
      <c r="B14">
        <v>76146</v>
      </c>
      <c r="C14">
        <v>10005</v>
      </c>
      <c r="D14">
        <v>20</v>
      </c>
      <c r="E14" t="str">
        <f t="shared" si="0"/>
        <v>1:76146#10005:20</v>
      </c>
      <c r="J14" s="12">
        <v>1</v>
      </c>
      <c r="K14">
        <v>19037</v>
      </c>
      <c r="L14">
        <v>10005</v>
      </c>
      <c r="M14">
        <v>5</v>
      </c>
      <c r="N14" t="str">
        <f t="shared" si="1"/>
        <v>1:19037#10005:5</v>
      </c>
    </row>
    <row r="15" spans="1:14" x14ac:dyDescent="0.2">
      <c r="A15" s="12">
        <v>1</v>
      </c>
      <c r="B15">
        <v>106604</v>
      </c>
      <c r="C15">
        <v>10005</v>
      </c>
      <c r="D15">
        <v>51</v>
      </c>
      <c r="E15" t="str">
        <f t="shared" si="0"/>
        <v>1:106604#10005:51</v>
      </c>
      <c r="J15" s="12">
        <v>1</v>
      </c>
      <c r="K15">
        <v>26651</v>
      </c>
      <c r="L15">
        <v>10005</v>
      </c>
      <c r="M15">
        <v>12</v>
      </c>
      <c r="N15" t="str">
        <f t="shared" si="1"/>
        <v>1:26651#10005:12</v>
      </c>
    </row>
    <row r="16" spans="1:14" x14ac:dyDescent="0.2">
      <c r="A16" s="12">
        <v>1</v>
      </c>
      <c r="B16">
        <v>149246</v>
      </c>
      <c r="C16">
        <v>10005</v>
      </c>
      <c r="D16">
        <v>92</v>
      </c>
      <c r="E16" t="str">
        <f t="shared" si="0"/>
        <v>1:149246#10005:92</v>
      </c>
      <c r="J16" s="12">
        <v>1</v>
      </c>
      <c r="K16">
        <v>37312</v>
      </c>
      <c r="L16">
        <v>10005</v>
      </c>
      <c r="M16">
        <v>23</v>
      </c>
      <c r="N16" t="str">
        <f t="shared" si="1"/>
        <v>1:37312#10005:23</v>
      </c>
    </row>
    <row r="17" spans="1:14" x14ac:dyDescent="0.2">
      <c r="A17" s="12">
        <v>1</v>
      </c>
      <c r="B17">
        <v>208944</v>
      </c>
      <c r="C17">
        <v>10005</v>
      </c>
      <c r="D17">
        <v>129</v>
      </c>
      <c r="E17" t="str">
        <f t="shared" si="0"/>
        <v>1:208944#10005:129</v>
      </c>
      <c r="J17" s="12">
        <v>1</v>
      </c>
      <c r="K17">
        <v>52237</v>
      </c>
      <c r="L17">
        <v>10005</v>
      </c>
      <c r="M17">
        <v>32</v>
      </c>
      <c r="N17" t="str">
        <f t="shared" si="1"/>
        <v>1:52237#10005:32</v>
      </c>
    </row>
    <row r="18" spans="1:14" x14ac:dyDescent="0.2">
      <c r="A18" s="12">
        <v>1</v>
      </c>
      <c r="B18">
        <f t="shared" ref="B18:B19" si="9">ROUND(B17*1.4,0)</f>
        <v>292522</v>
      </c>
      <c r="C18">
        <v>10005</v>
      </c>
      <c r="D18">
        <f t="shared" ref="D18:D19" si="10">ROUND(D17*1.4,0)</f>
        <v>181</v>
      </c>
      <c r="E18" t="str">
        <f t="shared" si="0"/>
        <v>1:292522#10005:181</v>
      </c>
      <c r="J18" s="12">
        <v>1</v>
      </c>
      <c r="K18">
        <f t="shared" ref="K18:K19" si="11">ROUND(K17*1.4,0)</f>
        <v>73132</v>
      </c>
      <c r="L18">
        <v>10005</v>
      </c>
      <c r="M18">
        <f t="shared" ref="M18:M19" si="12">ROUND(M17*1.4,0)</f>
        <v>45</v>
      </c>
      <c r="N18" t="str">
        <f t="shared" si="1"/>
        <v>1:73132#10005:45</v>
      </c>
    </row>
    <row r="19" spans="1:14" x14ac:dyDescent="0.2">
      <c r="A19" s="12">
        <v>1</v>
      </c>
      <c r="B19">
        <f t="shared" si="9"/>
        <v>409531</v>
      </c>
      <c r="C19">
        <v>10005</v>
      </c>
      <c r="D19">
        <f t="shared" si="10"/>
        <v>253</v>
      </c>
      <c r="E19" t="str">
        <f t="shared" si="0"/>
        <v>1:409531#10005:253</v>
      </c>
      <c r="J19" s="12">
        <v>1</v>
      </c>
      <c r="K19">
        <f t="shared" si="11"/>
        <v>102385</v>
      </c>
      <c r="L19">
        <v>10005</v>
      </c>
      <c r="M19">
        <f t="shared" si="12"/>
        <v>63</v>
      </c>
      <c r="N19" t="str">
        <f t="shared" si="1"/>
        <v>1:102385#10005:63</v>
      </c>
    </row>
    <row r="20" spans="1:14" x14ac:dyDescent="0.2">
      <c r="A20" s="12">
        <v>3</v>
      </c>
      <c r="B20">
        <v>10147</v>
      </c>
      <c r="C20">
        <v>2</v>
      </c>
      <c r="D20">
        <v>56</v>
      </c>
      <c r="E20" t="str">
        <f t="shared" si="0"/>
        <v>3:10147#2:56</v>
      </c>
      <c r="J20" s="12">
        <v>3</v>
      </c>
      <c r="K20">
        <v>2537</v>
      </c>
      <c r="L20">
        <v>2</v>
      </c>
      <c r="M20">
        <v>14</v>
      </c>
      <c r="N20" t="str">
        <f t="shared" si="1"/>
        <v>3:2537#2:14</v>
      </c>
    </row>
    <row r="21" spans="1:14" x14ac:dyDescent="0.2">
      <c r="A21" s="12">
        <v>3</v>
      </c>
      <c r="B21">
        <v>14206</v>
      </c>
      <c r="C21">
        <v>2</v>
      </c>
      <c r="D21">
        <v>140</v>
      </c>
      <c r="E21" t="str">
        <f t="shared" si="0"/>
        <v>3:14206#2:140</v>
      </c>
      <c r="J21" s="12">
        <v>3</v>
      </c>
      <c r="K21">
        <v>3552</v>
      </c>
      <c r="L21">
        <v>2</v>
      </c>
      <c r="M21">
        <v>35</v>
      </c>
      <c r="N21" t="str">
        <f t="shared" si="1"/>
        <v>3:3552#2:35</v>
      </c>
    </row>
    <row r="22" spans="1:14" x14ac:dyDescent="0.2">
      <c r="A22" s="12">
        <v>3</v>
      </c>
      <c r="B22">
        <v>19888</v>
      </c>
      <c r="C22">
        <v>2</v>
      </c>
      <c r="D22">
        <v>252</v>
      </c>
      <c r="E22" t="str">
        <f t="shared" si="0"/>
        <v>3:19888#2:252</v>
      </c>
      <c r="J22" s="12">
        <v>3</v>
      </c>
      <c r="K22">
        <v>4972</v>
      </c>
      <c r="L22">
        <v>2</v>
      </c>
      <c r="M22">
        <v>63</v>
      </c>
      <c r="N22" t="str">
        <f t="shared" si="1"/>
        <v>3:4972#2:63</v>
      </c>
    </row>
    <row r="23" spans="1:14" x14ac:dyDescent="0.2">
      <c r="A23" s="12">
        <v>3</v>
      </c>
      <c r="B23">
        <v>27843</v>
      </c>
      <c r="C23">
        <v>2</v>
      </c>
      <c r="D23">
        <v>353</v>
      </c>
      <c r="E23" t="str">
        <f t="shared" si="0"/>
        <v>3:27843#2:353</v>
      </c>
      <c r="J23" s="12">
        <v>3</v>
      </c>
      <c r="K23">
        <v>6961</v>
      </c>
      <c r="L23">
        <v>2</v>
      </c>
      <c r="M23">
        <v>88</v>
      </c>
      <c r="N23" t="str">
        <f t="shared" si="1"/>
        <v>3:6961#2:88</v>
      </c>
    </row>
    <row r="24" spans="1:14" x14ac:dyDescent="0.2">
      <c r="A24" s="12">
        <v>3</v>
      </c>
      <c r="B24">
        <f t="shared" ref="B24:B25" si="13">ROUND(B23*1.4,0)</f>
        <v>38980</v>
      </c>
      <c r="C24">
        <v>2</v>
      </c>
      <c r="D24">
        <f t="shared" ref="D24:D25" si="14">ROUND(D23*1.4,0)</f>
        <v>494</v>
      </c>
      <c r="E24" t="str">
        <f t="shared" si="0"/>
        <v>3:38980#2:494</v>
      </c>
      <c r="J24" s="12">
        <v>3</v>
      </c>
      <c r="K24">
        <f t="shared" ref="K24:K25" si="15">ROUND(K23*1.4,0)</f>
        <v>9745</v>
      </c>
      <c r="L24">
        <v>2</v>
      </c>
      <c r="M24">
        <f t="shared" ref="M24:M25" si="16">ROUND(M23*1.4,0)</f>
        <v>123</v>
      </c>
      <c r="N24" t="str">
        <f t="shared" si="1"/>
        <v>3:9745#2:123</v>
      </c>
    </row>
    <row r="25" spans="1:14" x14ac:dyDescent="0.2">
      <c r="A25" s="12">
        <v>3</v>
      </c>
      <c r="B25">
        <f t="shared" si="13"/>
        <v>54572</v>
      </c>
      <c r="C25">
        <v>2</v>
      </c>
      <c r="D25">
        <f t="shared" si="14"/>
        <v>692</v>
      </c>
      <c r="E25" t="str">
        <f t="shared" si="0"/>
        <v>3:54572#2:692</v>
      </c>
      <c r="J25" s="12">
        <v>3</v>
      </c>
      <c r="K25">
        <f t="shared" si="15"/>
        <v>13643</v>
      </c>
      <c r="L25">
        <v>2</v>
      </c>
      <c r="M25">
        <f t="shared" si="16"/>
        <v>172</v>
      </c>
      <c r="N25" t="str">
        <f t="shared" si="1"/>
        <v>3:13643#2:172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装备表</vt:lpstr>
      <vt:lpstr>装备进阶</vt:lpstr>
      <vt:lpstr>装备套装</vt:lpstr>
      <vt:lpstr>精炼合成印记概率</vt:lpstr>
      <vt:lpstr>附魔套装</vt:lpstr>
      <vt:lpstr>附魔卷轴</vt:lpstr>
      <vt:lpstr>附魔大类名称</vt:lpstr>
      <vt:lpstr>附魔属性分组概率</vt:lpstr>
      <vt:lpstr>附魔属性</vt:lpstr>
      <vt:lpstr>新版附魔属性变更概率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zfw</cp:lastModifiedBy>
  <dcterms:created xsi:type="dcterms:W3CDTF">2019-07-11T02:56:00Z</dcterms:created>
  <dcterms:modified xsi:type="dcterms:W3CDTF">2022-03-16T07:09:30Z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F3EB5F8E3B944449AFF823A85E46287E</vt:lpwstr>
  </property>
</Properties>
</file>