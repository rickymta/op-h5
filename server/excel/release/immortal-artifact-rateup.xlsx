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6955" windowHeight="12690"/>
  </bookViews>
  <sheets>
    <sheet name="仙器UP基础" sheetId="1" r:id="rId1"/>
    <sheet name="仙器UP召唤方式" sheetId="2" r:id="rId2"/>
    <sheet name="仙器UP召唤次数奖励" sheetId="3" r:id="rId3"/>
    <sheet name="仙器UP召唤分组" sheetId="4" r:id="rId4"/>
  </sheets>
  <externalReferences>
    <externalReference r:id="rId5"/>
  </externalReferences>
  <definedNames>
    <definedName name="_xlnm._FilterDatabase" localSheetId="3" hidden="1">仙器UP召唤分组!$A$1:$W$809</definedName>
  </definedNames>
  <calcPr calcId="144525"/>
</workbook>
</file>

<file path=xl/calcChain.xml><?xml version="1.0" encoding="utf-8"?>
<calcChain xmlns="http://schemas.openxmlformats.org/spreadsheetml/2006/main">
  <c r="E545" i="4" l="1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M408" i="4"/>
  <c r="E408" i="4"/>
  <c r="M407" i="4"/>
  <c r="E407" i="4"/>
  <c r="M406" i="4"/>
  <c r="E406" i="4"/>
  <c r="M405" i="4"/>
  <c r="E405" i="4"/>
  <c r="M404" i="4"/>
  <c r="E404" i="4"/>
  <c r="E403" i="4"/>
  <c r="N402" i="4"/>
  <c r="M402" i="4"/>
  <c r="E402" i="4"/>
  <c r="M401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D206" i="4"/>
  <c r="E205" i="4"/>
  <c r="E204" i="4"/>
  <c r="D204" i="4"/>
  <c r="E203" i="4"/>
  <c r="E202" i="4"/>
  <c r="D202" i="4"/>
  <c r="E201" i="4"/>
  <c r="E200" i="4"/>
  <c r="D200" i="4"/>
  <c r="E199" i="4"/>
  <c r="E198" i="4"/>
  <c r="D198" i="4"/>
  <c r="E197" i="4"/>
  <c r="E196" i="4"/>
  <c r="D196" i="4"/>
  <c r="E195" i="4"/>
  <c r="E194" i="4"/>
  <c r="D194" i="4"/>
  <c r="E193" i="4"/>
  <c r="E192" i="4"/>
  <c r="D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D65" i="4"/>
  <c r="E64" i="4"/>
  <c r="E63" i="4"/>
  <c r="E62" i="4"/>
  <c r="E61" i="4"/>
  <c r="D61" i="4"/>
  <c r="E60" i="4"/>
  <c r="E59" i="4"/>
  <c r="E58" i="4"/>
  <c r="E57" i="4"/>
  <c r="D57" i="4"/>
  <c r="E56" i="4"/>
  <c r="E55" i="4"/>
  <c r="E54" i="4"/>
  <c r="E53" i="4"/>
  <c r="D53" i="4"/>
  <c r="E52" i="4"/>
  <c r="E51" i="4"/>
  <c r="E50" i="4"/>
  <c r="E49" i="4"/>
  <c r="D49" i="4"/>
  <c r="E48" i="4"/>
  <c r="E47" i="4"/>
  <c r="E46" i="4"/>
  <c r="E45" i="4"/>
  <c r="D45" i="4"/>
  <c r="E44" i="4"/>
  <c r="E43" i="4"/>
  <c r="E42" i="4"/>
  <c r="E41" i="4"/>
  <c r="D41" i="4"/>
  <c r="E40" i="4"/>
  <c r="E39" i="4"/>
  <c r="E38" i="4"/>
  <c r="E37" i="4"/>
  <c r="D37" i="4"/>
  <c r="E36" i="4"/>
  <c r="E35" i="4"/>
  <c r="E34" i="4"/>
  <c r="E33" i="4"/>
  <c r="E32" i="4"/>
  <c r="E31" i="4"/>
  <c r="E30" i="4"/>
  <c r="E29" i="4"/>
  <c r="Q28" i="4"/>
  <c r="E28" i="4"/>
  <c r="Q27" i="4"/>
  <c r="E27" i="4"/>
  <c r="Q26" i="4"/>
  <c r="E26" i="4"/>
  <c r="Q25" i="4"/>
  <c r="E25" i="4"/>
  <c r="Q24" i="4"/>
  <c r="E24" i="4"/>
  <c r="Q23" i="4"/>
  <c r="E23" i="4"/>
  <c r="Q22" i="4"/>
  <c r="E22" i="4"/>
  <c r="Q21" i="4"/>
  <c r="E21" i="4"/>
  <c r="Q20" i="4"/>
  <c r="E20" i="4"/>
  <c r="Q19" i="4"/>
  <c r="E19" i="4"/>
  <c r="Q18" i="4"/>
  <c r="E18" i="4"/>
  <c r="Q17" i="4"/>
  <c r="E17" i="4"/>
  <c r="Q16" i="4"/>
  <c r="E16" i="4"/>
  <c r="Q15" i="4"/>
  <c r="E15" i="4"/>
  <c r="Q14" i="4"/>
  <c r="E14" i="4"/>
  <c r="Q13" i="4"/>
  <c r="E13" i="4"/>
  <c r="Q12" i="4"/>
  <c r="M12" i="4"/>
  <c r="N12" i="4" s="1"/>
  <c r="E12" i="4"/>
  <c r="Q11" i="4"/>
  <c r="E11" i="4"/>
  <c r="Q10" i="4"/>
  <c r="E10" i="4"/>
  <c r="Q9" i="4"/>
  <c r="E9" i="4"/>
  <c r="Q8" i="4"/>
  <c r="E8" i="4"/>
  <c r="Q7" i="4"/>
  <c r="E7" i="4"/>
  <c r="Q6" i="4"/>
  <c r="E6" i="4"/>
  <c r="Q5" i="4"/>
  <c r="N5" i="4"/>
  <c r="M5" i="4"/>
  <c r="L5" i="4"/>
  <c r="E5" i="4"/>
  <c r="Q4" i="4"/>
  <c r="L4" i="4"/>
  <c r="E4" i="4"/>
  <c r="Q3" i="4"/>
  <c r="E3" i="4"/>
  <c r="Q2" i="4"/>
  <c r="E2" i="4"/>
</calcChain>
</file>

<file path=xl/sharedStrings.xml><?xml version="1.0" encoding="utf-8"?>
<sst xmlns="http://schemas.openxmlformats.org/spreadsheetml/2006/main" count="3539" uniqueCount="856">
  <si>
    <t>活动ID</t>
  </si>
  <si>
    <t>活动名称</t>
  </si>
  <si>
    <t>开启天数</t>
  </si>
  <si>
    <t>开启时间</t>
  </si>
  <si>
    <t>结束天数</t>
  </si>
  <si>
    <t>结束时间</t>
  </si>
  <si>
    <t>本期推荐仙器</t>
  </si>
  <si>
    <t>元宝召唤次数</t>
  </si>
  <si>
    <t>仙器出现间隔次数</t>
  </si>
  <si>
    <t>正常星组</t>
  </si>
  <si>
    <t>召唤道具</t>
  </si>
  <si>
    <t>召唤次数奖励分组</t>
  </si>
  <si>
    <t>不幸次数上限</t>
  </si>
  <si>
    <t>幸运召唤组</t>
  </si>
  <si>
    <t>十连出稀有个数</t>
  </si>
  <si>
    <t>防脸白召唤组</t>
  </si>
  <si>
    <t>活动图标</t>
  </si>
  <si>
    <t>商店ID</t>
  </si>
  <si>
    <t>召唤必出次数</t>
  </si>
  <si>
    <t>每期必出次数</t>
  </si>
  <si>
    <t>*备注</t>
  </si>
  <si>
    <t>00:00:00</t>
  </si>
  <si>
    <t>23:59:59</t>
  </si>
  <si>
    <t>7:13000101:1:160#7:19000101:1:160#7:3000101:1:160</t>
  </si>
  <si>
    <t>100</t>
  </si>
  <si>
    <t>哪吒</t>
  </si>
  <si>
    <t>斗战胜佛</t>
  </si>
  <si>
    <t>红孩儿</t>
  </si>
  <si>
    <t>7:11000101:1:160#7:31000101:1:160#7:29000101:1:160</t>
  </si>
  <si>
    <t>嫦娥</t>
  </si>
  <si>
    <t>白龙</t>
  </si>
  <si>
    <t>混天大圣</t>
  </si>
  <si>
    <t>7:22000101:1:160#7:14000101:1:160#7:4000101:1:160</t>
  </si>
  <si>
    <t>花木兰</t>
  </si>
  <si>
    <t>蚩尤</t>
  </si>
  <si>
    <t>盘古</t>
  </si>
  <si>
    <t>7:24000101:1:160#7:27000101:1:160#7:10000101:1:160#7:28000101:1:160</t>
  </si>
  <si>
    <t>玉帝</t>
  </si>
  <si>
    <t>刑天</t>
  </si>
  <si>
    <t>孟婆</t>
  </si>
  <si>
    <t>夜魅</t>
  </si>
  <si>
    <t>7:11000101:1:160#7:31000101:1:160#7:29000101:1:160#7:0:1:332</t>
  </si>
  <si>
    <t>7:22000101:1:160#7:14000101:1:160#7:4000101:1:160#7:0:1:332</t>
  </si>
  <si>
    <t>7:13000101:1:160#7:19000101:1:160#7:3000101:1:160#7:0:1:332</t>
  </si>
  <si>
    <t>7:24000101:1:160#7:27000101:1:160#7:10000101:1:160</t>
  </si>
  <si>
    <t>7:24000101:1:160#7:27000101:1:160#7:10000101:1:160#7:28000101:1:199</t>
  </si>
  <si>
    <t>7:15000101:1:160#7:28000101:1:160#7:3000101:1:160</t>
  </si>
  <si>
    <t>梦境遗珠</t>
  </si>
  <si>
    <t>暮光</t>
  </si>
  <si>
    <t>火樱枪</t>
  </si>
  <si>
    <t>7:9000101:1:160#7:53000101:1:160#7:18000101:1:160</t>
  </si>
  <si>
    <t>神农鼎</t>
  </si>
  <si>
    <t>曼陀罗</t>
  </si>
  <si>
    <t>浮世清欢</t>
  </si>
  <si>
    <t>7:12000101:1:160#7:32000101:1:160#7:37000101:1:160</t>
  </si>
  <si>
    <t>7:26000101:1:160#7:21000101:1:160#7:52000101:1:160</t>
  </si>
  <si>
    <t>7:12000101:1:160#7:13000101:1:160#7:4000101:1:160</t>
  </si>
  <si>
    <t>7:14000101:1:160#7:31000101:1:160#7:53000101:1:160</t>
  </si>
  <si>
    <t>7:22000101:1:160#7:17000101:1:160#7:30000101:1:160</t>
  </si>
  <si>
    <t>7:12000101:1:160#7:21000101:1:160#7:20000101:1:160#7:17000101:1:160</t>
  </si>
  <si>
    <t>共工，九天玄女，烛龙，魔悟空</t>
  </si>
  <si>
    <t>7:24000101:1:160#7:9000101:1:160#7:23000101:1:160#7:27000101:1:160</t>
  </si>
  <si>
    <t>玉帝，神农，黄泉，刑天</t>
  </si>
  <si>
    <t>7:29000101:1:160#7:37000101:1:160#7:40000101:1:80</t>
  </si>
  <si>
    <t>7:19000101:1:160#7:15000101:1:80#7:20000101:1:80</t>
  </si>
  <si>
    <t>7:49000101:1:160#7:4000101:1:160#7:3000101:1:160</t>
  </si>
  <si>
    <t>7:46000101:1:160#7:41000101:1:160#7:40000101:1:160</t>
  </si>
  <si>
    <t>7:33000101:1:160#7:17000101:1:160#7:10000101:1:160</t>
  </si>
  <si>
    <t>7:18000101:1:160#7:16000101:1:160#7:14000101:1:160</t>
  </si>
  <si>
    <t>7:3000101:1:160#7:25000101:1:160#7:10000101:1:160</t>
  </si>
  <si>
    <t>红孩儿，女娲，孟婆</t>
  </si>
  <si>
    <t>7:34000101:1:160#7:26000101:1:160#7:40000101:1:160</t>
  </si>
  <si>
    <t>玄奘，祝融，灵媒魔女</t>
  </si>
  <si>
    <t>7:6000101:1:160#7:8000101:1:160#7:21000101:1:160#7:41000101:1:160</t>
  </si>
  <si>
    <t>后羿，石矶，九天玄女，冥河</t>
  </si>
  <si>
    <t>7:32000101:1:160#7:29000101:1:160#7:42000101:1:160#7:48000101:1:160</t>
  </si>
  <si>
    <t>通天教主，混天大圣，杨戬，无天</t>
  </si>
  <si>
    <t>ID</t>
  </si>
  <si>
    <t>备注</t>
  </si>
  <si>
    <t>召唤次数</t>
  </si>
  <si>
    <t>道具消耗数量</t>
  </si>
  <si>
    <t>元宝消耗</t>
  </si>
  <si>
    <t>元宝送经验</t>
  </si>
  <si>
    <t>启用保底</t>
  </si>
  <si>
    <t>启用防脸白</t>
  </si>
  <si>
    <t>奖励</t>
  </si>
  <si>
    <t>分组</t>
  </si>
  <si>
    <t>3:100216:2000</t>
  </si>
  <si>
    <t>麒麟仙玉*2000</t>
  </si>
  <si>
    <t>3:100213:160</t>
  </si>
  <si>
    <t>神铁*160</t>
  </si>
  <si>
    <t>3:100217:100</t>
  </si>
  <si>
    <t>仙器精华*100</t>
  </si>
  <si>
    <t>3:100214:30</t>
  </si>
  <si>
    <t>陨铁精华*30</t>
  </si>
  <si>
    <t>3:100217:200</t>
  </si>
  <si>
    <t>仙器精华*200</t>
  </si>
  <si>
    <t>3:500025:1</t>
  </si>
  <si>
    <t>通用仙器自选*1</t>
  </si>
  <si>
    <t>3:100216:5000</t>
  </si>
  <si>
    <t>麒麟仙玉*5000</t>
  </si>
  <si>
    <t>3:100217:300</t>
  </si>
  <si>
    <t>仙器精华*300</t>
  </si>
  <si>
    <t>3:100216:10000</t>
  </si>
  <si>
    <t>麒麟仙玉*10000</t>
  </si>
  <si>
    <t>3:100217:500</t>
  </si>
  <si>
    <t>仙器精华*500</t>
  </si>
  <si>
    <t>道具ID</t>
  </si>
  <si>
    <t>权重</t>
  </si>
  <si>
    <t>*UP仙器ID</t>
  </si>
  <si>
    <t>*UP权重</t>
  </si>
  <si>
    <t>所属召唤组</t>
  </si>
  <si>
    <t>*是否稀有</t>
  </si>
  <si>
    <t>*名字</t>
  </si>
  <si>
    <t>*是否突出显示</t>
  </si>
  <si>
    <t>7:100101:1</t>
  </si>
  <si>
    <t/>
  </si>
  <si>
    <t>翻天印</t>
  </si>
  <si>
    <t>20抽至少1个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</si>
  <si>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00抽至少1个</t>
    </r>
  </si>
  <si>
    <t>7:1000101:1</t>
  </si>
  <si>
    <t>7:200101:1</t>
  </si>
  <si>
    <t>青龙坠</t>
  </si>
  <si>
    <t>7:2000101:1</t>
  </si>
  <si>
    <t>7:300101:1</t>
  </si>
  <si>
    <t>莲花宝册</t>
  </si>
  <si>
    <t>通用仙器</t>
  </si>
  <si>
    <t>7:3000101:1</t>
  </si>
  <si>
    <t>7:400101:1</t>
  </si>
  <si>
    <t>斩仙飞刀</t>
  </si>
  <si>
    <t>专属仙器</t>
  </si>
  <si>
    <t>7:4000101:1</t>
  </si>
  <si>
    <t>龙王篓</t>
  </si>
  <si>
    <t>7:5000101:1</t>
  </si>
  <si>
    <t>精金铜钱</t>
  </si>
  <si>
    <t>128买20抽</t>
  </si>
  <si>
    <t>7:6000101:1</t>
  </si>
  <si>
    <t>火缨枪</t>
  </si>
  <si>
    <t>7:7000101:1</t>
  </si>
  <si>
    <t>太虚神甲</t>
  </si>
  <si>
    <t>防止脸黑次数</t>
  </si>
  <si>
    <t>7:8000101:1</t>
  </si>
  <si>
    <t>东皇钟</t>
  </si>
  <si>
    <t>防止脸白次数</t>
  </si>
  <si>
    <t>7:10000101:1</t>
  </si>
  <si>
    <t>落日弓</t>
  </si>
  <si>
    <t>7:10100101:1</t>
  </si>
  <si>
    <t>上宝沁金耙</t>
  </si>
  <si>
    <t>随机实验10000次结果</t>
  </si>
  <si>
    <t>7:10200101:1</t>
  </si>
  <si>
    <t>彩云飘</t>
  </si>
  <si>
    <t>7:10300101:1</t>
  </si>
  <si>
    <t>忘忧</t>
  </si>
  <si>
    <t>7:10400101:1</t>
  </si>
  <si>
    <t>7:11000101:1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</si>
  <si>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00101:1</t>
    </r>
  </si>
  <si>
    <t>月华</t>
  </si>
  <si>
    <t>7:10500101:1</t>
  </si>
  <si>
    <t>7:12000101:1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</si>
  <si>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00101:1</t>
    </r>
  </si>
  <si>
    <t>老龙布雨</t>
  </si>
  <si>
    <t>7:10600101:1</t>
  </si>
  <si>
    <t>7:13000101:1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</si>
  <si>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00101:1</t>
    </r>
  </si>
  <si>
    <t>混天绫</t>
  </si>
  <si>
    <t>7:10800101:1</t>
  </si>
  <si>
    <t>元宝单抽</t>
  </si>
  <si>
    <t>十连元宝</t>
  </si>
  <si>
    <t>元宝次数</t>
  </si>
  <si>
    <t>次数奖励</t>
  </si>
  <si>
    <t>7:14000101:1</t>
  </si>
  <si>
    <t>虎魄刀</t>
  </si>
  <si>
    <t>7:10900101:1</t>
  </si>
  <si>
    <t>7:15000101:1</t>
  </si>
  <si>
    <t>7:20200101:1</t>
  </si>
  <si>
    <t>7:16000101:1</t>
  </si>
  <si>
    <t>7:20400101:1</t>
  </si>
  <si>
    <t>8:100001:1</t>
  </si>
  <si>
    <t>天·翻天印</t>
  </si>
  <si>
    <t>7:20500101:1</t>
  </si>
  <si>
    <t>8:100002:1</t>
  </si>
  <si>
    <t>地·翻天印</t>
  </si>
  <si>
    <t>7:20600101:1</t>
  </si>
  <si>
    <t>8:100003:1</t>
  </si>
  <si>
    <t>玄·翻天印</t>
  </si>
  <si>
    <t>7:20700101:1</t>
  </si>
  <si>
    <t>8:100004:1</t>
  </si>
  <si>
    <t>黄·翻天印</t>
  </si>
  <si>
    <t>7:20800101:1</t>
  </si>
  <si>
    <t>8:200001:1</t>
  </si>
  <si>
    <t>天·青龙坠</t>
  </si>
  <si>
    <t>7:20900101:1</t>
  </si>
  <si>
    <t>8:200002:1</t>
  </si>
  <si>
    <t>地·青龙坠</t>
  </si>
  <si>
    <t>7:30000101:1</t>
  </si>
  <si>
    <t>8:200003:1</t>
  </si>
  <si>
    <t>玄·青龙坠</t>
  </si>
  <si>
    <t>7:30100101:1</t>
  </si>
  <si>
    <t>8:200004:1</t>
  </si>
  <si>
    <t>黄·青龙坠</t>
  </si>
  <si>
    <t>7:30200101:1</t>
  </si>
  <si>
    <t>8:300001:1</t>
  </si>
  <si>
    <t>天·莲花宝册</t>
  </si>
  <si>
    <t>8:300002:1</t>
  </si>
  <si>
    <t>地·莲花宝册</t>
  </si>
  <si>
    <t>8:300003:1</t>
  </si>
  <si>
    <t>玄·莲花宝册</t>
  </si>
  <si>
    <t>8:300004:1</t>
  </si>
  <si>
    <t>黄·莲花宝册</t>
  </si>
  <si>
    <t>8:400001:1</t>
  </si>
  <si>
    <t>天·斩仙飞刀</t>
  </si>
  <si>
    <t>8:400002:1</t>
  </si>
  <si>
    <t>地·斩仙飞刀</t>
  </si>
  <si>
    <t>8:400003:1</t>
  </si>
  <si>
    <t>玄·斩仙飞刀</t>
  </si>
  <si>
    <t>8:400004:1</t>
  </si>
  <si>
    <t>黄·斩仙飞刀</t>
  </si>
  <si>
    <t>8:1000001:1</t>
  </si>
  <si>
    <t>天·龙王篓</t>
  </si>
  <si>
    <t>8:1000002:1</t>
  </si>
  <si>
    <t>地·龙王篓</t>
  </si>
  <si>
    <t>8:1000003:1</t>
  </si>
  <si>
    <t>玄·龙王篓</t>
  </si>
  <si>
    <t>8:1000004:1</t>
  </si>
  <si>
    <t>黄·龙王篓</t>
  </si>
  <si>
    <t>8:2000001:1</t>
  </si>
  <si>
    <t>天·精金铜钱</t>
  </si>
  <si>
    <t>8:2000002:1</t>
  </si>
  <si>
    <t>地·精金铜钱</t>
  </si>
  <si>
    <t>8:2000003:1</t>
  </si>
  <si>
    <t>玄·精金铜钱</t>
  </si>
  <si>
    <t>8:2000004:1</t>
  </si>
  <si>
    <t>黄·精金铜钱</t>
  </si>
  <si>
    <t>8:3000001:1</t>
  </si>
  <si>
    <t>天·火缨枪</t>
  </si>
  <si>
    <t>8:3000002:1</t>
  </si>
  <si>
    <t>地·火缨枪</t>
  </si>
  <si>
    <t>8:3000003:1</t>
  </si>
  <si>
    <t>玄·火缨枪</t>
  </si>
  <si>
    <t>8:3000004:1</t>
  </si>
  <si>
    <t>黄·火缨枪</t>
  </si>
  <si>
    <t>8:4000001:1</t>
  </si>
  <si>
    <t>天·太虚神甲</t>
  </si>
  <si>
    <t>8:4000002:1</t>
  </si>
  <si>
    <t>地·太虚神甲</t>
  </si>
  <si>
    <t>8:4000003:1</t>
  </si>
  <si>
    <t>玄·太虚神甲</t>
  </si>
  <si>
    <t>8:4000004:1</t>
  </si>
  <si>
    <t>黄·太虚神甲</t>
  </si>
  <si>
    <t>8:5000001:1</t>
  </si>
  <si>
    <t>天·东皇钟</t>
  </si>
  <si>
    <t>8:5000002:1</t>
  </si>
  <si>
    <t>地·东皇钟</t>
  </si>
  <si>
    <t>8:5000003:1</t>
  </si>
  <si>
    <t>玄·东皇钟</t>
  </si>
  <si>
    <t>8:5000004:1</t>
  </si>
  <si>
    <t>黄·东皇钟</t>
  </si>
  <si>
    <t>8:6000001:1</t>
  </si>
  <si>
    <t>天·落日弓</t>
  </si>
  <si>
    <t>8:6000002:1</t>
  </si>
  <si>
    <t>地·落日弓</t>
  </si>
  <si>
    <t>8:6000003:1</t>
  </si>
  <si>
    <t>玄·落日弓</t>
  </si>
  <si>
    <t>8:6000004:1</t>
  </si>
  <si>
    <t>黄·落日弓</t>
  </si>
  <si>
    <t>8:7000001:1</t>
  </si>
  <si>
    <t>天·上宝沁金耙</t>
  </si>
  <si>
    <t>8:7000002:1</t>
  </si>
  <si>
    <t>地·上宝沁金耙</t>
  </si>
  <si>
    <t>8:7000003:1</t>
  </si>
  <si>
    <t>玄·上宝沁金耙</t>
  </si>
  <si>
    <t>8:7000004:1</t>
  </si>
  <si>
    <t>黄·上宝沁金耙</t>
  </si>
  <si>
    <t>8:8000001:1</t>
  </si>
  <si>
    <t>天·彩云飘</t>
  </si>
  <si>
    <t>8:8000002:1</t>
  </si>
  <si>
    <t>地·彩云飘</t>
  </si>
  <si>
    <t>8:8000003:1</t>
  </si>
  <si>
    <t>玄·彩云飘</t>
  </si>
  <si>
    <t>8:8000004:1</t>
  </si>
  <si>
    <t>黄·彩云飘</t>
  </si>
  <si>
    <t>8:10000001:1</t>
  </si>
  <si>
    <t>天·忘忧</t>
  </si>
  <si>
    <t>8:10000002:1</t>
  </si>
  <si>
    <t>地·忘忧</t>
  </si>
  <si>
    <t>8:10000003:1</t>
  </si>
  <si>
    <t>玄·忘忧</t>
  </si>
  <si>
    <t>8:10000004:1</t>
  </si>
  <si>
    <t>黄·忘忧</t>
  </si>
  <si>
    <t>8:11000001:1</t>
  </si>
  <si>
    <t>天·月华</t>
  </si>
  <si>
    <t>8:11000002:1</t>
  </si>
  <si>
    <t>地·月华</t>
  </si>
  <si>
    <t>8:11000003:1</t>
  </si>
  <si>
    <t>玄·月华</t>
  </si>
  <si>
    <t>8:11000004:1</t>
  </si>
  <si>
    <t>黄·月华</t>
  </si>
  <si>
    <t>8:12000001:1</t>
  </si>
  <si>
    <t>天·老龙布雨</t>
  </si>
  <si>
    <t>8:12000002:1</t>
  </si>
  <si>
    <t>地·老龙布雨</t>
  </si>
  <si>
    <t>8:12000003:1</t>
  </si>
  <si>
    <t>玄·老龙布雨</t>
  </si>
  <si>
    <t>8:12000004:1</t>
  </si>
  <si>
    <t>黄·老龙布雨</t>
  </si>
  <si>
    <t>8:13000001:1</t>
  </si>
  <si>
    <t>天·混天绫</t>
  </si>
  <si>
    <t>8:13000002:1</t>
  </si>
  <si>
    <t>地·混天绫</t>
  </si>
  <si>
    <t>8:13000003:1</t>
  </si>
  <si>
    <t>玄·混天绫</t>
  </si>
  <si>
    <t>8:13000004:1</t>
  </si>
  <si>
    <t>黄·混天绫</t>
  </si>
  <si>
    <t>8:14000001:1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</si>
  <si>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00101:1</t>
    </r>
  </si>
  <si>
    <t>天·虎魄刀</t>
  </si>
  <si>
    <t>8:14000002:1</t>
  </si>
  <si>
    <t>地·虎魄刀</t>
  </si>
  <si>
    <t>8:14000003:1</t>
  </si>
  <si>
    <t>玄·虎魄刀</t>
  </si>
  <si>
    <t>8:14000004:1</t>
  </si>
  <si>
    <t>黄·虎魄刀</t>
  </si>
  <si>
    <t>8:15000001:1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</si>
  <si>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00101:1</t>
    </r>
  </si>
  <si>
    <t>8:15000002:1</t>
  </si>
  <si>
    <t>8:15000003:1</t>
  </si>
  <si>
    <t>8:15000004:1</t>
  </si>
  <si>
    <t>8:16000001:1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</si>
  <si>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>00101:1</t>
    </r>
  </si>
  <si>
    <t>8:16000002:1</t>
  </si>
  <si>
    <t>8:16000003:1</t>
  </si>
  <si>
    <t>8:16000004:1</t>
  </si>
  <si>
    <t>3:100217:1</t>
  </si>
  <si>
    <t>仙器精华</t>
  </si>
  <si>
    <t>3:100216:50</t>
  </si>
  <si>
    <t>麒麟仙玉</t>
  </si>
  <si>
    <t>2:19000100:1</t>
  </si>
  <si>
    <t>粗制短剑</t>
  </si>
  <si>
    <t>2:19000101:1</t>
  </si>
  <si>
    <t>精致短剑</t>
  </si>
  <si>
    <t>2:19000102:1</t>
  </si>
  <si>
    <t>通云短剑</t>
  </si>
  <si>
    <t>2:19000103:1</t>
  </si>
  <si>
    <t>扶光扇</t>
  </si>
  <si>
    <t>2:19000104:1</t>
  </si>
  <si>
    <t>灼华短剑</t>
  </si>
  <si>
    <t>2:19000105:1</t>
  </si>
  <si>
    <t>霓裳法杖</t>
  </si>
  <si>
    <t>2:19000106:1</t>
  </si>
  <si>
    <t>紫霄长剑</t>
  </si>
  <si>
    <t>2:19000107:1</t>
  </si>
  <si>
    <t>朝仪法杖</t>
  </si>
  <si>
    <t>2:19000108:1</t>
  </si>
  <si>
    <t>白赭法杖</t>
  </si>
  <si>
    <t>2:19000109:1</t>
  </si>
  <si>
    <t>云箓法杖</t>
  </si>
  <si>
    <t>2:19000110:1</t>
  </si>
  <si>
    <t>鬼王长剑</t>
  </si>
  <si>
    <t>2:19000111:1</t>
  </si>
  <si>
    <t>洞玄道剑</t>
  </si>
  <si>
    <t>1</t>
  </si>
  <si>
    <t>2:19000112:1</t>
  </si>
  <si>
    <t>湛卢长剑</t>
  </si>
  <si>
    <t>2:19000113:1</t>
  </si>
  <si>
    <t>紫麟巨剑</t>
  </si>
  <si>
    <t>2:19000114:1</t>
  </si>
  <si>
    <t>流霞羽扇</t>
  </si>
  <si>
    <t>2:19000200:1</t>
  </si>
  <si>
    <t>粗制布衣</t>
  </si>
  <si>
    <t>2:19000201:1</t>
  </si>
  <si>
    <t>精致道袍</t>
  </si>
  <si>
    <t>2:19000202:1</t>
  </si>
  <si>
    <t>通云战衣</t>
  </si>
  <si>
    <t>2:19000203:1</t>
  </si>
  <si>
    <t>扶光襟袍</t>
  </si>
  <si>
    <t>2:19000204:1</t>
  </si>
  <si>
    <t>灼华襟袍</t>
  </si>
  <si>
    <t>2:19000205:1</t>
  </si>
  <si>
    <t>霓裳羽衣</t>
  </si>
  <si>
    <t>2:19000206:1</t>
  </si>
  <si>
    <t>紫霄战甲</t>
  </si>
  <si>
    <t>2:19000207:1</t>
  </si>
  <si>
    <t>朝仪法袍</t>
  </si>
  <si>
    <t>2:19000208:1</t>
  </si>
  <si>
    <t>白赭披风</t>
  </si>
  <si>
    <t>2:19000209:1</t>
  </si>
  <si>
    <t>云箓法袍</t>
  </si>
  <si>
    <t>2:19000210:1</t>
  </si>
  <si>
    <t>鬼王战甲</t>
  </si>
  <si>
    <t>2:19000211:1</t>
  </si>
  <si>
    <t>洞玄道袍</t>
  </si>
  <si>
    <t>2:19000212:1</t>
  </si>
  <si>
    <t>湛卢战甲</t>
  </si>
  <si>
    <t>2:19000213:1</t>
  </si>
  <si>
    <t>紫麟战甲</t>
  </si>
  <si>
    <t>2:19000214:1</t>
  </si>
  <si>
    <t>流霞法袍</t>
  </si>
  <si>
    <t>2:19000300:1</t>
  </si>
  <si>
    <t>粗制头巾</t>
  </si>
  <si>
    <t>2:19000301:1</t>
  </si>
  <si>
    <t>精致头冠</t>
  </si>
  <si>
    <t>2:19000302:1</t>
  </si>
  <si>
    <t>通云头冠</t>
  </si>
  <si>
    <t>2:19000303:1</t>
  </si>
  <si>
    <t>扶光法冠</t>
  </si>
  <si>
    <t>2:19000304:1</t>
  </si>
  <si>
    <t>灼华战盔</t>
  </si>
  <si>
    <t>2:19000305:1</t>
  </si>
  <si>
    <t>霓裳头冠</t>
  </si>
  <si>
    <t>2:19000306:1</t>
  </si>
  <si>
    <t>紫霄战盔</t>
  </si>
  <si>
    <t>2:19000307:1</t>
  </si>
  <si>
    <t>朝仪头冠</t>
  </si>
  <si>
    <t>2:19000308:1</t>
  </si>
  <si>
    <t>白赭头冠</t>
  </si>
  <si>
    <t>2:19000309:1</t>
  </si>
  <si>
    <t>云箓头冠</t>
  </si>
  <si>
    <t>2:19000310:1</t>
  </si>
  <si>
    <t>鬼王战盔</t>
  </si>
  <si>
    <t>2:19000311:1</t>
  </si>
  <si>
    <t>洞玄道冠</t>
  </si>
  <si>
    <t>2:19000312:1</t>
  </si>
  <si>
    <t>湛卢战盔</t>
  </si>
  <si>
    <t>2:19000313:1</t>
  </si>
  <si>
    <t>紫麟战盔</t>
  </si>
  <si>
    <t>2:19000314:1</t>
  </si>
  <si>
    <t>流霞头冠</t>
  </si>
  <si>
    <t>2:19000400:1</t>
  </si>
  <si>
    <t>粗制布鞋</t>
  </si>
  <si>
    <t>2:19000401:1</t>
  </si>
  <si>
    <t>精致短靴</t>
  </si>
  <si>
    <t>2:19000402:1</t>
  </si>
  <si>
    <t>通云短靴</t>
  </si>
  <si>
    <t>2:19000403:1</t>
  </si>
  <si>
    <t>扶光短靴</t>
  </si>
  <si>
    <t>2:19000404:1</t>
  </si>
  <si>
    <t>灼华战靴</t>
  </si>
  <si>
    <t>2:19000405:1</t>
  </si>
  <si>
    <t>霓裳短靴</t>
  </si>
  <si>
    <t>2:19000406:1</t>
  </si>
  <si>
    <t>紫霄战靴</t>
  </si>
  <si>
    <t>2:19000407:1</t>
  </si>
  <si>
    <t>朝仪短靴</t>
  </si>
  <si>
    <t>2:19000408:1</t>
  </si>
  <si>
    <t>白赭短靴</t>
  </si>
  <si>
    <t>2:19000409:1</t>
  </si>
  <si>
    <t>云箓短靴</t>
  </si>
  <si>
    <t>2:19000410:1</t>
  </si>
  <si>
    <t>鬼王战靴</t>
  </si>
  <si>
    <t>2:19000411:1</t>
  </si>
  <si>
    <t>洞玄道靴</t>
  </si>
  <si>
    <t>2:19000412:1</t>
  </si>
  <si>
    <t>湛卢战靴</t>
  </si>
  <si>
    <t>2:19000413:1</t>
  </si>
  <si>
    <t>紫麟战靴</t>
  </si>
  <si>
    <t>2:19000414:1</t>
  </si>
  <si>
    <t>流霞羽靴</t>
  </si>
  <si>
    <t>4:606002:5</t>
  </si>
  <si>
    <t>5星随机碎片</t>
  </si>
  <si>
    <t>3:100001:200</t>
  </si>
  <si>
    <t>进阶石</t>
  </si>
  <si>
    <t>3:100004:200</t>
  </si>
  <si>
    <t>鎏金粉</t>
  </si>
  <si>
    <t>3:100212:2</t>
  </si>
  <si>
    <t>玄铁</t>
  </si>
  <si>
    <t>3:100213:1</t>
  </si>
  <si>
    <t>神铁</t>
  </si>
  <si>
    <t>3:100214:1</t>
  </si>
  <si>
    <t>陨铁精华</t>
  </si>
  <si>
    <t>3:100216:100</t>
  </si>
  <si>
    <t>3:100216:200</t>
  </si>
  <si>
    <t>7:18000101:1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</si>
  <si>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00101:1</t>
    </r>
  </si>
  <si>
    <t>仙器18妲己</t>
  </si>
  <si>
    <t>8:18000001:1</t>
  </si>
  <si>
    <t>8:18000002:1</t>
  </si>
  <si>
    <t>8:18000003:1</t>
  </si>
  <si>
    <t>8:18000004:1</t>
  </si>
  <si>
    <t>7:19000101:1</t>
  </si>
  <si>
    <r>
      <rPr>
        <sz val="11"/>
        <color theme="1"/>
        <rFont val="Calibri"/>
        <family val="2"/>
        <scheme val="minor"/>
      </rPr>
      <t>7:1</t>
    </r>
    <r>
      <rPr>
        <sz val="11"/>
        <color theme="1"/>
        <rFont val="Calibri"/>
        <family val="2"/>
        <scheme val="minor"/>
      </rPr>
      <t>90</t>
    </r>
    <r>
      <rPr>
        <sz val="11"/>
        <color theme="1"/>
        <rFont val="Calibri"/>
        <family val="2"/>
        <scheme val="minor"/>
      </rPr>
      <t>00101:1</t>
    </r>
  </si>
  <si>
    <t>仙器19斗战胜佛</t>
  </si>
  <si>
    <t>8:19000001:1</t>
  </si>
  <si>
    <t>8:19000002:1</t>
  </si>
  <si>
    <t>8:19000003:1</t>
  </si>
  <si>
    <t>8:19000004:1</t>
  </si>
  <si>
    <t>7:22000101:1</t>
  </si>
  <si>
    <t>仙器22花木兰</t>
  </si>
  <si>
    <t>8:22000001:1</t>
  </si>
  <si>
    <t>8:22000002:1</t>
  </si>
  <si>
    <t>8:22000003:1</t>
  </si>
  <si>
    <t>8:22000004:1</t>
  </si>
  <si>
    <t>7:24000101:1</t>
  </si>
  <si>
    <t>仙器24玉帝</t>
  </si>
  <si>
    <t>8:24000001:1</t>
  </si>
  <si>
    <t>8:24000002:1</t>
  </si>
  <si>
    <t>8:24000003:1</t>
  </si>
  <si>
    <t>8:24000004:1</t>
  </si>
  <si>
    <t>7:500101:1</t>
  </si>
  <si>
    <t>龙源枪</t>
  </si>
  <si>
    <t>8:500001:1</t>
  </si>
  <si>
    <t>8:500002:1</t>
  </si>
  <si>
    <t>8:500003:1</t>
  </si>
  <si>
    <t>8:500004:1</t>
  </si>
  <si>
    <t>地·龙源枪</t>
  </si>
  <si>
    <t>玄·龙源枪</t>
  </si>
  <si>
    <t>黄·龙源枪</t>
  </si>
  <si>
    <t>4:602018:50</t>
  </si>
  <si>
    <t>4:601020:50</t>
  </si>
  <si>
    <t>角色</t>
  </si>
  <si>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:19000101:1</t>
    </r>
  </si>
  <si>
    <t>斗战胜佛仙器</t>
  </si>
  <si>
    <t>仙器</t>
  </si>
  <si>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:13000101:1</t>
    </r>
  </si>
  <si>
    <t>哪吒仙器</t>
  </si>
  <si>
    <t>斗战胜佛仙器天</t>
  </si>
  <si>
    <t>10连抽1个概率</t>
  </si>
  <si>
    <t>斗战胜佛仙器地</t>
  </si>
  <si>
    <t>10连抽2个概率</t>
  </si>
  <si>
    <t>斗战胜佛仙器玄</t>
  </si>
  <si>
    <t>10连抽3个概率</t>
  </si>
  <si>
    <t>斗战胜佛仙器黄</t>
  </si>
  <si>
    <t>20连抽2个概率</t>
  </si>
  <si>
    <t>哪吒仙器天</t>
  </si>
  <si>
    <t>20连抽3个概率</t>
  </si>
  <si>
    <t>哪吒仙器地</t>
  </si>
  <si>
    <t>哪吒仙器玄</t>
  </si>
  <si>
    <t>哪吒仙器黄</t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</si>
  <si>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:100001:1000</t>
    </r>
  </si>
  <si>
    <t>进阶石1000</t>
  </si>
  <si>
    <t>3:100001:500</t>
  </si>
  <si>
    <t>进阶石500</t>
  </si>
  <si>
    <t>进阶石200</t>
  </si>
  <si>
    <t>3:100001:100</t>
  </si>
  <si>
    <t>进阶石100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</si>
  <si>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:4:10000000</t>
    </r>
  </si>
  <si>
    <t>英雄经验1000万</t>
  </si>
  <si>
    <t>0:4:2500000</t>
  </si>
  <si>
    <t>英雄经验500万</t>
  </si>
  <si>
    <t>0:4:1000000</t>
  </si>
  <si>
    <t>英雄经验200万</t>
  </si>
  <si>
    <t>0:4:500000</t>
  </si>
  <si>
    <t>英雄经验100万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</si>
  <si>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:0:10000000</t>
    </r>
  </si>
  <si>
    <t>金币1000万</t>
  </si>
  <si>
    <t>0:0:2500000</t>
  </si>
  <si>
    <t>金币500万</t>
  </si>
  <si>
    <t>0:0:1000000</t>
  </si>
  <si>
    <t>金币200万</t>
  </si>
  <si>
    <t>0:0:500000</t>
  </si>
  <si>
    <t>金币100万</t>
  </si>
  <si>
    <t>3:100216:1000</t>
  </si>
  <si>
    <t>麒麟仙玉1000</t>
  </si>
  <si>
    <t>3:100216:500</t>
  </si>
  <si>
    <t>麒麟仙玉500</t>
  </si>
  <si>
    <t>麒麟仙玉200</t>
  </si>
  <si>
    <t>麒麟仙玉100</t>
  </si>
  <si>
    <t>7:25000101:1</t>
  </si>
  <si>
    <t>仙器25女娲</t>
  </si>
  <si>
    <t>7:26000101:1</t>
  </si>
  <si>
    <t>仙器26祝融</t>
  </si>
  <si>
    <t>8:25000001:1</t>
  </si>
  <si>
    <t>8:25000002:1</t>
  </si>
  <si>
    <t>8:25000003:1</t>
  </si>
  <si>
    <t>8:25000004:1</t>
  </si>
  <si>
    <t>8:26000001:1</t>
  </si>
  <si>
    <r>
      <rPr>
        <sz val="11"/>
        <color theme="1"/>
        <rFont val="Calibri"/>
        <family val="2"/>
        <scheme val="minor"/>
      </rPr>
      <t>7:2</t>
    </r>
    <r>
      <rPr>
        <sz val="11"/>
        <color theme="1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>00101:1</t>
    </r>
  </si>
  <si>
    <t>8:26000002:1</t>
  </si>
  <si>
    <t>8:26000003:1</t>
  </si>
  <si>
    <t>8:26000004:1</t>
  </si>
  <si>
    <t>7:27000101:1</t>
  </si>
  <si>
    <t>仙器27刑天</t>
  </si>
  <si>
    <t>7:28000101:1</t>
  </si>
  <si>
    <t>仙器28夜魅</t>
  </si>
  <si>
    <t>8:27000001:1</t>
  </si>
  <si>
    <t>8:27000002:1</t>
  </si>
  <si>
    <t>8:27000003:1</t>
  </si>
  <si>
    <t>8:27000004:1</t>
  </si>
  <si>
    <t>8:28000001:1</t>
  </si>
  <si>
    <r>
      <rPr>
        <sz val="11"/>
        <color theme="1"/>
        <rFont val="Calibri"/>
        <family val="2"/>
        <scheme val="minor"/>
      </rPr>
      <t>7:2</t>
    </r>
    <r>
      <rPr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00101:1</t>
    </r>
  </si>
  <si>
    <t>8:28000002:1</t>
  </si>
  <si>
    <t>8:28000003:1</t>
  </si>
  <si>
    <t>8:28000004:1</t>
  </si>
  <si>
    <t>7:29000101:1</t>
  </si>
  <si>
    <t>仙器29混天大聖</t>
  </si>
  <si>
    <t>仙器30卷帘大将</t>
  </si>
  <si>
    <t>8:29000001:1</t>
  </si>
  <si>
    <t>8:29000002:1</t>
  </si>
  <si>
    <t>8:29000003:1</t>
  </si>
  <si>
    <t>8:29000004:1</t>
  </si>
  <si>
    <t>8:30000001:1</t>
  </si>
  <si>
    <t>8:30000002:1</t>
  </si>
  <si>
    <t>8:30000003:1</t>
  </si>
  <si>
    <t>8:30000004:1</t>
  </si>
  <si>
    <t>7:31000101:1</t>
  </si>
  <si>
    <t>仙器31白龙</t>
  </si>
  <si>
    <t>7:32000101:1</t>
  </si>
  <si>
    <t>仙器32通天教主</t>
  </si>
  <si>
    <t>8:31000001:1</t>
  </si>
  <si>
    <t>8:31000002:1</t>
  </si>
  <si>
    <t>8:31000003:1</t>
  </si>
  <si>
    <t>8:31000004:1</t>
  </si>
  <si>
    <t>8:32000001:1</t>
  </si>
  <si>
    <r>
      <rPr>
        <sz val="11"/>
        <color theme="1"/>
        <rFont val="Calibri"/>
        <family val="2"/>
        <scheme val="minor"/>
      </rPr>
      <t>7:3</t>
    </r>
    <r>
      <rPr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00101:1</t>
    </r>
  </si>
  <si>
    <t>8:32000002:1</t>
  </si>
  <si>
    <t>8:32000003:1</t>
  </si>
  <si>
    <t>8:32000004:1</t>
  </si>
  <si>
    <t>7:33000101:1</t>
  </si>
  <si>
    <t>仙器33李靖</t>
  </si>
  <si>
    <t>7:34000101:1</t>
  </si>
  <si>
    <t>仙器34玄奘</t>
  </si>
  <si>
    <t>8:33000001:1</t>
  </si>
  <si>
    <t>8:33000002:1</t>
  </si>
  <si>
    <t>8:33000003:1</t>
  </si>
  <si>
    <t>8:33000004:1</t>
  </si>
  <si>
    <t>8:34000001:1</t>
  </si>
  <si>
    <t>7:34000001:1</t>
  </si>
  <si>
    <t>8:34000002:1</t>
  </si>
  <si>
    <t>8:34000003:1</t>
  </si>
  <si>
    <t>8:34000004:1</t>
  </si>
  <si>
    <t>7:35000101:1</t>
  </si>
  <si>
    <t>仙器35白骨夫人</t>
  </si>
  <si>
    <t>7:36000101:1</t>
  </si>
  <si>
    <t>仙器36孔宣</t>
  </si>
  <si>
    <t>8:35000001:1</t>
  </si>
  <si>
    <t>8:35000002:1</t>
  </si>
  <si>
    <t>8:35000003:1</t>
  </si>
  <si>
    <t>8:35000004:1</t>
  </si>
  <si>
    <t>8:36000001:1</t>
  </si>
  <si>
    <t>8:36000002:1</t>
  </si>
  <si>
    <t>8:36000003:1</t>
  </si>
  <si>
    <t>8:36000004:1</t>
  </si>
  <si>
    <t>7:37000101:1</t>
  </si>
  <si>
    <t>仙器37元始天尊</t>
  </si>
  <si>
    <t>7:38000101:1</t>
  </si>
  <si>
    <t>仙器38姬发</t>
  </si>
  <si>
    <t>8:37000001:1</t>
  </si>
  <si>
    <t>8:37000002:1</t>
  </si>
  <si>
    <t>8:37000003:1</t>
  </si>
  <si>
    <t>8:37000004:1</t>
  </si>
  <si>
    <t>8:38000001:1</t>
  </si>
  <si>
    <t>7:38000001:1</t>
  </si>
  <si>
    <t>8:38000002:1</t>
  </si>
  <si>
    <t>8:38000003:1</t>
  </si>
  <si>
    <t>8:38000004:1</t>
  </si>
  <si>
    <t>7:39000101:1</t>
  </si>
  <si>
    <t>仙器39牛魔王</t>
  </si>
  <si>
    <t>8:39000001:1</t>
  </si>
  <si>
    <t>8:39000002:1</t>
  </si>
  <si>
    <t>8:39000003:1</t>
  </si>
  <si>
    <t>8:39000004:1</t>
  </si>
  <si>
    <t>7:40000101:1</t>
  </si>
  <si>
    <t>仙器40灵媒魔女</t>
  </si>
  <si>
    <t>8:40000001:1</t>
  </si>
  <si>
    <t>8:40000002:1</t>
  </si>
  <si>
    <t>8:40000003:1</t>
  </si>
  <si>
    <t>8:40000004:1</t>
  </si>
  <si>
    <t>7:41000101:1</t>
  </si>
  <si>
    <t>仙器41冥河</t>
  </si>
  <si>
    <t>8:41000001:1</t>
  </si>
  <si>
    <t>8:41000002:1</t>
  </si>
  <si>
    <t>8:41000003:1</t>
  </si>
  <si>
    <t>8:41000004:1</t>
  </si>
  <si>
    <t>7:42000101:1</t>
  </si>
  <si>
    <t>仙器42杨戬</t>
  </si>
  <si>
    <t>8:42000001:1</t>
  </si>
  <si>
    <t>8:42000002:1</t>
  </si>
  <si>
    <t>8:42000003:1</t>
  </si>
  <si>
    <t>8:42000004:1</t>
  </si>
  <si>
    <t>7:43000101:1</t>
  </si>
  <si>
    <r>
      <rPr>
        <sz val="11"/>
        <color theme="1"/>
        <rFont val="Calibri"/>
        <family val="2"/>
        <scheme val="minor"/>
      </rPr>
      <t>7:4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000101:1</t>
    </r>
  </si>
  <si>
    <t>仙器43妈祖</t>
  </si>
  <si>
    <t>8:43000001:1</t>
  </si>
  <si>
    <t>8:43000002:1</t>
  </si>
  <si>
    <t>8:43000003:1</t>
  </si>
  <si>
    <t>8:43000004:1</t>
  </si>
  <si>
    <t>7:45000101:1</t>
  </si>
  <si>
    <t>仙器45三圣母</t>
  </si>
  <si>
    <t>8:45000001:1</t>
  </si>
  <si>
    <t>8:45000002:1</t>
  </si>
  <si>
    <t>8:45000003:1</t>
  </si>
  <si>
    <t>8:45000004:1</t>
  </si>
  <si>
    <t>7:48000101:1</t>
  </si>
  <si>
    <t>仙器48无天</t>
  </si>
  <si>
    <t>8:48000001:1</t>
  </si>
  <si>
    <t>8:48000002:1</t>
  </si>
  <si>
    <t>8:48000003:1</t>
  </si>
  <si>
    <t>8:48000004:1</t>
  </si>
  <si>
    <t>7:50000101:1</t>
  </si>
  <si>
    <t>仙器50西王母</t>
  </si>
  <si>
    <t>8:50000001:1</t>
  </si>
  <si>
    <t>8:50000002:1</t>
  </si>
  <si>
    <t>8:50000003:1</t>
  </si>
  <si>
    <t>8:50000004:1</t>
  </si>
  <si>
    <t>7:52000101:1</t>
  </si>
  <si>
    <t>仙器52影</t>
  </si>
  <si>
    <t>8:52000001:1</t>
  </si>
  <si>
    <t>8:52000002:1</t>
  </si>
  <si>
    <t>8:52000003:1</t>
  </si>
  <si>
    <t>8:52000004:1</t>
  </si>
  <si>
    <t>7:54000101:1</t>
  </si>
  <si>
    <t>仙器54炎</t>
  </si>
  <si>
    <t>8:54000001:1</t>
  </si>
  <si>
    <t>8:54000002:1</t>
  </si>
  <si>
    <t>8:54000003:1</t>
  </si>
  <si>
    <t>8:54000004:1</t>
  </si>
  <si>
    <t>7:53000101:1</t>
  </si>
  <si>
    <t>仙器53曼珠</t>
  </si>
  <si>
    <t>8:53000001:1</t>
  </si>
  <si>
    <t>8:53000002:1</t>
  </si>
  <si>
    <t>8:53000003:1</t>
  </si>
  <si>
    <t>8:53000004:1</t>
  </si>
  <si>
    <t>7:46000101:1</t>
  </si>
  <si>
    <t>仙器46珀龙</t>
  </si>
  <si>
    <t>8:46000001:1</t>
  </si>
  <si>
    <t>8:46000002:1</t>
  </si>
  <si>
    <t>8:46000003:1</t>
  </si>
  <si>
    <t>8:46000004:1</t>
  </si>
  <si>
    <t>7:21000101:1</t>
  </si>
  <si>
    <t>仙器21九天玄女</t>
  </si>
  <si>
    <t>8:21000001:1</t>
  </si>
  <si>
    <t>8:21000002:1</t>
  </si>
  <si>
    <t>8:21000003:1</t>
  </si>
  <si>
    <t>8:21000004:1</t>
  </si>
  <si>
    <t>7:17000101:1</t>
  </si>
  <si>
    <t>仙器17随心铁杆兵</t>
  </si>
  <si>
    <t>8:17000001:1</t>
  </si>
  <si>
    <t>8:17000002:1</t>
  </si>
  <si>
    <t>8:17000003:1</t>
  </si>
  <si>
    <t>8:17000004:1</t>
  </si>
  <si>
    <t>7:20000101:1</t>
  </si>
  <si>
    <t>仙器20永夜</t>
  </si>
  <si>
    <t>8:20000001:1</t>
  </si>
  <si>
    <t>8:20000002:1</t>
  </si>
  <si>
    <t>8:20000003:1</t>
  </si>
  <si>
    <t>8:20000004:1</t>
  </si>
  <si>
    <t>7:23000101:1</t>
  </si>
  <si>
    <t>仙器23黄泉</t>
  </si>
  <si>
    <t>8:23000001:1</t>
  </si>
  <si>
    <t>8:23000002:1</t>
  </si>
  <si>
    <t>8:23000003:1</t>
  </si>
  <si>
    <t>8:23000004:1</t>
  </si>
  <si>
    <t>7:9000101:1</t>
  </si>
  <si>
    <t>仙器90神农</t>
  </si>
  <si>
    <t>8:9000001:1</t>
  </si>
  <si>
    <t>8:9000002:1</t>
  </si>
  <si>
    <t>8:9000003:1</t>
  </si>
  <si>
    <t>8:9000004:1</t>
  </si>
  <si>
    <t>7:49000101:1</t>
  </si>
  <si>
    <t>仙器49修罗</t>
  </si>
  <si>
    <t>8:49000001:1</t>
  </si>
  <si>
    <t>8:49000002:1</t>
  </si>
  <si>
    <t>8:49000003:1</t>
  </si>
  <si>
    <t>8:49000004:1</t>
  </si>
  <si>
    <t>Tiên Khí UP Thứ 1 Kỳ</t>
  </si>
  <si>
    <t>Tiên Khí UP Thứ 2 Kỳ</t>
  </si>
  <si>
    <t>Tiên Khí UP Thứ 3 Kỳ</t>
  </si>
  <si>
    <t>Tiên Khí UP Thứ 4 Kỳ</t>
  </si>
  <si>
    <t>Tiên Khí UP Thứ 5 Kỳ</t>
  </si>
  <si>
    <t>Tiên Khí UP Thứ 6 Kỳ</t>
  </si>
  <si>
    <t>Tiên Khí UP Thứ 7 Kỳ</t>
  </si>
  <si>
    <t>Tiên Khí UP Thứ 8 Kỳ</t>
  </si>
  <si>
    <t>Tiên Khí UP Thứ 9 Kỳ</t>
  </si>
  <si>
    <t>Tiên Khí UP Thứ 10 Kỳ</t>
  </si>
  <si>
    <t>Tiên Khí UP Thứ 11 Kỳ</t>
  </si>
  <si>
    <t>Tiên Khí UP Thứ 12 Kỳ</t>
  </si>
  <si>
    <t>Tiên Khí UP Thứ 13 Kỳ</t>
  </si>
  <si>
    <t>Tiên Khí UP Thứ 14 Kỳ</t>
  </si>
  <si>
    <t>Tiên Khí UP Thứ 15 Kỳ</t>
  </si>
  <si>
    <t>Tiên Khí UP Thứ 16 Kỳ</t>
  </si>
  <si>
    <t>Tiên Khí UP Thứ 17 Kỳ</t>
  </si>
  <si>
    <t>Tiên Khí UP Thứ 18 Kỳ</t>
  </si>
  <si>
    <t>Tiên Khí UP Thứ 19 Kỳ</t>
  </si>
  <si>
    <t>Tiên Khí UP Thứ 20 Kỳ</t>
  </si>
  <si>
    <t>Tiên Khí UP Thứ 21 Kỳ</t>
  </si>
  <si>
    <t>Tiên Khí UP Thứ 22 Kỳ</t>
  </si>
  <si>
    <t>Tiên Khí UP Thứ 23 Kỳ</t>
  </si>
  <si>
    <t>Tiên Khí UP Thứ 24 Kỳ</t>
  </si>
  <si>
    <t>Tiên Khí UP Thứ 25 Kỳ</t>
  </si>
  <si>
    <t>Tiên Khí UP Thứ 26 Kỳ</t>
  </si>
  <si>
    <t>Tiên Khí UP Thứ 27 Kỳ</t>
  </si>
  <si>
    <t>Tiên Khí UP Thứ 28 Kỳ</t>
  </si>
  <si>
    <t>Tiên Khí UP Thứ 29 Kỳ</t>
  </si>
  <si>
    <t>Tiên Khí UP Thứ 30 Kỳ</t>
  </si>
  <si>
    <t>Tiên Khí UP Thứ 31 Kỳ</t>
  </si>
  <si>
    <t>Tiên Khí UP Thứ 32 Kỳ</t>
  </si>
  <si>
    <t>Tiên Khí UP Thứ 33 Kỳ</t>
  </si>
  <si>
    <t>Tiên Khí UP Thứ 34 Kỳ</t>
  </si>
  <si>
    <t>Tiên Khí UP Thứ 35 Kỳ</t>
  </si>
  <si>
    <t>Tiên Khí UP Thứ 36 Kỳ</t>
  </si>
  <si>
    <t>Tiên Khí UP Thứ 37 Kỳ</t>
  </si>
  <si>
    <t>Tiên Khí UP Thứ 38 Kỳ</t>
  </si>
  <si>
    <t>Tiên Khí UP Thứ 39 Kỳ</t>
  </si>
  <si>
    <t>Tiên Khí UP Thứ 40 Kỳ</t>
  </si>
  <si>
    <t>Tiên Khí UP Thứ 41 Kỳ</t>
  </si>
  <si>
    <t>Tiên Khí UP Thứ 42 Kỳ</t>
  </si>
  <si>
    <t>Tiên Khí UP Thứ 43 Kỳ</t>
  </si>
  <si>
    <t>Tiên Khí UP Thứ 44 Kỳ</t>
  </si>
  <si>
    <t>Tiên Khí UP Thứ 45 Kỳ</t>
  </si>
  <si>
    <t>Tiên Khí UP Thứ 46 Kỳ</t>
  </si>
  <si>
    <t>Tiên Khí UP Thứ 47 Kỳ</t>
  </si>
  <si>
    <t>Tiên Khí UP Thứ 48 Kỳ</t>
  </si>
  <si>
    <t>Tiên Khí UP Thứ 49 Kỳ</t>
  </si>
  <si>
    <t>Tiên Khí UP Thứ 50 Kỳ</t>
  </si>
  <si>
    <t>Tiên Khí UP Thứ 51 Kỳ</t>
  </si>
  <si>
    <t>Tiên Khí UP Thứ 52 Kỳ</t>
  </si>
  <si>
    <t>Tiên Khí UP Thứ 53 Kỳ</t>
  </si>
  <si>
    <t>Tiên Khí UP Thứ 54 Kỳ</t>
  </si>
  <si>
    <t>Tiên Khí UP Thứ 55 Kỳ</t>
  </si>
  <si>
    <t>Tiên Khí UP Thứ 56 Kỳ</t>
  </si>
  <si>
    <t>Tiên Khí UP Thứ 57 Kỳ</t>
  </si>
  <si>
    <t>Tiên Khí UP Thứ 58 Kỳ</t>
  </si>
  <si>
    <t>Tiên Khí UP Thứ 59 Kỳ</t>
  </si>
  <si>
    <t>Tiên Khí UP Thứ 60 Kỳ</t>
  </si>
  <si>
    <t>Tiên Khí UP Thứ 61 Kỳ</t>
  </si>
  <si>
    <t>Tiên Khí UP Thứ 62 Kỳ</t>
  </si>
  <si>
    <t>Tiên Khí UP Thứ 63 Kỳ</t>
  </si>
  <si>
    <t>Tiên Khí UP Thứ 64 Kỳ</t>
  </si>
  <si>
    <t>Tiên Khí UP Thứ 65 Kỳ</t>
  </si>
  <si>
    <t>Tiên Khí UP Thứ 66 Kỳ</t>
  </si>
  <si>
    <t>Tiên Khí UP Thứ 67 Kỳ</t>
  </si>
  <si>
    <t>Tiên Khí UP Thứ 68 Kỳ</t>
  </si>
  <si>
    <t>Tiên Khí UP Thứ 69 Kỳ</t>
  </si>
  <si>
    <t>Tiên Khí UP Thứ 70 Kỳ</t>
  </si>
  <si>
    <t>Tiên Khí UP Thứ 71 Kỳ</t>
  </si>
  <si>
    <t>Tiên Khí UP Thứ 72 Kỳ</t>
  </si>
  <si>
    <t>Tiên Khí UP Thứ 73 Kỳ</t>
  </si>
  <si>
    <t>Tiên Khí UP Thứ 74 Kỳ</t>
  </si>
  <si>
    <t>Tiên Khí UP Thứ 75 Kỳ</t>
  </si>
  <si>
    <t>Tiên Khí UP Thứ 76 Kỳ</t>
  </si>
  <si>
    <t>Tiên Khí UP Thứ 77 Kỳ</t>
  </si>
  <si>
    <t>Tiên Khí UP Thứ 78 Kỳ</t>
  </si>
  <si>
    <t>Tiên Khí UP Thứ 79 Kỳ</t>
  </si>
  <si>
    <t>Tiên Khí UP Thứ 80 Kỳ</t>
  </si>
  <si>
    <t>Tiên Khí UP Thứ 81 Kỳ</t>
  </si>
  <si>
    <t>Tiên Khí UP Thứ 82 Kỳ</t>
  </si>
  <si>
    <t>Tiên Khí UP Thứ 83 Kỳ</t>
  </si>
  <si>
    <t>Tiên Khí UP Thứ 84 Kỳ</t>
  </si>
  <si>
    <t>Tiên Khí UP Thứ 85 Kỳ</t>
  </si>
  <si>
    <t>Tiên Khí UP Thứ 86 Kỳ</t>
  </si>
  <si>
    <t>Tiên Khí UP Thứ 87 Kỳ</t>
  </si>
  <si>
    <t>Tiên Khí UP Thứ 88 Kỳ</t>
  </si>
  <si>
    <t>Tiên Khí UP Thứ 89 Kỳ</t>
  </si>
  <si>
    <t>Tiên Khí UP Thứ 90 Kỳ</t>
  </si>
  <si>
    <t>Tiên Khí UP Thứ 91 Kỳ</t>
  </si>
  <si>
    <t>Tiên Khí UP Thứ 92 Kỳ</t>
  </si>
  <si>
    <t>Tiên Khí UP Thứ 93 Kỳ</t>
  </si>
  <si>
    <t>Tiên Khí UP Thứ 94 Kỳ</t>
  </si>
  <si>
    <t>Tiên Khí UP Thứ 95 Kỳ</t>
  </si>
  <si>
    <t>Tiên Khí UP Thứ 96 Kỳ</t>
  </si>
  <si>
    <t>Tiên Khí UP Thứ 97 Kỳ</t>
  </si>
  <si>
    <t>Tiên Khí UP Thứ 98 Kỳ</t>
  </si>
  <si>
    <t>Tiên Khí UP Thứ 99 Kỳ</t>
  </si>
  <si>
    <t>Tiên Khí UP Thứ 100 Kỳ</t>
  </si>
  <si>
    <t>Tiên Khí UP Thứ 101 Kỳ</t>
  </si>
  <si>
    <t>Rút</t>
  </si>
  <si>
    <t>Rút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</si>
</sst>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%"/>
    <numFmt numFmtId="165" formatCode="0.000%"/>
    <numFmt numFmtId="166" formatCode="0.000000000000000%"/>
    <numFmt numFmtId="167" formatCode="0.0000%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</cellStyleXfs>
  <cellXfs count="90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0" fontId="0" fillId="3" borderId="0" xfId="0" applyNumberFormat="1" applyFill="1"/>
    <xf numFmtId="0" fontId="0" fillId="3" borderId="0" xfId="0" applyFill="1"/>
    <xf numFmtId="0" fontId="0" fillId="3" borderId="0" xfId="0" applyFont="1" applyFill="1"/>
    <xf numFmtId="20" fontId="0" fillId="4" borderId="0" xfId="0" applyNumberFormat="1" applyFill="1"/>
    <xf numFmtId="0" fontId="0" fillId="4" borderId="0" xfId="0" applyFill="1"/>
    <xf numFmtId="20" fontId="0" fillId="4" borderId="0" xfId="0" applyNumberFormat="1" applyFont="1" applyFill="1"/>
    <xf numFmtId="49" fontId="0" fillId="0" borderId="0" xfId="0" applyNumberFormat="1" applyFill="1" applyAlignment="1">
      <alignment horizontal="center" vertical="center"/>
    </xf>
    <xf numFmtId="49" fontId="0" fillId="0" borderId="0" xfId="1" applyNumberFormat="1" applyFont="1" applyAlignment="1"/>
    <xf numFmtId="0" fontId="0" fillId="0" borderId="0" xfId="0" applyFont="1"/>
    <xf numFmtId="10" fontId="0" fillId="0" borderId="0" xfId="0" applyNumberFormat="1"/>
    <xf numFmtId="10" fontId="0" fillId="0" borderId="0" xfId="1" applyNumberFormat="1" applyFont="1" applyAlignment="1"/>
    <xf numFmtId="166" fontId="0" fillId="0" borderId="0" xfId="0" applyNumberFormat="1"/>
    <xf numFmtId="20" fontId="0" fillId="0" borderId="0" xfId="0" applyNumberFormat="1"/>
    <xf numFmtId="20" fontId="0" fillId="5" borderId="0" xfId="0" applyNumberFormat="1" applyFill="1"/>
    <xf numFmtId="0" fontId="0" fillId="5" borderId="0" xfId="0" applyFill="1"/>
    <xf numFmtId="49" fontId="0" fillId="0" borderId="0" xfId="1" applyNumberFormat="1" applyFont="1" applyFill="1" applyAlignment="1"/>
    <xf numFmtId="20" fontId="0" fillId="0" borderId="0" xfId="0" applyNumberFormat="1" applyFont="1" applyFill="1"/>
    <xf numFmtId="0" fontId="0" fillId="0" borderId="0" xfId="0" applyFont="1" applyFill="1"/>
    <xf numFmtId="20" fontId="0" fillId="6" borderId="0" xfId="0" applyNumberFormat="1" applyFont="1" applyFill="1"/>
    <xf numFmtId="0" fontId="0" fillId="6" borderId="0" xfId="0" applyFill="1"/>
    <xf numFmtId="0" fontId="0" fillId="6" borderId="0" xfId="0" applyFont="1" applyFill="1"/>
    <xf numFmtId="49" fontId="0" fillId="6" borderId="0" xfId="1" applyNumberFormat="1" applyFont="1" applyFill="1" applyAlignment="1"/>
    <xf numFmtId="20" fontId="0" fillId="3" borderId="0" xfId="0" applyNumberFormat="1" applyFont="1" applyFill="1"/>
    <xf numFmtId="20" fontId="0" fillId="5" borderId="0" xfId="0" applyNumberFormat="1" applyFont="1" applyFill="1"/>
    <xf numFmtId="0" fontId="0" fillId="4" borderId="0" xfId="0" applyFont="1" applyFill="1"/>
    <xf numFmtId="0" fontId="0" fillId="7" borderId="0" xfId="0" applyFont="1" applyFill="1"/>
    <xf numFmtId="0" fontId="0" fillId="7" borderId="0" xfId="0" applyFill="1"/>
    <xf numFmtId="165" fontId="0" fillId="0" borderId="0" xfId="0" applyNumberFormat="1"/>
    <xf numFmtId="167" fontId="0" fillId="0" borderId="0" xfId="1" applyNumberFormat="1" applyFont="1" applyAlignment="1"/>
    <xf numFmtId="164" fontId="0" fillId="0" borderId="0" xfId="1" applyNumberFormat="1" applyFont="1" applyAlignment="1"/>
    <xf numFmtId="0" fontId="0" fillId="8" borderId="0" xfId="0" applyFill="1"/>
    <xf numFmtId="49" fontId="0" fillId="8" borderId="0" xfId="0" applyNumberFormat="1" applyFill="1"/>
    <xf numFmtId="0" fontId="0" fillId="8" borderId="0" xfId="0" applyFont="1" applyFill="1"/>
    <xf numFmtId="0" fontId="0" fillId="9" borderId="0" xfId="0" applyFill="1"/>
    <xf numFmtId="0" fontId="0" fillId="9" borderId="0" xfId="0" applyFont="1" applyFill="1"/>
    <xf numFmtId="49" fontId="0" fillId="9" borderId="0" xfId="0" applyNumberFormat="1" applyFill="1"/>
    <xf numFmtId="49" fontId="0" fillId="2" borderId="0" xfId="0" applyNumberFormat="1" applyFill="1"/>
    <xf numFmtId="0" fontId="0" fillId="10" borderId="0" xfId="0" applyFill="1"/>
    <xf numFmtId="0" fontId="0" fillId="10" borderId="0" xfId="0" applyFont="1" applyFill="1"/>
    <xf numFmtId="0" fontId="0" fillId="11" borderId="0" xfId="0" applyFill="1"/>
    <xf numFmtId="0" fontId="0" fillId="11" borderId="0" xfId="0" applyFont="1" applyFill="1"/>
    <xf numFmtId="0" fontId="0" fillId="5" borderId="0" xfId="0" applyFont="1" applyFill="1"/>
    <xf numFmtId="0" fontId="0" fillId="12" borderId="0" xfId="0" applyFill="1"/>
    <xf numFmtId="0" fontId="0" fillId="12" borderId="0" xfId="0" applyFont="1" applyFill="1"/>
    <xf numFmtId="0" fontId="0" fillId="13" borderId="0" xfId="0" applyFill="1"/>
    <xf numFmtId="0" fontId="0" fillId="13" borderId="0" xfId="0" applyFont="1" applyFill="1"/>
    <xf numFmtId="0" fontId="3" fillId="0" borderId="0" xfId="0" applyFont="1" applyAlignment="1">
      <alignment horizontal="center"/>
    </xf>
    <xf numFmtId="0" fontId="0" fillId="14" borderId="0" xfId="0" applyFill="1"/>
    <xf numFmtId="0" fontId="0" fillId="15" borderId="0" xfId="0" applyFill="1"/>
    <xf numFmtId="0" fontId="3" fillId="0" borderId="1" xfId="0" applyFont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49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3" fillId="16" borderId="0" xfId="0" applyFont="1" applyFill="1" applyBorder="1" applyAlignment="1">
      <alignment horizontal="right"/>
    </xf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0" fontId="0" fillId="16" borderId="0" xfId="0" applyFill="1"/>
    <xf numFmtId="0" fontId="3" fillId="17" borderId="0" xfId="0" applyFont="1" applyFill="1" applyBorder="1" applyAlignment="1">
      <alignment horizontal="right"/>
    </xf>
    <xf numFmtId="49" fontId="3" fillId="17" borderId="0" xfId="0" applyNumberFormat="1" applyFont="1" applyFill="1" applyBorder="1" applyAlignment="1">
      <alignment horizontal="center"/>
    </xf>
    <xf numFmtId="49" fontId="3" fillId="3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center"/>
    </xf>
    <xf numFmtId="49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3" fillId="14" borderId="0" xfId="0" applyFont="1" applyFill="1" applyBorder="1" applyAlignment="1">
      <alignment horizontal="right"/>
    </xf>
    <xf numFmtId="49" fontId="3" fillId="14" borderId="0" xfId="0" applyNumberFormat="1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3" borderId="3" xfId="0" applyFont="1" applyFill="1" applyBorder="1" applyAlignment="1"/>
    <xf numFmtId="0" fontId="3" fillId="3" borderId="0" xfId="0" applyFont="1" applyFill="1" applyBorder="1" applyAlignment="1"/>
    <xf numFmtId="0" fontId="2" fillId="0" borderId="0" xfId="0" applyFont="1"/>
    <xf numFmtId="49" fontId="3" fillId="15" borderId="1" xfId="0" applyNumberFormat="1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4">
    <cellStyle name="Normal" xfId="0" builtinId="0"/>
    <cellStyle name="Percent" xfId="1" builtinId="5"/>
    <cellStyle name="常规 2" xfId="3"/>
    <cellStyle name="百分比 2" xfId="2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387</xdr:row>
      <xdr:rowOff>0</xdr:rowOff>
    </xdr:from>
    <xdr:to>
      <xdr:col>13</xdr:col>
      <xdr:colOff>265786</xdr:colOff>
      <xdr:row>397</xdr:row>
      <xdr:rowOff>9298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70037325"/>
          <a:ext cx="3189605" cy="1818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release/release/&#23453;&#38738;&#2234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随机库Sheet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102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9" defaultRowHeight="15"/>
  <cols>
    <col min="1" max="1" width="8.42578125" customWidth="1"/>
    <col min="2" max="2" width="25.5703125" bestFit="1" customWidth="1"/>
    <col min="3" max="3" width="9.28515625" customWidth="1"/>
    <col min="4" max="4" width="9.42578125" customWidth="1"/>
    <col min="5" max="5" width="9.28515625" customWidth="1"/>
    <col min="6" max="6" width="9.42578125" customWidth="1"/>
    <col min="7" max="7" width="74" customWidth="1"/>
    <col min="8" max="8" width="13.28515625" customWidth="1"/>
    <col min="9" max="10" width="17.42578125" customWidth="1"/>
    <col min="11" max="11" width="9.28515625" customWidth="1"/>
    <col min="12" max="12" width="17.28515625" customWidth="1"/>
    <col min="13" max="13" width="13" customWidth="1"/>
    <col min="14" max="14" width="11" customWidth="1"/>
    <col min="15" max="15" width="15.140625" customWidth="1"/>
    <col min="16" max="16" width="13" customWidth="1"/>
    <col min="17" max="17" width="9.28515625" customWidth="1"/>
    <col min="18" max="18" width="7.42578125" customWidth="1"/>
    <col min="19" max="19" width="14.140625" customWidth="1"/>
    <col min="20" max="20" width="13.28515625" customWidth="1"/>
    <col min="21" max="21" width="9.28515625" customWidth="1"/>
    <col min="24" max="28" width="9.140625" customWidth="1"/>
    <col min="29" max="29" width="9.42578125" customWidth="1"/>
    <col min="30" max="32" width="9.42578125"/>
    <col min="33" max="33" width="67" customWidth="1"/>
  </cols>
  <sheetData>
    <row r="1" spans="1:33" ht="16.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6" t="s">
        <v>7</v>
      </c>
      <c r="I1" s="55" t="s">
        <v>8</v>
      </c>
      <c r="J1" s="64" t="s">
        <v>9</v>
      </c>
      <c r="K1" s="64" t="s">
        <v>10</v>
      </c>
      <c r="L1" s="65" t="s">
        <v>11</v>
      </c>
      <c r="M1" s="65" t="s">
        <v>12</v>
      </c>
      <c r="N1" s="65" t="s">
        <v>13</v>
      </c>
      <c r="O1" s="2" t="s">
        <v>14</v>
      </c>
      <c r="P1" s="2" t="s">
        <v>15</v>
      </c>
      <c r="Q1" s="69" t="s">
        <v>16</v>
      </c>
      <c r="R1" s="69" t="s">
        <v>17</v>
      </c>
      <c r="S1" s="70" t="s">
        <v>18</v>
      </c>
      <c r="T1" s="70" t="s">
        <v>19</v>
      </c>
      <c r="U1" s="71" t="s">
        <v>20</v>
      </c>
    </row>
    <row r="2" spans="1:33" ht="16.5">
      <c r="A2" s="57">
        <v>100001</v>
      </c>
      <c r="B2" s="57" t="s">
        <v>753</v>
      </c>
      <c r="C2" s="57">
        <v>0</v>
      </c>
      <c r="D2" s="58" t="s">
        <v>21</v>
      </c>
      <c r="E2" s="57">
        <v>0</v>
      </c>
      <c r="F2" s="58" t="s">
        <v>22</v>
      </c>
      <c r="G2" s="59" t="s">
        <v>23</v>
      </c>
      <c r="H2" s="60">
        <v>20</v>
      </c>
      <c r="I2" s="66">
        <v>30</v>
      </c>
      <c r="J2" s="67" t="s">
        <v>24</v>
      </c>
      <c r="K2">
        <v>100089</v>
      </c>
      <c r="L2" s="65">
        <v>1</v>
      </c>
      <c r="M2" s="65">
        <v>-1</v>
      </c>
      <c r="N2" s="65">
        <v>101</v>
      </c>
      <c r="O2" s="2">
        <v>1</v>
      </c>
      <c r="P2" s="2">
        <v>102</v>
      </c>
      <c r="Q2" s="57">
        <v>1074</v>
      </c>
      <c r="R2" s="57">
        <v>15505</v>
      </c>
      <c r="S2" s="72">
        <v>200</v>
      </c>
      <c r="T2" s="72">
        <v>2</v>
      </c>
      <c r="U2" s="73" t="s">
        <v>25</v>
      </c>
      <c r="V2" t="s">
        <v>26</v>
      </c>
      <c r="W2" t="s">
        <v>27</v>
      </c>
      <c r="Y2">
        <v>160</v>
      </c>
      <c r="Z2">
        <v>160</v>
      </c>
      <c r="AA2">
        <v>160</v>
      </c>
      <c r="AB2">
        <v>332</v>
      </c>
      <c r="AC2">
        <v>13000101</v>
      </c>
      <c r="AD2">
        <v>19000101</v>
      </c>
      <c r="AE2">
        <v>3000101</v>
      </c>
      <c r="AF2">
        <v>0</v>
      </c>
      <c r="AG2" t="s">
        <v>23</v>
      </c>
    </row>
    <row r="3" spans="1:33" ht="16.5">
      <c r="A3" s="57">
        <v>100002</v>
      </c>
      <c r="B3" s="57" t="s">
        <v>754</v>
      </c>
      <c r="C3" s="57">
        <v>0</v>
      </c>
      <c r="D3" s="58" t="s">
        <v>21</v>
      </c>
      <c r="E3" s="57">
        <v>0</v>
      </c>
      <c r="F3" s="58" t="s">
        <v>22</v>
      </c>
      <c r="G3" s="59" t="s">
        <v>28</v>
      </c>
      <c r="H3" s="60">
        <v>20</v>
      </c>
      <c r="I3" s="66">
        <v>30</v>
      </c>
      <c r="J3" s="67" t="s">
        <v>24</v>
      </c>
      <c r="K3">
        <v>100089</v>
      </c>
      <c r="L3" s="65">
        <v>1</v>
      </c>
      <c r="M3" s="65">
        <v>-1</v>
      </c>
      <c r="N3" s="65">
        <v>101</v>
      </c>
      <c r="O3" s="2">
        <v>1</v>
      </c>
      <c r="P3" s="2">
        <v>102</v>
      </c>
      <c r="Q3" s="57">
        <v>1074</v>
      </c>
      <c r="R3" s="57">
        <v>15505</v>
      </c>
      <c r="S3" s="72">
        <v>200</v>
      </c>
      <c r="T3" s="72">
        <v>2</v>
      </c>
      <c r="U3" s="73" t="s">
        <v>29</v>
      </c>
      <c r="V3" t="s">
        <v>30</v>
      </c>
      <c r="W3" s="73" t="s">
        <v>31</v>
      </c>
      <c r="Y3">
        <v>160</v>
      </c>
      <c r="Z3">
        <v>160</v>
      </c>
      <c r="AA3">
        <v>160</v>
      </c>
      <c r="AB3">
        <v>332</v>
      </c>
      <c r="AC3">
        <v>11000101</v>
      </c>
      <c r="AD3">
        <v>31000101</v>
      </c>
      <c r="AE3">
        <v>29000101</v>
      </c>
      <c r="AF3">
        <v>0</v>
      </c>
      <c r="AG3" t="s">
        <v>28</v>
      </c>
    </row>
    <row r="4" spans="1:33" ht="16.5">
      <c r="A4" s="57">
        <v>100003</v>
      </c>
      <c r="B4" s="57" t="s">
        <v>755</v>
      </c>
      <c r="C4" s="57">
        <v>0</v>
      </c>
      <c r="D4" s="58" t="s">
        <v>21</v>
      </c>
      <c r="E4" s="57">
        <v>0</v>
      </c>
      <c r="F4" s="58" t="s">
        <v>22</v>
      </c>
      <c r="G4" s="59" t="s">
        <v>32</v>
      </c>
      <c r="H4" s="60">
        <v>20</v>
      </c>
      <c r="I4" s="66">
        <v>30</v>
      </c>
      <c r="J4" s="67" t="s">
        <v>24</v>
      </c>
      <c r="K4">
        <v>100089</v>
      </c>
      <c r="L4" s="65">
        <v>1</v>
      </c>
      <c r="M4" s="65">
        <v>-1</v>
      </c>
      <c r="N4" s="65">
        <v>101</v>
      </c>
      <c r="O4" s="2">
        <v>1</v>
      </c>
      <c r="P4" s="2">
        <v>102</v>
      </c>
      <c r="Q4" s="57">
        <v>1074</v>
      </c>
      <c r="R4" s="57">
        <v>15505</v>
      </c>
      <c r="S4" s="72">
        <v>200</v>
      </c>
      <c r="T4" s="72">
        <v>2</v>
      </c>
      <c r="U4" s="73" t="s">
        <v>33</v>
      </c>
      <c r="V4" t="s">
        <v>34</v>
      </c>
      <c r="W4" t="s">
        <v>35</v>
      </c>
      <c r="Y4">
        <v>160</v>
      </c>
      <c r="Z4">
        <v>160</v>
      </c>
      <c r="AA4">
        <v>160</v>
      </c>
      <c r="AB4">
        <v>332</v>
      </c>
      <c r="AC4">
        <v>22000101</v>
      </c>
      <c r="AD4">
        <v>14000101</v>
      </c>
      <c r="AE4">
        <v>4000101</v>
      </c>
      <c r="AF4">
        <v>0</v>
      </c>
      <c r="AG4" t="s">
        <v>32</v>
      </c>
    </row>
    <row r="5" spans="1:33" ht="16.5">
      <c r="A5" s="57">
        <v>100004</v>
      </c>
      <c r="B5" s="57" t="s">
        <v>756</v>
      </c>
      <c r="C5" s="57">
        <v>0</v>
      </c>
      <c r="D5" s="58" t="s">
        <v>21</v>
      </c>
      <c r="E5" s="57">
        <v>0</v>
      </c>
      <c r="F5" s="58" t="s">
        <v>22</v>
      </c>
      <c r="G5" s="59" t="s">
        <v>36</v>
      </c>
      <c r="H5" s="60">
        <v>20</v>
      </c>
      <c r="I5" s="66">
        <v>30</v>
      </c>
      <c r="J5" s="67" t="s">
        <v>24</v>
      </c>
      <c r="K5">
        <v>100089</v>
      </c>
      <c r="L5" s="65">
        <v>1</v>
      </c>
      <c r="M5" s="65">
        <v>-1</v>
      </c>
      <c r="N5" s="65">
        <v>101</v>
      </c>
      <c r="O5" s="2">
        <v>1</v>
      </c>
      <c r="P5" s="2">
        <v>102</v>
      </c>
      <c r="Q5" s="57">
        <v>1074</v>
      </c>
      <c r="R5" s="57">
        <v>15505</v>
      </c>
      <c r="S5" s="72">
        <v>200</v>
      </c>
      <c r="T5" s="72">
        <v>2</v>
      </c>
      <c r="U5" s="73" t="s">
        <v>37</v>
      </c>
      <c r="V5" t="s">
        <v>38</v>
      </c>
      <c r="W5" t="s">
        <v>39</v>
      </c>
      <c r="X5" t="s">
        <v>40</v>
      </c>
      <c r="Y5">
        <v>160</v>
      </c>
      <c r="Z5">
        <v>160</v>
      </c>
      <c r="AA5">
        <v>160</v>
      </c>
      <c r="AB5">
        <v>160</v>
      </c>
      <c r="AC5">
        <v>24000101</v>
      </c>
      <c r="AD5">
        <v>27000101</v>
      </c>
      <c r="AE5">
        <v>10000101</v>
      </c>
      <c r="AF5">
        <v>28000101</v>
      </c>
      <c r="AG5" t="s">
        <v>36</v>
      </c>
    </row>
    <row r="6" spans="1:33" ht="16.5">
      <c r="A6" s="57">
        <v>100005</v>
      </c>
      <c r="B6" s="57" t="s">
        <v>757</v>
      </c>
      <c r="C6" s="57">
        <v>0</v>
      </c>
      <c r="D6" s="58" t="s">
        <v>21</v>
      </c>
      <c r="E6" s="57">
        <v>0</v>
      </c>
      <c r="F6" s="58" t="s">
        <v>22</v>
      </c>
      <c r="G6" s="59" t="s">
        <v>23</v>
      </c>
      <c r="H6" s="60">
        <v>20</v>
      </c>
      <c r="I6" s="66">
        <v>30</v>
      </c>
      <c r="J6" s="67" t="s">
        <v>24</v>
      </c>
      <c r="K6">
        <v>100089</v>
      </c>
      <c r="L6" s="65">
        <v>1</v>
      </c>
      <c r="M6" s="65">
        <v>-1</v>
      </c>
      <c r="N6" s="65">
        <v>101</v>
      </c>
      <c r="O6" s="2">
        <v>1</v>
      </c>
      <c r="P6" s="2">
        <v>102</v>
      </c>
      <c r="Q6" s="57">
        <v>1074</v>
      </c>
      <c r="R6" s="57">
        <v>15505</v>
      </c>
      <c r="S6" s="72">
        <v>200</v>
      </c>
      <c r="T6" s="72">
        <v>2</v>
      </c>
      <c r="U6" s="73" t="s">
        <v>25</v>
      </c>
      <c r="V6" t="s">
        <v>26</v>
      </c>
      <c r="W6" t="s">
        <v>27</v>
      </c>
      <c r="Y6">
        <v>160</v>
      </c>
      <c r="Z6">
        <v>160</v>
      </c>
      <c r="AA6">
        <v>160</v>
      </c>
      <c r="AB6">
        <v>332</v>
      </c>
      <c r="AC6">
        <v>13000101</v>
      </c>
      <c r="AD6">
        <v>19000101</v>
      </c>
      <c r="AE6">
        <v>3000101</v>
      </c>
      <c r="AF6">
        <v>0</v>
      </c>
      <c r="AG6" t="s">
        <v>23</v>
      </c>
    </row>
    <row r="7" spans="1:33" ht="16.5">
      <c r="A7" s="57">
        <v>100006</v>
      </c>
      <c r="B7" s="57" t="s">
        <v>758</v>
      </c>
      <c r="C7" s="57">
        <v>0</v>
      </c>
      <c r="D7" s="58" t="s">
        <v>21</v>
      </c>
      <c r="E7" s="57">
        <v>0</v>
      </c>
      <c r="F7" s="58" t="s">
        <v>22</v>
      </c>
      <c r="G7" s="59" t="s">
        <v>28</v>
      </c>
      <c r="H7" s="60">
        <v>20</v>
      </c>
      <c r="I7" s="66">
        <v>30</v>
      </c>
      <c r="J7" s="67" t="s">
        <v>24</v>
      </c>
      <c r="K7">
        <v>100089</v>
      </c>
      <c r="L7" s="65">
        <v>1</v>
      </c>
      <c r="M7" s="65">
        <v>-1</v>
      </c>
      <c r="N7" s="65">
        <v>101</v>
      </c>
      <c r="O7" s="2">
        <v>1</v>
      </c>
      <c r="P7" s="2">
        <v>102</v>
      </c>
      <c r="Q7" s="57">
        <v>1074</v>
      </c>
      <c r="R7" s="57">
        <v>15505</v>
      </c>
      <c r="S7" s="72">
        <v>200</v>
      </c>
      <c r="T7" s="72">
        <v>2</v>
      </c>
      <c r="U7" s="73" t="s">
        <v>29</v>
      </c>
      <c r="V7" t="s">
        <v>30</v>
      </c>
      <c r="W7" s="73" t="s">
        <v>31</v>
      </c>
      <c r="Y7">
        <v>160</v>
      </c>
      <c r="Z7">
        <v>160</v>
      </c>
      <c r="AA7">
        <v>160</v>
      </c>
      <c r="AB7">
        <v>332</v>
      </c>
      <c r="AC7">
        <v>11000101</v>
      </c>
      <c r="AD7">
        <v>31000101</v>
      </c>
      <c r="AE7">
        <v>29000101</v>
      </c>
      <c r="AF7">
        <v>0</v>
      </c>
      <c r="AG7" t="s">
        <v>41</v>
      </c>
    </row>
    <row r="8" spans="1:33" ht="16.5">
      <c r="A8" s="57">
        <v>100007</v>
      </c>
      <c r="B8" s="57" t="s">
        <v>759</v>
      </c>
      <c r="C8" s="57">
        <v>0</v>
      </c>
      <c r="D8" s="58" t="s">
        <v>21</v>
      </c>
      <c r="E8" s="57">
        <v>0</v>
      </c>
      <c r="F8" s="58" t="s">
        <v>22</v>
      </c>
      <c r="G8" s="59" t="s">
        <v>32</v>
      </c>
      <c r="H8" s="60">
        <v>20</v>
      </c>
      <c r="I8" s="66">
        <v>30</v>
      </c>
      <c r="J8" s="67" t="s">
        <v>24</v>
      </c>
      <c r="K8">
        <v>100089</v>
      </c>
      <c r="L8" s="65">
        <v>1</v>
      </c>
      <c r="M8" s="65">
        <v>-1</v>
      </c>
      <c r="N8" s="65">
        <v>101</v>
      </c>
      <c r="O8" s="2">
        <v>1</v>
      </c>
      <c r="P8" s="2">
        <v>102</v>
      </c>
      <c r="Q8" s="57">
        <v>1074</v>
      </c>
      <c r="R8" s="57">
        <v>15505</v>
      </c>
      <c r="S8" s="72">
        <v>200</v>
      </c>
      <c r="T8" s="72">
        <v>2</v>
      </c>
      <c r="U8" s="73" t="s">
        <v>33</v>
      </c>
      <c r="V8" t="s">
        <v>34</v>
      </c>
      <c r="W8" t="s">
        <v>35</v>
      </c>
      <c r="Y8">
        <v>160</v>
      </c>
      <c r="Z8">
        <v>160</v>
      </c>
      <c r="AA8">
        <v>160</v>
      </c>
      <c r="AB8">
        <v>332</v>
      </c>
      <c r="AC8">
        <v>22000101</v>
      </c>
      <c r="AD8">
        <v>14000101</v>
      </c>
      <c r="AE8">
        <v>4000101</v>
      </c>
      <c r="AF8">
        <v>0</v>
      </c>
      <c r="AG8" t="s">
        <v>42</v>
      </c>
    </row>
    <row r="9" spans="1:33" ht="16.5">
      <c r="A9" s="57">
        <v>100008</v>
      </c>
      <c r="B9" s="57" t="s">
        <v>760</v>
      </c>
      <c r="C9" s="57">
        <v>0</v>
      </c>
      <c r="D9" s="58" t="s">
        <v>21</v>
      </c>
      <c r="E9" s="57">
        <v>0</v>
      </c>
      <c r="F9" s="58" t="s">
        <v>22</v>
      </c>
      <c r="G9" s="59" t="s">
        <v>36</v>
      </c>
      <c r="H9" s="60">
        <v>20</v>
      </c>
      <c r="I9" s="66">
        <v>30</v>
      </c>
      <c r="J9" s="67" t="s">
        <v>24</v>
      </c>
      <c r="K9">
        <v>100089</v>
      </c>
      <c r="L9" s="65">
        <v>1</v>
      </c>
      <c r="M9" s="65">
        <v>-1</v>
      </c>
      <c r="N9" s="65">
        <v>101</v>
      </c>
      <c r="O9" s="2">
        <v>1</v>
      </c>
      <c r="P9" s="2">
        <v>102</v>
      </c>
      <c r="Q9" s="57">
        <v>1074</v>
      </c>
      <c r="R9" s="57">
        <v>15505</v>
      </c>
      <c r="S9" s="72">
        <v>200</v>
      </c>
      <c r="T9" s="72">
        <v>2</v>
      </c>
      <c r="U9" s="73" t="s">
        <v>37</v>
      </c>
      <c r="V9" t="s">
        <v>38</v>
      </c>
      <c r="W9" t="s">
        <v>39</v>
      </c>
      <c r="X9" t="s">
        <v>40</v>
      </c>
      <c r="Y9">
        <v>160</v>
      </c>
      <c r="Z9">
        <v>160</v>
      </c>
      <c r="AA9">
        <v>160</v>
      </c>
      <c r="AB9">
        <v>160</v>
      </c>
      <c r="AC9">
        <v>24000101</v>
      </c>
      <c r="AD9">
        <v>27000101</v>
      </c>
      <c r="AE9">
        <v>10000101</v>
      </c>
      <c r="AF9">
        <v>28000101</v>
      </c>
      <c r="AG9" t="s">
        <v>36</v>
      </c>
    </row>
    <row r="10" spans="1:33" ht="16.5">
      <c r="A10" s="57">
        <v>100009</v>
      </c>
      <c r="B10" s="57" t="s">
        <v>761</v>
      </c>
      <c r="C10" s="57">
        <v>0</v>
      </c>
      <c r="D10" s="58" t="s">
        <v>21</v>
      </c>
      <c r="E10" s="57">
        <v>0</v>
      </c>
      <c r="F10" s="58" t="s">
        <v>22</v>
      </c>
      <c r="G10" s="59" t="s">
        <v>23</v>
      </c>
      <c r="H10" s="60">
        <v>20</v>
      </c>
      <c r="I10" s="66">
        <v>30</v>
      </c>
      <c r="J10" s="67" t="s">
        <v>24</v>
      </c>
      <c r="K10">
        <v>100089</v>
      </c>
      <c r="L10" s="65">
        <v>1</v>
      </c>
      <c r="M10" s="65">
        <v>-1</v>
      </c>
      <c r="N10" s="65">
        <v>101</v>
      </c>
      <c r="O10" s="2">
        <v>1</v>
      </c>
      <c r="P10" s="2">
        <v>102</v>
      </c>
      <c r="Q10" s="57">
        <v>1074</v>
      </c>
      <c r="R10" s="57">
        <v>15505</v>
      </c>
      <c r="S10" s="72">
        <v>200</v>
      </c>
      <c r="T10" s="72">
        <v>2</v>
      </c>
      <c r="U10" s="73" t="s">
        <v>25</v>
      </c>
      <c r="V10" t="s">
        <v>26</v>
      </c>
      <c r="W10" t="s">
        <v>27</v>
      </c>
      <c r="Y10">
        <v>160</v>
      </c>
      <c r="Z10">
        <v>160</v>
      </c>
      <c r="AA10">
        <v>160</v>
      </c>
      <c r="AB10">
        <v>332</v>
      </c>
      <c r="AC10">
        <v>13000101</v>
      </c>
      <c r="AD10">
        <v>19000101</v>
      </c>
      <c r="AE10">
        <v>3000101</v>
      </c>
      <c r="AF10">
        <v>0</v>
      </c>
      <c r="AG10" t="s">
        <v>43</v>
      </c>
    </row>
    <row r="11" spans="1:33" ht="16.5">
      <c r="A11" s="57">
        <v>100010</v>
      </c>
      <c r="B11" s="57" t="s">
        <v>762</v>
      </c>
      <c r="C11" s="57">
        <v>0</v>
      </c>
      <c r="D11" s="58" t="s">
        <v>21</v>
      </c>
      <c r="E11" s="57">
        <v>0</v>
      </c>
      <c r="F11" s="58" t="s">
        <v>22</v>
      </c>
      <c r="G11" s="59" t="s">
        <v>28</v>
      </c>
      <c r="H11" s="60">
        <v>20</v>
      </c>
      <c r="I11" s="66">
        <v>30</v>
      </c>
      <c r="J11" s="67" t="s">
        <v>24</v>
      </c>
      <c r="K11">
        <v>100089</v>
      </c>
      <c r="L11" s="65">
        <v>1</v>
      </c>
      <c r="M11" s="65">
        <v>-1</v>
      </c>
      <c r="N11" s="65">
        <v>101</v>
      </c>
      <c r="O11" s="2">
        <v>1</v>
      </c>
      <c r="P11" s="2">
        <v>102</v>
      </c>
      <c r="Q11" s="57">
        <v>1074</v>
      </c>
      <c r="R11" s="57">
        <v>15505</v>
      </c>
      <c r="S11" s="72">
        <v>200</v>
      </c>
      <c r="T11" s="72">
        <v>2</v>
      </c>
      <c r="U11" s="73" t="s">
        <v>29</v>
      </c>
      <c r="V11" t="s">
        <v>30</v>
      </c>
      <c r="W11" s="73" t="s">
        <v>31</v>
      </c>
      <c r="Y11">
        <v>160</v>
      </c>
      <c r="Z11">
        <v>160</v>
      </c>
      <c r="AA11">
        <v>160</v>
      </c>
      <c r="AB11">
        <v>332</v>
      </c>
      <c r="AC11">
        <v>11000101</v>
      </c>
      <c r="AD11">
        <v>31000101</v>
      </c>
      <c r="AE11">
        <v>29000101</v>
      </c>
      <c r="AF11">
        <v>0</v>
      </c>
      <c r="AG11" t="s">
        <v>41</v>
      </c>
    </row>
    <row r="12" spans="1:33" ht="16.5">
      <c r="A12" s="57">
        <v>100011</v>
      </c>
      <c r="B12" s="57" t="s">
        <v>763</v>
      </c>
      <c r="C12" s="57">
        <v>0</v>
      </c>
      <c r="D12" s="58" t="s">
        <v>21</v>
      </c>
      <c r="E12" s="57">
        <v>0</v>
      </c>
      <c r="F12" s="58" t="s">
        <v>22</v>
      </c>
      <c r="G12" s="59" t="s">
        <v>32</v>
      </c>
      <c r="H12" s="60">
        <v>20</v>
      </c>
      <c r="I12" s="66">
        <v>30</v>
      </c>
      <c r="J12" s="67" t="s">
        <v>24</v>
      </c>
      <c r="K12">
        <v>100089</v>
      </c>
      <c r="L12" s="65">
        <v>1</v>
      </c>
      <c r="M12" s="65">
        <v>-1</v>
      </c>
      <c r="N12" s="65">
        <v>101</v>
      </c>
      <c r="O12" s="2">
        <v>1</v>
      </c>
      <c r="P12" s="2">
        <v>102</v>
      </c>
      <c r="Q12" s="57">
        <v>1074</v>
      </c>
      <c r="R12" s="57">
        <v>15505</v>
      </c>
      <c r="S12" s="72">
        <v>200</v>
      </c>
      <c r="T12" s="72">
        <v>2</v>
      </c>
      <c r="U12" s="73" t="s">
        <v>33</v>
      </c>
      <c r="V12" t="s">
        <v>34</v>
      </c>
      <c r="W12" t="s">
        <v>35</v>
      </c>
      <c r="Y12">
        <v>160</v>
      </c>
      <c r="Z12">
        <v>160</v>
      </c>
      <c r="AA12">
        <v>160</v>
      </c>
      <c r="AB12">
        <v>332</v>
      </c>
      <c r="AC12">
        <v>22000101</v>
      </c>
      <c r="AD12">
        <v>14000101</v>
      </c>
      <c r="AE12">
        <v>4000101</v>
      </c>
      <c r="AF12">
        <v>0</v>
      </c>
      <c r="AG12" t="s">
        <v>32</v>
      </c>
    </row>
    <row r="13" spans="1:33" ht="16.5">
      <c r="A13" s="57">
        <v>100012</v>
      </c>
      <c r="B13" s="57" t="s">
        <v>764</v>
      </c>
      <c r="C13" s="57">
        <v>0</v>
      </c>
      <c r="D13" s="58" t="s">
        <v>21</v>
      </c>
      <c r="E13" s="57">
        <v>0</v>
      </c>
      <c r="F13" s="58" t="s">
        <v>22</v>
      </c>
      <c r="G13" s="59" t="s">
        <v>36</v>
      </c>
      <c r="H13" s="60">
        <v>20</v>
      </c>
      <c r="I13" s="66">
        <v>30</v>
      </c>
      <c r="J13" s="67" t="s">
        <v>24</v>
      </c>
      <c r="K13">
        <v>100089</v>
      </c>
      <c r="L13" s="65">
        <v>1</v>
      </c>
      <c r="M13" s="65">
        <v>-1</v>
      </c>
      <c r="N13" s="65">
        <v>101</v>
      </c>
      <c r="O13" s="2">
        <v>1</v>
      </c>
      <c r="P13" s="2">
        <v>102</v>
      </c>
      <c r="Q13" s="57">
        <v>1074</v>
      </c>
      <c r="R13" s="57">
        <v>15505</v>
      </c>
      <c r="S13" s="72">
        <v>200</v>
      </c>
      <c r="T13" s="72">
        <v>2</v>
      </c>
      <c r="U13" s="73" t="s">
        <v>37</v>
      </c>
      <c r="V13" t="s">
        <v>38</v>
      </c>
      <c r="W13" t="s">
        <v>39</v>
      </c>
      <c r="X13" t="s">
        <v>40</v>
      </c>
      <c r="Y13">
        <v>160</v>
      </c>
      <c r="Z13">
        <v>160</v>
      </c>
      <c r="AA13">
        <v>160</v>
      </c>
      <c r="AB13">
        <v>160</v>
      </c>
      <c r="AC13">
        <v>24000101</v>
      </c>
      <c r="AD13">
        <v>27000101</v>
      </c>
      <c r="AE13">
        <v>10000101</v>
      </c>
      <c r="AF13">
        <v>28000101</v>
      </c>
      <c r="AG13" t="s">
        <v>44</v>
      </c>
    </row>
    <row r="14" spans="1:33" ht="16.5">
      <c r="A14" s="57">
        <v>100013</v>
      </c>
      <c r="B14" s="57" t="s">
        <v>765</v>
      </c>
      <c r="C14" s="57">
        <v>0</v>
      </c>
      <c r="D14" s="58" t="s">
        <v>21</v>
      </c>
      <c r="E14" s="57">
        <v>0</v>
      </c>
      <c r="F14" s="58" t="s">
        <v>22</v>
      </c>
      <c r="G14" s="59" t="s">
        <v>23</v>
      </c>
      <c r="H14" s="60">
        <v>20</v>
      </c>
      <c r="I14" s="66">
        <v>30</v>
      </c>
      <c r="J14" s="67" t="s">
        <v>24</v>
      </c>
      <c r="K14">
        <v>100089</v>
      </c>
      <c r="L14" s="65">
        <v>1</v>
      </c>
      <c r="M14" s="65">
        <v>-1</v>
      </c>
      <c r="N14" s="65">
        <v>101</v>
      </c>
      <c r="O14" s="2">
        <v>1</v>
      </c>
      <c r="P14" s="2">
        <v>102</v>
      </c>
      <c r="Q14" s="57">
        <v>1074</v>
      </c>
      <c r="R14" s="57">
        <v>15505</v>
      </c>
      <c r="S14" s="72">
        <v>200</v>
      </c>
      <c r="T14" s="72">
        <v>2</v>
      </c>
      <c r="U14" s="73" t="s">
        <v>25</v>
      </c>
      <c r="V14" t="s">
        <v>26</v>
      </c>
      <c r="W14" t="s">
        <v>27</v>
      </c>
      <c r="Y14">
        <v>160</v>
      </c>
      <c r="Z14">
        <v>160</v>
      </c>
      <c r="AA14">
        <v>160</v>
      </c>
      <c r="AB14">
        <v>332</v>
      </c>
      <c r="AC14">
        <v>13000101</v>
      </c>
      <c r="AD14">
        <v>19000101</v>
      </c>
      <c r="AE14">
        <v>3000101</v>
      </c>
      <c r="AF14">
        <v>0</v>
      </c>
      <c r="AG14" t="s">
        <v>23</v>
      </c>
    </row>
    <row r="15" spans="1:33" ht="16.5">
      <c r="A15" s="57">
        <v>100014</v>
      </c>
      <c r="B15" s="57" t="s">
        <v>766</v>
      </c>
      <c r="C15" s="57">
        <v>0</v>
      </c>
      <c r="D15" s="58" t="s">
        <v>21</v>
      </c>
      <c r="E15" s="57">
        <v>0</v>
      </c>
      <c r="F15" s="58" t="s">
        <v>22</v>
      </c>
      <c r="G15" s="59" t="s">
        <v>28</v>
      </c>
      <c r="H15" s="60">
        <v>20</v>
      </c>
      <c r="I15" s="66">
        <v>30</v>
      </c>
      <c r="J15" s="67" t="s">
        <v>24</v>
      </c>
      <c r="K15">
        <v>100089</v>
      </c>
      <c r="L15" s="65">
        <v>1</v>
      </c>
      <c r="M15" s="65">
        <v>-1</v>
      </c>
      <c r="N15" s="65">
        <v>101</v>
      </c>
      <c r="O15" s="2">
        <v>1</v>
      </c>
      <c r="P15" s="2">
        <v>102</v>
      </c>
      <c r="Q15" s="57">
        <v>1074</v>
      </c>
      <c r="R15" s="57">
        <v>15505</v>
      </c>
      <c r="S15" s="72">
        <v>200</v>
      </c>
      <c r="T15" s="72">
        <v>2</v>
      </c>
      <c r="U15" s="73" t="s">
        <v>29</v>
      </c>
      <c r="V15" t="s">
        <v>30</v>
      </c>
      <c r="W15" s="73" t="s">
        <v>31</v>
      </c>
      <c r="Y15">
        <v>160</v>
      </c>
      <c r="Z15">
        <v>160</v>
      </c>
      <c r="AA15">
        <v>160</v>
      </c>
      <c r="AB15">
        <v>332</v>
      </c>
      <c r="AC15">
        <v>11000101</v>
      </c>
      <c r="AD15">
        <v>31000101</v>
      </c>
      <c r="AE15">
        <v>29000101</v>
      </c>
      <c r="AF15">
        <v>0</v>
      </c>
      <c r="AG15" t="s">
        <v>28</v>
      </c>
    </row>
    <row r="16" spans="1:33" ht="16.5">
      <c r="A16" s="57">
        <v>100015</v>
      </c>
      <c r="B16" s="57" t="s">
        <v>767</v>
      </c>
      <c r="C16" s="57">
        <v>0</v>
      </c>
      <c r="D16" s="58" t="s">
        <v>21</v>
      </c>
      <c r="E16" s="57">
        <v>0</v>
      </c>
      <c r="F16" s="58" t="s">
        <v>22</v>
      </c>
      <c r="G16" s="59" t="s">
        <v>32</v>
      </c>
      <c r="H16" s="60">
        <v>20</v>
      </c>
      <c r="I16" s="66">
        <v>30</v>
      </c>
      <c r="J16" s="67" t="s">
        <v>24</v>
      </c>
      <c r="K16">
        <v>100089</v>
      </c>
      <c r="L16" s="65">
        <v>1</v>
      </c>
      <c r="M16" s="65">
        <v>-1</v>
      </c>
      <c r="N16" s="65">
        <v>101</v>
      </c>
      <c r="O16" s="2">
        <v>1</v>
      </c>
      <c r="P16" s="2">
        <v>102</v>
      </c>
      <c r="Q16" s="57">
        <v>1074</v>
      </c>
      <c r="R16" s="57">
        <v>15505</v>
      </c>
      <c r="S16" s="72">
        <v>200</v>
      </c>
      <c r="T16" s="72">
        <v>2</v>
      </c>
      <c r="U16" s="73" t="s">
        <v>33</v>
      </c>
      <c r="V16" t="s">
        <v>34</v>
      </c>
      <c r="W16" t="s">
        <v>35</v>
      </c>
      <c r="Y16">
        <v>160</v>
      </c>
      <c r="Z16">
        <v>160</v>
      </c>
      <c r="AA16">
        <v>160</v>
      </c>
      <c r="AB16">
        <v>332</v>
      </c>
      <c r="AC16">
        <v>22000101</v>
      </c>
      <c r="AD16">
        <v>14000101</v>
      </c>
      <c r="AE16">
        <v>4000101</v>
      </c>
      <c r="AF16">
        <v>0</v>
      </c>
      <c r="AG16" t="s">
        <v>42</v>
      </c>
    </row>
    <row r="17" spans="1:33" ht="16.5">
      <c r="A17" s="57">
        <v>100016</v>
      </c>
      <c r="B17" s="57" t="s">
        <v>768</v>
      </c>
      <c r="C17" s="57">
        <v>0</v>
      </c>
      <c r="D17" s="58" t="s">
        <v>21</v>
      </c>
      <c r="E17" s="57">
        <v>0</v>
      </c>
      <c r="F17" s="58" t="s">
        <v>22</v>
      </c>
      <c r="G17" s="59" t="s">
        <v>36</v>
      </c>
      <c r="H17" s="60">
        <v>20</v>
      </c>
      <c r="I17" s="66">
        <v>30</v>
      </c>
      <c r="J17" s="67" t="s">
        <v>24</v>
      </c>
      <c r="K17">
        <v>100089</v>
      </c>
      <c r="L17" s="65">
        <v>1</v>
      </c>
      <c r="M17" s="65">
        <v>-1</v>
      </c>
      <c r="N17" s="65">
        <v>101</v>
      </c>
      <c r="O17" s="2">
        <v>1</v>
      </c>
      <c r="P17" s="2">
        <v>102</v>
      </c>
      <c r="Q17" s="57">
        <v>1074</v>
      </c>
      <c r="R17" s="57">
        <v>15505</v>
      </c>
      <c r="S17" s="72">
        <v>200</v>
      </c>
      <c r="T17" s="72">
        <v>2</v>
      </c>
      <c r="U17" s="73" t="s">
        <v>37</v>
      </c>
      <c r="V17" t="s">
        <v>38</v>
      </c>
      <c r="W17" t="s">
        <v>39</v>
      </c>
      <c r="X17" t="s">
        <v>40</v>
      </c>
      <c r="Y17">
        <v>160</v>
      </c>
      <c r="Z17">
        <v>160</v>
      </c>
      <c r="AA17">
        <v>160</v>
      </c>
      <c r="AB17">
        <v>160</v>
      </c>
      <c r="AC17">
        <v>24000101</v>
      </c>
      <c r="AD17">
        <v>27000101</v>
      </c>
      <c r="AE17">
        <v>10000101</v>
      </c>
      <c r="AF17">
        <v>28000101</v>
      </c>
      <c r="AG17" t="s">
        <v>36</v>
      </c>
    </row>
    <row r="18" spans="1:33" ht="16.5">
      <c r="A18" s="57">
        <v>100017</v>
      </c>
      <c r="B18" s="57" t="s">
        <v>769</v>
      </c>
      <c r="C18" s="57">
        <v>0</v>
      </c>
      <c r="D18" s="58" t="s">
        <v>21</v>
      </c>
      <c r="E18" s="57">
        <v>0</v>
      </c>
      <c r="F18" s="58" t="s">
        <v>22</v>
      </c>
      <c r="G18" s="59" t="s">
        <v>23</v>
      </c>
      <c r="H18" s="60">
        <v>20</v>
      </c>
      <c r="I18" s="66">
        <v>30</v>
      </c>
      <c r="J18" s="67" t="s">
        <v>24</v>
      </c>
      <c r="K18">
        <v>100089</v>
      </c>
      <c r="L18" s="65">
        <v>1</v>
      </c>
      <c r="M18" s="65">
        <v>-1</v>
      </c>
      <c r="N18" s="65">
        <v>101</v>
      </c>
      <c r="O18" s="2">
        <v>1</v>
      </c>
      <c r="P18" s="2">
        <v>102</v>
      </c>
      <c r="Q18" s="57">
        <v>1074</v>
      </c>
      <c r="R18" s="57">
        <v>15505</v>
      </c>
      <c r="S18" s="72">
        <v>200</v>
      </c>
      <c r="T18" s="72">
        <v>2</v>
      </c>
      <c r="U18" s="73" t="s">
        <v>25</v>
      </c>
      <c r="V18" t="s">
        <v>26</v>
      </c>
      <c r="W18" t="s">
        <v>27</v>
      </c>
      <c r="Y18">
        <v>160</v>
      </c>
      <c r="Z18">
        <v>160</v>
      </c>
      <c r="AA18">
        <v>160</v>
      </c>
      <c r="AB18">
        <v>332</v>
      </c>
      <c r="AC18">
        <v>13000101</v>
      </c>
      <c r="AD18">
        <v>19000101</v>
      </c>
      <c r="AE18">
        <v>3000101</v>
      </c>
      <c r="AF18">
        <v>0</v>
      </c>
      <c r="AG18" t="s">
        <v>43</v>
      </c>
    </row>
    <row r="19" spans="1:33" ht="16.5">
      <c r="A19" s="57">
        <v>100018</v>
      </c>
      <c r="B19" s="57" t="s">
        <v>770</v>
      </c>
      <c r="C19" s="57">
        <v>0</v>
      </c>
      <c r="D19" s="58" t="s">
        <v>21</v>
      </c>
      <c r="E19" s="57">
        <v>0</v>
      </c>
      <c r="F19" s="58" t="s">
        <v>22</v>
      </c>
      <c r="G19" s="59" t="s">
        <v>28</v>
      </c>
      <c r="H19" s="60">
        <v>20</v>
      </c>
      <c r="I19" s="66">
        <v>30</v>
      </c>
      <c r="J19" s="67" t="s">
        <v>24</v>
      </c>
      <c r="K19">
        <v>100089</v>
      </c>
      <c r="L19" s="65">
        <v>1</v>
      </c>
      <c r="M19" s="65">
        <v>-1</v>
      </c>
      <c r="N19" s="65">
        <v>101</v>
      </c>
      <c r="O19" s="2">
        <v>1</v>
      </c>
      <c r="P19" s="2">
        <v>102</v>
      </c>
      <c r="Q19" s="57">
        <v>1074</v>
      </c>
      <c r="R19" s="57">
        <v>15505</v>
      </c>
      <c r="S19" s="72">
        <v>200</v>
      </c>
      <c r="T19" s="72">
        <v>2</v>
      </c>
      <c r="U19" s="73" t="s">
        <v>29</v>
      </c>
      <c r="V19" t="s">
        <v>30</v>
      </c>
      <c r="W19" s="73" t="s">
        <v>31</v>
      </c>
      <c r="Y19">
        <v>160</v>
      </c>
      <c r="Z19">
        <v>160</v>
      </c>
      <c r="AA19">
        <v>160</v>
      </c>
      <c r="AB19">
        <v>332</v>
      </c>
      <c r="AC19">
        <v>11000101</v>
      </c>
      <c r="AD19">
        <v>31000101</v>
      </c>
      <c r="AE19">
        <v>29000101</v>
      </c>
      <c r="AF19">
        <v>0</v>
      </c>
      <c r="AG19" t="s">
        <v>28</v>
      </c>
    </row>
    <row r="20" spans="1:33" ht="16.5">
      <c r="A20" s="57">
        <v>100019</v>
      </c>
      <c r="B20" s="57" t="s">
        <v>771</v>
      </c>
      <c r="C20" s="57">
        <v>0</v>
      </c>
      <c r="D20" s="58" t="s">
        <v>21</v>
      </c>
      <c r="E20" s="57">
        <v>0</v>
      </c>
      <c r="F20" s="58" t="s">
        <v>22</v>
      </c>
      <c r="G20" s="59" t="s">
        <v>32</v>
      </c>
      <c r="H20" s="60">
        <v>20</v>
      </c>
      <c r="I20" s="66">
        <v>30</v>
      </c>
      <c r="J20" s="67" t="s">
        <v>24</v>
      </c>
      <c r="K20">
        <v>100089</v>
      </c>
      <c r="L20" s="65">
        <v>1</v>
      </c>
      <c r="M20" s="65">
        <v>-1</v>
      </c>
      <c r="N20" s="65">
        <v>101</v>
      </c>
      <c r="O20" s="2">
        <v>1</v>
      </c>
      <c r="P20" s="2">
        <v>102</v>
      </c>
      <c r="Q20" s="57">
        <v>1074</v>
      </c>
      <c r="R20" s="57">
        <v>15505</v>
      </c>
      <c r="S20" s="72">
        <v>200</v>
      </c>
      <c r="T20" s="72">
        <v>2</v>
      </c>
      <c r="U20" s="73" t="s">
        <v>33</v>
      </c>
      <c r="V20" t="s">
        <v>34</v>
      </c>
      <c r="W20" t="s">
        <v>35</v>
      </c>
      <c r="Y20">
        <v>160</v>
      </c>
      <c r="Z20">
        <v>160</v>
      </c>
      <c r="AA20">
        <v>160</v>
      </c>
      <c r="AB20">
        <v>332</v>
      </c>
      <c r="AC20">
        <v>22000101</v>
      </c>
      <c r="AD20">
        <v>14000101</v>
      </c>
      <c r="AE20">
        <v>4000101</v>
      </c>
      <c r="AF20">
        <v>0</v>
      </c>
      <c r="AG20" t="s">
        <v>32</v>
      </c>
    </row>
    <row r="21" spans="1:33" ht="16.5">
      <c r="A21" s="57">
        <v>100020</v>
      </c>
      <c r="B21" s="57" t="s">
        <v>772</v>
      </c>
      <c r="C21" s="57">
        <v>0</v>
      </c>
      <c r="D21" s="58" t="s">
        <v>21</v>
      </c>
      <c r="E21" s="57">
        <v>0</v>
      </c>
      <c r="F21" s="58" t="s">
        <v>22</v>
      </c>
      <c r="G21" s="59" t="s">
        <v>36</v>
      </c>
      <c r="H21" s="60">
        <v>20</v>
      </c>
      <c r="I21" s="66">
        <v>30</v>
      </c>
      <c r="J21" s="67" t="s">
        <v>24</v>
      </c>
      <c r="K21">
        <v>100089</v>
      </c>
      <c r="L21" s="65">
        <v>1</v>
      </c>
      <c r="M21" s="65">
        <v>-1</v>
      </c>
      <c r="N21" s="65">
        <v>101</v>
      </c>
      <c r="O21" s="2">
        <v>1</v>
      </c>
      <c r="P21" s="2">
        <v>102</v>
      </c>
      <c r="Q21" s="57">
        <v>1074</v>
      </c>
      <c r="R21" s="57">
        <v>15505</v>
      </c>
      <c r="S21" s="72">
        <v>200</v>
      </c>
      <c r="T21" s="72">
        <v>2</v>
      </c>
      <c r="U21" s="73" t="s">
        <v>37</v>
      </c>
      <c r="V21" t="s">
        <v>38</v>
      </c>
      <c r="W21" t="s">
        <v>39</v>
      </c>
      <c r="X21" t="s">
        <v>40</v>
      </c>
      <c r="Y21">
        <v>160</v>
      </c>
      <c r="Z21">
        <v>160</v>
      </c>
      <c r="AA21">
        <v>160</v>
      </c>
      <c r="AB21">
        <v>160</v>
      </c>
      <c r="AC21">
        <v>24000101</v>
      </c>
      <c r="AD21">
        <v>27000101</v>
      </c>
      <c r="AE21">
        <v>10000101</v>
      </c>
      <c r="AF21">
        <v>28000101</v>
      </c>
      <c r="AG21" t="s">
        <v>36</v>
      </c>
    </row>
    <row r="22" spans="1:33" ht="16.5">
      <c r="A22" s="57">
        <v>100021</v>
      </c>
      <c r="B22" s="57" t="s">
        <v>773</v>
      </c>
      <c r="C22" s="57">
        <v>0</v>
      </c>
      <c r="D22" s="58" t="s">
        <v>21</v>
      </c>
      <c r="E22" s="57">
        <v>0</v>
      </c>
      <c r="F22" s="58" t="s">
        <v>22</v>
      </c>
      <c r="G22" s="59" t="s">
        <v>23</v>
      </c>
      <c r="H22" s="60">
        <v>20</v>
      </c>
      <c r="I22" s="66">
        <v>30</v>
      </c>
      <c r="J22" s="67" t="s">
        <v>24</v>
      </c>
      <c r="K22">
        <v>100089</v>
      </c>
      <c r="L22" s="65">
        <v>1</v>
      </c>
      <c r="M22" s="65">
        <v>-1</v>
      </c>
      <c r="N22" s="65">
        <v>101</v>
      </c>
      <c r="O22" s="2">
        <v>1</v>
      </c>
      <c r="P22" s="2">
        <v>102</v>
      </c>
      <c r="Q22" s="57">
        <v>1074</v>
      </c>
      <c r="R22" s="57">
        <v>15505</v>
      </c>
      <c r="S22" s="72">
        <v>200</v>
      </c>
      <c r="T22" s="72">
        <v>2</v>
      </c>
      <c r="U22" s="73" t="s">
        <v>25</v>
      </c>
      <c r="V22" t="s">
        <v>26</v>
      </c>
      <c r="W22" t="s">
        <v>27</v>
      </c>
      <c r="Y22">
        <v>160</v>
      </c>
      <c r="Z22">
        <v>160</v>
      </c>
      <c r="AA22">
        <v>160</v>
      </c>
      <c r="AB22">
        <v>332</v>
      </c>
      <c r="AC22">
        <v>13000101</v>
      </c>
      <c r="AD22">
        <v>19000101</v>
      </c>
      <c r="AE22">
        <v>3000101</v>
      </c>
      <c r="AF22">
        <v>0</v>
      </c>
      <c r="AG22" t="s">
        <v>23</v>
      </c>
    </row>
    <row r="23" spans="1:33" ht="16.5">
      <c r="A23" s="57">
        <v>100022</v>
      </c>
      <c r="B23" s="57" t="s">
        <v>774</v>
      </c>
      <c r="C23" s="57">
        <v>0</v>
      </c>
      <c r="D23" s="58" t="s">
        <v>21</v>
      </c>
      <c r="E23" s="57">
        <v>0</v>
      </c>
      <c r="F23" s="58" t="s">
        <v>22</v>
      </c>
      <c r="G23" s="59" t="s">
        <v>28</v>
      </c>
      <c r="H23" s="60">
        <v>20</v>
      </c>
      <c r="I23" s="66">
        <v>30</v>
      </c>
      <c r="J23" s="67" t="s">
        <v>24</v>
      </c>
      <c r="K23">
        <v>100089</v>
      </c>
      <c r="L23" s="65">
        <v>1</v>
      </c>
      <c r="M23" s="65">
        <v>-1</v>
      </c>
      <c r="N23" s="65">
        <v>101</v>
      </c>
      <c r="O23" s="2">
        <v>1</v>
      </c>
      <c r="P23" s="2">
        <v>102</v>
      </c>
      <c r="Q23" s="57">
        <v>1074</v>
      </c>
      <c r="R23" s="57">
        <v>15505</v>
      </c>
      <c r="S23" s="72">
        <v>200</v>
      </c>
      <c r="T23" s="72">
        <v>2</v>
      </c>
      <c r="U23" s="73" t="s">
        <v>29</v>
      </c>
      <c r="V23" t="s">
        <v>30</v>
      </c>
      <c r="W23" s="73" t="s">
        <v>31</v>
      </c>
      <c r="Y23">
        <v>160</v>
      </c>
      <c r="Z23">
        <v>160</v>
      </c>
      <c r="AA23">
        <v>160</v>
      </c>
      <c r="AB23">
        <v>332</v>
      </c>
      <c r="AC23">
        <v>11000101</v>
      </c>
      <c r="AD23">
        <v>31000101</v>
      </c>
      <c r="AE23">
        <v>29000101</v>
      </c>
      <c r="AF23">
        <v>0</v>
      </c>
      <c r="AG23" t="s">
        <v>41</v>
      </c>
    </row>
    <row r="24" spans="1:33" ht="16.5">
      <c r="A24" s="57">
        <v>100023</v>
      </c>
      <c r="B24" s="57" t="s">
        <v>775</v>
      </c>
      <c r="C24" s="57">
        <v>0</v>
      </c>
      <c r="D24" s="58" t="s">
        <v>21</v>
      </c>
      <c r="E24" s="57">
        <v>0</v>
      </c>
      <c r="F24" s="58" t="s">
        <v>22</v>
      </c>
      <c r="G24" s="59" t="s">
        <v>32</v>
      </c>
      <c r="H24" s="60">
        <v>20</v>
      </c>
      <c r="I24" s="66">
        <v>30</v>
      </c>
      <c r="J24" s="67" t="s">
        <v>24</v>
      </c>
      <c r="K24">
        <v>100089</v>
      </c>
      <c r="L24" s="65">
        <v>1</v>
      </c>
      <c r="M24" s="65">
        <v>-1</v>
      </c>
      <c r="N24" s="65">
        <v>101</v>
      </c>
      <c r="O24" s="2">
        <v>1</v>
      </c>
      <c r="P24" s="2">
        <v>102</v>
      </c>
      <c r="Q24" s="57">
        <v>1074</v>
      </c>
      <c r="R24" s="57">
        <v>15505</v>
      </c>
      <c r="S24" s="72">
        <v>200</v>
      </c>
      <c r="T24" s="72">
        <v>2</v>
      </c>
      <c r="U24" s="73" t="s">
        <v>33</v>
      </c>
      <c r="V24" t="s">
        <v>34</v>
      </c>
      <c r="W24" t="s">
        <v>35</v>
      </c>
      <c r="Y24">
        <v>160</v>
      </c>
      <c r="Z24">
        <v>160</v>
      </c>
      <c r="AA24">
        <v>160</v>
      </c>
      <c r="AB24">
        <v>332</v>
      </c>
      <c r="AC24">
        <v>22000101</v>
      </c>
      <c r="AD24">
        <v>14000101</v>
      </c>
      <c r="AE24">
        <v>4000101</v>
      </c>
      <c r="AF24">
        <v>0</v>
      </c>
      <c r="AG24" t="s">
        <v>42</v>
      </c>
    </row>
    <row r="25" spans="1:33" ht="16.5">
      <c r="A25" s="57">
        <v>100024</v>
      </c>
      <c r="B25" s="57" t="s">
        <v>776</v>
      </c>
      <c r="C25" s="57">
        <v>0</v>
      </c>
      <c r="D25" s="58" t="s">
        <v>21</v>
      </c>
      <c r="E25" s="57">
        <v>0</v>
      </c>
      <c r="F25" s="58" t="s">
        <v>22</v>
      </c>
      <c r="G25" s="59" t="s">
        <v>36</v>
      </c>
      <c r="H25" s="60">
        <v>20</v>
      </c>
      <c r="I25" s="66">
        <v>30</v>
      </c>
      <c r="J25" s="67" t="s">
        <v>24</v>
      </c>
      <c r="K25">
        <v>100089</v>
      </c>
      <c r="L25" s="65">
        <v>1</v>
      </c>
      <c r="M25" s="65">
        <v>-1</v>
      </c>
      <c r="N25" s="65">
        <v>101</v>
      </c>
      <c r="O25" s="2">
        <v>1</v>
      </c>
      <c r="P25" s="2">
        <v>102</v>
      </c>
      <c r="Q25" s="57">
        <v>1074</v>
      </c>
      <c r="R25" s="57">
        <v>15505</v>
      </c>
      <c r="S25" s="72">
        <v>200</v>
      </c>
      <c r="T25" s="72">
        <v>2</v>
      </c>
      <c r="U25" s="73" t="s">
        <v>37</v>
      </c>
      <c r="V25" t="s">
        <v>38</v>
      </c>
      <c r="W25" t="s">
        <v>39</v>
      </c>
      <c r="X25" t="s">
        <v>40</v>
      </c>
      <c r="Y25">
        <v>160</v>
      </c>
      <c r="Z25">
        <v>160</v>
      </c>
      <c r="AA25">
        <v>160</v>
      </c>
      <c r="AB25">
        <v>199</v>
      </c>
      <c r="AC25">
        <v>24000101</v>
      </c>
      <c r="AD25">
        <v>27000101</v>
      </c>
      <c r="AE25">
        <v>10000101</v>
      </c>
      <c r="AF25">
        <v>28000101</v>
      </c>
      <c r="AG25" t="s">
        <v>45</v>
      </c>
    </row>
    <row r="26" spans="1:33" ht="16.5">
      <c r="A26" s="57">
        <v>100025</v>
      </c>
      <c r="B26" s="57" t="s">
        <v>777</v>
      </c>
      <c r="C26" s="57">
        <v>0</v>
      </c>
      <c r="D26" s="58" t="s">
        <v>21</v>
      </c>
      <c r="E26" s="57">
        <v>0</v>
      </c>
      <c r="F26" s="58" t="s">
        <v>22</v>
      </c>
      <c r="G26" s="59" t="s">
        <v>23</v>
      </c>
      <c r="H26" s="60">
        <v>20</v>
      </c>
      <c r="I26" s="66">
        <v>30</v>
      </c>
      <c r="J26" s="67" t="s">
        <v>24</v>
      </c>
      <c r="K26">
        <v>100089</v>
      </c>
      <c r="L26" s="65">
        <v>1</v>
      </c>
      <c r="M26" s="65">
        <v>-1</v>
      </c>
      <c r="N26" s="65">
        <v>101</v>
      </c>
      <c r="O26" s="2">
        <v>1</v>
      </c>
      <c r="P26" s="2">
        <v>102</v>
      </c>
      <c r="Q26" s="57">
        <v>1074</v>
      </c>
      <c r="R26" s="57">
        <v>15505</v>
      </c>
      <c r="S26" s="72">
        <v>200</v>
      </c>
      <c r="T26" s="72">
        <v>2</v>
      </c>
      <c r="U26" s="73" t="s">
        <v>25</v>
      </c>
      <c r="V26" t="s">
        <v>26</v>
      </c>
      <c r="W26" t="s">
        <v>27</v>
      </c>
      <c r="Y26">
        <v>160</v>
      </c>
      <c r="Z26">
        <v>160</v>
      </c>
      <c r="AA26">
        <v>160</v>
      </c>
      <c r="AB26">
        <v>332</v>
      </c>
      <c r="AC26">
        <v>13000101</v>
      </c>
      <c r="AD26">
        <v>19000101</v>
      </c>
      <c r="AE26">
        <v>3000101</v>
      </c>
      <c r="AF26">
        <v>0</v>
      </c>
      <c r="AG26" t="s">
        <v>23</v>
      </c>
    </row>
    <row r="27" spans="1:33" ht="16.5">
      <c r="A27" s="57">
        <v>100026</v>
      </c>
      <c r="B27" s="57" t="s">
        <v>778</v>
      </c>
      <c r="C27" s="57">
        <v>0</v>
      </c>
      <c r="D27" s="58" t="s">
        <v>21</v>
      </c>
      <c r="E27" s="57">
        <v>0</v>
      </c>
      <c r="F27" s="58" t="s">
        <v>22</v>
      </c>
      <c r="G27" s="59" t="s">
        <v>28</v>
      </c>
      <c r="H27" s="60">
        <v>20</v>
      </c>
      <c r="I27" s="66">
        <v>30</v>
      </c>
      <c r="J27" s="67" t="s">
        <v>24</v>
      </c>
      <c r="K27">
        <v>100089</v>
      </c>
      <c r="L27" s="65">
        <v>1</v>
      </c>
      <c r="M27" s="65">
        <v>-1</v>
      </c>
      <c r="N27" s="65">
        <v>101</v>
      </c>
      <c r="O27" s="2">
        <v>1</v>
      </c>
      <c r="P27" s="2">
        <v>102</v>
      </c>
      <c r="Q27" s="57">
        <v>1074</v>
      </c>
      <c r="R27" s="57">
        <v>15505</v>
      </c>
      <c r="S27" s="72">
        <v>200</v>
      </c>
      <c r="T27" s="72">
        <v>2</v>
      </c>
      <c r="U27" s="73" t="s">
        <v>29</v>
      </c>
      <c r="V27" t="s">
        <v>30</v>
      </c>
      <c r="W27" s="73" t="s">
        <v>31</v>
      </c>
      <c r="Y27">
        <v>160</v>
      </c>
      <c r="Z27">
        <v>160</v>
      </c>
      <c r="AA27">
        <v>160</v>
      </c>
      <c r="AB27">
        <v>332</v>
      </c>
      <c r="AC27">
        <v>11000101</v>
      </c>
      <c r="AD27">
        <v>31000101</v>
      </c>
      <c r="AE27">
        <v>29000101</v>
      </c>
      <c r="AF27">
        <v>0</v>
      </c>
      <c r="AG27" t="s">
        <v>41</v>
      </c>
    </row>
    <row r="28" spans="1:33" ht="16.5">
      <c r="A28" s="57">
        <v>100027</v>
      </c>
      <c r="B28" s="57" t="s">
        <v>779</v>
      </c>
      <c r="C28" s="57">
        <v>0</v>
      </c>
      <c r="D28" s="58" t="s">
        <v>21</v>
      </c>
      <c r="E28" s="57">
        <v>0</v>
      </c>
      <c r="F28" s="58" t="s">
        <v>22</v>
      </c>
      <c r="G28" s="59" t="s">
        <v>32</v>
      </c>
      <c r="H28" s="60">
        <v>20</v>
      </c>
      <c r="I28" s="66">
        <v>30</v>
      </c>
      <c r="J28" s="67" t="s">
        <v>24</v>
      </c>
      <c r="K28">
        <v>100089</v>
      </c>
      <c r="L28" s="65">
        <v>1</v>
      </c>
      <c r="M28" s="65">
        <v>-1</v>
      </c>
      <c r="N28" s="65">
        <v>101</v>
      </c>
      <c r="O28" s="2">
        <v>1</v>
      </c>
      <c r="P28" s="2">
        <v>102</v>
      </c>
      <c r="Q28" s="57">
        <v>1074</v>
      </c>
      <c r="R28" s="57">
        <v>15505</v>
      </c>
      <c r="S28" s="72">
        <v>200</v>
      </c>
      <c r="T28" s="72">
        <v>2</v>
      </c>
      <c r="U28" s="73" t="s">
        <v>33</v>
      </c>
      <c r="V28" t="s">
        <v>34</v>
      </c>
      <c r="W28" t="s">
        <v>35</v>
      </c>
      <c r="Y28">
        <v>160</v>
      </c>
      <c r="Z28">
        <v>160</v>
      </c>
      <c r="AA28">
        <v>160</v>
      </c>
      <c r="AB28">
        <v>332</v>
      </c>
      <c r="AC28">
        <v>22000101</v>
      </c>
      <c r="AD28">
        <v>14000101</v>
      </c>
      <c r="AE28">
        <v>4000101</v>
      </c>
      <c r="AF28">
        <v>0</v>
      </c>
      <c r="AG28" t="s">
        <v>42</v>
      </c>
    </row>
    <row r="29" spans="1:33" ht="16.5">
      <c r="A29" s="57">
        <v>100028</v>
      </c>
      <c r="B29" s="57" t="s">
        <v>780</v>
      </c>
      <c r="C29" s="57">
        <v>0</v>
      </c>
      <c r="D29" s="58" t="s">
        <v>21</v>
      </c>
      <c r="E29" s="57">
        <v>0</v>
      </c>
      <c r="F29" s="58" t="s">
        <v>22</v>
      </c>
      <c r="G29" s="59" t="s">
        <v>36</v>
      </c>
      <c r="H29" s="60">
        <v>20</v>
      </c>
      <c r="I29" s="66">
        <v>30</v>
      </c>
      <c r="J29" s="67" t="s">
        <v>24</v>
      </c>
      <c r="K29">
        <v>100089</v>
      </c>
      <c r="L29" s="65">
        <v>1</v>
      </c>
      <c r="M29" s="65">
        <v>-1</v>
      </c>
      <c r="N29" s="65">
        <v>101</v>
      </c>
      <c r="O29" s="2">
        <v>1</v>
      </c>
      <c r="P29" s="2">
        <v>102</v>
      </c>
      <c r="Q29" s="57">
        <v>1074</v>
      </c>
      <c r="R29" s="57">
        <v>15505</v>
      </c>
      <c r="S29" s="72">
        <v>200</v>
      </c>
      <c r="T29" s="72">
        <v>2</v>
      </c>
      <c r="U29" s="73" t="s">
        <v>37</v>
      </c>
      <c r="V29" t="s">
        <v>38</v>
      </c>
      <c r="W29" t="s">
        <v>39</v>
      </c>
      <c r="X29" t="s">
        <v>40</v>
      </c>
      <c r="Y29">
        <v>160</v>
      </c>
      <c r="Z29">
        <v>160</v>
      </c>
      <c r="AA29">
        <v>160</v>
      </c>
      <c r="AB29">
        <v>199</v>
      </c>
      <c r="AC29">
        <v>24000101</v>
      </c>
      <c r="AD29">
        <v>27000101</v>
      </c>
      <c r="AE29">
        <v>10000101</v>
      </c>
      <c r="AF29">
        <v>28000101</v>
      </c>
      <c r="AG29" t="s">
        <v>45</v>
      </c>
    </row>
    <row r="30" spans="1:33" s="7" customFormat="1" ht="16.5">
      <c r="A30" s="57">
        <v>100029</v>
      </c>
      <c r="B30" s="57" t="s">
        <v>781</v>
      </c>
      <c r="C30" s="57">
        <v>0</v>
      </c>
      <c r="D30" s="61" t="s">
        <v>21</v>
      </c>
      <c r="E30" s="57">
        <v>0</v>
      </c>
      <c r="F30" s="61" t="s">
        <v>22</v>
      </c>
      <c r="G30" s="62" t="s">
        <v>23</v>
      </c>
      <c r="H30" s="63">
        <v>20</v>
      </c>
      <c r="I30" s="63">
        <v>30</v>
      </c>
      <c r="J30" s="68" t="s">
        <v>24</v>
      </c>
      <c r="K30" s="7">
        <v>100089</v>
      </c>
      <c r="L30" s="7">
        <v>1</v>
      </c>
      <c r="M30" s="7">
        <v>-1</v>
      </c>
      <c r="N30" s="7">
        <v>101</v>
      </c>
      <c r="O30" s="7">
        <v>1</v>
      </c>
      <c r="P30" s="7">
        <v>102</v>
      </c>
      <c r="Q30" s="74">
        <v>1074</v>
      </c>
      <c r="R30" s="74">
        <v>15505</v>
      </c>
      <c r="S30" s="70">
        <v>200</v>
      </c>
      <c r="T30" s="70">
        <v>2</v>
      </c>
      <c r="U30" s="75" t="s">
        <v>25</v>
      </c>
      <c r="V30" s="7" t="s">
        <v>26</v>
      </c>
      <c r="W30" s="7" t="s">
        <v>27</v>
      </c>
      <c r="Y30" s="7">
        <v>160</v>
      </c>
      <c r="Z30" s="7">
        <v>160</v>
      </c>
      <c r="AA30" s="7">
        <v>160</v>
      </c>
      <c r="AB30" s="7">
        <v>332</v>
      </c>
      <c r="AC30" s="7">
        <v>13000101</v>
      </c>
      <c r="AD30" s="7">
        <v>19000101</v>
      </c>
      <c r="AE30" s="7">
        <v>3000101</v>
      </c>
      <c r="AF30" s="7">
        <v>0</v>
      </c>
      <c r="AG30" s="7" t="s">
        <v>23</v>
      </c>
    </row>
    <row r="31" spans="1:33" s="7" customFormat="1" ht="16.5">
      <c r="A31" s="57">
        <v>100030</v>
      </c>
      <c r="B31" s="57" t="s">
        <v>782</v>
      </c>
      <c r="C31" s="57">
        <v>0</v>
      </c>
      <c r="D31" s="61" t="s">
        <v>21</v>
      </c>
      <c r="E31" s="57">
        <v>0</v>
      </c>
      <c r="F31" s="61" t="s">
        <v>22</v>
      </c>
      <c r="G31" s="62" t="s">
        <v>28</v>
      </c>
      <c r="H31" s="63">
        <v>20</v>
      </c>
      <c r="I31" s="63">
        <v>30</v>
      </c>
      <c r="J31" s="68" t="s">
        <v>24</v>
      </c>
      <c r="K31" s="7">
        <v>100089</v>
      </c>
      <c r="L31" s="7">
        <v>1</v>
      </c>
      <c r="M31" s="7">
        <v>-1</v>
      </c>
      <c r="N31" s="7">
        <v>101</v>
      </c>
      <c r="O31" s="7">
        <v>1</v>
      </c>
      <c r="P31" s="7">
        <v>102</v>
      </c>
      <c r="Q31" s="74">
        <v>1074</v>
      </c>
      <c r="R31" s="74">
        <v>15505</v>
      </c>
      <c r="S31" s="70">
        <v>200</v>
      </c>
      <c r="T31" s="70">
        <v>2</v>
      </c>
      <c r="U31" s="75" t="s">
        <v>29</v>
      </c>
      <c r="V31" s="7" t="s">
        <v>30</v>
      </c>
      <c r="W31" s="75" t="s">
        <v>31</v>
      </c>
      <c r="Y31" s="7">
        <v>160</v>
      </c>
      <c r="Z31" s="7">
        <v>160</v>
      </c>
      <c r="AA31" s="7">
        <v>160</v>
      </c>
      <c r="AB31" s="7">
        <v>332</v>
      </c>
      <c r="AC31" s="7">
        <v>11000101</v>
      </c>
      <c r="AD31" s="7">
        <v>31000101</v>
      </c>
      <c r="AE31" s="7">
        <v>29000101</v>
      </c>
      <c r="AF31" s="7">
        <v>0</v>
      </c>
      <c r="AG31" s="7" t="s">
        <v>41</v>
      </c>
    </row>
    <row r="32" spans="1:33" s="7" customFormat="1" ht="16.5">
      <c r="A32" s="57">
        <v>100031</v>
      </c>
      <c r="B32" s="57" t="s">
        <v>783</v>
      </c>
      <c r="C32" s="57">
        <v>0</v>
      </c>
      <c r="D32" s="61" t="s">
        <v>21</v>
      </c>
      <c r="E32" s="57">
        <v>0</v>
      </c>
      <c r="F32" s="61" t="s">
        <v>22</v>
      </c>
      <c r="G32" s="62" t="s">
        <v>32</v>
      </c>
      <c r="H32" s="63">
        <v>20</v>
      </c>
      <c r="I32" s="63">
        <v>30</v>
      </c>
      <c r="J32" s="68" t="s">
        <v>24</v>
      </c>
      <c r="K32" s="7">
        <v>100089</v>
      </c>
      <c r="L32" s="7">
        <v>1</v>
      </c>
      <c r="M32" s="7">
        <v>-1</v>
      </c>
      <c r="N32" s="7">
        <v>101</v>
      </c>
      <c r="O32" s="7">
        <v>1</v>
      </c>
      <c r="P32" s="7">
        <v>102</v>
      </c>
      <c r="Q32" s="74">
        <v>1074</v>
      </c>
      <c r="R32" s="74">
        <v>15505</v>
      </c>
      <c r="S32" s="70">
        <v>200</v>
      </c>
      <c r="T32" s="70">
        <v>2</v>
      </c>
      <c r="U32" s="75" t="s">
        <v>33</v>
      </c>
      <c r="V32" s="7" t="s">
        <v>34</v>
      </c>
      <c r="W32" s="7" t="s">
        <v>35</v>
      </c>
      <c r="Y32" s="7">
        <v>160</v>
      </c>
      <c r="Z32" s="7">
        <v>160</v>
      </c>
      <c r="AA32" s="7">
        <v>160</v>
      </c>
      <c r="AB32" s="7">
        <v>332</v>
      </c>
      <c r="AC32" s="7">
        <v>22000101</v>
      </c>
      <c r="AD32" s="7">
        <v>14000101</v>
      </c>
      <c r="AE32" s="7">
        <v>4000101</v>
      </c>
      <c r="AF32" s="7">
        <v>0</v>
      </c>
      <c r="AG32" s="7" t="s">
        <v>42</v>
      </c>
    </row>
    <row r="33" spans="1:33" s="7" customFormat="1" ht="16.5">
      <c r="A33" s="57">
        <v>100032</v>
      </c>
      <c r="B33" s="57" t="s">
        <v>784</v>
      </c>
      <c r="C33" s="57">
        <v>0</v>
      </c>
      <c r="D33" s="61" t="s">
        <v>21</v>
      </c>
      <c r="E33" s="57">
        <v>0</v>
      </c>
      <c r="F33" s="61" t="s">
        <v>22</v>
      </c>
      <c r="G33" s="62" t="s">
        <v>36</v>
      </c>
      <c r="H33" s="63">
        <v>20</v>
      </c>
      <c r="I33" s="63">
        <v>30</v>
      </c>
      <c r="J33" s="68" t="s">
        <v>24</v>
      </c>
      <c r="K33" s="7">
        <v>100089</v>
      </c>
      <c r="L33" s="7">
        <v>1</v>
      </c>
      <c r="M33" s="7">
        <v>-1</v>
      </c>
      <c r="N33" s="7">
        <v>101</v>
      </c>
      <c r="O33" s="7">
        <v>1</v>
      </c>
      <c r="P33" s="7">
        <v>102</v>
      </c>
      <c r="Q33" s="74">
        <v>1074</v>
      </c>
      <c r="R33" s="74">
        <v>15505</v>
      </c>
      <c r="S33" s="70">
        <v>200</v>
      </c>
      <c r="T33" s="70">
        <v>2</v>
      </c>
      <c r="U33" s="75" t="s">
        <v>37</v>
      </c>
      <c r="V33" s="7" t="s">
        <v>38</v>
      </c>
      <c r="W33" s="7" t="s">
        <v>39</v>
      </c>
      <c r="X33" s="7" t="s">
        <v>40</v>
      </c>
      <c r="Y33" s="7">
        <v>160</v>
      </c>
      <c r="Z33" s="7">
        <v>160</v>
      </c>
      <c r="AA33" s="7">
        <v>160</v>
      </c>
      <c r="AB33" s="7">
        <v>199</v>
      </c>
      <c r="AC33" s="7">
        <v>24000101</v>
      </c>
      <c r="AD33" s="7">
        <v>27000101</v>
      </c>
      <c r="AE33" s="7">
        <v>10000101</v>
      </c>
      <c r="AF33" s="7">
        <v>28000101</v>
      </c>
      <c r="AG33" s="7" t="s">
        <v>45</v>
      </c>
    </row>
    <row r="34" spans="1:33" s="7" customFormat="1" ht="16.5">
      <c r="A34" s="57">
        <v>100033</v>
      </c>
      <c r="B34" s="57" t="s">
        <v>785</v>
      </c>
      <c r="C34" s="57">
        <v>0</v>
      </c>
      <c r="D34" s="61" t="s">
        <v>21</v>
      </c>
      <c r="E34" s="57">
        <v>0</v>
      </c>
      <c r="F34" s="61" t="s">
        <v>22</v>
      </c>
      <c r="G34" s="62" t="s">
        <v>23</v>
      </c>
      <c r="H34" s="63">
        <v>20</v>
      </c>
      <c r="I34" s="63">
        <v>30</v>
      </c>
      <c r="J34" s="68" t="s">
        <v>24</v>
      </c>
      <c r="K34" s="7">
        <v>100089</v>
      </c>
      <c r="L34" s="7">
        <v>1</v>
      </c>
      <c r="M34" s="7">
        <v>-1</v>
      </c>
      <c r="N34" s="7">
        <v>101</v>
      </c>
      <c r="O34" s="7">
        <v>1</v>
      </c>
      <c r="P34" s="7">
        <v>102</v>
      </c>
      <c r="Q34" s="74">
        <v>1074</v>
      </c>
      <c r="R34" s="74">
        <v>15505</v>
      </c>
      <c r="S34" s="70">
        <v>200</v>
      </c>
      <c r="T34" s="70">
        <v>2</v>
      </c>
      <c r="U34" s="75" t="s">
        <v>25</v>
      </c>
      <c r="V34" s="7" t="s">
        <v>26</v>
      </c>
      <c r="W34" s="7" t="s">
        <v>27</v>
      </c>
      <c r="Y34" s="7">
        <v>160</v>
      </c>
      <c r="Z34" s="7">
        <v>160</v>
      </c>
      <c r="AA34" s="7">
        <v>160</v>
      </c>
      <c r="AB34" s="7">
        <v>332</v>
      </c>
      <c r="AC34" s="7">
        <v>13000101</v>
      </c>
      <c r="AD34" s="7">
        <v>19000101</v>
      </c>
      <c r="AE34" s="7">
        <v>3000101</v>
      </c>
      <c r="AF34" s="7">
        <v>0</v>
      </c>
      <c r="AG34" s="7" t="s">
        <v>23</v>
      </c>
    </row>
    <row r="35" spans="1:33" s="7" customFormat="1" ht="16.5">
      <c r="A35" s="57">
        <v>100034</v>
      </c>
      <c r="B35" s="57" t="s">
        <v>786</v>
      </c>
      <c r="C35" s="57">
        <v>0</v>
      </c>
      <c r="D35" s="61" t="s">
        <v>21</v>
      </c>
      <c r="E35" s="57">
        <v>0</v>
      </c>
      <c r="F35" s="61" t="s">
        <v>22</v>
      </c>
      <c r="G35" s="62" t="s">
        <v>28</v>
      </c>
      <c r="H35" s="63">
        <v>20</v>
      </c>
      <c r="I35" s="63">
        <v>30</v>
      </c>
      <c r="J35" s="68" t="s">
        <v>24</v>
      </c>
      <c r="K35" s="7">
        <v>100089</v>
      </c>
      <c r="L35" s="7">
        <v>1</v>
      </c>
      <c r="M35" s="7">
        <v>-1</v>
      </c>
      <c r="N35" s="7">
        <v>101</v>
      </c>
      <c r="O35" s="7">
        <v>1</v>
      </c>
      <c r="P35" s="7">
        <v>102</v>
      </c>
      <c r="Q35" s="74">
        <v>1074</v>
      </c>
      <c r="R35" s="74">
        <v>15505</v>
      </c>
      <c r="S35" s="70">
        <v>200</v>
      </c>
      <c r="T35" s="70">
        <v>2</v>
      </c>
      <c r="U35" s="75" t="s">
        <v>29</v>
      </c>
      <c r="V35" s="7" t="s">
        <v>30</v>
      </c>
      <c r="W35" s="75" t="s">
        <v>31</v>
      </c>
      <c r="Y35" s="7">
        <v>160</v>
      </c>
      <c r="Z35" s="7">
        <v>160</v>
      </c>
      <c r="AA35" s="7">
        <v>160</v>
      </c>
      <c r="AB35" s="7">
        <v>332</v>
      </c>
      <c r="AC35" s="7">
        <v>11000101</v>
      </c>
      <c r="AD35" s="7">
        <v>31000101</v>
      </c>
      <c r="AE35" s="7">
        <v>29000101</v>
      </c>
      <c r="AF35" s="7">
        <v>0</v>
      </c>
      <c r="AG35" s="7" t="s">
        <v>41</v>
      </c>
    </row>
    <row r="36" spans="1:33" s="7" customFormat="1" ht="16.5">
      <c r="A36" s="57">
        <v>100035</v>
      </c>
      <c r="B36" s="57" t="s">
        <v>787</v>
      </c>
      <c r="C36" s="57">
        <v>0</v>
      </c>
      <c r="D36" s="61" t="s">
        <v>21</v>
      </c>
      <c r="E36" s="57">
        <v>0</v>
      </c>
      <c r="F36" s="61" t="s">
        <v>22</v>
      </c>
      <c r="G36" s="62" t="s">
        <v>32</v>
      </c>
      <c r="H36" s="63">
        <v>20</v>
      </c>
      <c r="I36" s="63">
        <v>30</v>
      </c>
      <c r="J36" s="68" t="s">
        <v>24</v>
      </c>
      <c r="K36" s="7">
        <v>100089</v>
      </c>
      <c r="L36" s="7">
        <v>1</v>
      </c>
      <c r="M36" s="7">
        <v>-1</v>
      </c>
      <c r="N36" s="7">
        <v>101</v>
      </c>
      <c r="O36" s="7">
        <v>1</v>
      </c>
      <c r="P36" s="7">
        <v>102</v>
      </c>
      <c r="Q36" s="74">
        <v>1074</v>
      </c>
      <c r="R36" s="74">
        <v>15505</v>
      </c>
      <c r="S36" s="70">
        <v>200</v>
      </c>
      <c r="T36" s="70">
        <v>2</v>
      </c>
      <c r="U36" s="75" t="s">
        <v>33</v>
      </c>
      <c r="V36" s="7" t="s">
        <v>34</v>
      </c>
      <c r="W36" s="7" t="s">
        <v>35</v>
      </c>
      <c r="Y36" s="7">
        <v>160</v>
      </c>
      <c r="Z36" s="7">
        <v>160</v>
      </c>
      <c r="AA36" s="7">
        <v>160</v>
      </c>
      <c r="AB36" s="7">
        <v>332</v>
      </c>
      <c r="AC36" s="7">
        <v>22000101</v>
      </c>
      <c r="AD36" s="7">
        <v>14000101</v>
      </c>
      <c r="AE36" s="7">
        <v>4000101</v>
      </c>
      <c r="AF36" s="7">
        <v>0</v>
      </c>
      <c r="AG36" s="7" t="s">
        <v>42</v>
      </c>
    </row>
    <row r="37" spans="1:33" s="7" customFormat="1" ht="16.5">
      <c r="A37" s="57">
        <v>100036</v>
      </c>
      <c r="B37" s="57" t="s">
        <v>788</v>
      </c>
      <c r="C37" s="57">
        <v>0</v>
      </c>
      <c r="D37" s="61" t="s">
        <v>21</v>
      </c>
      <c r="E37" s="57">
        <v>0</v>
      </c>
      <c r="F37" s="61" t="s">
        <v>22</v>
      </c>
      <c r="G37" s="62" t="s">
        <v>36</v>
      </c>
      <c r="H37" s="63">
        <v>20</v>
      </c>
      <c r="I37" s="63">
        <v>30</v>
      </c>
      <c r="J37" s="68" t="s">
        <v>24</v>
      </c>
      <c r="K37" s="7">
        <v>100089</v>
      </c>
      <c r="L37" s="7">
        <v>1</v>
      </c>
      <c r="M37" s="7">
        <v>-1</v>
      </c>
      <c r="N37" s="7">
        <v>101</v>
      </c>
      <c r="O37" s="7">
        <v>1</v>
      </c>
      <c r="P37" s="7">
        <v>102</v>
      </c>
      <c r="Q37" s="74">
        <v>1074</v>
      </c>
      <c r="R37" s="74">
        <v>15505</v>
      </c>
      <c r="S37" s="70">
        <v>200</v>
      </c>
      <c r="T37" s="70">
        <v>2</v>
      </c>
      <c r="U37" s="75" t="s">
        <v>37</v>
      </c>
      <c r="V37" s="7" t="s">
        <v>38</v>
      </c>
      <c r="W37" s="7" t="s">
        <v>39</v>
      </c>
      <c r="X37" s="7" t="s">
        <v>40</v>
      </c>
      <c r="Y37" s="7">
        <v>160</v>
      </c>
      <c r="Z37" s="7">
        <v>160</v>
      </c>
      <c r="AA37" s="7">
        <v>160</v>
      </c>
      <c r="AB37" s="7">
        <v>199</v>
      </c>
      <c r="AC37" s="7">
        <v>24000101</v>
      </c>
      <c r="AD37" s="7">
        <v>27000101</v>
      </c>
      <c r="AE37" s="7">
        <v>10000101</v>
      </c>
      <c r="AF37" s="7">
        <v>28000101</v>
      </c>
      <c r="AG37" s="7" t="s">
        <v>45</v>
      </c>
    </row>
    <row r="38" spans="1:33" s="7" customFormat="1" ht="16.5">
      <c r="A38" s="57">
        <v>100037</v>
      </c>
      <c r="B38" s="57" t="s">
        <v>789</v>
      </c>
      <c r="C38" s="57">
        <v>0</v>
      </c>
      <c r="D38" s="61" t="s">
        <v>21</v>
      </c>
      <c r="E38" s="57">
        <v>0</v>
      </c>
      <c r="F38" s="61" t="s">
        <v>22</v>
      </c>
      <c r="G38" s="62" t="s">
        <v>23</v>
      </c>
      <c r="H38" s="63">
        <v>20</v>
      </c>
      <c r="I38" s="63">
        <v>30</v>
      </c>
      <c r="J38" s="68" t="s">
        <v>24</v>
      </c>
      <c r="K38" s="7">
        <v>100089</v>
      </c>
      <c r="L38" s="7">
        <v>1</v>
      </c>
      <c r="M38" s="7">
        <v>-1</v>
      </c>
      <c r="N38" s="7">
        <v>101</v>
      </c>
      <c r="O38" s="7">
        <v>1</v>
      </c>
      <c r="P38" s="7">
        <v>102</v>
      </c>
      <c r="Q38" s="74">
        <v>1074</v>
      </c>
      <c r="R38" s="74">
        <v>15505</v>
      </c>
      <c r="S38" s="70">
        <v>200</v>
      </c>
      <c r="T38" s="70">
        <v>2</v>
      </c>
      <c r="U38" s="75" t="s">
        <v>25</v>
      </c>
      <c r="V38" s="7" t="s">
        <v>26</v>
      </c>
      <c r="W38" s="7" t="s">
        <v>27</v>
      </c>
      <c r="Y38" s="7">
        <v>160</v>
      </c>
      <c r="Z38" s="7">
        <v>160</v>
      </c>
      <c r="AA38" s="7">
        <v>160</v>
      </c>
      <c r="AB38" s="7">
        <v>332</v>
      </c>
      <c r="AC38" s="7">
        <v>13000101</v>
      </c>
      <c r="AD38" s="7">
        <v>19000101</v>
      </c>
      <c r="AE38" s="7">
        <v>3000101</v>
      </c>
      <c r="AF38" s="7">
        <v>0</v>
      </c>
      <c r="AG38" s="7" t="s">
        <v>23</v>
      </c>
    </row>
    <row r="39" spans="1:33" s="7" customFormat="1" ht="16.5">
      <c r="A39" s="57">
        <v>100038</v>
      </c>
      <c r="B39" s="57" t="s">
        <v>790</v>
      </c>
      <c r="C39" s="57">
        <v>0</v>
      </c>
      <c r="D39" s="61" t="s">
        <v>21</v>
      </c>
      <c r="E39" s="57">
        <v>0</v>
      </c>
      <c r="F39" s="61" t="s">
        <v>22</v>
      </c>
      <c r="G39" s="62" t="s">
        <v>28</v>
      </c>
      <c r="H39" s="63">
        <v>20</v>
      </c>
      <c r="I39" s="63">
        <v>30</v>
      </c>
      <c r="J39" s="68" t="s">
        <v>24</v>
      </c>
      <c r="K39" s="7">
        <v>100089</v>
      </c>
      <c r="L39" s="7">
        <v>1</v>
      </c>
      <c r="M39" s="7">
        <v>-1</v>
      </c>
      <c r="N39" s="7">
        <v>101</v>
      </c>
      <c r="O39" s="7">
        <v>1</v>
      </c>
      <c r="P39" s="7">
        <v>102</v>
      </c>
      <c r="Q39" s="74">
        <v>1074</v>
      </c>
      <c r="R39" s="74">
        <v>15505</v>
      </c>
      <c r="S39" s="70">
        <v>200</v>
      </c>
      <c r="T39" s="70">
        <v>2</v>
      </c>
      <c r="U39" s="75" t="s">
        <v>29</v>
      </c>
      <c r="V39" s="7" t="s">
        <v>30</v>
      </c>
      <c r="W39" s="75" t="s">
        <v>31</v>
      </c>
      <c r="Y39" s="7">
        <v>160</v>
      </c>
      <c r="Z39" s="7">
        <v>160</v>
      </c>
      <c r="AA39" s="7">
        <v>160</v>
      </c>
      <c r="AB39" s="7">
        <v>332</v>
      </c>
      <c r="AC39" s="7">
        <v>11000101</v>
      </c>
      <c r="AD39" s="7">
        <v>31000101</v>
      </c>
      <c r="AE39" s="7">
        <v>29000101</v>
      </c>
      <c r="AF39" s="7">
        <v>0</v>
      </c>
      <c r="AG39" s="7" t="s">
        <v>41</v>
      </c>
    </row>
    <row r="40" spans="1:33" s="7" customFormat="1" ht="16.5">
      <c r="A40" s="57">
        <v>100039</v>
      </c>
      <c r="B40" s="57" t="s">
        <v>791</v>
      </c>
      <c r="C40" s="57">
        <v>0</v>
      </c>
      <c r="D40" s="61" t="s">
        <v>21</v>
      </c>
      <c r="E40" s="57">
        <v>0</v>
      </c>
      <c r="F40" s="61" t="s">
        <v>22</v>
      </c>
      <c r="G40" s="62" t="s">
        <v>32</v>
      </c>
      <c r="H40" s="63">
        <v>20</v>
      </c>
      <c r="I40" s="63">
        <v>30</v>
      </c>
      <c r="J40" s="68" t="s">
        <v>24</v>
      </c>
      <c r="K40" s="7">
        <v>100089</v>
      </c>
      <c r="L40" s="7">
        <v>1</v>
      </c>
      <c r="M40" s="7">
        <v>-1</v>
      </c>
      <c r="N40" s="7">
        <v>101</v>
      </c>
      <c r="O40" s="7">
        <v>1</v>
      </c>
      <c r="P40" s="7">
        <v>102</v>
      </c>
      <c r="Q40" s="74">
        <v>1074</v>
      </c>
      <c r="R40" s="74">
        <v>15505</v>
      </c>
      <c r="S40" s="70">
        <v>200</v>
      </c>
      <c r="T40" s="70">
        <v>2</v>
      </c>
      <c r="U40" s="75" t="s">
        <v>33</v>
      </c>
      <c r="V40" s="7" t="s">
        <v>34</v>
      </c>
      <c r="W40" s="7" t="s">
        <v>35</v>
      </c>
      <c r="Y40" s="7">
        <v>160</v>
      </c>
      <c r="Z40" s="7">
        <v>160</v>
      </c>
      <c r="AA40" s="7">
        <v>160</v>
      </c>
      <c r="AB40" s="7">
        <v>332</v>
      </c>
      <c r="AC40" s="7">
        <v>22000101</v>
      </c>
      <c r="AD40" s="7">
        <v>14000101</v>
      </c>
      <c r="AE40" s="7">
        <v>4000101</v>
      </c>
      <c r="AF40" s="7">
        <v>0</v>
      </c>
      <c r="AG40" s="7" t="s">
        <v>42</v>
      </c>
    </row>
    <row r="41" spans="1:33" s="7" customFormat="1" ht="16.5">
      <c r="A41" s="57">
        <v>100040</v>
      </c>
      <c r="B41" s="57" t="s">
        <v>792</v>
      </c>
      <c r="C41" s="57">
        <v>0</v>
      </c>
      <c r="D41" s="61" t="s">
        <v>21</v>
      </c>
      <c r="E41" s="57">
        <v>0</v>
      </c>
      <c r="F41" s="61" t="s">
        <v>22</v>
      </c>
      <c r="G41" s="62" t="s">
        <v>36</v>
      </c>
      <c r="H41" s="63">
        <v>20</v>
      </c>
      <c r="I41" s="63">
        <v>30</v>
      </c>
      <c r="J41" s="68" t="s">
        <v>24</v>
      </c>
      <c r="K41" s="7">
        <v>100089</v>
      </c>
      <c r="L41" s="7">
        <v>1</v>
      </c>
      <c r="M41" s="7">
        <v>-1</v>
      </c>
      <c r="N41" s="7">
        <v>101</v>
      </c>
      <c r="O41" s="7">
        <v>1</v>
      </c>
      <c r="P41" s="7">
        <v>102</v>
      </c>
      <c r="Q41" s="74">
        <v>1074</v>
      </c>
      <c r="R41" s="74">
        <v>15505</v>
      </c>
      <c r="S41" s="70">
        <v>200</v>
      </c>
      <c r="T41" s="70">
        <v>2</v>
      </c>
      <c r="U41" s="75" t="s">
        <v>37</v>
      </c>
      <c r="V41" s="7" t="s">
        <v>38</v>
      </c>
      <c r="W41" s="7" t="s">
        <v>39</v>
      </c>
      <c r="X41" s="7" t="s">
        <v>40</v>
      </c>
      <c r="Y41" s="7">
        <v>160</v>
      </c>
      <c r="Z41" s="7">
        <v>160</v>
      </c>
      <c r="AA41" s="7">
        <v>160</v>
      </c>
      <c r="AB41" s="7">
        <v>199</v>
      </c>
      <c r="AC41" s="7">
        <v>24000101</v>
      </c>
      <c r="AD41" s="7">
        <v>27000101</v>
      </c>
      <c r="AE41" s="7">
        <v>10000101</v>
      </c>
      <c r="AF41" s="7">
        <v>28000101</v>
      </c>
      <c r="AG41" s="7" t="s">
        <v>45</v>
      </c>
    </row>
    <row r="42" spans="1:33" s="7" customFormat="1" ht="16.5">
      <c r="A42" s="57">
        <v>100041</v>
      </c>
      <c r="B42" s="57" t="s">
        <v>793</v>
      </c>
      <c r="C42" s="57">
        <v>0</v>
      </c>
      <c r="D42" s="61" t="s">
        <v>21</v>
      </c>
      <c r="E42" s="57">
        <v>0</v>
      </c>
      <c r="F42" s="61" t="s">
        <v>22</v>
      </c>
      <c r="G42" s="62" t="s">
        <v>23</v>
      </c>
      <c r="H42" s="63">
        <v>20</v>
      </c>
      <c r="I42" s="63">
        <v>30</v>
      </c>
      <c r="J42" s="68" t="s">
        <v>24</v>
      </c>
      <c r="K42" s="7">
        <v>100089</v>
      </c>
      <c r="L42" s="7">
        <v>1</v>
      </c>
      <c r="M42" s="7">
        <v>-1</v>
      </c>
      <c r="N42" s="7">
        <v>101</v>
      </c>
      <c r="O42" s="7">
        <v>1</v>
      </c>
      <c r="P42" s="7">
        <v>102</v>
      </c>
      <c r="Q42" s="74">
        <v>1074</v>
      </c>
      <c r="R42" s="74">
        <v>15505</v>
      </c>
      <c r="S42" s="70">
        <v>200</v>
      </c>
      <c r="T42" s="70">
        <v>2</v>
      </c>
      <c r="U42" s="75" t="s">
        <v>25</v>
      </c>
      <c r="V42" s="7" t="s">
        <v>26</v>
      </c>
      <c r="W42" s="7" t="s">
        <v>27</v>
      </c>
      <c r="Y42" s="7">
        <v>160</v>
      </c>
      <c r="Z42" s="7">
        <v>160</v>
      </c>
      <c r="AA42" s="7">
        <v>160</v>
      </c>
      <c r="AB42" s="7">
        <v>332</v>
      </c>
      <c r="AC42" s="7">
        <v>13000101</v>
      </c>
      <c r="AD42" s="7">
        <v>19000101</v>
      </c>
      <c r="AE42" s="7">
        <v>3000101</v>
      </c>
      <c r="AF42" s="7">
        <v>0</v>
      </c>
      <c r="AG42" s="7" t="s">
        <v>23</v>
      </c>
    </row>
    <row r="43" spans="1:33" s="7" customFormat="1" ht="16.5">
      <c r="A43" s="57">
        <v>100042</v>
      </c>
      <c r="B43" s="57" t="s">
        <v>794</v>
      </c>
      <c r="C43" s="57">
        <v>0</v>
      </c>
      <c r="D43" s="61" t="s">
        <v>21</v>
      </c>
      <c r="E43" s="57">
        <v>0</v>
      </c>
      <c r="F43" s="61" t="s">
        <v>22</v>
      </c>
      <c r="G43" s="62" t="s">
        <v>28</v>
      </c>
      <c r="H43" s="63">
        <v>20</v>
      </c>
      <c r="I43" s="63">
        <v>30</v>
      </c>
      <c r="J43" s="68" t="s">
        <v>24</v>
      </c>
      <c r="K43" s="7">
        <v>100089</v>
      </c>
      <c r="L43" s="7">
        <v>1</v>
      </c>
      <c r="M43" s="7">
        <v>-1</v>
      </c>
      <c r="N43" s="7">
        <v>101</v>
      </c>
      <c r="O43" s="7">
        <v>1</v>
      </c>
      <c r="P43" s="7">
        <v>102</v>
      </c>
      <c r="Q43" s="74">
        <v>1074</v>
      </c>
      <c r="R43" s="74">
        <v>15505</v>
      </c>
      <c r="S43" s="70">
        <v>200</v>
      </c>
      <c r="T43" s="70">
        <v>2</v>
      </c>
      <c r="U43" s="75" t="s">
        <v>29</v>
      </c>
      <c r="V43" s="7" t="s">
        <v>30</v>
      </c>
      <c r="W43" s="75" t="s">
        <v>31</v>
      </c>
      <c r="Y43" s="7">
        <v>160</v>
      </c>
      <c r="Z43" s="7">
        <v>160</v>
      </c>
      <c r="AA43" s="7">
        <v>160</v>
      </c>
      <c r="AB43" s="7">
        <v>332</v>
      </c>
      <c r="AC43" s="7">
        <v>11000101</v>
      </c>
      <c r="AD43" s="7">
        <v>31000101</v>
      </c>
      <c r="AE43" s="7">
        <v>29000101</v>
      </c>
      <c r="AF43" s="7">
        <v>0</v>
      </c>
      <c r="AG43" s="7" t="s">
        <v>41</v>
      </c>
    </row>
    <row r="44" spans="1:33" s="7" customFormat="1" ht="16.5">
      <c r="A44" s="57">
        <v>100043</v>
      </c>
      <c r="B44" s="57" t="s">
        <v>795</v>
      </c>
      <c r="C44" s="57">
        <v>0</v>
      </c>
      <c r="D44" s="61" t="s">
        <v>21</v>
      </c>
      <c r="E44" s="57">
        <v>0</v>
      </c>
      <c r="F44" s="61" t="s">
        <v>22</v>
      </c>
      <c r="G44" s="62" t="s">
        <v>32</v>
      </c>
      <c r="H44" s="63">
        <v>20</v>
      </c>
      <c r="I44" s="63">
        <v>30</v>
      </c>
      <c r="J44" s="68" t="s">
        <v>24</v>
      </c>
      <c r="K44" s="7">
        <v>100089</v>
      </c>
      <c r="L44" s="7">
        <v>1</v>
      </c>
      <c r="M44" s="7">
        <v>-1</v>
      </c>
      <c r="N44" s="7">
        <v>101</v>
      </c>
      <c r="O44" s="7">
        <v>1</v>
      </c>
      <c r="P44" s="7">
        <v>102</v>
      </c>
      <c r="Q44" s="74">
        <v>1074</v>
      </c>
      <c r="R44" s="74">
        <v>15505</v>
      </c>
      <c r="S44" s="70">
        <v>200</v>
      </c>
      <c r="T44" s="70">
        <v>2</v>
      </c>
      <c r="U44" s="75" t="s">
        <v>33</v>
      </c>
      <c r="V44" s="7" t="s">
        <v>34</v>
      </c>
      <c r="W44" s="7" t="s">
        <v>35</v>
      </c>
      <c r="Y44" s="7">
        <v>160</v>
      </c>
      <c r="Z44" s="7">
        <v>160</v>
      </c>
      <c r="AA44" s="7">
        <v>160</v>
      </c>
      <c r="AB44" s="7">
        <v>332</v>
      </c>
      <c r="AC44" s="7">
        <v>22000101</v>
      </c>
      <c r="AD44" s="7">
        <v>14000101</v>
      </c>
      <c r="AE44" s="7">
        <v>4000101</v>
      </c>
      <c r="AF44" s="7">
        <v>0</v>
      </c>
      <c r="AG44" s="7" t="s">
        <v>42</v>
      </c>
    </row>
    <row r="45" spans="1:33" s="7" customFormat="1" ht="16.5">
      <c r="A45" s="57">
        <v>100044</v>
      </c>
      <c r="B45" s="57" t="s">
        <v>796</v>
      </c>
      <c r="C45" s="57">
        <v>0</v>
      </c>
      <c r="D45" s="61" t="s">
        <v>21</v>
      </c>
      <c r="E45" s="57">
        <v>0</v>
      </c>
      <c r="F45" s="61" t="s">
        <v>22</v>
      </c>
      <c r="G45" s="62" t="s">
        <v>36</v>
      </c>
      <c r="H45" s="63">
        <v>20</v>
      </c>
      <c r="I45" s="63">
        <v>30</v>
      </c>
      <c r="J45" s="68" t="s">
        <v>24</v>
      </c>
      <c r="K45" s="7">
        <v>100089</v>
      </c>
      <c r="L45" s="7">
        <v>1</v>
      </c>
      <c r="M45" s="7">
        <v>-1</v>
      </c>
      <c r="N45" s="7">
        <v>101</v>
      </c>
      <c r="O45" s="7">
        <v>1</v>
      </c>
      <c r="P45" s="7">
        <v>102</v>
      </c>
      <c r="Q45" s="74">
        <v>1074</v>
      </c>
      <c r="R45" s="74">
        <v>15505</v>
      </c>
      <c r="S45" s="70">
        <v>200</v>
      </c>
      <c r="T45" s="70">
        <v>2</v>
      </c>
      <c r="U45" s="75" t="s">
        <v>37</v>
      </c>
      <c r="V45" s="7" t="s">
        <v>38</v>
      </c>
      <c r="W45" s="7" t="s">
        <v>39</v>
      </c>
      <c r="X45" s="7" t="s">
        <v>40</v>
      </c>
      <c r="Y45" s="7">
        <v>160</v>
      </c>
      <c r="Z45" s="7">
        <v>160</v>
      </c>
      <c r="AA45" s="7">
        <v>160</v>
      </c>
      <c r="AB45" s="7">
        <v>199</v>
      </c>
      <c r="AC45" s="7">
        <v>24000101</v>
      </c>
      <c r="AD45" s="7">
        <v>27000101</v>
      </c>
      <c r="AE45" s="7">
        <v>10000101</v>
      </c>
      <c r="AF45" s="7">
        <v>28000101</v>
      </c>
      <c r="AG45" s="7" t="s">
        <v>45</v>
      </c>
    </row>
    <row r="46" spans="1:33" s="7" customFormat="1" ht="16.5">
      <c r="A46" s="57">
        <v>100045</v>
      </c>
      <c r="B46" s="57" t="s">
        <v>797</v>
      </c>
      <c r="C46" s="57">
        <v>0</v>
      </c>
      <c r="D46" s="61" t="s">
        <v>21</v>
      </c>
      <c r="E46" s="57">
        <v>0</v>
      </c>
      <c r="F46" s="61" t="s">
        <v>22</v>
      </c>
      <c r="G46" s="62" t="s">
        <v>23</v>
      </c>
      <c r="H46" s="63">
        <v>20</v>
      </c>
      <c r="I46" s="63">
        <v>30</v>
      </c>
      <c r="J46" s="68" t="s">
        <v>24</v>
      </c>
      <c r="K46" s="7">
        <v>100089</v>
      </c>
      <c r="L46" s="7">
        <v>1</v>
      </c>
      <c r="M46" s="7">
        <v>-1</v>
      </c>
      <c r="N46" s="7">
        <v>101</v>
      </c>
      <c r="O46" s="7">
        <v>1</v>
      </c>
      <c r="P46" s="7">
        <v>102</v>
      </c>
      <c r="Q46" s="74">
        <v>1074</v>
      </c>
      <c r="R46" s="74">
        <v>15505</v>
      </c>
      <c r="S46" s="70">
        <v>200</v>
      </c>
      <c r="T46" s="70">
        <v>2</v>
      </c>
      <c r="U46" s="75" t="s">
        <v>25</v>
      </c>
      <c r="V46" s="7" t="s">
        <v>26</v>
      </c>
      <c r="W46" s="7" t="s">
        <v>27</v>
      </c>
      <c r="Y46" s="7">
        <v>160</v>
      </c>
      <c r="Z46" s="7">
        <v>160</v>
      </c>
      <c r="AA46" s="7">
        <v>160</v>
      </c>
      <c r="AB46" s="7">
        <v>332</v>
      </c>
      <c r="AC46" s="7">
        <v>13000101</v>
      </c>
      <c r="AD46" s="7">
        <v>19000101</v>
      </c>
      <c r="AE46" s="7">
        <v>3000101</v>
      </c>
      <c r="AF46" s="7">
        <v>0</v>
      </c>
      <c r="AG46" s="7" t="s">
        <v>23</v>
      </c>
    </row>
    <row r="47" spans="1:33" s="7" customFormat="1" ht="16.5">
      <c r="A47" s="57">
        <v>100046</v>
      </c>
      <c r="B47" s="57" t="s">
        <v>798</v>
      </c>
      <c r="C47" s="57">
        <v>0</v>
      </c>
      <c r="D47" s="61" t="s">
        <v>21</v>
      </c>
      <c r="E47" s="57">
        <v>0</v>
      </c>
      <c r="F47" s="61" t="s">
        <v>22</v>
      </c>
      <c r="G47" s="62" t="s">
        <v>28</v>
      </c>
      <c r="H47" s="63">
        <v>20</v>
      </c>
      <c r="I47" s="63">
        <v>30</v>
      </c>
      <c r="J47" s="68" t="s">
        <v>24</v>
      </c>
      <c r="K47" s="7">
        <v>100089</v>
      </c>
      <c r="L47" s="7">
        <v>1</v>
      </c>
      <c r="M47" s="7">
        <v>-1</v>
      </c>
      <c r="N47" s="7">
        <v>101</v>
      </c>
      <c r="O47" s="7">
        <v>1</v>
      </c>
      <c r="P47" s="7">
        <v>102</v>
      </c>
      <c r="Q47" s="74">
        <v>1074</v>
      </c>
      <c r="R47" s="74">
        <v>15505</v>
      </c>
      <c r="S47" s="70">
        <v>200</v>
      </c>
      <c r="T47" s="70">
        <v>2</v>
      </c>
      <c r="U47" s="75" t="s">
        <v>29</v>
      </c>
      <c r="V47" s="7" t="s">
        <v>30</v>
      </c>
      <c r="W47" s="75" t="s">
        <v>31</v>
      </c>
      <c r="Y47" s="7">
        <v>160</v>
      </c>
      <c r="Z47" s="7">
        <v>160</v>
      </c>
      <c r="AA47" s="7">
        <v>160</v>
      </c>
      <c r="AB47" s="7">
        <v>332</v>
      </c>
      <c r="AC47" s="7">
        <v>11000101</v>
      </c>
      <c r="AD47" s="7">
        <v>31000101</v>
      </c>
      <c r="AE47" s="7">
        <v>29000101</v>
      </c>
      <c r="AF47" s="7">
        <v>0</v>
      </c>
      <c r="AG47" s="7" t="s">
        <v>41</v>
      </c>
    </row>
    <row r="48" spans="1:33" s="7" customFormat="1" ht="16.5">
      <c r="A48" s="57">
        <v>100047</v>
      </c>
      <c r="B48" s="57" t="s">
        <v>799</v>
      </c>
      <c r="C48" s="57">
        <v>0</v>
      </c>
      <c r="D48" s="61" t="s">
        <v>21</v>
      </c>
      <c r="E48" s="57">
        <v>0</v>
      </c>
      <c r="F48" s="61" t="s">
        <v>22</v>
      </c>
      <c r="G48" s="62" t="s">
        <v>32</v>
      </c>
      <c r="H48" s="63">
        <v>20</v>
      </c>
      <c r="I48" s="63">
        <v>30</v>
      </c>
      <c r="J48" s="68" t="s">
        <v>24</v>
      </c>
      <c r="K48" s="7">
        <v>100089</v>
      </c>
      <c r="L48" s="7">
        <v>1</v>
      </c>
      <c r="M48" s="7">
        <v>-1</v>
      </c>
      <c r="N48" s="7">
        <v>101</v>
      </c>
      <c r="O48" s="7">
        <v>1</v>
      </c>
      <c r="P48" s="7">
        <v>102</v>
      </c>
      <c r="Q48" s="74">
        <v>1074</v>
      </c>
      <c r="R48" s="74">
        <v>15505</v>
      </c>
      <c r="S48" s="70">
        <v>200</v>
      </c>
      <c r="T48" s="70">
        <v>2</v>
      </c>
      <c r="U48" s="75" t="s">
        <v>33</v>
      </c>
      <c r="V48" s="7" t="s">
        <v>34</v>
      </c>
      <c r="W48" s="7" t="s">
        <v>35</v>
      </c>
      <c r="Y48" s="7">
        <v>160</v>
      </c>
      <c r="Z48" s="7">
        <v>160</v>
      </c>
      <c r="AA48" s="7">
        <v>160</v>
      </c>
      <c r="AB48" s="7">
        <v>332</v>
      </c>
      <c r="AC48" s="7">
        <v>22000101</v>
      </c>
      <c r="AD48" s="7">
        <v>14000101</v>
      </c>
      <c r="AE48" s="7">
        <v>4000101</v>
      </c>
      <c r="AF48" s="7">
        <v>0</v>
      </c>
      <c r="AG48" s="7" t="s">
        <v>42</v>
      </c>
    </row>
    <row r="49" spans="1:33" s="7" customFormat="1" ht="16.5">
      <c r="A49" s="57">
        <v>100048</v>
      </c>
      <c r="B49" s="57" t="s">
        <v>800</v>
      </c>
      <c r="C49" s="57">
        <v>0</v>
      </c>
      <c r="D49" s="61" t="s">
        <v>21</v>
      </c>
      <c r="E49" s="57">
        <v>0</v>
      </c>
      <c r="F49" s="61" t="s">
        <v>22</v>
      </c>
      <c r="G49" s="62" t="s">
        <v>36</v>
      </c>
      <c r="H49" s="63">
        <v>20</v>
      </c>
      <c r="I49" s="63">
        <v>30</v>
      </c>
      <c r="J49" s="68" t="s">
        <v>24</v>
      </c>
      <c r="K49" s="7">
        <v>100089</v>
      </c>
      <c r="L49" s="7">
        <v>1</v>
      </c>
      <c r="M49" s="7">
        <v>-1</v>
      </c>
      <c r="N49" s="7">
        <v>101</v>
      </c>
      <c r="O49" s="7">
        <v>1</v>
      </c>
      <c r="P49" s="7">
        <v>102</v>
      </c>
      <c r="Q49" s="74">
        <v>1074</v>
      </c>
      <c r="R49" s="74">
        <v>15505</v>
      </c>
      <c r="S49" s="70">
        <v>200</v>
      </c>
      <c r="T49" s="70">
        <v>2</v>
      </c>
      <c r="U49" s="75" t="s">
        <v>37</v>
      </c>
      <c r="V49" s="7" t="s">
        <v>38</v>
      </c>
      <c r="W49" s="7" t="s">
        <v>39</v>
      </c>
      <c r="X49" s="7" t="s">
        <v>40</v>
      </c>
      <c r="Y49" s="7">
        <v>160</v>
      </c>
      <c r="Z49" s="7">
        <v>160</v>
      </c>
      <c r="AA49" s="7">
        <v>160</v>
      </c>
      <c r="AB49" s="7">
        <v>199</v>
      </c>
      <c r="AC49" s="7">
        <v>24000101</v>
      </c>
      <c r="AD49" s="7">
        <v>27000101</v>
      </c>
      <c r="AE49" s="7">
        <v>10000101</v>
      </c>
      <c r="AF49" s="7">
        <v>28000101</v>
      </c>
      <c r="AG49" s="7" t="s">
        <v>45</v>
      </c>
    </row>
    <row r="50" spans="1:33" s="7" customFormat="1" ht="16.5">
      <c r="A50" s="57">
        <v>100049</v>
      </c>
      <c r="B50" s="57" t="s">
        <v>801</v>
      </c>
      <c r="C50" s="57">
        <v>0</v>
      </c>
      <c r="D50" s="61" t="s">
        <v>21</v>
      </c>
      <c r="E50" s="57">
        <v>0</v>
      </c>
      <c r="F50" s="61" t="s">
        <v>22</v>
      </c>
      <c r="G50" s="62" t="s">
        <v>23</v>
      </c>
      <c r="H50" s="63">
        <v>20</v>
      </c>
      <c r="I50" s="63">
        <v>30</v>
      </c>
      <c r="J50" s="68" t="s">
        <v>24</v>
      </c>
      <c r="K50" s="7">
        <v>100089</v>
      </c>
      <c r="L50" s="7">
        <v>1</v>
      </c>
      <c r="M50" s="7">
        <v>-1</v>
      </c>
      <c r="N50" s="7">
        <v>101</v>
      </c>
      <c r="O50" s="7">
        <v>1</v>
      </c>
      <c r="P50" s="7">
        <v>102</v>
      </c>
      <c r="Q50" s="74">
        <v>1074</v>
      </c>
      <c r="R50" s="74">
        <v>15505</v>
      </c>
      <c r="S50" s="70">
        <v>200</v>
      </c>
      <c r="T50" s="70">
        <v>2</v>
      </c>
      <c r="U50" s="75" t="s">
        <v>25</v>
      </c>
      <c r="V50" s="7" t="s">
        <v>26</v>
      </c>
      <c r="W50" s="7" t="s">
        <v>27</v>
      </c>
      <c r="Y50" s="7">
        <v>160</v>
      </c>
      <c r="Z50" s="7">
        <v>160</v>
      </c>
      <c r="AA50" s="7">
        <v>160</v>
      </c>
      <c r="AB50" s="7">
        <v>332</v>
      </c>
      <c r="AC50" s="7">
        <v>13000101</v>
      </c>
      <c r="AD50" s="7">
        <v>19000101</v>
      </c>
      <c r="AE50" s="7">
        <v>3000101</v>
      </c>
      <c r="AF50" s="7">
        <v>0</v>
      </c>
      <c r="AG50" s="7" t="s">
        <v>23</v>
      </c>
    </row>
    <row r="51" spans="1:33" s="7" customFormat="1" ht="16.5">
      <c r="A51" s="57">
        <v>100050</v>
      </c>
      <c r="B51" s="57" t="s">
        <v>802</v>
      </c>
      <c r="C51" s="57">
        <v>0</v>
      </c>
      <c r="D51" s="61" t="s">
        <v>21</v>
      </c>
      <c r="E51" s="57">
        <v>0</v>
      </c>
      <c r="F51" s="61" t="s">
        <v>22</v>
      </c>
      <c r="G51" s="62" t="s">
        <v>28</v>
      </c>
      <c r="H51" s="63">
        <v>20</v>
      </c>
      <c r="I51" s="63">
        <v>30</v>
      </c>
      <c r="J51" s="68" t="s">
        <v>24</v>
      </c>
      <c r="K51" s="7">
        <v>100089</v>
      </c>
      <c r="L51" s="7">
        <v>1</v>
      </c>
      <c r="M51" s="7">
        <v>-1</v>
      </c>
      <c r="N51" s="7">
        <v>101</v>
      </c>
      <c r="O51" s="7">
        <v>1</v>
      </c>
      <c r="P51" s="7">
        <v>102</v>
      </c>
      <c r="Q51" s="74">
        <v>1074</v>
      </c>
      <c r="R51" s="74">
        <v>15505</v>
      </c>
      <c r="S51" s="70">
        <v>200</v>
      </c>
      <c r="T51" s="70">
        <v>2</v>
      </c>
      <c r="U51" s="75" t="s">
        <v>29</v>
      </c>
      <c r="V51" s="7" t="s">
        <v>30</v>
      </c>
      <c r="W51" s="75" t="s">
        <v>31</v>
      </c>
      <c r="Y51" s="7">
        <v>160</v>
      </c>
      <c r="Z51" s="7">
        <v>160</v>
      </c>
      <c r="AA51" s="7">
        <v>160</v>
      </c>
      <c r="AB51" s="7">
        <v>332</v>
      </c>
      <c r="AC51" s="7">
        <v>11000101</v>
      </c>
      <c r="AD51" s="7">
        <v>31000101</v>
      </c>
      <c r="AE51" s="7">
        <v>29000101</v>
      </c>
      <c r="AF51" s="7">
        <v>0</v>
      </c>
      <c r="AG51" s="7" t="s">
        <v>41</v>
      </c>
    </row>
    <row r="52" spans="1:33" s="7" customFormat="1" ht="16.5">
      <c r="A52" s="57">
        <v>100051</v>
      </c>
      <c r="B52" s="57" t="s">
        <v>803</v>
      </c>
      <c r="C52" s="57">
        <v>0</v>
      </c>
      <c r="D52" s="61" t="s">
        <v>21</v>
      </c>
      <c r="E52" s="57">
        <v>0</v>
      </c>
      <c r="F52" s="61" t="s">
        <v>22</v>
      </c>
      <c r="G52" s="62" t="s">
        <v>32</v>
      </c>
      <c r="H52" s="63">
        <v>20</v>
      </c>
      <c r="I52" s="63">
        <v>30</v>
      </c>
      <c r="J52" s="68" t="s">
        <v>24</v>
      </c>
      <c r="K52" s="7">
        <v>100089</v>
      </c>
      <c r="L52" s="7">
        <v>1</v>
      </c>
      <c r="M52" s="7">
        <v>-1</v>
      </c>
      <c r="N52" s="7">
        <v>101</v>
      </c>
      <c r="O52" s="7">
        <v>1</v>
      </c>
      <c r="P52" s="7">
        <v>102</v>
      </c>
      <c r="Q52" s="74">
        <v>1074</v>
      </c>
      <c r="R52" s="74">
        <v>15505</v>
      </c>
      <c r="S52" s="70">
        <v>200</v>
      </c>
      <c r="T52" s="70">
        <v>2</v>
      </c>
      <c r="U52" s="75" t="s">
        <v>33</v>
      </c>
      <c r="V52" s="7" t="s">
        <v>34</v>
      </c>
      <c r="W52" s="7" t="s">
        <v>35</v>
      </c>
      <c r="Y52" s="7">
        <v>160</v>
      </c>
      <c r="Z52" s="7">
        <v>160</v>
      </c>
      <c r="AA52" s="7">
        <v>160</v>
      </c>
      <c r="AB52" s="7">
        <v>332</v>
      </c>
      <c r="AC52" s="7">
        <v>22000101</v>
      </c>
      <c r="AD52" s="7">
        <v>14000101</v>
      </c>
      <c r="AE52" s="7">
        <v>4000101</v>
      </c>
      <c r="AF52" s="7">
        <v>0</v>
      </c>
      <c r="AG52" s="7" t="s">
        <v>42</v>
      </c>
    </row>
    <row r="53" spans="1:33" s="7" customFormat="1" ht="16.5">
      <c r="A53" s="57">
        <v>100052</v>
      </c>
      <c r="B53" s="57" t="s">
        <v>804</v>
      </c>
      <c r="C53" s="57">
        <v>0</v>
      </c>
      <c r="D53" s="61" t="s">
        <v>21</v>
      </c>
      <c r="E53" s="57">
        <v>0</v>
      </c>
      <c r="F53" s="61" t="s">
        <v>22</v>
      </c>
      <c r="G53" s="62" t="s">
        <v>36</v>
      </c>
      <c r="H53" s="63">
        <v>20</v>
      </c>
      <c r="I53" s="63">
        <v>30</v>
      </c>
      <c r="J53" s="68" t="s">
        <v>24</v>
      </c>
      <c r="K53" s="7">
        <v>100089</v>
      </c>
      <c r="L53" s="7">
        <v>1</v>
      </c>
      <c r="M53" s="7">
        <v>-1</v>
      </c>
      <c r="N53" s="7">
        <v>101</v>
      </c>
      <c r="O53" s="7">
        <v>1</v>
      </c>
      <c r="P53" s="7">
        <v>102</v>
      </c>
      <c r="Q53" s="74">
        <v>1074</v>
      </c>
      <c r="R53" s="74">
        <v>15505</v>
      </c>
      <c r="S53" s="70">
        <v>200</v>
      </c>
      <c r="T53" s="70">
        <v>2</v>
      </c>
      <c r="U53" s="75" t="s">
        <v>37</v>
      </c>
      <c r="V53" s="7" t="s">
        <v>38</v>
      </c>
      <c r="W53" s="7" t="s">
        <v>39</v>
      </c>
      <c r="X53" s="7" t="s">
        <v>40</v>
      </c>
      <c r="Y53" s="7">
        <v>160</v>
      </c>
      <c r="Z53" s="7">
        <v>160</v>
      </c>
      <c r="AA53" s="7">
        <v>160</v>
      </c>
      <c r="AB53" s="7">
        <v>199</v>
      </c>
      <c r="AC53" s="7">
        <v>24000101</v>
      </c>
      <c r="AD53" s="7">
        <v>27000101</v>
      </c>
      <c r="AE53" s="7">
        <v>10000101</v>
      </c>
      <c r="AF53" s="7">
        <v>28000101</v>
      </c>
      <c r="AG53" s="7" t="s">
        <v>45</v>
      </c>
    </row>
    <row r="54" spans="1:33" s="7" customFormat="1" ht="16.5">
      <c r="A54" s="57">
        <v>100053</v>
      </c>
      <c r="B54" s="57" t="s">
        <v>805</v>
      </c>
      <c r="C54" s="57">
        <v>0</v>
      </c>
      <c r="D54" s="61" t="s">
        <v>21</v>
      </c>
      <c r="E54" s="57">
        <v>0</v>
      </c>
      <c r="F54" s="61" t="s">
        <v>22</v>
      </c>
      <c r="G54" s="62" t="s">
        <v>23</v>
      </c>
      <c r="H54" s="63">
        <v>20</v>
      </c>
      <c r="I54" s="63">
        <v>30</v>
      </c>
      <c r="J54" s="68" t="s">
        <v>24</v>
      </c>
      <c r="K54" s="7">
        <v>100089</v>
      </c>
      <c r="L54" s="7">
        <v>1</v>
      </c>
      <c r="M54" s="7">
        <v>-1</v>
      </c>
      <c r="N54" s="7">
        <v>101</v>
      </c>
      <c r="O54" s="7">
        <v>1</v>
      </c>
      <c r="P54" s="7">
        <v>102</v>
      </c>
      <c r="Q54" s="74">
        <v>1074</v>
      </c>
      <c r="R54" s="74">
        <v>15505</v>
      </c>
      <c r="S54" s="70">
        <v>200</v>
      </c>
      <c r="T54" s="70">
        <v>2</v>
      </c>
      <c r="U54" s="75" t="s">
        <v>25</v>
      </c>
      <c r="V54" s="7" t="s">
        <v>26</v>
      </c>
      <c r="W54" s="7" t="s">
        <v>27</v>
      </c>
      <c r="Y54" s="7">
        <v>160</v>
      </c>
      <c r="Z54" s="7">
        <v>160</v>
      </c>
      <c r="AA54" s="7">
        <v>160</v>
      </c>
      <c r="AB54" s="7">
        <v>332</v>
      </c>
      <c r="AC54" s="7">
        <v>13000101</v>
      </c>
      <c r="AD54" s="7">
        <v>19000101</v>
      </c>
      <c r="AE54" s="7">
        <v>3000101</v>
      </c>
      <c r="AF54" s="7">
        <v>0</v>
      </c>
      <c r="AG54" s="7" t="s">
        <v>23</v>
      </c>
    </row>
    <row r="55" spans="1:33" s="7" customFormat="1" ht="16.5">
      <c r="A55" s="57">
        <v>100054</v>
      </c>
      <c r="B55" s="57" t="s">
        <v>806</v>
      </c>
      <c r="C55" s="57">
        <v>0</v>
      </c>
      <c r="D55" s="61" t="s">
        <v>21</v>
      </c>
      <c r="E55" s="57">
        <v>0</v>
      </c>
      <c r="F55" s="61" t="s">
        <v>22</v>
      </c>
      <c r="G55" s="62" t="s">
        <v>28</v>
      </c>
      <c r="H55" s="63">
        <v>20</v>
      </c>
      <c r="I55" s="63">
        <v>30</v>
      </c>
      <c r="J55" s="68" t="s">
        <v>24</v>
      </c>
      <c r="K55" s="7">
        <v>100089</v>
      </c>
      <c r="L55" s="7">
        <v>1</v>
      </c>
      <c r="M55" s="7">
        <v>-1</v>
      </c>
      <c r="N55" s="7">
        <v>101</v>
      </c>
      <c r="O55" s="7">
        <v>1</v>
      </c>
      <c r="P55" s="7">
        <v>102</v>
      </c>
      <c r="Q55" s="74">
        <v>1074</v>
      </c>
      <c r="R55" s="74">
        <v>15505</v>
      </c>
      <c r="S55" s="70">
        <v>200</v>
      </c>
      <c r="T55" s="70">
        <v>2</v>
      </c>
      <c r="U55" s="75" t="s">
        <v>29</v>
      </c>
      <c r="V55" s="7" t="s">
        <v>30</v>
      </c>
      <c r="W55" s="75" t="s">
        <v>31</v>
      </c>
      <c r="Y55" s="7">
        <v>160</v>
      </c>
      <c r="Z55" s="7">
        <v>160</v>
      </c>
      <c r="AA55" s="7">
        <v>160</v>
      </c>
      <c r="AB55" s="7">
        <v>332</v>
      </c>
      <c r="AC55" s="7">
        <v>11000101</v>
      </c>
      <c r="AD55" s="7">
        <v>31000101</v>
      </c>
      <c r="AE55" s="7">
        <v>29000101</v>
      </c>
      <c r="AF55" s="7">
        <v>0</v>
      </c>
      <c r="AG55" s="7" t="s">
        <v>41</v>
      </c>
    </row>
    <row r="56" spans="1:33" s="7" customFormat="1" ht="16.5">
      <c r="A56" s="57">
        <v>100055</v>
      </c>
      <c r="B56" s="57" t="s">
        <v>807</v>
      </c>
      <c r="C56" s="57">
        <v>0</v>
      </c>
      <c r="D56" s="61" t="s">
        <v>21</v>
      </c>
      <c r="E56" s="57">
        <v>0</v>
      </c>
      <c r="F56" s="61" t="s">
        <v>22</v>
      </c>
      <c r="G56" s="62" t="s">
        <v>32</v>
      </c>
      <c r="H56" s="63">
        <v>20</v>
      </c>
      <c r="I56" s="63">
        <v>30</v>
      </c>
      <c r="J56" s="68" t="s">
        <v>24</v>
      </c>
      <c r="K56" s="7">
        <v>100089</v>
      </c>
      <c r="L56" s="7">
        <v>1</v>
      </c>
      <c r="M56" s="7">
        <v>-1</v>
      </c>
      <c r="N56" s="7">
        <v>101</v>
      </c>
      <c r="O56" s="7">
        <v>1</v>
      </c>
      <c r="P56" s="7">
        <v>102</v>
      </c>
      <c r="Q56" s="74">
        <v>1074</v>
      </c>
      <c r="R56" s="74">
        <v>15505</v>
      </c>
      <c r="S56" s="70">
        <v>200</v>
      </c>
      <c r="T56" s="70">
        <v>2</v>
      </c>
      <c r="U56" s="75" t="s">
        <v>33</v>
      </c>
      <c r="V56" s="7" t="s">
        <v>34</v>
      </c>
      <c r="W56" s="7" t="s">
        <v>35</v>
      </c>
      <c r="Y56" s="7">
        <v>160</v>
      </c>
      <c r="Z56" s="7">
        <v>160</v>
      </c>
      <c r="AA56" s="7">
        <v>160</v>
      </c>
      <c r="AB56" s="7">
        <v>332</v>
      </c>
      <c r="AC56" s="7">
        <v>22000101</v>
      </c>
      <c r="AD56" s="7">
        <v>14000101</v>
      </c>
      <c r="AE56" s="7">
        <v>4000101</v>
      </c>
      <c r="AF56" s="7">
        <v>0</v>
      </c>
      <c r="AG56" s="7" t="s">
        <v>42</v>
      </c>
    </row>
    <row r="57" spans="1:33" s="7" customFormat="1" ht="16.5">
      <c r="A57" s="57">
        <v>100056</v>
      </c>
      <c r="B57" s="57" t="s">
        <v>808</v>
      </c>
      <c r="C57" s="57">
        <v>0</v>
      </c>
      <c r="D57" s="61" t="s">
        <v>21</v>
      </c>
      <c r="E57" s="57">
        <v>0</v>
      </c>
      <c r="F57" s="61" t="s">
        <v>22</v>
      </c>
      <c r="G57" s="62" t="s">
        <v>36</v>
      </c>
      <c r="H57" s="63">
        <v>20</v>
      </c>
      <c r="I57" s="63">
        <v>30</v>
      </c>
      <c r="J57" s="68" t="s">
        <v>24</v>
      </c>
      <c r="K57" s="7">
        <v>100089</v>
      </c>
      <c r="L57" s="7">
        <v>1</v>
      </c>
      <c r="M57" s="7">
        <v>-1</v>
      </c>
      <c r="N57" s="7">
        <v>101</v>
      </c>
      <c r="O57" s="7">
        <v>1</v>
      </c>
      <c r="P57" s="7">
        <v>102</v>
      </c>
      <c r="Q57" s="74">
        <v>1074</v>
      </c>
      <c r="R57" s="74">
        <v>15505</v>
      </c>
      <c r="S57" s="70">
        <v>200</v>
      </c>
      <c r="T57" s="70">
        <v>2</v>
      </c>
      <c r="U57" s="75" t="s">
        <v>37</v>
      </c>
      <c r="V57" s="7" t="s">
        <v>38</v>
      </c>
      <c r="W57" s="7" t="s">
        <v>39</v>
      </c>
      <c r="X57" s="7" t="s">
        <v>40</v>
      </c>
      <c r="Y57" s="7">
        <v>160</v>
      </c>
      <c r="Z57" s="7">
        <v>160</v>
      </c>
      <c r="AA57" s="7">
        <v>160</v>
      </c>
      <c r="AB57" s="7">
        <v>199</v>
      </c>
      <c r="AC57" s="7">
        <v>24000101</v>
      </c>
      <c r="AD57" s="7">
        <v>27000101</v>
      </c>
      <c r="AE57" s="7">
        <v>10000101</v>
      </c>
      <c r="AF57" s="7">
        <v>28000101</v>
      </c>
      <c r="AG57" s="7" t="s">
        <v>45</v>
      </c>
    </row>
    <row r="58" spans="1:33" s="7" customFormat="1" ht="16.5">
      <c r="A58" s="57">
        <v>100057</v>
      </c>
      <c r="B58" s="57" t="s">
        <v>809</v>
      </c>
      <c r="C58" s="57">
        <v>0</v>
      </c>
      <c r="D58" s="61" t="s">
        <v>21</v>
      </c>
      <c r="E58" s="57">
        <v>0</v>
      </c>
      <c r="F58" s="61" t="s">
        <v>22</v>
      </c>
      <c r="G58" s="62" t="s">
        <v>23</v>
      </c>
      <c r="H58" s="63">
        <v>20</v>
      </c>
      <c r="I58" s="63">
        <v>30</v>
      </c>
      <c r="J58" s="68" t="s">
        <v>24</v>
      </c>
      <c r="K58" s="7">
        <v>100089</v>
      </c>
      <c r="L58" s="7">
        <v>1</v>
      </c>
      <c r="M58" s="7">
        <v>-1</v>
      </c>
      <c r="N58" s="7">
        <v>101</v>
      </c>
      <c r="O58" s="7">
        <v>1</v>
      </c>
      <c r="P58" s="7">
        <v>102</v>
      </c>
      <c r="Q58" s="74">
        <v>1074</v>
      </c>
      <c r="R58" s="74">
        <v>15505</v>
      </c>
      <c r="S58" s="70">
        <v>200</v>
      </c>
      <c r="T58" s="70">
        <v>2</v>
      </c>
      <c r="U58" s="75" t="s">
        <v>25</v>
      </c>
      <c r="V58" s="7" t="s">
        <v>26</v>
      </c>
      <c r="W58" s="7" t="s">
        <v>27</v>
      </c>
      <c r="Y58" s="7">
        <v>160</v>
      </c>
      <c r="Z58" s="7">
        <v>160</v>
      </c>
      <c r="AA58" s="7">
        <v>160</v>
      </c>
      <c r="AB58" s="7">
        <v>332</v>
      </c>
      <c r="AC58" s="7">
        <v>13000101</v>
      </c>
      <c r="AD58" s="7">
        <v>19000101</v>
      </c>
      <c r="AE58" s="7">
        <v>3000101</v>
      </c>
      <c r="AF58" s="7">
        <v>0</v>
      </c>
      <c r="AG58" s="7" t="s">
        <v>23</v>
      </c>
    </row>
    <row r="59" spans="1:33" s="7" customFormat="1" ht="16.5">
      <c r="A59" s="57">
        <v>100058</v>
      </c>
      <c r="B59" s="57" t="s">
        <v>810</v>
      </c>
      <c r="C59" s="57">
        <v>0</v>
      </c>
      <c r="D59" s="61" t="s">
        <v>21</v>
      </c>
      <c r="E59" s="57">
        <v>0</v>
      </c>
      <c r="F59" s="61" t="s">
        <v>22</v>
      </c>
      <c r="G59" s="62" t="s">
        <v>28</v>
      </c>
      <c r="H59" s="63">
        <v>20</v>
      </c>
      <c r="I59" s="63">
        <v>30</v>
      </c>
      <c r="J59" s="68" t="s">
        <v>24</v>
      </c>
      <c r="K59" s="7">
        <v>100089</v>
      </c>
      <c r="L59" s="7">
        <v>1</v>
      </c>
      <c r="M59" s="7">
        <v>-1</v>
      </c>
      <c r="N59" s="7">
        <v>101</v>
      </c>
      <c r="O59" s="7">
        <v>1</v>
      </c>
      <c r="P59" s="7">
        <v>102</v>
      </c>
      <c r="Q59" s="74">
        <v>1074</v>
      </c>
      <c r="R59" s="74">
        <v>15505</v>
      </c>
      <c r="S59" s="70">
        <v>200</v>
      </c>
      <c r="T59" s="70">
        <v>2</v>
      </c>
      <c r="U59" s="75" t="s">
        <v>29</v>
      </c>
      <c r="V59" s="7" t="s">
        <v>30</v>
      </c>
      <c r="W59" s="75" t="s">
        <v>31</v>
      </c>
      <c r="Y59" s="7">
        <v>160</v>
      </c>
      <c r="Z59" s="7">
        <v>160</v>
      </c>
      <c r="AA59" s="7">
        <v>160</v>
      </c>
      <c r="AB59" s="7">
        <v>332</v>
      </c>
      <c r="AC59" s="7">
        <v>11000101</v>
      </c>
      <c r="AD59" s="7">
        <v>31000101</v>
      </c>
      <c r="AE59" s="7">
        <v>29000101</v>
      </c>
      <c r="AF59" s="7">
        <v>0</v>
      </c>
      <c r="AG59" s="7" t="s">
        <v>41</v>
      </c>
    </row>
    <row r="60" spans="1:33" s="7" customFormat="1" ht="16.5">
      <c r="A60" s="57">
        <v>100059</v>
      </c>
      <c r="B60" s="57" t="s">
        <v>811</v>
      </c>
      <c r="C60" s="57">
        <v>0</v>
      </c>
      <c r="D60" s="61" t="s">
        <v>21</v>
      </c>
      <c r="E60" s="57">
        <v>0</v>
      </c>
      <c r="F60" s="61" t="s">
        <v>22</v>
      </c>
      <c r="G60" s="62" t="s">
        <v>32</v>
      </c>
      <c r="H60" s="63">
        <v>20</v>
      </c>
      <c r="I60" s="63">
        <v>30</v>
      </c>
      <c r="J60" s="68" t="s">
        <v>24</v>
      </c>
      <c r="K60" s="7">
        <v>100089</v>
      </c>
      <c r="L60" s="7">
        <v>1</v>
      </c>
      <c r="M60" s="7">
        <v>-1</v>
      </c>
      <c r="N60" s="7">
        <v>101</v>
      </c>
      <c r="O60" s="7">
        <v>1</v>
      </c>
      <c r="P60" s="7">
        <v>102</v>
      </c>
      <c r="Q60" s="74">
        <v>1074</v>
      </c>
      <c r="R60" s="74">
        <v>15505</v>
      </c>
      <c r="S60" s="70">
        <v>200</v>
      </c>
      <c r="T60" s="70">
        <v>2</v>
      </c>
      <c r="U60" s="75" t="s">
        <v>33</v>
      </c>
      <c r="V60" s="7" t="s">
        <v>34</v>
      </c>
      <c r="W60" s="7" t="s">
        <v>35</v>
      </c>
      <c r="Y60" s="7">
        <v>160</v>
      </c>
      <c r="Z60" s="7">
        <v>160</v>
      </c>
      <c r="AA60" s="7">
        <v>160</v>
      </c>
      <c r="AB60" s="7">
        <v>332</v>
      </c>
      <c r="AC60" s="7">
        <v>22000101</v>
      </c>
      <c r="AD60" s="7">
        <v>14000101</v>
      </c>
      <c r="AE60" s="7">
        <v>4000101</v>
      </c>
      <c r="AF60" s="7">
        <v>0</v>
      </c>
      <c r="AG60" s="7" t="s">
        <v>42</v>
      </c>
    </row>
    <row r="61" spans="1:33" s="7" customFormat="1" ht="16.5">
      <c r="A61" s="57">
        <v>100060</v>
      </c>
      <c r="B61" s="57" t="s">
        <v>812</v>
      </c>
      <c r="C61" s="57">
        <v>0</v>
      </c>
      <c r="D61" s="61" t="s">
        <v>21</v>
      </c>
      <c r="E61" s="57">
        <v>0</v>
      </c>
      <c r="F61" s="61" t="s">
        <v>22</v>
      </c>
      <c r="G61" s="62" t="s">
        <v>36</v>
      </c>
      <c r="H61" s="63">
        <v>20</v>
      </c>
      <c r="I61" s="63">
        <v>30</v>
      </c>
      <c r="J61" s="68" t="s">
        <v>24</v>
      </c>
      <c r="K61" s="7">
        <v>100089</v>
      </c>
      <c r="L61" s="7">
        <v>1</v>
      </c>
      <c r="M61" s="7">
        <v>-1</v>
      </c>
      <c r="N61" s="7">
        <v>101</v>
      </c>
      <c r="O61" s="7">
        <v>1</v>
      </c>
      <c r="P61" s="7">
        <v>102</v>
      </c>
      <c r="Q61" s="74">
        <v>1074</v>
      </c>
      <c r="R61" s="74">
        <v>15505</v>
      </c>
      <c r="S61" s="70">
        <v>200</v>
      </c>
      <c r="T61" s="70">
        <v>2</v>
      </c>
      <c r="U61" s="75" t="s">
        <v>37</v>
      </c>
      <c r="V61" s="7" t="s">
        <v>38</v>
      </c>
      <c r="W61" s="7" t="s">
        <v>39</v>
      </c>
      <c r="X61" s="7" t="s">
        <v>40</v>
      </c>
      <c r="Y61" s="7">
        <v>160</v>
      </c>
      <c r="Z61" s="7">
        <v>160</v>
      </c>
      <c r="AA61" s="7">
        <v>160</v>
      </c>
      <c r="AB61" s="7">
        <v>199</v>
      </c>
      <c r="AC61" s="7">
        <v>24000101</v>
      </c>
      <c r="AD61" s="7">
        <v>27000101</v>
      </c>
      <c r="AE61" s="7">
        <v>10000101</v>
      </c>
      <c r="AF61" s="7">
        <v>28000101</v>
      </c>
      <c r="AG61" s="7" t="s">
        <v>45</v>
      </c>
    </row>
    <row r="62" spans="1:33" s="7" customFormat="1" ht="16.5">
      <c r="A62" s="57">
        <v>100061</v>
      </c>
      <c r="B62" s="57" t="s">
        <v>813</v>
      </c>
      <c r="C62" s="57">
        <v>0</v>
      </c>
      <c r="D62" s="61" t="s">
        <v>21</v>
      </c>
      <c r="E62" s="57">
        <v>0</v>
      </c>
      <c r="F62" s="61" t="s">
        <v>22</v>
      </c>
      <c r="G62" s="62" t="s">
        <v>23</v>
      </c>
      <c r="H62" s="63">
        <v>20</v>
      </c>
      <c r="I62" s="63">
        <v>30</v>
      </c>
      <c r="J62" s="68" t="s">
        <v>24</v>
      </c>
      <c r="K62" s="7">
        <v>100089</v>
      </c>
      <c r="L62" s="7">
        <v>1</v>
      </c>
      <c r="M62" s="7">
        <v>-1</v>
      </c>
      <c r="N62" s="7">
        <v>101</v>
      </c>
      <c r="O62" s="7">
        <v>1</v>
      </c>
      <c r="P62" s="7">
        <v>102</v>
      </c>
      <c r="Q62" s="74">
        <v>1074</v>
      </c>
      <c r="R62" s="74">
        <v>15505</v>
      </c>
      <c r="S62" s="70">
        <v>200</v>
      </c>
      <c r="T62" s="70">
        <v>2</v>
      </c>
      <c r="U62" s="75" t="s">
        <v>25</v>
      </c>
      <c r="V62" s="7" t="s">
        <v>26</v>
      </c>
      <c r="W62" s="7" t="s">
        <v>27</v>
      </c>
      <c r="Y62" s="7">
        <v>160</v>
      </c>
      <c r="Z62" s="7">
        <v>160</v>
      </c>
      <c r="AA62" s="7">
        <v>160</v>
      </c>
      <c r="AB62" s="7">
        <v>332</v>
      </c>
      <c r="AC62" s="7">
        <v>13000101</v>
      </c>
      <c r="AD62" s="7">
        <v>19000101</v>
      </c>
      <c r="AE62" s="7">
        <v>3000101</v>
      </c>
      <c r="AF62" s="7">
        <v>0</v>
      </c>
      <c r="AG62" s="7" t="s">
        <v>23</v>
      </c>
    </row>
    <row r="63" spans="1:33" s="7" customFormat="1" ht="16.5">
      <c r="A63" s="57">
        <v>100062</v>
      </c>
      <c r="B63" s="57" t="s">
        <v>814</v>
      </c>
      <c r="C63" s="57">
        <v>0</v>
      </c>
      <c r="D63" s="61" t="s">
        <v>21</v>
      </c>
      <c r="E63" s="57">
        <v>0</v>
      </c>
      <c r="F63" s="61" t="s">
        <v>22</v>
      </c>
      <c r="G63" s="62" t="s">
        <v>28</v>
      </c>
      <c r="H63" s="63">
        <v>20</v>
      </c>
      <c r="I63" s="63">
        <v>30</v>
      </c>
      <c r="J63" s="68" t="s">
        <v>24</v>
      </c>
      <c r="K63" s="7">
        <v>100089</v>
      </c>
      <c r="L63" s="7">
        <v>1</v>
      </c>
      <c r="M63" s="7">
        <v>-1</v>
      </c>
      <c r="N63" s="7">
        <v>101</v>
      </c>
      <c r="O63" s="7">
        <v>1</v>
      </c>
      <c r="P63" s="7">
        <v>102</v>
      </c>
      <c r="Q63" s="74">
        <v>1074</v>
      </c>
      <c r="R63" s="74">
        <v>15505</v>
      </c>
      <c r="S63" s="70">
        <v>200</v>
      </c>
      <c r="T63" s="70">
        <v>2</v>
      </c>
      <c r="U63" s="75" t="s">
        <v>29</v>
      </c>
      <c r="V63" s="7" t="s">
        <v>30</v>
      </c>
      <c r="W63" s="75" t="s">
        <v>31</v>
      </c>
      <c r="Y63" s="7">
        <v>160</v>
      </c>
      <c r="Z63" s="7">
        <v>160</v>
      </c>
      <c r="AA63" s="7">
        <v>160</v>
      </c>
      <c r="AB63" s="7">
        <v>332</v>
      </c>
      <c r="AC63" s="7">
        <v>11000101</v>
      </c>
      <c r="AD63" s="7">
        <v>31000101</v>
      </c>
      <c r="AE63" s="7">
        <v>29000101</v>
      </c>
      <c r="AF63" s="7">
        <v>0</v>
      </c>
      <c r="AG63" s="7" t="s">
        <v>41</v>
      </c>
    </row>
    <row r="64" spans="1:33" s="7" customFormat="1" ht="16.5">
      <c r="A64" s="57">
        <v>100063</v>
      </c>
      <c r="B64" s="57" t="s">
        <v>815</v>
      </c>
      <c r="C64" s="57">
        <v>0</v>
      </c>
      <c r="D64" s="61" t="s">
        <v>21</v>
      </c>
      <c r="E64" s="57">
        <v>0</v>
      </c>
      <c r="F64" s="61" t="s">
        <v>22</v>
      </c>
      <c r="G64" s="62" t="s">
        <v>32</v>
      </c>
      <c r="H64" s="63">
        <v>20</v>
      </c>
      <c r="I64" s="63">
        <v>30</v>
      </c>
      <c r="J64" s="68" t="s">
        <v>24</v>
      </c>
      <c r="K64" s="7">
        <v>100089</v>
      </c>
      <c r="L64" s="7">
        <v>1</v>
      </c>
      <c r="M64" s="7">
        <v>-1</v>
      </c>
      <c r="N64" s="7">
        <v>101</v>
      </c>
      <c r="O64" s="7">
        <v>1</v>
      </c>
      <c r="P64" s="7">
        <v>102</v>
      </c>
      <c r="Q64" s="74">
        <v>1074</v>
      </c>
      <c r="R64" s="74">
        <v>15505</v>
      </c>
      <c r="S64" s="70">
        <v>200</v>
      </c>
      <c r="T64" s="70">
        <v>2</v>
      </c>
      <c r="U64" s="75" t="s">
        <v>33</v>
      </c>
      <c r="V64" s="7" t="s">
        <v>34</v>
      </c>
      <c r="W64" s="7" t="s">
        <v>35</v>
      </c>
      <c r="Y64" s="7">
        <v>160</v>
      </c>
      <c r="Z64" s="7">
        <v>160</v>
      </c>
      <c r="AA64" s="7">
        <v>160</v>
      </c>
      <c r="AB64" s="7">
        <v>332</v>
      </c>
      <c r="AC64" s="7">
        <v>22000101</v>
      </c>
      <c r="AD64" s="7">
        <v>14000101</v>
      </c>
      <c r="AE64" s="7">
        <v>4000101</v>
      </c>
      <c r="AF64" s="7">
        <v>0</v>
      </c>
      <c r="AG64" s="7" t="s">
        <v>42</v>
      </c>
    </row>
    <row r="65" spans="1:33" s="7" customFormat="1" ht="16.5">
      <c r="A65" s="57">
        <v>100064</v>
      </c>
      <c r="B65" s="57" t="s">
        <v>816</v>
      </c>
      <c r="C65" s="57">
        <v>0</v>
      </c>
      <c r="D65" s="61" t="s">
        <v>21</v>
      </c>
      <c r="E65" s="57">
        <v>0</v>
      </c>
      <c r="F65" s="61" t="s">
        <v>22</v>
      </c>
      <c r="G65" s="62" t="s">
        <v>36</v>
      </c>
      <c r="H65" s="63">
        <v>20</v>
      </c>
      <c r="I65" s="63">
        <v>30</v>
      </c>
      <c r="J65" s="68" t="s">
        <v>24</v>
      </c>
      <c r="K65" s="7">
        <v>100089</v>
      </c>
      <c r="L65" s="7">
        <v>1</v>
      </c>
      <c r="M65" s="7">
        <v>-1</v>
      </c>
      <c r="N65" s="7">
        <v>101</v>
      </c>
      <c r="O65" s="7">
        <v>1</v>
      </c>
      <c r="P65" s="7">
        <v>102</v>
      </c>
      <c r="Q65" s="74">
        <v>1074</v>
      </c>
      <c r="R65" s="74">
        <v>15505</v>
      </c>
      <c r="S65" s="70">
        <v>200</v>
      </c>
      <c r="T65" s="70">
        <v>2</v>
      </c>
      <c r="U65" s="75" t="s">
        <v>37</v>
      </c>
      <c r="V65" s="7" t="s">
        <v>38</v>
      </c>
      <c r="W65" s="7" t="s">
        <v>39</v>
      </c>
      <c r="X65" s="7" t="s">
        <v>40</v>
      </c>
      <c r="Y65" s="7">
        <v>160</v>
      </c>
      <c r="Z65" s="7">
        <v>160</v>
      </c>
      <c r="AA65" s="7">
        <v>160</v>
      </c>
      <c r="AB65" s="7">
        <v>199</v>
      </c>
      <c r="AC65" s="7">
        <v>24000101</v>
      </c>
      <c r="AD65" s="7">
        <v>27000101</v>
      </c>
      <c r="AE65" s="7">
        <v>10000101</v>
      </c>
      <c r="AF65" s="7">
        <v>28000101</v>
      </c>
      <c r="AG65" s="7" t="s">
        <v>45</v>
      </c>
    </row>
    <row r="66" spans="1:33" s="7" customFormat="1" ht="16.5">
      <c r="A66" s="57">
        <v>100065</v>
      </c>
      <c r="B66" s="57" t="s">
        <v>817</v>
      </c>
      <c r="C66" s="57">
        <v>0</v>
      </c>
      <c r="D66" s="61" t="s">
        <v>21</v>
      </c>
      <c r="E66" s="57">
        <v>0</v>
      </c>
      <c r="F66" s="61" t="s">
        <v>22</v>
      </c>
      <c r="G66" s="62" t="s">
        <v>23</v>
      </c>
      <c r="H66" s="63">
        <v>20</v>
      </c>
      <c r="I66" s="63">
        <v>30</v>
      </c>
      <c r="J66" s="68" t="s">
        <v>24</v>
      </c>
      <c r="K66" s="7">
        <v>100089</v>
      </c>
      <c r="L66" s="7">
        <v>1</v>
      </c>
      <c r="M66" s="7">
        <v>-1</v>
      </c>
      <c r="N66" s="7">
        <v>101</v>
      </c>
      <c r="O66" s="7">
        <v>1</v>
      </c>
      <c r="P66" s="7">
        <v>102</v>
      </c>
      <c r="Q66" s="74">
        <v>1074</v>
      </c>
      <c r="R66" s="74">
        <v>15505</v>
      </c>
      <c r="S66" s="70">
        <v>200</v>
      </c>
      <c r="T66" s="70">
        <v>2</v>
      </c>
      <c r="U66" s="75" t="s">
        <v>25</v>
      </c>
      <c r="V66" s="7" t="s">
        <v>26</v>
      </c>
      <c r="W66" s="7" t="s">
        <v>27</v>
      </c>
      <c r="Y66" s="7">
        <v>160</v>
      </c>
      <c r="Z66" s="7">
        <v>160</v>
      </c>
      <c r="AA66" s="7">
        <v>160</v>
      </c>
      <c r="AB66" s="7">
        <v>332</v>
      </c>
      <c r="AC66" s="7">
        <v>13000101</v>
      </c>
      <c r="AD66" s="7">
        <v>19000101</v>
      </c>
      <c r="AE66" s="7">
        <v>3000101</v>
      </c>
      <c r="AF66" s="7">
        <v>0</v>
      </c>
      <c r="AG66" s="7" t="s">
        <v>23</v>
      </c>
    </row>
    <row r="67" spans="1:33" s="7" customFormat="1" ht="16.5">
      <c r="A67" s="57">
        <v>100066</v>
      </c>
      <c r="B67" s="57" t="s">
        <v>818</v>
      </c>
      <c r="C67" s="57">
        <v>0</v>
      </c>
      <c r="D67" s="61" t="s">
        <v>21</v>
      </c>
      <c r="E67" s="57">
        <v>0</v>
      </c>
      <c r="F67" s="61" t="s">
        <v>22</v>
      </c>
      <c r="G67" s="62" t="s">
        <v>28</v>
      </c>
      <c r="H67" s="63">
        <v>20</v>
      </c>
      <c r="I67" s="63">
        <v>30</v>
      </c>
      <c r="J67" s="68" t="s">
        <v>24</v>
      </c>
      <c r="K67" s="7">
        <v>100089</v>
      </c>
      <c r="L67" s="7">
        <v>1</v>
      </c>
      <c r="M67" s="7">
        <v>-1</v>
      </c>
      <c r="N67" s="7">
        <v>101</v>
      </c>
      <c r="O67" s="7">
        <v>1</v>
      </c>
      <c r="P67" s="7">
        <v>102</v>
      </c>
      <c r="Q67" s="74">
        <v>1074</v>
      </c>
      <c r="R67" s="74">
        <v>15505</v>
      </c>
      <c r="S67" s="70">
        <v>200</v>
      </c>
      <c r="T67" s="70">
        <v>2</v>
      </c>
      <c r="U67" s="75" t="s">
        <v>29</v>
      </c>
      <c r="V67" s="7" t="s">
        <v>30</v>
      </c>
      <c r="W67" s="75" t="s">
        <v>31</v>
      </c>
      <c r="Y67" s="7">
        <v>160</v>
      </c>
      <c r="Z67" s="7">
        <v>160</v>
      </c>
      <c r="AA67" s="7">
        <v>160</v>
      </c>
      <c r="AB67" s="7">
        <v>332</v>
      </c>
      <c r="AC67" s="7">
        <v>11000101</v>
      </c>
      <c r="AD67" s="7">
        <v>31000101</v>
      </c>
      <c r="AE67" s="7">
        <v>29000101</v>
      </c>
      <c r="AF67" s="7">
        <v>0</v>
      </c>
      <c r="AG67" s="7" t="s">
        <v>41</v>
      </c>
    </row>
    <row r="68" spans="1:33" s="7" customFormat="1" ht="16.5">
      <c r="A68" s="57">
        <v>100067</v>
      </c>
      <c r="B68" s="57" t="s">
        <v>819</v>
      </c>
      <c r="C68" s="57">
        <v>0</v>
      </c>
      <c r="D68" s="61" t="s">
        <v>21</v>
      </c>
      <c r="E68" s="57">
        <v>0</v>
      </c>
      <c r="F68" s="61" t="s">
        <v>22</v>
      </c>
      <c r="G68" s="62" t="s">
        <v>32</v>
      </c>
      <c r="H68" s="63">
        <v>20</v>
      </c>
      <c r="I68" s="63">
        <v>30</v>
      </c>
      <c r="J68" s="68" t="s">
        <v>24</v>
      </c>
      <c r="K68" s="7">
        <v>100089</v>
      </c>
      <c r="L68" s="7">
        <v>1</v>
      </c>
      <c r="M68" s="7">
        <v>-1</v>
      </c>
      <c r="N68" s="7">
        <v>101</v>
      </c>
      <c r="O68" s="7">
        <v>1</v>
      </c>
      <c r="P68" s="7">
        <v>102</v>
      </c>
      <c r="Q68" s="74">
        <v>1074</v>
      </c>
      <c r="R68" s="74">
        <v>15505</v>
      </c>
      <c r="S68" s="70">
        <v>200</v>
      </c>
      <c r="T68" s="70">
        <v>2</v>
      </c>
      <c r="U68" s="75" t="s">
        <v>33</v>
      </c>
      <c r="V68" s="7" t="s">
        <v>34</v>
      </c>
      <c r="W68" s="7" t="s">
        <v>35</v>
      </c>
      <c r="Y68" s="7">
        <v>160</v>
      </c>
      <c r="Z68" s="7">
        <v>160</v>
      </c>
      <c r="AA68" s="7">
        <v>160</v>
      </c>
      <c r="AB68" s="7">
        <v>332</v>
      </c>
      <c r="AC68" s="7">
        <v>22000101</v>
      </c>
      <c r="AD68" s="7">
        <v>14000101</v>
      </c>
      <c r="AE68" s="7">
        <v>4000101</v>
      </c>
      <c r="AF68" s="7">
        <v>0</v>
      </c>
      <c r="AG68" s="7" t="s">
        <v>42</v>
      </c>
    </row>
    <row r="69" spans="1:33" s="7" customFormat="1" ht="16.5">
      <c r="A69" s="57">
        <v>100068</v>
      </c>
      <c r="B69" s="57" t="s">
        <v>820</v>
      </c>
      <c r="C69" s="57">
        <v>0</v>
      </c>
      <c r="D69" s="61" t="s">
        <v>21</v>
      </c>
      <c r="E69" s="57">
        <v>0</v>
      </c>
      <c r="F69" s="61" t="s">
        <v>22</v>
      </c>
      <c r="G69" s="62" t="s">
        <v>36</v>
      </c>
      <c r="H69" s="63">
        <v>20</v>
      </c>
      <c r="I69" s="63">
        <v>30</v>
      </c>
      <c r="J69" s="68" t="s">
        <v>24</v>
      </c>
      <c r="K69" s="7">
        <v>100089</v>
      </c>
      <c r="L69" s="7">
        <v>1</v>
      </c>
      <c r="M69" s="7">
        <v>-1</v>
      </c>
      <c r="N69" s="7">
        <v>101</v>
      </c>
      <c r="O69" s="7">
        <v>1</v>
      </c>
      <c r="P69" s="7">
        <v>102</v>
      </c>
      <c r="Q69" s="74">
        <v>1074</v>
      </c>
      <c r="R69" s="74">
        <v>15505</v>
      </c>
      <c r="S69" s="70">
        <v>200</v>
      </c>
      <c r="T69" s="70">
        <v>2</v>
      </c>
      <c r="U69" s="75" t="s">
        <v>37</v>
      </c>
      <c r="V69" s="7" t="s">
        <v>38</v>
      </c>
      <c r="W69" s="7" t="s">
        <v>39</v>
      </c>
      <c r="X69" s="7" t="s">
        <v>40</v>
      </c>
      <c r="Y69" s="7">
        <v>160</v>
      </c>
      <c r="Z69" s="7">
        <v>160</v>
      </c>
      <c r="AA69" s="7">
        <v>160</v>
      </c>
      <c r="AB69" s="7">
        <v>199</v>
      </c>
      <c r="AC69" s="7">
        <v>24000101</v>
      </c>
      <c r="AD69" s="7">
        <v>27000101</v>
      </c>
      <c r="AE69" s="7">
        <v>10000101</v>
      </c>
      <c r="AF69" s="7">
        <v>28000101</v>
      </c>
      <c r="AG69" s="7" t="s">
        <v>45</v>
      </c>
    </row>
    <row r="70" spans="1:33" s="7" customFormat="1" ht="16.5">
      <c r="A70" s="57">
        <v>100069</v>
      </c>
      <c r="B70" s="57" t="s">
        <v>821</v>
      </c>
      <c r="C70" s="57">
        <v>0</v>
      </c>
      <c r="D70" s="61" t="s">
        <v>21</v>
      </c>
      <c r="E70" s="57">
        <v>0</v>
      </c>
      <c r="F70" s="61" t="s">
        <v>22</v>
      </c>
      <c r="G70" s="62" t="s">
        <v>46</v>
      </c>
      <c r="H70" s="63">
        <v>20</v>
      </c>
      <c r="I70" s="63">
        <v>30</v>
      </c>
      <c r="J70" s="68" t="s">
        <v>24</v>
      </c>
      <c r="K70" s="7">
        <v>100089</v>
      </c>
      <c r="L70" s="7">
        <v>1</v>
      </c>
      <c r="M70" s="7">
        <v>-1</v>
      </c>
      <c r="N70" s="7">
        <v>101</v>
      </c>
      <c r="O70" s="7">
        <v>1</v>
      </c>
      <c r="P70" s="7">
        <v>102</v>
      </c>
      <c r="Q70" s="74">
        <v>1074</v>
      </c>
      <c r="R70" s="74">
        <v>15505</v>
      </c>
      <c r="S70" s="70">
        <v>200</v>
      </c>
      <c r="T70" s="70">
        <v>2</v>
      </c>
      <c r="U70" s="75" t="s">
        <v>47</v>
      </c>
      <c r="V70" s="7" t="s">
        <v>48</v>
      </c>
      <c r="W70" s="7" t="s">
        <v>49</v>
      </c>
      <c r="Y70" s="7">
        <v>160</v>
      </c>
      <c r="Z70" s="7">
        <v>160</v>
      </c>
      <c r="AA70" s="7">
        <v>160</v>
      </c>
      <c r="AB70" s="7">
        <v>332</v>
      </c>
      <c r="AC70" s="7">
        <v>22000101</v>
      </c>
      <c r="AD70" s="7">
        <v>14000101</v>
      </c>
      <c r="AE70" s="7">
        <v>4000101</v>
      </c>
      <c r="AF70" s="7">
        <v>0</v>
      </c>
      <c r="AG70" s="7" t="s">
        <v>42</v>
      </c>
    </row>
    <row r="71" spans="1:33" s="7" customFormat="1" ht="16.5">
      <c r="A71" s="57">
        <v>100070</v>
      </c>
      <c r="B71" s="57" t="s">
        <v>822</v>
      </c>
      <c r="C71" s="57">
        <v>0</v>
      </c>
      <c r="D71" s="61" t="s">
        <v>21</v>
      </c>
      <c r="E71" s="57">
        <v>0</v>
      </c>
      <c r="F71" s="61" t="s">
        <v>22</v>
      </c>
      <c r="G71" s="62" t="s">
        <v>50</v>
      </c>
      <c r="H71" s="63">
        <v>20</v>
      </c>
      <c r="I71" s="63">
        <v>30</v>
      </c>
      <c r="J71" s="68" t="s">
        <v>24</v>
      </c>
      <c r="K71" s="7">
        <v>100089</v>
      </c>
      <c r="L71" s="7">
        <v>1</v>
      </c>
      <c r="M71" s="7">
        <v>-1</v>
      </c>
      <c r="N71" s="7">
        <v>101</v>
      </c>
      <c r="O71" s="7">
        <v>1</v>
      </c>
      <c r="P71" s="7">
        <v>102</v>
      </c>
      <c r="Q71" s="74">
        <v>1074</v>
      </c>
      <c r="R71" s="74">
        <v>15505</v>
      </c>
      <c r="S71" s="70">
        <v>200</v>
      </c>
      <c r="T71" s="70">
        <v>2</v>
      </c>
      <c r="U71" s="75" t="s">
        <v>51</v>
      </c>
      <c r="V71" s="7" t="s">
        <v>52</v>
      </c>
      <c r="W71" s="7" t="s">
        <v>53</v>
      </c>
      <c r="Y71" s="7">
        <v>160</v>
      </c>
      <c r="Z71" s="7">
        <v>160</v>
      </c>
      <c r="AA71" s="7">
        <v>160</v>
      </c>
      <c r="AB71" s="7">
        <v>199</v>
      </c>
      <c r="AC71" s="7">
        <v>24000101</v>
      </c>
      <c r="AD71" s="7">
        <v>27000101</v>
      </c>
      <c r="AE71" s="7">
        <v>10000101</v>
      </c>
      <c r="AF71" s="7">
        <v>28000101</v>
      </c>
      <c r="AG71" s="7" t="s">
        <v>45</v>
      </c>
    </row>
    <row r="72" spans="1:33" s="7" customFormat="1" ht="16.5">
      <c r="A72" s="57">
        <v>100071</v>
      </c>
      <c r="B72" s="57" t="s">
        <v>823</v>
      </c>
      <c r="C72" s="57">
        <v>0</v>
      </c>
      <c r="D72" s="61" t="s">
        <v>21</v>
      </c>
      <c r="E72" s="57">
        <v>0</v>
      </c>
      <c r="F72" s="61" t="s">
        <v>22</v>
      </c>
      <c r="G72" s="62" t="s">
        <v>54</v>
      </c>
      <c r="H72" s="63">
        <v>20</v>
      </c>
      <c r="I72" s="63">
        <v>30</v>
      </c>
      <c r="J72" s="68" t="s">
        <v>24</v>
      </c>
      <c r="K72" s="7">
        <v>100089</v>
      </c>
      <c r="L72" s="7">
        <v>1</v>
      </c>
      <c r="M72" s="7">
        <v>-1</v>
      </c>
      <c r="N72" s="7">
        <v>101</v>
      </c>
      <c r="O72" s="7">
        <v>1</v>
      </c>
      <c r="P72" s="7">
        <v>102</v>
      </c>
      <c r="Q72" s="74">
        <v>1074</v>
      </c>
      <c r="R72" s="74">
        <v>15505</v>
      </c>
      <c r="S72" s="70">
        <v>200</v>
      </c>
      <c r="T72" s="70">
        <v>2</v>
      </c>
      <c r="U72" s="75" t="s">
        <v>51</v>
      </c>
      <c r="V72" s="7" t="s">
        <v>52</v>
      </c>
      <c r="W72" s="7" t="s">
        <v>53</v>
      </c>
      <c r="Y72" s="7">
        <v>160</v>
      </c>
      <c r="Z72" s="7">
        <v>160</v>
      </c>
      <c r="AA72" s="7">
        <v>160</v>
      </c>
      <c r="AB72" s="7">
        <v>199</v>
      </c>
      <c r="AC72" s="7">
        <v>24000101</v>
      </c>
      <c r="AD72" s="7">
        <v>27000101</v>
      </c>
      <c r="AE72" s="7">
        <v>10000101</v>
      </c>
      <c r="AF72" s="7">
        <v>28000101</v>
      </c>
      <c r="AG72" s="7" t="s">
        <v>45</v>
      </c>
    </row>
    <row r="73" spans="1:33" s="7" customFormat="1" ht="16.5">
      <c r="A73" s="57">
        <v>100072</v>
      </c>
      <c r="B73" s="57" t="s">
        <v>824</v>
      </c>
      <c r="C73" s="57">
        <v>0</v>
      </c>
      <c r="D73" s="61" t="s">
        <v>21</v>
      </c>
      <c r="E73" s="57">
        <v>0</v>
      </c>
      <c r="F73" s="61" t="s">
        <v>22</v>
      </c>
      <c r="G73" s="62" t="s">
        <v>55</v>
      </c>
      <c r="H73" s="63">
        <v>20</v>
      </c>
      <c r="I73" s="63">
        <v>30</v>
      </c>
      <c r="J73" s="68" t="s">
        <v>24</v>
      </c>
      <c r="K73" s="7">
        <v>100089</v>
      </c>
      <c r="L73" s="7">
        <v>1</v>
      </c>
      <c r="M73" s="7">
        <v>-1</v>
      </c>
      <c r="N73" s="7">
        <v>101</v>
      </c>
      <c r="O73" s="7">
        <v>1</v>
      </c>
      <c r="P73" s="7">
        <v>102</v>
      </c>
      <c r="Q73" s="74">
        <v>1074</v>
      </c>
      <c r="R73" s="74">
        <v>15505</v>
      </c>
      <c r="S73" s="70">
        <v>200</v>
      </c>
      <c r="T73" s="70">
        <v>2</v>
      </c>
      <c r="U73" s="75" t="s">
        <v>51</v>
      </c>
      <c r="V73" s="7" t="s">
        <v>52</v>
      </c>
      <c r="W73" s="7" t="s">
        <v>53</v>
      </c>
      <c r="Y73" s="7">
        <v>160</v>
      </c>
      <c r="Z73" s="7">
        <v>160</v>
      </c>
      <c r="AA73" s="7">
        <v>160</v>
      </c>
      <c r="AB73" s="7">
        <v>199</v>
      </c>
      <c r="AC73" s="7">
        <v>24000101</v>
      </c>
      <c r="AD73" s="7">
        <v>27000101</v>
      </c>
      <c r="AE73" s="7">
        <v>10000101</v>
      </c>
      <c r="AF73" s="7">
        <v>28000101</v>
      </c>
      <c r="AG73" s="7" t="s">
        <v>45</v>
      </c>
    </row>
    <row r="74" spans="1:33" s="7" customFormat="1" ht="16.5">
      <c r="A74" s="57">
        <v>100073</v>
      </c>
      <c r="B74" s="57" t="s">
        <v>825</v>
      </c>
      <c r="C74" s="57">
        <v>0</v>
      </c>
      <c r="D74" s="61" t="s">
        <v>21</v>
      </c>
      <c r="E74" s="57">
        <v>0</v>
      </c>
      <c r="F74" s="61" t="s">
        <v>22</v>
      </c>
      <c r="G74" s="62" t="s">
        <v>56</v>
      </c>
      <c r="H74" s="63">
        <v>20</v>
      </c>
      <c r="I74" s="63">
        <v>30</v>
      </c>
      <c r="J74" s="68" t="s">
        <v>24</v>
      </c>
      <c r="K74" s="7">
        <v>100089</v>
      </c>
      <c r="L74" s="7">
        <v>1</v>
      </c>
      <c r="M74" s="7">
        <v>-1</v>
      </c>
      <c r="N74" s="7">
        <v>101</v>
      </c>
      <c r="O74" s="7">
        <v>1</v>
      </c>
      <c r="P74" s="7">
        <v>102</v>
      </c>
      <c r="Q74" s="74">
        <v>1074</v>
      </c>
      <c r="R74" s="74">
        <v>15505</v>
      </c>
      <c r="S74" s="70">
        <v>200</v>
      </c>
      <c r="T74" s="70">
        <v>2</v>
      </c>
      <c r="U74" s="75" t="s">
        <v>51</v>
      </c>
      <c r="V74" s="7" t="s">
        <v>52</v>
      </c>
      <c r="W74" s="7" t="s">
        <v>53</v>
      </c>
      <c r="Y74" s="7">
        <v>160</v>
      </c>
      <c r="Z74" s="7">
        <v>160</v>
      </c>
      <c r="AA74" s="7">
        <v>160</v>
      </c>
      <c r="AB74" s="7">
        <v>199</v>
      </c>
      <c r="AC74" s="7">
        <v>24000101</v>
      </c>
      <c r="AD74" s="7">
        <v>27000101</v>
      </c>
      <c r="AE74" s="7">
        <v>10000101</v>
      </c>
      <c r="AF74" s="7">
        <v>28000101</v>
      </c>
      <c r="AG74" s="7" t="s">
        <v>45</v>
      </c>
    </row>
    <row r="75" spans="1:33" s="7" customFormat="1" ht="16.5">
      <c r="A75" s="57">
        <v>100074</v>
      </c>
      <c r="B75" s="57" t="s">
        <v>826</v>
      </c>
      <c r="C75" s="57">
        <v>0</v>
      </c>
      <c r="D75" s="61" t="s">
        <v>21</v>
      </c>
      <c r="E75" s="57">
        <v>0</v>
      </c>
      <c r="F75" s="61" t="s">
        <v>22</v>
      </c>
      <c r="G75" s="62" t="s">
        <v>57</v>
      </c>
      <c r="H75" s="63">
        <v>20</v>
      </c>
      <c r="I75" s="63">
        <v>30</v>
      </c>
      <c r="J75" s="68" t="s">
        <v>24</v>
      </c>
      <c r="K75" s="7">
        <v>100089</v>
      </c>
      <c r="L75" s="7">
        <v>1</v>
      </c>
      <c r="M75" s="7">
        <v>-1</v>
      </c>
      <c r="N75" s="7">
        <v>101</v>
      </c>
      <c r="O75" s="7">
        <v>1</v>
      </c>
      <c r="P75" s="7">
        <v>102</v>
      </c>
      <c r="Q75" s="74">
        <v>1074</v>
      </c>
      <c r="R75" s="74">
        <v>15505</v>
      </c>
      <c r="S75" s="70">
        <v>200</v>
      </c>
      <c r="T75" s="70">
        <v>2</v>
      </c>
      <c r="U75" s="75" t="s">
        <v>51</v>
      </c>
      <c r="V75" s="7" t="s">
        <v>52</v>
      </c>
      <c r="W75" s="7" t="s">
        <v>53</v>
      </c>
      <c r="Y75" s="7">
        <v>160</v>
      </c>
      <c r="Z75" s="7">
        <v>160</v>
      </c>
      <c r="AA75" s="7">
        <v>160</v>
      </c>
      <c r="AB75" s="7">
        <v>199</v>
      </c>
      <c r="AC75" s="7">
        <v>24000101</v>
      </c>
      <c r="AD75" s="7">
        <v>27000101</v>
      </c>
      <c r="AE75" s="7">
        <v>10000101</v>
      </c>
      <c r="AF75" s="7">
        <v>28000101</v>
      </c>
      <c r="AG75" s="7" t="s">
        <v>45</v>
      </c>
    </row>
    <row r="76" spans="1:33" s="7" customFormat="1" ht="16.5">
      <c r="A76" s="57">
        <v>100075</v>
      </c>
      <c r="B76" s="57" t="s">
        <v>827</v>
      </c>
      <c r="C76" s="57">
        <v>0</v>
      </c>
      <c r="D76" s="61" t="s">
        <v>21</v>
      </c>
      <c r="E76" s="57">
        <v>0</v>
      </c>
      <c r="F76" s="61" t="s">
        <v>22</v>
      </c>
      <c r="G76" s="62" t="s">
        <v>58</v>
      </c>
      <c r="H76" s="63">
        <v>20</v>
      </c>
      <c r="I76" s="63">
        <v>30</v>
      </c>
      <c r="J76" s="68" t="s">
        <v>24</v>
      </c>
      <c r="K76" s="7">
        <v>100089</v>
      </c>
      <c r="L76" s="7">
        <v>1</v>
      </c>
      <c r="M76" s="7">
        <v>-1</v>
      </c>
      <c r="N76" s="7">
        <v>101</v>
      </c>
      <c r="O76" s="7">
        <v>1</v>
      </c>
      <c r="P76" s="7">
        <v>102</v>
      </c>
      <c r="Q76" s="74">
        <v>1074</v>
      </c>
      <c r="R76" s="74">
        <v>15505</v>
      </c>
      <c r="S76" s="70">
        <v>200</v>
      </c>
      <c r="T76" s="70">
        <v>2</v>
      </c>
      <c r="U76" s="75" t="s">
        <v>51</v>
      </c>
      <c r="V76" s="7" t="s">
        <v>52</v>
      </c>
      <c r="W76" s="7" t="s">
        <v>53</v>
      </c>
      <c r="Y76" s="7">
        <v>160</v>
      </c>
      <c r="Z76" s="7">
        <v>160</v>
      </c>
      <c r="AA76" s="7">
        <v>160</v>
      </c>
      <c r="AB76" s="7">
        <v>199</v>
      </c>
      <c r="AC76" s="7">
        <v>24000101</v>
      </c>
      <c r="AD76" s="7">
        <v>27000101</v>
      </c>
      <c r="AE76" s="7">
        <v>10000101</v>
      </c>
      <c r="AF76" s="7">
        <v>28000101</v>
      </c>
      <c r="AG76" s="7" t="s">
        <v>45</v>
      </c>
    </row>
    <row r="77" spans="1:33" s="7" customFormat="1" ht="16.5">
      <c r="A77" s="57">
        <v>100076</v>
      </c>
      <c r="B77" s="57" t="s">
        <v>828</v>
      </c>
      <c r="C77" s="57">
        <v>0</v>
      </c>
      <c r="D77" s="61" t="s">
        <v>21</v>
      </c>
      <c r="E77" s="57">
        <v>0</v>
      </c>
      <c r="F77" s="61" t="s">
        <v>22</v>
      </c>
      <c r="G77" s="62" t="s">
        <v>59</v>
      </c>
      <c r="H77" s="63">
        <v>20</v>
      </c>
      <c r="I77" s="63">
        <v>30</v>
      </c>
      <c r="J77" s="68" t="s">
        <v>24</v>
      </c>
      <c r="K77" s="7">
        <v>100089</v>
      </c>
      <c r="L77" s="7">
        <v>1</v>
      </c>
      <c r="M77" s="7">
        <v>-1</v>
      </c>
      <c r="N77" s="7">
        <v>101</v>
      </c>
      <c r="O77" s="7">
        <v>1</v>
      </c>
      <c r="P77" s="7">
        <v>102</v>
      </c>
      <c r="Q77" s="74">
        <v>1074</v>
      </c>
      <c r="R77" s="74">
        <v>15505</v>
      </c>
      <c r="S77" s="70">
        <v>200</v>
      </c>
      <c r="T77" s="70">
        <v>2</v>
      </c>
      <c r="U77" s="88" t="s">
        <v>60</v>
      </c>
      <c r="V77" s="89"/>
      <c r="W77" s="89"/>
      <c r="Y77" s="7">
        <v>160</v>
      </c>
      <c r="Z77" s="7">
        <v>160</v>
      </c>
      <c r="AA77" s="7">
        <v>160</v>
      </c>
      <c r="AB77" s="7">
        <v>199</v>
      </c>
      <c r="AC77" s="7">
        <v>24000101</v>
      </c>
      <c r="AD77" s="7">
        <v>27000101</v>
      </c>
      <c r="AE77" s="7">
        <v>10000101</v>
      </c>
      <c r="AF77" s="7">
        <v>28000101</v>
      </c>
      <c r="AG77" s="7" t="s">
        <v>45</v>
      </c>
    </row>
    <row r="78" spans="1:33" s="7" customFormat="1" ht="16.5">
      <c r="A78" s="57">
        <v>100077</v>
      </c>
      <c r="B78" s="57" t="s">
        <v>829</v>
      </c>
      <c r="C78" s="57">
        <v>0</v>
      </c>
      <c r="D78" s="61" t="s">
        <v>21</v>
      </c>
      <c r="E78" s="57">
        <v>0</v>
      </c>
      <c r="F78" s="61" t="s">
        <v>22</v>
      </c>
      <c r="G78" s="62" t="s">
        <v>61</v>
      </c>
      <c r="H78" s="63">
        <v>20</v>
      </c>
      <c r="I78" s="63">
        <v>30</v>
      </c>
      <c r="J78" s="68" t="s">
        <v>24</v>
      </c>
      <c r="K78" s="7">
        <v>100089</v>
      </c>
      <c r="L78" s="7">
        <v>1</v>
      </c>
      <c r="M78" s="7">
        <v>-1</v>
      </c>
      <c r="N78" s="7">
        <v>101</v>
      </c>
      <c r="O78" s="7">
        <v>1</v>
      </c>
      <c r="P78" s="7">
        <v>102</v>
      </c>
      <c r="Q78" s="74">
        <v>1074</v>
      </c>
      <c r="R78" s="74">
        <v>15505</v>
      </c>
      <c r="S78" s="70">
        <v>200</v>
      </c>
      <c r="T78" s="70">
        <v>2</v>
      </c>
      <c r="U78" s="88" t="s">
        <v>62</v>
      </c>
      <c r="V78" s="89"/>
      <c r="W78" s="89"/>
      <c r="Y78" s="7">
        <v>160</v>
      </c>
      <c r="Z78" s="7">
        <v>160</v>
      </c>
      <c r="AA78" s="7">
        <v>160</v>
      </c>
      <c r="AB78" s="7">
        <v>199</v>
      </c>
      <c r="AC78" s="7">
        <v>24000101</v>
      </c>
      <c r="AD78" s="7">
        <v>27000101</v>
      </c>
      <c r="AE78" s="7">
        <v>10000101</v>
      </c>
      <c r="AF78" s="7">
        <v>28000101</v>
      </c>
      <c r="AG78" s="7" t="s">
        <v>45</v>
      </c>
    </row>
    <row r="79" spans="1:33" s="7" customFormat="1" ht="16.5">
      <c r="A79" s="57">
        <v>100078</v>
      </c>
      <c r="B79" s="57" t="s">
        <v>830</v>
      </c>
      <c r="C79" s="57">
        <v>0</v>
      </c>
      <c r="D79" s="61" t="s">
        <v>21</v>
      </c>
      <c r="E79" s="57">
        <v>0</v>
      </c>
      <c r="F79" s="61" t="s">
        <v>22</v>
      </c>
      <c r="G79" s="62" t="s">
        <v>63</v>
      </c>
      <c r="H79" s="63">
        <v>20</v>
      </c>
      <c r="I79" s="63">
        <v>30</v>
      </c>
      <c r="J79" s="68" t="s">
        <v>24</v>
      </c>
      <c r="K79" s="7">
        <v>100089</v>
      </c>
      <c r="L79" s="7">
        <v>1</v>
      </c>
      <c r="M79" s="7">
        <v>-1</v>
      </c>
      <c r="N79" s="7">
        <v>101</v>
      </c>
      <c r="O79" s="7">
        <v>1</v>
      </c>
      <c r="P79" s="7">
        <v>102</v>
      </c>
      <c r="Q79" s="74">
        <v>1074</v>
      </c>
      <c r="R79" s="74">
        <v>15505</v>
      </c>
      <c r="S79" s="70">
        <v>200</v>
      </c>
      <c r="T79" s="70">
        <v>2</v>
      </c>
      <c r="U79" s="88" t="s">
        <v>60</v>
      </c>
      <c r="V79" s="89"/>
      <c r="W79" s="89"/>
      <c r="Y79" s="7">
        <v>160</v>
      </c>
      <c r="Z79" s="7">
        <v>160</v>
      </c>
      <c r="AA79" s="7">
        <v>160</v>
      </c>
      <c r="AB79" s="7">
        <v>199</v>
      </c>
      <c r="AC79" s="7">
        <v>24000101</v>
      </c>
      <c r="AD79" s="7">
        <v>27000101</v>
      </c>
      <c r="AE79" s="7">
        <v>10000101</v>
      </c>
      <c r="AF79" s="7">
        <v>28000101</v>
      </c>
      <c r="AG79" s="7" t="s">
        <v>45</v>
      </c>
    </row>
    <row r="80" spans="1:33" s="7" customFormat="1" ht="16.5">
      <c r="A80" s="57">
        <v>100079</v>
      </c>
      <c r="B80" s="57" t="s">
        <v>831</v>
      </c>
      <c r="C80" s="57">
        <v>0</v>
      </c>
      <c r="D80" s="61" t="s">
        <v>21</v>
      </c>
      <c r="E80" s="57">
        <v>0</v>
      </c>
      <c r="F80" s="61" t="s">
        <v>22</v>
      </c>
      <c r="G80" s="62" t="s">
        <v>64</v>
      </c>
      <c r="H80" s="63">
        <v>20</v>
      </c>
      <c r="I80" s="63">
        <v>30</v>
      </c>
      <c r="J80" s="68" t="s">
        <v>24</v>
      </c>
      <c r="K80" s="7">
        <v>100089</v>
      </c>
      <c r="L80" s="7">
        <v>1</v>
      </c>
      <c r="M80" s="7">
        <v>-1</v>
      </c>
      <c r="N80" s="7">
        <v>101</v>
      </c>
      <c r="O80" s="7">
        <v>1</v>
      </c>
      <c r="P80" s="7">
        <v>102</v>
      </c>
      <c r="Q80" s="74">
        <v>1074</v>
      </c>
      <c r="R80" s="74">
        <v>15505</v>
      </c>
      <c r="S80" s="70">
        <v>200</v>
      </c>
      <c r="T80" s="70">
        <v>2</v>
      </c>
      <c r="U80" s="88" t="s">
        <v>62</v>
      </c>
      <c r="V80" s="89"/>
      <c r="W80" s="89"/>
      <c r="Y80" s="7">
        <v>160</v>
      </c>
      <c r="Z80" s="7">
        <v>160</v>
      </c>
      <c r="AA80" s="7">
        <v>160</v>
      </c>
      <c r="AB80" s="7">
        <v>199</v>
      </c>
      <c r="AC80" s="7">
        <v>24000101</v>
      </c>
      <c r="AD80" s="7">
        <v>27000101</v>
      </c>
      <c r="AE80" s="7">
        <v>10000101</v>
      </c>
      <c r="AF80" s="7">
        <v>28000101</v>
      </c>
      <c r="AG80" s="7" t="s">
        <v>45</v>
      </c>
    </row>
    <row r="81" spans="1:33" s="7" customFormat="1" ht="16.5">
      <c r="A81" s="57">
        <v>100080</v>
      </c>
      <c r="B81" s="57" t="s">
        <v>832</v>
      </c>
      <c r="C81" s="57">
        <v>0</v>
      </c>
      <c r="D81" s="61" t="s">
        <v>21</v>
      </c>
      <c r="E81" s="57">
        <v>0</v>
      </c>
      <c r="F81" s="61" t="s">
        <v>22</v>
      </c>
      <c r="G81" s="62" t="s">
        <v>65</v>
      </c>
      <c r="H81" s="63">
        <v>20</v>
      </c>
      <c r="I81" s="63">
        <v>30</v>
      </c>
      <c r="J81" s="68" t="s">
        <v>24</v>
      </c>
      <c r="K81" s="7">
        <v>100089</v>
      </c>
      <c r="L81" s="7">
        <v>1</v>
      </c>
      <c r="M81" s="7">
        <v>-1</v>
      </c>
      <c r="N81" s="7">
        <v>101</v>
      </c>
      <c r="O81" s="7">
        <v>1</v>
      </c>
      <c r="P81" s="7">
        <v>102</v>
      </c>
      <c r="Q81" s="74">
        <v>1074</v>
      </c>
      <c r="R81" s="74">
        <v>15505</v>
      </c>
      <c r="S81" s="70">
        <v>200</v>
      </c>
      <c r="T81" s="70">
        <v>2</v>
      </c>
      <c r="U81" s="88" t="s">
        <v>60</v>
      </c>
      <c r="V81" s="89"/>
      <c r="W81" s="89"/>
      <c r="Y81" s="7">
        <v>160</v>
      </c>
      <c r="Z81" s="7">
        <v>160</v>
      </c>
      <c r="AA81" s="7">
        <v>160</v>
      </c>
      <c r="AB81" s="7">
        <v>199</v>
      </c>
      <c r="AC81" s="7">
        <v>24000101</v>
      </c>
      <c r="AD81" s="7">
        <v>27000101</v>
      </c>
      <c r="AE81" s="7">
        <v>10000101</v>
      </c>
      <c r="AF81" s="7">
        <v>28000101</v>
      </c>
      <c r="AG81" s="7" t="s">
        <v>45</v>
      </c>
    </row>
    <row r="82" spans="1:33" s="7" customFormat="1" ht="16.5">
      <c r="A82" s="57">
        <v>100081</v>
      </c>
      <c r="B82" s="57" t="s">
        <v>833</v>
      </c>
      <c r="C82" s="57">
        <v>0</v>
      </c>
      <c r="D82" s="61" t="s">
        <v>21</v>
      </c>
      <c r="E82" s="57">
        <v>0</v>
      </c>
      <c r="F82" s="61" t="s">
        <v>22</v>
      </c>
      <c r="G82" s="62" t="s">
        <v>66</v>
      </c>
      <c r="H82" s="63">
        <v>20</v>
      </c>
      <c r="I82" s="63">
        <v>30</v>
      </c>
      <c r="J82" s="68" t="s">
        <v>24</v>
      </c>
      <c r="K82" s="7">
        <v>100089</v>
      </c>
      <c r="L82" s="7">
        <v>1</v>
      </c>
      <c r="M82" s="7">
        <v>-1</v>
      </c>
      <c r="N82" s="7">
        <v>101</v>
      </c>
      <c r="O82" s="7">
        <v>1</v>
      </c>
      <c r="P82" s="7">
        <v>102</v>
      </c>
      <c r="Q82" s="74">
        <v>1074</v>
      </c>
      <c r="R82" s="74">
        <v>15505</v>
      </c>
      <c r="S82" s="70">
        <v>200</v>
      </c>
      <c r="T82" s="70">
        <v>2</v>
      </c>
      <c r="U82" s="88" t="s">
        <v>60</v>
      </c>
      <c r="V82" s="89"/>
      <c r="W82" s="89"/>
      <c r="Y82" s="7">
        <v>160</v>
      </c>
      <c r="Z82" s="7">
        <v>160</v>
      </c>
      <c r="AA82" s="7">
        <v>160</v>
      </c>
      <c r="AB82" s="7">
        <v>199</v>
      </c>
      <c r="AC82" s="7">
        <v>24000101</v>
      </c>
      <c r="AD82" s="7">
        <v>27000101</v>
      </c>
      <c r="AE82" s="7">
        <v>10000101</v>
      </c>
      <c r="AF82" s="7">
        <v>28000101</v>
      </c>
      <c r="AG82" s="7" t="s">
        <v>45</v>
      </c>
    </row>
    <row r="83" spans="1:33" s="7" customFormat="1" ht="16.5">
      <c r="A83" s="57">
        <v>100082</v>
      </c>
      <c r="B83" s="57" t="s">
        <v>834</v>
      </c>
      <c r="C83" s="57">
        <v>0</v>
      </c>
      <c r="D83" s="61" t="s">
        <v>21</v>
      </c>
      <c r="E83" s="57">
        <v>0</v>
      </c>
      <c r="F83" s="61" t="s">
        <v>22</v>
      </c>
      <c r="G83" s="62" t="s">
        <v>67</v>
      </c>
      <c r="H83" s="63">
        <v>20</v>
      </c>
      <c r="I83" s="63">
        <v>30</v>
      </c>
      <c r="J83" s="68" t="s">
        <v>24</v>
      </c>
      <c r="K83" s="7">
        <v>100089</v>
      </c>
      <c r="L83" s="7">
        <v>1</v>
      </c>
      <c r="M83" s="7">
        <v>-1</v>
      </c>
      <c r="N83" s="7">
        <v>101</v>
      </c>
      <c r="O83" s="7">
        <v>1</v>
      </c>
      <c r="P83" s="7">
        <v>102</v>
      </c>
      <c r="Q83" s="74">
        <v>1074</v>
      </c>
      <c r="R83" s="74">
        <v>15505</v>
      </c>
      <c r="S83" s="70">
        <v>200</v>
      </c>
      <c r="T83" s="70">
        <v>2</v>
      </c>
      <c r="U83" s="88" t="s">
        <v>60</v>
      </c>
      <c r="V83" s="89"/>
      <c r="W83" s="89"/>
      <c r="Y83" s="7">
        <v>160</v>
      </c>
      <c r="Z83" s="7">
        <v>160</v>
      </c>
      <c r="AA83" s="7">
        <v>160</v>
      </c>
      <c r="AB83" s="7">
        <v>199</v>
      </c>
      <c r="AC83" s="7">
        <v>24000101</v>
      </c>
      <c r="AD83" s="7">
        <v>27000101</v>
      </c>
      <c r="AE83" s="7">
        <v>10000101</v>
      </c>
      <c r="AF83" s="7">
        <v>28000101</v>
      </c>
      <c r="AG83" s="7" t="s">
        <v>45</v>
      </c>
    </row>
    <row r="84" spans="1:33" s="7" customFormat="1" ht="16.5">
      <c r="A84" s="57">
        <v>100083</v>
      </c>
      <c r="B84" s="57" t="s">
        <v>835</v>
      </c>
      <c r="C84" s="57">
        <v>0</v>
      </c>
      <c r="D84" s="61" t="s">
        <v>21</v>
      </c>
      <c r="E84" s="57">
        <v>0</v>
      </c>
      <c r="F84" s="61" t="s">
        <v>22</v>
      </c>
      <c r="G84" s="62" t="s">
        <v>68</v>
      </c>
      <c r="H84" s="63">
        <v>20</v>
      </c>
      <c r="I84" s="63">
        <v>30</v>
      </c>
      <c r="J84" s="68" t="s">
        <v>24</v>
      </c>
      <c r="K84" s="7">
        <v>100089</v>
      </c>
      <c r="L84" s="7">
        <v>1</v>
      </c>
      <c r="M84" s="7">
        <v>-1</v>
      </c>
      <c r="N84" s="7">
        <v>101</v>
      </c>
      <c r="O84" s="7">
        <v>1</v>
      </c>
      <c r="P84" s="7">
        <v>102</v>
      </c>
      <c r="Q84" s="74">
        <v>1074</v>
      </c>
      <c r="R84" s="74">
        <v>15505</v>
      </c>
      <c r="S84" s="70">
        <v>200</v>
      </c>
      <c r="T84" s="70">
        <v>2</v>
      </c>
      <c r="U84" s="88" t="s">
        <v>60</v>
      </c>
      <c r="V84" s="89"/>
      <c r="W84" s="89"/>
      <c r="Y84" s="7">
        <v>160</v>
      </c>
      <c r="Z84" s="7">
        <v>160</v>
      </c>
      <c r="AA84" s="7">
        <v>160</v>
      </c>
      <c r="AB84" s="7">
        <v>199</v>
      </c>
      <c r="AC84" s="7">
        <v>24000101</v>
      </c>
      <c r="AD84" s="7">
        <v>27000101</v>
      </c>
      <c r="AE84" s="7">
        <v>10000101</v>
      </c>
      <c r="AF84" s="7">
        <v>28000101</v>
      </c>
      <c r="AG84" s="7" t="s">
        <v>45</v>
      </c>
    </row>
    <row r="85" spans="1:33" ht="16.5">
      <c r="A85" s="57">
        <v>100084</v>
      </c>
      <c r="B85" s="57" t="s">
        <v>836</v>
      </c>
      <c r="C85" s="57">
        <v>0</v>
      </c>
      <c r="D85" s="61" t="s">
        <v>21</v>
      </c>
      <c r="E85" s="57">
        <v>0</v>
      </c>
      <c r="F85" s="61" t="s">
        <v>22</v>
      </c>
      <c r="G85" s="62" t="s">
        <v>23</v>
      </c>
      <c r="H85" s="63">
        <v>20</v>
      </c>
      <c r="I85" s="63">
        <v>30</v>
      </c>
      <c r="J85" s="68" t="s">
        <v>24</v>
      </c>
      <c r="K85" s="7">
        <v>100089</v>
      </c>
      <c r="L85" s="7">
        <v>1</v>
      </c>
      <c r="M85" s="7">
        <v>-1</v>
      </c>
      <c r="N85" s="7">
        <v>101</v>
      </c>
      <c r="O85" s="7">
        <v>1</v>
      </c>
      <c r="P85" s="7">
        <v>102</v>
      </c>
      <c r="Q85" s="74">
        <v>1074</v>
      </c>
      <c r="R85" s="74">
        <v>15505</v>
      </c>
      <c r="S85" s="70">
        <v>200</v>
      </c>
      <c r="T85" s="70">
        <v>2</v>
      </c>
      <c r="U85" s="88" t="s">
        <v>60</v>
      </c>
      <c r="V85" s="89"/>
      <c r="W85" s="89"/>
      <c r="X85" s="7"/>
      <c r="Y85" s="7">
        <v>160</v>
      </c>
      <c r="Z85" s="7">
        <v>160</v>
      </c>
      <c r="AA85" s="7">
        <v>160</v>
      </c>
      <c r="AB85" s="7">
        <v>199</v>
      </c>
      <c r="AC85" s="7">
        <v>24000101</v>
      </c>
      <c r="AD85" s="7">
        <v>27000101</v>
      </c>
      <c r="AE85" s="7">
        <v>10000101</v>
      </c>
      <c r="AF85" s="7">
        <v>28000101</v>
      </c>
      <c r="AG85" s="7" t="s">
        <v>45</v>
      </c>
    </row>
    <row r="86" spans="1:33" ht="16.5">
      <c r="A86" s="57">
        <v>100085</v>
      </c>
      <c r="B86" s="57" t="s">
        <v>837</v>
      </c>
      <c r="C86" s="57">
        <v>0</v>
      </c>
      <c r="D86" s="61" t="s">
        <v>21</v>
      </c>
      <c r="E86" s="57">
        <v>0</v>
      </c>
      <c r="F86" s="61" t="s">
        <v>22</v>
      </c>
      <c r="G86" s="62" t="s">
        <v>28</v>
      </c>
      <c r="H86" s="63">
        <v>20</v>
      </c>
      <c r="I86" s="63">
        <v>30</v>
      </c>
      <c r="J86" s="68" t="s">
        <v>24</v>
      </c>
      <c r="K86" s="7">
        <v>100089</v>
      </c>
      <c r="L86" s="7">
        <v>1</v>
      </c>
      <c r="M86" s="7">
        <v>-1</v>
      </c>
      <c r="N86" s="7">
        <v>101</v>
      </c>
      <c r="O86" s="7">
        <v>1</v>
      </c>
      <c r="P86" s="7">
        <v>102</v>
      </c>
      <c r="Q86" s="74">
        <v>1074</v>
      </c>
      <c r="R86" s="74">
        <v>15505</v>
      </c>
      <c r="S86" s="70">
        <v>200</v>
      </c>
      <c r="T86" s="70">
        <v>2</v>
      </c>
      <c r="U86" s="88" t="s">
        <v>60</v>
      </c>
      <c r="V86" s="89"/>
      <c r="W86" s="89"/>
      <c r="X86" s="7"/>
      <c r="Y86" s="7">
        <v>160</v>
      </c>
      <c r="Z86" s="7">
        <v>160</v>
      </c>
      <c r="AA86" s="7">
        <v>160</v>
      </c>
      <c r="AB86" s="7">
        <v>199</v>
      </c>
      <c r="AC86" s="7">
        <v>24000101</v>
      </c>
      <c r="AD86" s="7">
        <v>27000101</v>
      </c>
      <c r="AE86" s="7">
        <v>10000101</v>
      </c>
      <c r="AF86" s="7">
        <v>28000101</v>
      </c>
      <c r="AG86" s="7" t="s">
        <v>45</v>
      </c>
    </row>
    <row r="87" spans="1:33" ht="16.5">
      <c r="A87" s="57">
        <v>100086</v>
      </c>
      <c r="B87" s="57" t="s">
        <v>838</v>
      </c>
      <c r="C87" s="57">
        <v>0</v>
      </c>
      <c r="D87" s="61" t="s">
        <v>21</v>
      </c>
      <c r="E87" s="57">
        <v>0</v>
      </c>
      <c r="F87" s="61" t="s">
        <v>22</v>
      </c>
      <c r="G87" s="62" t="s">
        <v>32</v>
      </c>
      <c r="H87" s="63">
        <v>20</v>
      </c>
      <c r="I87" s="63">
        <v>30</v>
      </c>
      <c r="J87" s="68" t="s">
        <v>24</v>
      </c>
      <c r="K87" s="7">
        <v>100089</v>
      </c>
      <c r="L87" s="7">
        <v>1</v>
      </c>
      <c r="M87" s="7">
        <v>-1</v>
      </c>
      <c r="N87" s="7">
        <v>101</v>
      </c>
      <c r="O87" s="7">
        <v>1</v>
      </c>
      <c r="P87" s="7">
        <v>102</v>
      </c>
      <c r="Q87" s="74">
        <v>1074</v>
      </c>
      <c r="R87" s="74">
        <v>15505</v>
      </c>
      <c r="S87" s="70">
        <v>200</v>
      </c>
      <c r="T87" s="70">
        <v>2</v>
      </c>
      <c r="U87" s="88" t="s">
        <v>60</v>
      </c>
      <c r="V87" s="89"/>
      <c r="W87" s="89"/>
      <c r="X87" s="7"/>
      <c r="Y87" s="7">
        <v>160</v>
      </c>
      <c r="Z87" s="7">
        <v>160</v>
      </c>
      <c r="AA87" s="7">
        <v>160</v>
      </c>
      <c r="AB87" s="7">
        <v>199</v>
      </c>
      <c r="AC87" s="7">
        <v>24000101</v>
      </c>
      <c r="AD87" s="7">
        <v>27000101</v>
      </c>
      <c r="AE87" s="7">
        <v>10000101</v>
      </c>
      <c r="AF87" s="7">
        <v>28000101</v>
      </c>
      <c r="AG87" s="7" t="s">
        <v>45</v>
      </c>
    </row>
    <row r="88" spans="1:33" ht="16.5">
      <c r="A88" s="57">
        <v>100087</v>
      </c>
      <c r="B88" s="57" t="s">
        <v>839</v>
      </c>
      <c r="C88" s="57">
        <v>0</v>
      </c>
      <c r="D88" s="61" t="s">
        <v>21</v>
      </c>
      <c r="E88" s="57">
        <v>0</v>
      </c>
      <c r="F88" s="61" t="s">
        <v>22</v>
      </c>
      <c r="G88" s="62" t="s">
        <v>36</v>
      </c>
      <c r="H88" s="63">
        <v>20</v>
      </c>
      <c r="I88" s="63">
        <v>30</v>
      </c>
      <c r="J88" s="68" t="s">
        <v>24</v>
      </c>
      <c r="K88" s="7">
        <v>100089</v>
      </c>
      <c r="L88" s="7">
        <v>1</v>
      </c>
      <c r="M88" s="7">
        <v>-1</v>
      </c>
      <c r="N88" s="7">
        <v>101</v>
      </c>
      <c r="O88" s="7">
        <v>1</v>
      </c>
      <c r="P88" s="7">
        <v>102</v>
      </c>
      <c r="Q88" s="74">
        <v>1074</v>
      </c>
      <c r="R88" s="74">
        <v>15505</v>
      </c>
      <c r="S88" s="70">
        <v>200</v>
      </c>
      <c r="T88" s="70">
        <v>2</v>
      </c>
      <c r="U88" s="88" t="s">
        <v>60</v>
      </c>
      <c r="V88" s="89"/>
      <c r="W88" s="89"/>
      <c r="X88" s="7"/>
      <c r="Y88" s="7">
        <v>160</v>
      </c>
      <c r="Z88" s="7">
        <v>160</v>
      </c>
      <c r="AA88" s="7">
        <v>160</v>
      </c>
      <c r="AB88" s="7">
        <v>199</v>
      </c>
      <c r="AC88" s="7">
        <v>24000101</v>
      </c>
      <c r="AD88" s="7">
        <v>27000101</v>
      </c>
      <c r="AE88" s="7">
        <v>10000101</v>
      </c>
      <c r="AF88" s="7">
        <v>28000101</v>
      </c>
      <c r="AG88" s="7" t="s">
        <v>45</v>
      </c>
    </row>
    <row r="89" spans="1:33" ht="16.5">
      <c r="A89" s="57">
        <v>100088</v>
      </c>
      <c r="B89" s="57" t="s">
        <v>840</v>
      </c>
      <c r="C89" s="57">
        <v>0</v>
      </c>
      <c r="D89" s="61" t="s">
        <v>21</v>
      </c>
      <c r="E89" s="57">
        <v>0</v>
      </c>
      <c r="F89" s="61" t="s">
        <v>22</v>
      </c>
      <c r="G89" s="62" t="s">
        <v>46</v>
      </c>
      <c r="H89" s="63">
        <v>20</v>
      </c>
      <c r="I89" s="63">
        <v>30</v>
      </c>
      <c r="J89" s="68" t="s">
        <v>24</v>
      </c>
      <c r="K89" s="7">
        <v>100089</v>
      </c>
      <c r="L89" s="7">
        <v>1</v>
      </c>
      <c r="M89" s="7">
        <v>-1</v>
      </c>
      <c r="N89" s="7">
        <v>101</v>
      </c>
      <c r="O89" s="7">
        <v>1</v>
      </c>
      <c r="P89" s="7">
        <v>102</v>
      </c>
      <c r="Q89" s="74">
        <v>1074</v>
      </c>
      <c r="R89" s="74">
        <v>15505</v>
      </c>
      <c r="S89" s="70">
        <v>200</v>
      </c>
      <c r="T89" s="70">
        <v>2</v>
      </c>
      <c r="U89" s="88" t="s">
        <v>60</v>
      </c>
      <c r="V89" s="89"/>
      <c r="W89" s="89"/>
      <c r="X89" s="7"/>
      <c r="Y89" s="7">
        <v>160</v>
      </c>
      <c r="Z89" s="7">
        <v>160</v>
      </c>
      <c r="AA89" s="7">
        <v>160</v>
      </c>
      <c r="AB89" s="7">
        <v>199</v>
      </c>
      <c r="AC89" s="7">
        <v>24000101</v>
      </c>
      <c r="AD89" s="7">
        <v>27000101</v>
      </c>
      <c r="AE89" s="7">
        <v>10000101</v>
      </c>
      <c r="AF89" s="7">
        <v>28000101</v>
      </c>
      <c r="AG89" s="7" t="s">
        <v>45</v>
      </c>
    </row>
    <row r="90" spans="1:33" ht="16.5">
      <c r="A90" s="57">
        <v>100089</v>
      </c>
      <c r="B90" s="57" t="s">
        <v>841</v>
      </c>
      <c r="C90" s="57">
        <v>0</v>
      </c>
      <c r="D90" s="61" t="s">
        <v>21</v>
      </c>
      <c r="E90" s="57">
        <v>0</v>
      </c>
      <c r="F90" s="61" t="s">
        <v>22</v>
      </c>
      <c r="G90" s="62" t="s">
        <v>50</v>
      </c>
      <c r="H90" s="63">
        <v>20</v>
      </c>
      <c r="I90" s="63">
        <v>30</v>
      </c>
      <c r="J90" s="68" t="s">
        <v>24</v>
      </c>
      <c r="K90" s="7">
        <v>100089</v>
      </c>
      <c r="L90" s="7">
        <v>1</v>
      </c>
      <c r="M90" s="7">
        <v>-1</v>
      </c>
      <c r="N90" s="7">
        <v>101</v>
      </c>
      <c r="O90" s="7">
        <v>1</v>
      </c>
      <c r="P90" s="7">
        <v>102</v>
      </c>
      <c r="Q90" s="74">
        <v>1074</v>
      </c>
      <c r="R90" s="74">
        <v>15505</v>
      </c>
      <c r="S90" s="70">
        <v>200</v>
      </c>
      <c r="T90" s="70">
        <v>2</v>
      </c>
      <c r="U90" s="88" t="s">
        <v>60</v>
      </c>
      <c r="V90" s="89"/>
      <c r="W90" s="89"/>
      <c r="X90" s="7"/>
      <c r="Y90" s="7">
        <v>160</v>
      </c>
      <c r="Z90" s="7">
        <v>160</v>
      </c>
      <c r="AA90" s="7">
        <v>160</v>
      </c>
      <c r="AB90" s="7">
        <v>199</v>
      </c>
      <c r="AC90" s="7">
        <v>24000101</v>
      </c>
      <c r="AD90" s="7">
        <v>27000101</v>
      </c>
      <c r="AE90" s="7">
        <v>10000101</v>
      </c>
      <c r="AF90" s="7">
        <v>28000101</v>
      </c>
      <c r="AG90" s="7" t="s">
        <v>45</v>
      </c>
    </row>
    <row r="91" spans="1:33" ht="16.5">
      <c r="A91" s="57">
        <v>100090</v>
      </c>
      <c r="B91" s="57" t="s">
        <v>842</v>
      </c>
      <c r="C91" s="57">
        <v>0</v>
      </c>
      <c r="D91" s="61" t="s">
        <v>21</v>
      </c>
      <c r="E91" s="57">
        <v>0</v>
      </c>
      <c r="F91" s="61" t="s">
        <v>22</v>
      </c>
      <c r="G91" s="62" t="s">
        <v>54</v>
      </c>
      <c r="H91" s="63">
        <v>20</v>
      </c>
      <c r="I91" s="63">
        <v>30</v>
      </c>
      <c r="J91" s="68" t="s">
        <v>24</v>
      </c>
      <c r="K91" s="7">
        <v>100089</v>
      </c>
      <c r="L91" s="7">
        <v>1</v>
      </c>
      <c r="M91" s="7">
        <v>-1</v>
      </c>
      <c r="N91" s="7">
        <v>101</v>
      </c>
      <c r="O91" s="7">
        <v>1</v>
      </c>
      <c r="P91" s="7">
        <v>102</v>
      </c>
      <c r="Q91" s="74">
        <v>1074</v>
      </c>
      <c r="R91" s="74">
        <v>15505</v>
      </c>
      <c r="S91" s="70">
        <v>200</v>
      </c>
      <c r="T91" s="70">
        <v>2</v>
      </c>
      <c r="U91" s="88" t="s">
        <v>60</v>
      </c>
      <c r="V91" s="89"/>
      <c r="W91" s="89"/>
      <c r="X91" s="7"/>
      <c r="Y91" s="7">
        <v>160</v>
      </c>
      <c r="Z91" s="7">
        <v>160</v>
      </c>
      <c r="AA91" s="7">
        <v>160</v>
      </c>
      <c r="AB91" s="7">
        <v>199</v>
      </c>
      <c r="AC91" s="7">
        <v>24000101</v>
      </c>
      <c r="AD91" s="7">
        <v>27000101</v>
      </c>
      <c r="AE91" s="7">
        <v>10000101</v>
      </c>
      <c r="AF91" s="7">
        <v>28000101</v>
      </c>
      <c r="AG91" s="7" t="s">
        <v>45</v>
      </c>
    </row>
    <row r="92" spans="1:33" s="53" customFormat="1" ht="16.5">
      <c r="A92" s="76">
        <v>100091</v>
      </c>
      <c r="B92" s="76" t="s">
        <v>843</v>
      </c>
      <c r="C92" s="57">
        <v>0</v>
      </c>
      <c r="D92" s="85" t="s">
        <v>21</v>
      </c>
      <c r="E92" s="57">
        <v>0</v>
      </c>
      <c r="F92" s="77" t="s">
        <v>22</v>
      </c>
      <c r="G92" s="78" t="s">
        <v>69</v>
      </c>
      <c r="H92" s="79">
        <v>20</v>
      </c>
      <c r="I92" s="79">
        <v>30</v>
      </c>
      <c r="J92" s="80" t="s">
        <v>24</v>
      </c>
      <c r="K92" s="53">
        <v>100089</v>
      </c>
      <c r="L92" s="53">
        <v>1</v>
      </c>
      <c r="M92" s="53">
        <v>-1</v>
      </c>
      <c r="N92" s="53">
        <v>101</v>
      </c>
      <c r="O92" s="53">
        <v>1</v>
      </c>
      <c r="P92" s="53">
        <v>102</v>
      </c>
      <c r="Q92" s="76">
        <v>1074</v>
      </c>
      <c r="R92" s="76">
        <v>15505</v>
      </c>
      <c r="S92" s="81">
        <v>200</v>
      </c>
      <c r="T92" s="81">
        <v>2</v>
      </c>
      <c r="U92" s="86" t="s">
        <v>70</v>
      </c>
      <c r="V92" s="87"/>
      <c r="W92" s="87"/>
      <c r="Y92" s="53">
        <v>160</v>
      </c>
      <c r="Z92" s="53">
        <v>160</v>
      </c>
      <c r="AA92" s="53">
        <v>160</v>
      </c>
      <c r="AB92" s="53">
        <v>199</v>
      </c>
      <c r="AC92" s="53">
        <v>24000101</v>
      </c>
      <c r="AD92" s="53">
        <v>27000101</v>
      </c>
      <c r="AE92" s="53">
        <v>10000101</v>
      </c>
      <c r="AF92" s="53">
        <v>28000101</v>
      </c>
      <c r="AG92" s="53" t="s">
        <v>45</v>
      </c>
    </row>
    <row r="93" spans="1:33" s="53" customFormat="1" ht="16.5">
      <c r="A93" s="76">
        <v>100092</v>
      </c>
      <c r="B93" s="76" t="s">
        <v>844</v>
      </c>
      <c r="C93" s="57">
        <v>0</v>
      </c>
      <c r="D93" s="85" t="s">
        <v>21</v>
      </c>
      <c r="E93" s="57">
        <v>0</v>
      </c>
      <c r="F93" s="77" t="s">
        <v>22</v>
      </c>
      <c r="G93" s="78" t="s">
        <v>71</v>
      </c>
      <c r="H93" s="79">
        <v>20</v>
      </c>
      <c r="I93" s="79">
        <v>30</v>
      </c>
      <c r="J93" s="80" t="s">
        <v>24</v>
      </c>
      <c r="K93" s="53">
        <v>100089</v>
      </c>
      <c r="L93" s="53">
        <v>1</v>
      </c>
      <c r="M93" s="53">
        <v>-1</v>
      </c>
      <c r="N93" s="53">
        <v>101</v>
      </c>
      <c r="O93" s="53">
        <v>1</v>
      </c>
      <c r="P93" s="53">
        <v>102</v>
      </c>
      <c r="Q93" s="76">
        <v>1074</v>
      </c>
      <c r="R93" s="76">
        <v>15505</v>
      </c>
      <c r="S93" s="81">
        <v>200</v>
      </c>
      <c r="T93" s="81">
        <v>2</v>
      </c>
      <c r="U93" s="86" t="s">
        <v>72</v>
      </c>
      <c r="V93" s="87"/>
      <c r="W93" s="87"/>
      <c r="Y93" s="53">
        <v>160</v>
      </c>
      <c r="Z93" s="53">
        <v>160</v>
      </c>
      <c r="AA93" s="53">
        <v>160</v>
      </c>
      <c r="AB93" s="53">
        <v>199</v>
      </c>
      <c r="AC93" s="53">
        <v>24000101</v>
      </c>
      <c r="AD93" s="53">
        <v>27000101</v>
      </c>
      <c r="AE93" s="53">
        <v>10000101</v>
      </c>
      <c r="AF93" s="53">
        <v>28000101</v>
      </c>
      <c r="AG93" s="53" t="s">
        <v>45</v>
      </c>
    </row>
    <row r="94" spans="1:33" s="54" customFormat="1" ht="16.5">
      <c r="A94" s="76">
        <v>100093</v>
      </c>
      <c r="B94" s="76" t="s">
        <v>845</v>
      </c>
      <c r="C94" s="57">
        <v>0</v>
      </c>
      <c r="D94" s="85" t="s">
        <v>21</v>
      </c>
      <c r="E94" s="57">
        <v>0</v>
      </c>
      <c r="F94" s="77" t="s">
        <v>22</v>
      </c>
      <c r="G94" s="78" t="s">
        <v>73</v>
      </c>
      <c r="H94" s="79">
        <v>20</v>
      </c>
      <c r="I94" s="79">
        <v>30</v>
      </c>
      <c r="J94" s="80" t="s">
        <v>24</v>
      </c>
      <c r="K94" s="53">
        <v>100089</v>
      </c>
      <c r="L94" s="53">
        <v>1</v>
      </c>
      <c r="M94" s="53">
        <v>-1</v>
      </c>
      <c r="N94" s="53">
        <v>101</v>
      </c>
      <c r="O94" s="53">
        <v>1</v>
      </c>
      <c r="P94" s="53">
        <v>102</v>
      </c>
      <c r="Q94" s="76">
        <v>1074</v>
      </c>
      <c r="R94" s="76">
        <v>15505</v>
      </c>
      <c r="S94" s="81">
        <v>200</v>
      </c>
      <c r="T94" s="81">
        <v>2</v>
      </c>
      <c r="U94" t="s">
        <v>74</v>
      </c>
      <c r="V94"/>
      <c r="W94"/>
      <c r="X94" s="53"/>
      <c r="Y94" s="53">
        <v>160</v>
      </c>
      <c r="Z94" s="53">
        <v>160</v>
      </c>
      <c r="AA94" s="53">
        <v>160</v>
      </c>
      <c r="AB94" s="53">
        <v>199</v>
      </c>
      <c r="AC94" s="53">
        <v>24000101</v>
      </c>
      <c r="AD94" s="53">
        <v>27000101</v>
      </c>
      <c r="AE94" s="53">
        <v>10000101</v>
      </c>
      <c r="AF94" s="53">
        <v>28000101</v>
      </c>
      <c r="AG94" s="53" t="s">
        <v>45</v>
      </c>
    </row>
    <row r="95" spans="1:33" s="54" customFormat="1" ht="16.5">
      <c r="A95" s="76">
        <v>100094</v>
      </c>
      <c r="B95" s="76" t="s">
        <v>846</v>
      </c>
      <c r="C95" s="57">
        <v>0</v>
      </c>
      <c r="D95" s="85" t="s">
        <v>21</v>
      </c>
      <c r="E95" s="57">
        <v>0</v>
      </c>
      <c r="F95" s="77" t="s">
        <v>22</v>
      </c>
      <c r="G95" s="78" t="s">
        <v>75</v>
      </c>
      <c r="H95" s="79">
        <v>20</v>
      </c>
      <c r="I95" s="79">
        <v>30</v>
      </c>
      <c r="J95" s="80" t="s">
        <v>24</v>
      </c>
      <c r="K95" s="53">
        <v>100089</v>
      </c>
      <c r="L95" s="53">
        <v>1</v>
      </c>
      <c r="M95" s="53">
        <v>-1</v>
      </c>
      <c r="N95" s="53">
        <v>101</v>
      </c>
      <c r="O95" s="53">
        <v>1</v>
      </c>
      <c r="P95" s="53">
        <v>102</v>
      </c>
      <c r="Q95" s="76">
        <v>1074</v>
      </c>
      <c r="R95" s="76">
        <v>15505</v>
      </c>
      <c r="S95" s="81">
        <v>200</v>
      </c>
      <c r="T95" s="81">
        <v>2</v>
      </c>
      <c r="U95" t="s">
        <v>76</v>
      </c>
      <c r="V95"/>
      <c r="W95"/>
      <c r="X95" s="53"/>
      <c r="Y95" s="53">
        <v>160</v>
      </c>
      <c r="Z95" s="53">
        <v>160</v>
      </c>
      <c r="AA95" s="53">
        <v>160</v>
      </c>
      <c r="AB95" s="53">
        <v>199</v>
      </c>
      <c r="AC95" s="53">
        <v>24000101</v>
      </c>
      <c r="AD95" s="53">
        <v>27000101</v>
      </c>
      <c r="AE95" s="53">
        <v>10000101</v>
      </c>
      <c r="AF95" s="53">
        <v>28000101</v>
      </c>
      <c r="AG95" s="53" t="s">
        <v>45</v>
      </c>
    </row>
    <row r="96" spans="1:33" ht="16.5">
      <c r="A96" s="57">
        <v>100095</v>
      </c>
      <c r="B96" s="57" t="s">
        <v>847</v>
      </c>
      <c r="C96" s="57">
        <v>0</v>
      </c>
      <c r="D96" s="61" t="s">
        <v>21</v>
      </c>
      <c r="E96" s="57">
        <v>0</v>
      </c>
      <c r="F96" s="61" t="s">
        <v>22</v>
      </c>
      <c r="G96" s="62" t="s">
        <v>59</v>
      </c>
      <c r="H96" s="63">
        <v>20</v>
      </c>
      <c r="I96" s="63">
        <v>30</v>
      </c>
      <c r="J96" s="68" t="s">
        <v>24</v>
      </c>
      <c r="K96" s="7">
        <v>100089</v>
      </c>
      <c r="L96" s="7">
        <v>1</v>
      </c>
      <c r="M96" s="7">
        <v>-1</v>
      </c>
      <c r="N96" s="7">
        <v>101</v>
      </c>
      <c r="O96" s="7">
        <v>1</v>
      </c>
      <c r="P96" s="7">
        <v>102</v>
      </c>
      <c r="Q96" s="74">
        <v>1074</v>
      </c>
      <c r="R96" s="74">
        <v>15505</v>
      </c>
      <c r="S96" s="70">
        <v>200</v>
      </c>
      <c r="T96" s="70">
        <v>2</v>
      </c>
      <c r="U96" s="82"/>
      <c r="V96" s="83"/>
      <c r="W96" s="83"/>
      <c r="X96" s="7"/>
      <c r="Y96" s="7">
        <v>160</v>
      </c>
      <c r="Z96" s="7">
        <v>160</v>
      </c>
      <c r="AA96" s="7">
        <v>160</v>
      </c>
      <c r="AB96" s="7">
        <v>199</v>
      </c>
      <c r="AC96" s="7">
        <v>24000101</v>
      </c>
      <c r="AD96" s="7">
        <v>27000101</v>
      </c>
      <c r="AE96" s="7">
        <v>10000101</v>
      </c>
      <c r="AF96" s="7">
        <v>28000101</v>
      </c>
      <c r="AG96" s="7" t="s">
        <v>45</v>
      </c>
    </row>
    <row r="97" spans="1:33" ht="16.5">
      <c r="A97" s="57">
        <v>100096</v>
      </c>
      <c r="B97" s="57" t="s">
        <v>848</v>
      </c>
      <c r="C97" s="57">
        <v>0</v>
      </c>
      <c r="D97" s="61" t="s">
        <v>21</v>
      </c>
      <c r="E97" s="57">
        <v>0</v>
      </c>
      <c r="F97" s="61" t="s">
        <v>22</v>
      </c>
      <c r="G97" s="62" t="s">
        <v>61</v>
      </c>
      <c r="H97" s="63">
        <v>20</v>
      </c>
      <c r="I97" s="63">
        <v>30</v>
      </c>
      <c r="J97" s="68" t="s">
        <v>24</v>
      </c>
      <c r="K97" s="7">
        <v>100089</v>
      </c>
      <c r="L97" s="7">
        <v>1</v>
      </c>
      <c r="M97" s="7">
        <v>-1</v>
      </c>
      <c r="N97" s="7">
        <v>101</v>
      </c>
      <c r="O97" s="7">
        <v>1</v>
      </c>
      <c r="P97" s="7">
        <v>102</v>
      </c>
      <c r="Q97" s="74">
        <v>1074</v>
      </c>
      <c r="R97" s="74">
        <v>15505</v>
      </c>
      <c r="S97" s="70">
        <v>200</v>
      </c>
      <c r="T97" s="70">
        <v>2</v>
      </c>
      <c r="U97" s="82"/>
      <c r="V97" s="83"/>
      <c r="W97" s="83"/>
      <c r="X97" s="7"/>
      <c r="Y97" s="7">
        <v>160</v>
      </c>
      <c r="Z97" s="7">
        <v>160</v>
      </c>
      <c r="AA97" s="7">
        <v>160</v>
      </c>
      <c r="AB97" s="7">
        <v>199</v>
      </c>
      <c r="AC97" s="7">
        <v>24000101</v>
      </c>
      <c r="AD97" s="7">
        <v>27000101</v>
      </c>
      <c r="AE97" s="7">
        <v>10000101</v>
      </c>
      <c r="AF97" s="7">
        <v>28000101</v>
      </c>
      <c r="AG97" s="7" t="s">
        <v>45</v>
      </c>
    </row>
    <row r="98" spans="1:33" ht="16.5">
      <c r="A98" s="57">
        <v>100097</v>
      </c>
      <c r="B98" s="57" t="s">
        <v>849</v>
      </c>
      <c r="C98" s="57">
        <v>0</v>
      </c>
      <c r="D98" s="61" t="s">
        <v>21</v>
      </c>
      <c r="E98" s="57">
        <v>0</v>
      </c>
      <c r="F98" s="61" t="s">
        <v>22</v>
      </c>
      <c r="G98" s="62" t="s">
        <v>63</v>
      </c>
      <c r="H98" s="63">
        <v>20</v>
      </c>
      <c r="I98" s="63">
        <v>30</v>
      </c>
      <c r="J98" s="68" t="s">
        <v>24</v>
      </c>
      <c r="K98" s="7">
        <v>100089</v>
      </c>
      <c r="L98" s="7">
        <v>1</v>
      </c>
      <c r="M98" s="7">
        <v>-1</v>
      </c>
      <c r="N98" s="7">
        <v>101</v>
      </c>
      <c r="O98" s="7">
        <v>1</v>
      </c>
      <c r="P98" s="7">
        <v>102</v>
      </c>
      <c r="Q98" s="74">
        <v>1074</v>
      </c>
      <c r="R98" s="74">
        <v>15505</v>
      </c>
      <c r="S98" s="70">
        <v>200</v>
      </c>
      <c r="T98" s="70">
        <v>2</v>
      </c>
      <c r="U98" s="82"/>
      <c r="V98" s="83"/>
      <c r="W98" s="83"/>
      <c r="X98" s="7"/>
      <c r="Y98" s="7">
        <v>160</v>
      </c>
      <c r="Z98" s="7">
        <v>160</v>
      </c>
      <c r="AA98" s="7">
        <v>160</v>
      </c>
      <c r="AB98" s="7">
        <v>199</v>
      </c>
      <c r="AC98" s="7">
        <v>24000101</v>
      </c>
      <c r="AD98" s="7">
        <v>27000101</v>
      </c>
      <c r="AE98" s="7">
        <v>10000101</v>
      </c>
      <c r="AF98" s="7">
        <v>28000101</v>
      </c>
      <c r="AG98" s="7" t="s">
        <v>45</v>
      </c>
    </row>
    <row r="99" spans="1:33" ht="16.5">
      <c r="A99" s="57">
        <v>100098</v>
      </c>
      <c r="B99" s="57" t="s">
        <v>850</v>
      </c>
      <c r="C99" s="57">
        <v>0</v>
      </c>
      <c r="D99" s="61" t="s">
        <v>21</v>
      </c>
      <c r="E99" s="57">
        <v>0</v>
      </c>
      <c r="F99" s="61" t="s">
        <v>22</v>
      </c>
      <c r="G99" s="62" t="s">
        <v>64</v>
      </c>
      <c r="H99" s="63">
        <v>20</v>
      </c>
      <c r="I99" s="63">
        <v>30</v>
      </c>
      <c r="J99" s="68" t="s">
        <v>24</v>
      </c>
      <c r="K99" s="7">
        <v>100089</v>
      </c>
      <c r="L99" s="7">
        <v>1</v>
      </c>
      <c r="M99" s="7">
        <v>-1</v>
      </c>
      <c r="N99" s="7">
        <v>101</v>
      </c>
      <c r="O99" s="7">
        <v>1</v>
      </c>
      <c r="P99" s="7">
        <v>102</v>
      </c>
      <c r="Q99" s="74">
        <v>1074</v>
      </c>
      <c r="R99" s="74">
        <v>15505</v>
      </c>
      <c r="S99" s="70">
        <v>200</v>
      </c>
      <c r="T99" s="70">
        <v>2</v>
      </c>
      <c r="U99" s="82"/>
      <c r="V99" s="83"/>
      <c r="W99" s="83"/>
      <c r="X99" s="7"/>
      <c r="Y99" s="7">
        <v>160</v>
      </c>
      <c r="Z99" s="7">
        <v>160</v>
      </c>
      <c r="AA99" s="7">
        <v>160</v>
      </c>
      <c r="AB99" s="7">
        <v>199</v>
      </c>
      <c r="AC99" s="7">
        <v>24000101</v>
      </c>
      <c r="AD99" s="7">
        <v>27000101</v>
      </c>
      <c r="AE99" s="7">
        <v>10000101</v>
      </c>
      <c r="AF99" s="7">
        <v>28000101</v>
      </c>
      <c r="AG99" s="7" t="s">
        <v>45</v>
      </c>
    </row>
    <row r="100" spans="1:33" ht="16.5">
      <c r="A100" s="57">
        <v>100099</v>
      </c>
      <c r="B100" s="57" t="s">
        <v>851</v>
      </c>
      <c r="C100" s="57">
        <v>0</v>
      </c>
      <c r="D100" s="61" t="s">
        <v>21</v>
      </c>
      <c r="E100" s="57">
        <v>0</v>
      </c>
      <c r="F100" s="61" t="s">
        <v>22</v>
      </c>
      <c r="G100" s="62" t="s">
        <v>65</v>
      </c>
      <c r="H100" s="63">
        <v>20</v>
      </c>
      <c r="I100" s="63">
        <v>30</v>
      </c>
      <c r="J100" s="68" t="s">
        <v>24</v>
      </c>
      <c r="K100" s="7">
        <v>100089</v>
      </c>
      <c r="L100" s="7">
        <v>1</v>
      </c>
      <c r="M100" s="7">
        <v>-1</v>
      </c>
      <c r="N100" s="7">
        <v>101</v>
      </c>
      <c r="O100" s="7">
        <v>1</v>
      </c>
      <c r="P100" s="7">
        <v>102</v>
      </c>
      <c r="Q100" s="74">
        <v>1074</v>
      </c>
      <c r="R100" s="74">
        <v>15505</v>
      </c>
      <c r="S100" s="70">
        <v>200</v>
      </c>
      <c r="T100" s="70">
        <v>2</v>
      </c>
      <c r="U100" s="82"/>
      <c r="V100" s="83"/>
      <c r="W100" s="83"/>
      <c r="X100" s="7"/>
      <c r="Y100" s="7">
        <v>160</v>
      </c>
      <c r="Z100" s="7">
        <v>160</v>
      </c>
      <c r="AA100" s="7">
        <v>160</v>
      </c>
      <c r="AB100" s="7">
        <v>199</v>
      </c>
      <c r="AC100" s="7">
        <v>24000101</v>
      </c>
      <c r="AD100" s="7">
        <v>27000101</v>
      </c>
      <c r="AE100" s="7">
        <v>10000101</v>
      </c>
      <c r="AF100" s="7">
        <v>28000101</v>
      </c>
      <c r="AG100" s="7" t="s">
        <v>45</v>
      </c>
    </row>
    <row r="101" spans="1:33" ht="16.5">
      <c r="A101" s="57">
        <v>100100</v>
      </c>
      <c r="B101" s="57" t="s">
        <v>852</v>
      </c>
      <c r="C101" s="57">
        <v>0</v>
      </c>
      <c r="D101" s="61" t="s">
        <v>21</v>
      </c>
      <c r="E101" s="57">
        <v>0</v>
      </c>
      <c r="F101" s="61" t="s">
        <v>22</v>
      </c>
      <c r="G101" s="62" t="s">
        <v>73</v>
      </c>
      <c r="H101" s="63">
        <v>20</v>
      </c>
      <c r="I101" s="63">
        <v>30</v>
      </c>
      <c r="J101" s="68" t="s">
        <v>24</v>
      </c>
      <c r="K101" s="7">
        <v>100089</v>
      </c>
      <c r="L101" s="7">
        <v>1</v>
      </c>
      <c r="M101" s="7">
        <v>-1</v>
      </c>
      <c r="N101" s="7">
        <v>101</v>
      </c>
      <c r="O101" s="7">
        <v>1</v>
      </c>
      <c r="P101" s="7">
        <v>102</v>
      </c>
      <c r="Q101" s="74">
        <v>1074</v>
      </c>
      <c r="R101" s="74">
        <v>15505</v>
      </c>
      <c r="S101" s="70">
        <v>200</v>
      </c>
      <c r="T101" s="70">
        <v>2</v>
      </c>
      <c r="U101" t="s">
        <v>74</v>
      </c>
    </row>
    <row r="102" spans="1:33" ht="16.5">
      <c r="A102" s="57">
        <v>100101</v>
      </c>
      <c r="B102" s="57" t="s">
        <v>853</v>
      </c>
      <c r="C102" s="57">
        <v>0</v>
      </c>
      <c r="D102" s="61" t="s">
        <v>21</v>
      </c>
      <c r="E102" s="57">
        <v>0</v>
      </c>
      <c r="F102" s="61" t="s">
        <v>22</v>
      </c>
      <c r="G102" s="62" t="s">
        <v>75</v>
      </c>
      <c r="H102" s="63">
        <v>20</v>
      </c>
      <c r="I102" s="63">
        <v>30</v>
      </c>
      <c r="J102" s="68" t="s">
        <v>24</v>
      </c>
      <c r="K102" s="7">
        <v>100089</v>
      </c>
      <c r="L102" s="7">
        <v>1</v>
      </c>
      <c r="M102" s="7">
        <v>-1</v>
      </c>
      <c r="N102" s="7">
        <v>101</v>
      </c>
      <c r="O102" s="7">
        <v>1</v>
      </c>
      <c r="P102" s="7">
        <v>102</v>
      </c>
      <c r="Q102" s="74">
        <v>1074</v>
      </c>
      <c r="R102" s="74">
        <v>15505</v>
      </c>
      <c r="S102" s="70">
        <v>200</v>
      </c>
      <c r="T102" s="70">
        <v>2</v>
      </c>
      <c r="U102" t="s">
        <v>76</v>
      </c>
    </row>
  </sheetData>
  <sheetProtection formatCells="0" insertHyperlinks="0" autoFilter="0"/>
  <mergeCells count="17">
    <mergeCell ref="U77:W77"/>
    <mergeCell ref="U78:W78"/>
    <mergeCell ref="U79:W79"/>
    <mergeCell ref="U80:W80"/>
    <mergeCell ref="U81:W81"/>
    <mergeCell ref="U82:W82"/>
    <mergeCell ref="U83:W83"/>
    <mergeCell ref="U84:W84"/>
    <mergeCell ref="U85:W85"/>
    <mergeCell ref="U86:W86"/>
    <mergeCell ref="U92:W92"/>
    <mergeCell ref="U93:W93"/>
    <mergeCell ref="U87:W87"/>
    <mergeCell ref="U88:W88"/>
    <mergeCell ref="U89:W89"/>
    <mergeCell ref="U90:W90"/>
    <mergeCell ref="U91:W9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"/>
  <sheetViews>
    <sheetView workbookViewId="0">
      <selection activeCell="C4" sqref="C4"/>
    </sheetView>
  </sheetViews>
  <sheetFormatPr defaultColWidth="9" defaultRowHeight="15"/>
  <cols>
    <col min="1" max="1" width="3.28515625" customWidth="1"/>
    <col min="2" max="2" width="7.28515625" customWidth="1"/>
    <col min="4" max="4" width="13" customWidth="1"/>
    <col min="6" max="6" width="11" customWidth="1"/>
    <col min="8" max="8" width="11" customWidth="1"/>
  </cols>
  <sheetData>
    <row r="1" spans="1:8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 spans="1:8">
      <c r="A2">
        <v>1</v>
      </c>
      <c r="B2" s="84" t="s">
        <v>854</v>
      </c>
      <c r="C2">
        <v>1</v>
      </c>
      <c r="D2">
        <v>1</v>
      </c>
      <c r="E2">
        <v>2000</v>
      </c>
      <c r="F2">
        <v>0</v>
      </c>
      <c r="G2">
        <v>0</v>
      </c>
      <c r="H2">
        <v>0</v>
      </c>
    </row>
    <row r="3" spans="1:8">
      <c r="A3">
        <v>2</v>
      </c>
      <c r="B3" s="84" t="s">
        <v>855</v>
      </c>
      <c r="C3">
        <v>10</v>
      </c>
      <c r="D3">
        <v>10</v>
      </c>
      <c r="E3">
        <v>20000</v>
      </c>
      <c r="F3">
        <v>0</v>
      </c>
      <c r="G3">
        <v>1</v>
      </c>
      <c r="H3">
        <v>1</v>
      </c>
    </row>
  </sheetData>
  <sheetProtection formatCells="0" insertHyperlinks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9"/>
  <sheetViews>
    <sheetView workbookViewId="0">
      <selection activeCell="G34" sqref="G34"/>
    </sheetView>
  </sheetViews>
  <sheetFormatPr defaultColWidth="9" defaultRowHeight="15"/>
  <cols>
    <col min="3" max="3" width="18.140625" bestFit="1" customWidth="1"/>
    <col min="5" max="5" width="16.42578125" customWidth="1"/>
  </cols>
  <sheetData>
    <row r="1" spans="1:5" ht="16.5">
      <c r="A1" s="52" t="s">
        <v>77</v>
      </c>
      <c r="B1" s="52" t="s">
        <v>79</v>
      </c>
      <c r="C1" s="52" t="s">
        <v>85</v>
      </c>
      <c r="D1" s="52" t="s">
        <v>86</v>
      </c>
      <c r="E1" s="52"/>
    </row>
    <row r="2" spans="1:5" ht="16.5">
      <c r="A2" s="52">
        <v>1</v>
      </c>
      <c r="B2" s="52">
        <v>100</v>
      </c>
      <c r="C2" s="52" t="s">
        <v>87</v>
      </c>
      <c r="D2" s="52">
        <v>1</v>
      </c>
      <c r="E2" s="52" t="s">
        <v>88</v>
      </c>
    </row>
    <row r="3" spans="1:5" ht="16.5">
      <c r="A3" s="52">
        <v>2</v>
      </c>
      <c r="B3" s="52">
        <v>200</v>
      </c>
      <c r="C3" s="52" t="s">
        <v>89</v>
      </c>
      <c r="D3" s="52">
        <v>1</v>
      </c>
      <c r="E3" s="52" t="s">
        <v>90</v>
      </c>
    </row>
    <row r="4" spans="1:5" ht="16.5">
      <c r="A4" s="52">
        <v>3</v>
      </c>
      <c r="B4" s="52">
        <v>300</v>
      </c>
      <c r="C4" s="52" t="s">
        <v>91</v>
      </c>
      <c r="D4" s="52">
        <v>1</v>
      </c>
      <c r="E4" s="52" t="s">
        <v>92</v>
      </c>
    </row>
    <row r="5" spans="1:5" ht="16.5">
      <c r="A5" s="52">
        <v>4</v>
      </c>
      <c r="B5" s="52">
        <v>400</v>
      </c>
      <c r="C5" s="52" t="s">
        <v>93</v>
      </c>
      <c r="D5" s="52">
        <v>1</v>
      </c>
      <c r="E5" s="52" t="s">
        <v>94</v>
      </c>
    </row>
    <row r="6" spans="1:5" ht="16.5">
      <c r="A6" s="52">
        <v>5</v>
      </c>
      <c r="B6" s="52">
        <v>500</v>
      </c>
      <c r="C6" s="52" t="s">
        <v>95</v>
      </c>
      <c r="D6" s="52">
        <v>1</v>
      </c>
      <c r="E6" s="52" t="s">
        <v>96</v>
      </c>
    </row>
    <row r="7" spans="1:5" ht="16.5">
      <c r="A7" s="52">
        <v>6</v>
      </c>
      <c r="B7" s="52">
        <v>600</v>
      </c>
      <c r="C7" s="52" t="s">
        <v>97</v>
      </c>
      <c r="D7" s="52">
        <v>1</v>
      </c>
      <c r="E7" s="52" t="s">
        <v>98</v>
      </c>
    </row>
    <row r="8" spans="1:5" ht="16.5">
      <c r="A8" s="52">
        <v>7</v>
      </c>
      <c r="B8" s="52">
        <v>800</v>
      </c>
      <c r="C8" s="52" t="s">
        <v>99</v>
      </c>
      <c r="D8" s="52">
        <v>1</v>
      </c>
      <c r="E8" s="52" t="s">
        <v>100</v>
      </c>
    </row>
    <row r="9" spans="1:5" ht="16.5">
      <c r="A9" s="52">
        <v>8</v>
      </c>
      <c r="B9" s="52">
        <v>1000</v>
      </c>
      <c r="C9" s="52" t="s">
        <v>101</v>
      </c>
      <c r="D9" s="52">
        <v>1</v>
      </c>
      <c r="E9" s="52" t="s">
        <v>102</v>
      </c>
    </row>
    <row r="10" spans="1:5" ht="16.5">
      <c r="A10" s="52">
        <v>9</v>
      </c>
      <c r="B10" s="52">
        <v>1500</v>
      </c>
      <c r="C10" s="52" t="s">
        <v>103</v>
      </c>
      <c r="D10" s="52">
        <v>1</v>
      </c>
      <c r="E10" s="52" t="s">
        <v>104</v>
      </c>
    </row>
    <row r="11" spans="1:5" ht="16.5">
      <c r="A11" s="52">
        <v>10</v>
      </c>
      <c r="B11" s="52">
        <v>2000</v>
      </c>
      <c r="C11" s="52" t="s">
        <v>105</v>
      </c>
      <c r="D11" s="52">
        <v>1</v>
      </c>
      <c r="E11" s="52" t="s">
        <v>106</v>
      </c>
    </row>
    <row r="12" spans="1:5" ht="16.5">
      <c r="A12" s="52">
        <v>11</v>
      </c>
      <c r="B12" s="52">
        <v>3000</v>
      </c>
      <c r="C12" s="52" t="s">
        <v>105</v>
      </c>
      <c r="D12" s="52">
        <v>1</v>
      </c>
      <c r="E12" s="52" t="s">
        <v>106</v>
      </c>
    </row>
    <row r="13" spans="1:5" ht="16.5">
      <c r="A13" s="52">
        <v>12</v>
      </c>
      <c r="B13" s="52">
        <v>4000</v>
      </c>
      <c r="C13" s="52" t="s">
        <v>105</v>
      </c>
      <c r="D13" s="52">
        <v>1</v>
      </c>
      <c r="E13" s="52" t="s">
        <v>106</v>
      </c>
    </row>
    <row r="14" spans="1:5" ht="16.5">
      <c r="A14" s="52">
        <v>13</v>
      </c>
      <c r="B14" s="52">
        <v>5000</v>
      </c>
      <c r="C14" s="52" t="s">
        <v>105</v>
      </c>
      <c r="D14" s="52">
        <v>1</v>
      </c>
      <c r="E14" s="52" t="s">
        <v>106</v>
      </c>
    </row>
    <row r="15" spans="1:5" ht="16.5">
      <c r="A15" s="52">
        <v>14</v>
      </c>
      <c r="B15" s="52">
        <v>6000</v>
      </c>
      <c r="C15" s="52" t="s">
        <v>105</v>
      </c>
      <c r="D15" s="52">
        <v>1</v>
      </c>
      <c r="E15" s="52" t="s">
        <v>106</v>
      </c>
    </row>
    <row r="16" spans="1:5" ht="16.5">
      <c r="A16" s="52">
        <v>15</v>
      </c>
      <c r="B16" s="52">
        <v>7000</v>
      </c>
      <c r="C16" s="52" t="s">
        <v>105</v>
      </c>
      <c r="D16" s="52">
        <v>1</v>
      </c>
      <c r="E16" s="52" t="s">
        <v>106</v>
      </c>
    </row>
    <row r="17" spans="1:5" ht="16.5">
      <c r="A17" s="52">
        <v>16</v>
      </c>
      <c r="B17" s="52">
        <v>8000</v>
      </c>
      <c r="C17" s="52" t="s">
        <v>105</v>
      </c>
      <c r="D17" s="52">
        <v>1</v>
      </c>
      <c r="E17" s="52" t="s">
        <v>106</v>
      </c>
    </row>
    <row r="18" spans="1:5" ht="16.5">
      <c r="A18" s="52">
        <v>17</v>
      </c>
      <c r="B18" s="52">
        <v>9000</v>
      </c>
      <c r="C18" s="52" t="s">
        <v>105</v>
      </c>
      <c r="D18" s="52">
        <v>1</v>
      </c>
      <c r="E18" s="52" t="s">
        <v>106</v>
      </c>
    </row>
    <row r="19" spans="1:5" ht="16.5">
      <c r="A19" s="52">
        <v>18</v>
      </c>
      <c r="B19" s="52">
        <v>10000</v>
      </c>
      <c r="C19" s="52" t="s">
        <v>105</v>
      </c>
      <c r="D19" s="52">
        <v>1</v>
      </c>
      <c r="E19" s="52" t="s">
        <v>106</v>
      </c>
    </row>
  </sheetData>
  <sheetProtection formatCells="0" insertHyperlinks="0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809"/>
  <sheetViews>
    <sheetView workbookViewId="0">
      <pane xSplit="1" ySplit="1" topLeftCell="B2" activePane="bottomRight" state="frozen"/>
      <selection pane="topRight"/>
      <selection pane="bottomLeft"/>
      <selection pane="bottomRight" activeCell="D2" sqref="D2:F20"/>
    </sheetView>
  </sheetViews>
  <sheetFormatPr defaultColWidth="9" defaultRowHeight="15"/>
  <cols>
    <col min="1" max="1" width="4.42578125" style="2" customWidth="1"/>
    <col min="2" max="2" width="14.7109375" customWidth="1"/>
    <col min="3" max="3" width="5.42578125" customWidth="1"/>
    <col min="4" max="5" width="13.28515625" customWidth="1"/>
    <col min="6" max="7" width="11" customWidth="1"/>
    <col min="8" max="8" width="13.42578125" customWidth="1"/>
    <col min="9" max="9" width="12.140625" style="3" customWidth="1"/>
    <col min="12" max="14" width="21" customWidth="1"/>
    <col min="15" max="15" width="9.85546875" customWidth="1"/>
    <col min="16" max="16" width="11.42578125" customWidth="1"/>
  </cols>
  <sheetData>
    <row r="1" spans="1:19">
      <c r="A1" s="4" t="s">
        <v>77</v>
      </c>
      <c r="B1" s="4" t="s">
        <v>107</v>
      </c>
      <c r="C1" s="4" t="s">
        <v>108</v>
      </c>
      <c r="D1" s="5" t="s">
        <v>109</v>
      </c>
      <c r="E1" s="5" t="s">
        <v>110</v>
      </c>
      <c r="F1" s="4" t="s">
        <v>111</v>
      </c>
      <c r="G1" s="4" t="s">
        <v>112</v>
      </c>
      <c r="H1" s="4" t="s">
        <v>113</v>
      </c>
      <c r="I1" s="12" t="s">
        <v>114</v>
      </c>
    </row>
    <row r="2" spans="1:19">
      <c r="A2" s="2">
        <v>1</v>
      </c>
      <c r="B2" s="6" t="s">
        <v>115</v>
      </c>
      <c r="C2" s="7">
        <v>6</v>
      </c>
      <c r="D2" s="7" t="s">
        <v>116</v>
      </c>
      <c r="E2" s="7">
        <f t="shared" ref="E2:E65" si="0">IF(D2="",1,99)</f>
        <v>1</v>
      </c>
      <c r="F2" s="7">
        <v>100</v>
      </c>
      <c r="G2" s="7">
        <v>1</v>
      </c>
      <c r="H2" s="7" t="s">
        <v>117</v>
      </c>
      <c r="I2" s="13">
        <v>1</v>
      </c>
      <c r="M2" s="14" t="s">
        <v>118</v>
      </c>
      <c r="N2" s="14" t="s">
        <v>119</v>
      </c>
      <c r="P2" s="14" t="s">
        <v>120</v>
      </c>
      <c r="Q2">
        <f t="shared" ref="Q2:Q28" si="1">COUNTIF(D:D,P2)</f>
        <v>4</v>
      </c>
      <c r="S2" s="14"/>
    </row>
    <row r="3" spans="1:19">
      <c r="A3" s="2">
        <v>2</v>
      </c>
      <c r="B3" s="6" t="s">
        <v>121</v>
      </c>
      <c r="C3" s="7">
        <v>6</v>
      </c>
      <c r="D3" s="7" t="s">
        <v>116</v>
      </c>
      <c r="E3" s="7">
        <f t="shared" si="0"/>
        <v>1</v>
      </c>
      <c r="F3" s="7">
        <v>100</v>
      </c>
      <c r="G3" s="7">
        <v>1</v>
      </c>
      <c r="H3" s="7" t="s">
        <v>122</v>
      </c>
      <c r="I3" s="13">
        <v>1</v>
      </c>
      <c r="L3" s="15"/>
      <c r="P3" t="s">
        <v>123</v>
      </c>
      <c r="Q3">
        <f t="shared" si="1"/>
        <v>4</v>
      </c>
    </row>
    <row r="4" spans="1:19">
      <c r="A4" s="2">
        <v>3</v>
      </c>
      <c r="B4" s="6" t="s">
        <v>124</v>
      </c>
      <c r="C4" s="7">
        <v>6</v>
      </c>
      <c r="D4" s="7" t="s">
        <v>116</v>
      </c>
      <c r="E4" s="7">
        <f t="shared" si="0"/>
        <v>1</v>
      </c>
      <c r="F4" s="7">
        <v>100</v>
      </c>
      <c r="G4" s="7">
        <v>1</v>
      </c>
      <c r="H4" s="7" t="s">
        <v>125</v>
      </c>
      <c r="I4" s="13">
        <v>1</v>
      </c>
      <c r="K4" t="s">
        <v>126</v>
      </c>
      <c r="L4" s="15">
        <f>24/(SUMPRODUCT((F2:F850=100)*C2:C850)+E6)</f>
        <v>1.07142857142857E-3</v>
      </c>
      <c r="P4" t="s">
        <v>127</v>
      </c>
      <c r="Q4">
        <f t="shared" si="1"/>
        <v>4</v>
      </c>
    </row>
    <row r="5" spans="1:19">
      <c r="A5" s="2">
        <v>4</v>
      </c>
      <c r="B5" s="6" t="s">
        <v>128</v>
      </c>
      <c r="C5" s="7">
        <v>6</v>
      </c>
      <c r="D5" s="7" t="s">
        <v>116</v>
      </c>
      <c r="E5" s="7">
        <f t="shared" si="0"/>
        <v>1</v>
      </c>
      <c r="F5" s="7">
        <v>100</v>
      </c>
      <c r="G5" s="7">
        <v>1</v>
      </c>
      <c r="H5" s="7" t="s">
        <v>129</v>
      </c>
      <c r="I5" s="13">
        <v>1</v>
      </c>
      <c r="K5" s="14" t="s">
        <v>130</v>
      </c>
      <c r="L5" s="16">
        <f>(E6*2)/(SUMPRODUCT((F2:F850=100)*C2:C850)+E6*2)</f>
        <v>8.8003911284945998E-3</v>
      </c>
      <c r="M5" s="17">
        <f>1-POWER(1-L5,20)</f>
        <v>0.16204163655868101</v>
      </c>
      <c r="N5" s="17">
        <f>1-POWER(1-L5,90)</f>
        <v>0.54866295667601395</v>
      </c>
      <c r="P5" t="s">
        <v>131</v>
      </c>
      <c r="Q5">
        <f t="shared" si="1"/>
        <v>4</v>
      </c>
    </row>
    <row r="6" spans="1:19">
      <c r="A6" s="2">
        <v>5</v>
      </c>
      <c r="B6" s="6" t="s">
        <v>120</v>
      </c>
      <c r="C6" s="7">
        <v>10</v>
      </c>
      <c r="D6" s="8" t="s">
        <v>120</v>
      </c>
      <c r="E6" s="7">
        <f t="shared" si="0"/>
        <v>99</v>
      </c>
      <c r="F6" s="7">
        <v>100</v>
      </c>
      <c r="G6" s="7">
        <v>1</v>
      </c>
      <c r="H6" s="7" t="s">
        <v>132</v>
      </c>
      <c r="I6" s="13">
        <v>1</v>
      </c>
      <c r="P6" t="s">
        <v>133</v>
      </c>
      <c r="Q6">
        <f t="shared" si="1"/>
        <v>4</v>
      </c>
    </row>
    <row r="7" spans="1:19">
      <c r="A7" s="2">
        <v>6</v>
      </c>
      <c r="B7" s="6" t="s">
        <v>123</v>
      </c>
      <c r="C7" s="7">
        <v>10</v>
      </c>
      <c r="D7" s="7" t="s">
        <v>123</v>
      </c>
      <c r="E7" s="7">
        <f t="shared" si="0"/>
        <v>99</v>
      </c>
      <c r="F7" s="7">
        <v>100</v>
      </c>
      <c r="G7" s="7">
        <v>1</v>
      </c>
      <c r="H7" s="7" t="s">
        <v>134</v>
      </c>
      <c r="I7" s="13">
        <v>1</v>
      </c>
      <c r="L7" s="14" t="s">
        <v>135</v>
      </c>
      <c r="P7" t="s">
        <v>136</v>
      </c>
      <c r="Q7">
        <f t="shared" si="1"/>
        <v>4</v>
      </c>
    </row>
    <row r="8" spans="1:19">
      <c r="A8" s="2">
        <v>7</v>
      </c>
      <c r="B8" s="6" t="s">
        <v>127</v>
      </c>
      <c r="C8" s="7">
        <v>0</v>
      </c>
      <c r="D8" s="7" t="s">
        <v>127</v>
      </c>
      <c r="E8" s="7">
        <f t="shared" si="0"/>
        <v>99</v>
      </c>
      <c r="F8" s="7">
        <v>100</v>
      </c>
      <c r="G8" s="7">
        <v>1</v>
      </c>
      <c r="H8" s="7" t="s">
        <v>137</v>
      </c>
      <c r="I8" s="13">
        <v>1</v>
      </c>
      <c r="P8" t="s">
        <v>138</v>
      </c>
      <c r="Q8">
        <f t="shared" si="1"/>
        <v>4</v>
      </c>
    </row>
    <row r="9" spans="1:19">
      <c r="A9" s="2">
        <v>8</v>
      </c>
      <c r="B9" s="6" t="s">
        <v>131</v>
      </c>
      <c r="C9" s="7">
        <v>0</v>
      </c>
      <c r="D9" s="7" t="s">
        <v>131</v>
      </c>
      <c r="E9" s="7">
        <f t="shared" si="0"/>
        <v>99</v>
      </c>
      <c r="F9" s="7">
        <v>100</v>
      </c>
      <c r="G9" s="7">
        <v>1</v>
      </c>
      <c r="H9" s="7" t="s">
        <v>139</v>
      </c>
      <c r="I9" s="13">
        <v>1</v>
      </c>
      <c r="L9" s="14" t="s">
        <v>140</v>
      </c>
      <c r="M9">
        <v>100</v>
      </c>
      <c r="P9" t="s">
        <v>141</v>
      </c>
      <c r="Q9">
        <f t="shared" si="1"/>
        <v>4</v>
      </c>
    </row>
    <row r="10" spans="1:19">
      <c r="A10" s="2">
        <v>9</v>
      </c>
      <c r="B10" s="6" t="s">
        <v>133</v>
      </c>
      <c r="C10" s="7">
        <v>10</v>
      </c>
      <c r="D10" s="7" t="s">
        <v>133</v>
      </c>
      <c r="E10" s="7">
        <f t="shared" si="0"/>
        <v>99</v>
      </c>
      <c r="F10" s="7">
        <v>100</v>
      </c>
      <c r="G10" s="7">
        <v>1</v>
      </c>
      <c r="H10" s="7" t="s">
        <v>142</v>
      </c>
      <c r="I10" s="13">
        <v>1</v>
      </c>
      <c r="L10" s="14" t="s">
        <v>143</v>
      </c>
      <c r="M10">
        <v>30</v>
      </c>
      <c r="P10" t="s">
        <v>144</v>
      </c>
      <c r="Q10">
        <f t="shared" si="1"/>
        <v>4</v>
      </c>
    </row>
    <row r="11" spans="1:19">
      <c r="A11" s="2">
        <v>10</v>
      </c>
      <c r="B11" s="6" t="s">
        <v>136</v>
      </c>
      <c r="C11" s="7">
        <v>10</v>
      </c>
      <c r="D11" s="7" t="s">
        <v>136</v>
      </c>
      <c r="E11" s="7">
        <f t="shared" si="0"/>
        <v>99</v>
      </c>
      <c r="F11" s="7">
        <v>100</v>
      </c>
      <c r="G11" s="7">
        <v>1</v>
      </c>
      <c r="H11" s="7" t="s">
        <v>145</v>
      </c>
      <c r="I11" s="13">
        <v>1</v>
      </c>
      <c r="P11" t="s">
        <v>146</v>
      </c>
      <c r="Q11">
        <f t="shared" si="1"/>
        <v>0</v>
      </c>
    </row>
    <row r="12" spans="1:19">
      <c r="A12" s="2">
        <v>11</v>
      </c>
      <c r="B12" s="6" t="s">
        <v>138</v>
      </c>
      <c r="C12" s="7">
        <v>10</v>
      </c>
      <c r="D12" s="7" t="s">
        <v>138</v>
      </c>
      <c r="E12" s="7">
        <f t="shared" si="0"/>
        <v>99</v>
      </c>
      <c r="F12" s="7">
        <v>100</v>
      </c>
      <c r="G12" s="7">
        <v>1</v>
      </c>
      <c r="H12" s="7" t="s">
        <v>147</v>
      </c>
      <c r="I12" s="13">
        <v>1</v>
      </c>
      <c r="L12" s="14" t="s">
        <v>148</v>
      </c>
      <c r="M12" t="e">
        <f>COUNTIF([1]随机库Sheet3!A:A,1)</f>
        <v>#VALUE!</v>
      </c>
      <c r="N12" s="16" t="e">
        <f>M12/10000</f>
        <v>#VALUE!</v>
      </c>
      <c r="P12" t="s">
        <v>149</v>
      </c>
      <c r="Q12">
        <f t="shared" si="1"/>
        <v>0</v>
      </c>
    </row>
    <row r="13" spans="1:19">
      <c r="A13" s="2">
        <v>12</v>
      </c>
      <c r="B13" s="6" t="s">
        <v>141</v>
      </c>
      <c r="C13" s="7">
        <v>10</v>
      </c>
      <c r="D13" s="7" t="s">
        <v>141</v>
      </c>
      <c r="E13" s="7">
        <f t="shared" si="0"/>
        <v>99</v>
      </c>
      <c r="F13" s="7">
        <v>100</v>
      </c>
      <c r="G13" s="7">
        <v>1</v>
      </c>
      <c r="H13" s="7" t="s">
        <v>150</v>
      </c>
      <c r="I13" s="13">
        <v>1</v>
      </c>
      <c r="P13" t="s">
        <v>151</v>
      </c>
      <c r="Q13">
        <f t="shared" si="1"/>
        <v>0</v>
      </c>
    </row>
    <row r="14" spans="1:19">
      <c r="A14" s="2">
        <v>13</v>
      </c>
      <c r="B14" s="6" t="s">
        <v>144</v>
      </c>
      <c r="C14" s="7">
        <v>0</v>
      </c>
      <c r="D14" s="7" t="s">
        <v>144</v>
      </c>
      <c r="E14" s="7">
        <f t="shared" si="0"/>
        <v>99</v>
      </c>
      <c r="F14" s="7">
        <v>100</v>
      </c>
      <c r="G14" s="7">
        <v>1</v>
      </c>
      <c r="H14" s="7" t="s">
        <v>152</v>
      </c>
      <c r="I14" s="13">
        <v>1</v>
      </c>
      <c r="P14" t="s">
        <v>153</v>
      </c>
      <c r="Q14">
        <f t="shared" si="1"/>
        <v>0</v>
      </c>
    </row>
    <row r="15" spans="1:19">
      <c r="A15" s="2">
        <v>14</v>
      </c>
      <c r="B15" s="6" t="s">
        <v>154</v>
      </c>
      <c r="C15" s="7">
        <v>0</v>
      </c>
      <c r="D15" s="8" t="s">
        <v>155</v>
      </c>
      <c r="E15" s="7">
        <f t="shared" si="0"/>
        <v>99</v>
      </c>
      <c r="F15" s="7">
        <v>100</v>
      </c>
      <c r="G15" s="7">
        <v>1</v>
      </c>
      <c r="H15" s="7" t="s">
        <v>156</v>
      </c>
      <c r="I15" s="13">
        <v>1</v>
      </c>
      <c r="P15" t="s">
        <v>157</v>
      </c>
      <c r="Q15">
        <f t="shared" si="1"/>
        <v>0</v>
      </c>
    </row>
    <row r="16" spans="1:19">
      <c r="A16" s="2">
        <v>15</v>
      </c>
      <c r="B16" s="6" t="s">
        <v>158</v>
      </c>
      <c r="C16" s="7">
        <v>0</v>
      </c>
      <c r="D16" s="8" t="s">
        <v>159</v>
      </c>
      <c r="E16" s="7">
        <f t="shared" si="0"/>
        <v>99</v>
      </c>
      <c r="F16" s="7">
        <v>100</v>
      </c>
      <c r="G16" s="7">
        <v>1</v>
      </c>
      <c r="H16" s="7" t="s">
        <v>160</v>
      </c>
      <c r="I16" s="13">
        <v>1</v>
      </c>
      <c r="P16" t="s">
        <v>161</v>
      </c>
      <c r="Q16">
        <f t="shared" si="1"/>
        <v>0</v>
      </c>
    </row>
    <row r="17" spans="1:23">
      <c r="A17" s="2">
        <v>16</v>
      </c>
      <c r="B17" s="6" t="s">
        <v>162</v>
      </c>
      <c r="C17" s="7">
        <v>0</v>
      </c>
      <c r="D17" s="8" t="s">
        <v>163</v>
      </c>
      <c r="E17" s="7">
        <f t="shared" si="0"/>
        <v>99</v>
      </c>
      <c r="F17" s="7">
        <v>100</v>
      </c>
      <c r="G17" s="7">
        <v>1</v>
      </c>
      <c r="H17" s="7" t="s">
        <v>164</v>
      </c>
      <c r="I17" s="13">
        <v>1</v>
      </c>
      <c r="P17" t="s">
        <v>165</v>
      </c>
      <c r="Q17">
        <f t="shared" si="1"/>
        <v>0</v>
      </c>
      <c r="T17" s="14" t="s">
        <v>166</v>
      </c>
      <c r="U17" s="14" t="s">
        <v>167</v>
      </c>
      <c r="V17" s="14" t="s">
        <v>168</v>
      </c>
      <c r="W17" s="14" t="s">
        <v>169</v>
      </c>
    </row>
    <row r="18" spans="1:23">
      <c r="A18" s="2">
        <v>17</v>
      </c>
      <c r="B18" s="6" t="s">
        <v>170</v>
      </c>
      <c r="C18" s="7">
        <v>0</v>
      </c>
      <c r="D18" s="6" t="s">
        <v>170</v>
      </c>
      <c r="E18" s="7">
        <f t="shared" si="0"/>
        <v>99</v>
      </c>
      <c r="F18" s="7">
        <v>100</v>
      </c>
      <c r="G18" s="7">
        <v>1</v>
      </c>
      <c r="H18" s="7" t="s">
        <v>171</v>
      </c>
      <c r="I18" s="13">
        <v>1</v>
      </c>
      <c r="P18" t="s">
        <v>172</v>
      </c>
      <c r="Q18">
        <f t="shared" si="1"/>
        <v>0</v>
      </c>
      <c r="T18">
        <v>500</v>
      </c>
      <c r="U18">
        <v>4500</v>
      </c>
      <c r="V18">
        <v>20</v>
      </c>
    </row>
    <row r="19" spans="1:23">
      <c r="A19" s="2">
        <v>18</v>
      </c>
      <c r="B19" s="6" t="s">
        <v>173</v>
      </c>
      <c r="C19" s="7">
        <v>0</v>
      </c>
      <c r="D19" s="6" t="s">
        <v>173</v>
      </c>
      <c r="E19" s="7">
        <f t="shared" si="0"/>
        <v>99</v>
      </c>
      <c r="F19" s="7">
        <v>100</v>
      </c>
      <c r="G19" s="7">
        <v>1</v>
      </c>
      <c r="H19" s="7"/>
      <c r="I19" s="13">
        <v>1</v>
      </c>
      <c r="P19" t="s">
        <v>174</v>
      </c>
      <c r="Q19">
        <f t="shared" si="1"/>
        <v>0</v>
      </c>
    </row>
    <row r="20" spans="1:23">
      <c r="A20" s="2">
        <v>19</v>
      </c>
      <c r="B20" s="6" t="s">
        <v>175</v>
      </c>
      <c r="C20" s="7">
        <v>10</v>
      </c>
      <c r="D20" s="6" t="s">
        <v>175</v>
      </c>
      <c r="E20" s="7">
        <f t="shared" si="0"/>
        <v>99</v>
      </c>
      <c r="F20" s="7">
        <v>100</v>
      </c>
      <c r="G20" s="7">
        <v>1</v>
      </c>
      <c r="H20" s="7"/>
      <c r="I20" s="13">
        <v>1</v>
      </c>
      <c r="P20" t="s">
        <v>176</v>
      </c>
      <c r="Q20">
        <f t="shared" si="1"/>
        <v>0</v>
      </c>
    </row>
    <row r="21" spans="1:23">
      <c r="A21" s="2">
        <v>20</v>
      </c>
      <c r="B21" s="9" t="s">
        <v>177</v>
      </c>
      <c r="C21" s="10">
        <v>5</v>
      </c>
      <c r="D21" s="7" t="s">
        <v>116</v>
      </c>
      <c r="E21" s="7">
        <f t="shared" si="0"/>
        <v>1</v>
      </c>
      <c r="F21" s="10">
        <v>100</v>
      </c>
      <c r="G21" s="10">
        <v>1</v>
      </c>
      <c r="H21" s="10" t="s">
        <v>178</v>
      </c>
      <c r="I21" s="13">
        <v>1</v>
      </c>
      <c r="P21" t="s">
        <v>179</v>
      </c>
      <c r="Q21">
        <f t="shared" si="1"/>
        <v>0</v>
      </c>
    </row>
    <row r="22" spans="1:23">
      <c r="A22" s="2">
        <v>21</v>
      </c>
      <c r="B22" s="9" t="s">
        <v>180</v>
      </c>
      <c r="C22" s="10">
        <v>22</v>
      </c>
      <c r="D22" s="7" t="s">
        <v>116</v>
      </c>
      <c r="E22" s="7">
        <f t="shared" si="0"/>
        <v>1</v>
      </c>
      <c r="F22" s="10">
        <v>100</v>
      </c>
      <c r="G22" s="10"/>
      <c r="H22" s="10" t="s">
        <v>181</v>
      </c>
      <c r="I22" s="13"/>
      <c r="K22" t="s">
        <v>116</v>
      </c>
      <c r="P22" t="s">
        <v>182</v>
      </c>
      <c r="Q22">
        <f t="shared" si="1"/>
        <v>1</v>
      </c>
    </row>
    <row r="23" spans="1:23">
      <c r="A23" s="2">
        <v>22</v>
      </c>
      <c r="B23" s="9" t="s">
        <v>183</v>
      </c>
      <c r="C23" s="10">
        <v>33</v>
      </c>
      <c r="D23" s="7" t="s">
        <v>116</v>
      </c>
      <c r="E23" s="7">
        <f t="shared" si="0"/>
        <v>1</v>
      </c>
      <c r="F23" s="10">
        <v>100</v>
      </c>
      <c r="G23" s="10"/>
      <c r="H23" s="10" t="s">
        <v>184</v>
      </c>
      <c r="I23" s="13"/>
      <c r="K23" t="s">
        <v>116</v>
      </c>
      <c r="P23" t="s">
        <v>185</v>
      </c>
      <c r="Q23">
        <f t="shared" si="1"/>
        <v>0</v>
      </c>
    </row>
    <row r="24" spans="1:23">
      <c r="A24" s="2">
        <v>23</v>
      </c>
      <c r="B24" s="9" t="s">
        <v>186</v>
      </c>
      <c r="C24" s="10">
        <v>44</v>
      </c>
      <c r="D24" s="7" t="s">
        <v>116</v>
      </c>
      <c r="E24" s="7">
        <f t="shared" si="0"/>
        <v>1</v>
      </c>
      <c r="F24" s="10">
        <v>100</v>
      </c>
      <c r="G24" s="10"/>
      <c r="H24" s="10" t="s">
        <v>187</v>
      </c>
      <c r="I24" s="13"/>
      <c r="K24" t="s">
        <v>116</v>
      </c>
      <c r="P24" t="s">
        <v>188</v>
      </c>
      <c r="Q24">
        <f t="shared" si="1"/>
        <v>0</v>
      </c>
    </row>
    <row r="25" spans="1:23">
      <c r="A25" s="2">
        <v>24</v>
      </c>
      <c r="B25" s="9" t="s">
        <v>189</v>
      </c>
      <c r="C25" s="10">
        <v>5</v>
      </c>
      <c r="D25" s="7" t="s">
        <v>116</v>
      </c>
      <c r="E25" s="7">
        <f t="shared" si="0"/>
        <v>1</v>
      </c>
      <c r="F25" s="10">
        <v>100</v>
      </c>
      <c r="G25" s="10">
        <v>1</v>
      </c>
      <c r="H25" s="10" t="s">
        <v>190</v>
      </c>
      <c r="I25" s="13">
        <v>1</v>
      </c>
      <c r="K25" t="s">
        <v>116</v>
      </c>
      <c r="P25" t="s">
        <v>191</v>
      </c>
      <c r="Q25">
        <f t="shared" si="1"/>
        <v>0</v>
      </c>
    </row>
    <row r="26" spans="1:23">
      <c r="A26" s="2">
        <v>25</v>
      </c>
      <c r="B26" s="9" t="s">
        <v>192</v>
      </c>
      <c r="C26" s="10">
        <v>22</v>
      </c>
      <c r="D26" s="7" t="s">
        <v>116</v>
      </c>
      <c r="E26" s="7">
        <f t="shared" si="0"/>
        <v>1</v>
      </c>
      <c r="F26" s="10">
        <v>100</v>
      </c>
      <c r="G26" s="10"/>
      <c r="H26" s="10" t="s">
        <v>193</v>
      </c>
      <c r="I26" s="13"/>
      <c r="K26" t="s">
        <v>116</v>
      </c>
      <c r="P26" t="s">
        <v>194</v>
      </c>
      <c r="Q26">
        <f t="shared" si="1"/>
        <v>4</v>
      </c>
    </row>
    <row r="27" spans="1:23">
      <c r="A27" s="2">
        <v>26</v>
      </c>
      <c r="B27" s="9" t="s">
        <v>195</v>
      </c>
      <c r="C27" s="10">
        <v>33</v>
      </c>
      <c r="D27" s="7" t="s">
        <v>116</v>
      </c>
      <c r="E27" s="7">
        <f t="shared" si="0"/>
        <v>1</v>
      </c>
      <c r="F27" s="10">
        <v>100</v>
      </c>
      <c r="G27" s="10"/>
      <c r="H27" s="10" t="s">
        <v>196</v>
      </c>
      <c r="I27" s="13"/>
      <c r="K27" t="s">
        <v>116</v>
      </c>
      <c r="P27" t="s">
        <v>197</v>
      </c>
      <c r="Q27">
        <f t="shared" si="1"/>
        <v>0</v>
      </c>
    </row>
    <row r="28" spans="1:23">
      <c r="A28" s="2">
        <v>27</v>
      </c>
      <c r="B28" s="9" t="s">
        <v>198</v>
      </c>
      <c r="C28" s="10">
        <v>44</v>
      </c>
      <c r="D28" s="7" t="s">
        <v>116</v>
      </c>
      <c r="E28" s="7">
        <f t="shared" si="0"/>
        <v>1</v>
      </c>
      <c r="F28" s="10">
        <v>100</v>
      </c>
      <c r="G28" s="10"/>
      <c r="H28" s="10" t="s">
        <v>199</v>
      </c>
      <c r="I28" s="13"/>
      <c r="K28" t="s">
        <v>116</v>
      </c>
      <c r="P28" t="s">
        <v>200</v>
      </c>
      <c r="Q28">
        <f t="shared" si="1"/>
        <v>0</v>
      </c>
    </row>
    <row r="29" spans="1:23">
      <c r="A29" s="2">
        <v>28</v>
      </c>
      <c r="B29" s="9" t="s">
        <v>201</v>
      </c>
      <c r="C29" s="10">
        <v>5</v>
      </c>
      <c r="D29" s="7" t="s">
        <v>116</v>
      </c>
      <c r="E29" s="7">
        <f t="shared" si="0"/>
        <v>1</v>
      </c>
      <c r="F29" s="10">
        <v>100</v>
      </c>
      <c r="G29" s="10">
        <v>1</v>
      </c>
      <c r="H29" s="10" t="s">
        <v>202</v>
      </c>
      <c r="I29" s="13">
        <v>1</v>
      </c>
      <c r="K29" t="s">
        <v>116</v>
      </c>
    </row>
    <row r="30" spans="1:23">
      <c r="A30" s="2">
        <v>29</v>
      </c>
      <c r="B30" s="9" t="s">
        <v>203</v>
      </c>
      <c r="C30" s="10">
        <v>22</v>
      </c>
      <c r="D30" s="7" t="s">
        <v>116</v>
      </c>
      <c r="E30" s="7">
        <f t="shared" si="0"/>
        <v>1</v>
      </c>
      <c r="F30" s="10">
        <v>100</v>
      </c>
      <c r="G30" s="10"/>
      <c r="H30" s="10" t="s">
        <v>204</v>
      </c>
      <c r="I30" s="13"/>
      <c r="K30" t="s">
        <v>116</v>
      </c>
    </row>
    <row r="31" spans="1:23">
      <c r="A31" s="2">
        <v>30</v>
      </c>
      <c r="B31" s="9" t="s">
        <v>205</v>
      </c>
      <c r="C31" s="10">
        <v>33</v>
      </c>
      <c r="D31" s="7" t="s">
        <v>116</v>
      </c>
      <c r="E31" s="7">
        <f t="shared" si="0"/>
        <v>1</v>
      </c>
      <c r="F31" s="10">
        <v>100</v>
      </c>
      <c r="G31" s="10"/>
      <c r="H31" s="10" t="s">
        <v>206</v>
      </c>
      <c r="I31" s="13"/>
      <c r="K31" t="s">
        <v>116</v>
      </c>
    </row>
    <row r="32" spans="1:23">
      <c r="A32" s="2">
        <v>31</v>
      </c>
      <c r="B32" s="9" t="s">
        <v>207</v>
      </c>
      <c r="C32" s="10">
        <v>44</v>
      </c>
      <c r="D32" s="7" t="s">
        <v>116</v>
      </c>
      <c r="E32" s="7">
        <f t="shared" si="0"/>
        <v>1</v>
      </c>
      <c r="F32" s="10">
        <v>100</v>
      </c>
      <c r="G32" s="10"/>
      <c r="H32" s="10" t="s">
        <v>208</v>
      </c>
      <c r="I32" s="13"/>
      <c r="K32" t="s">
        <v>116</v>
      </c>
    </row>
    <row r="33" spans="1:11">
      <c r="A33" s="2">
        <v>32</v>
      </c>
      <c r="B33" s="9" t="s">
        <v>209</v>
      </c>
      <c r="C33" s="10">
        <v>5</v>
      </c>
      <c r="D33" s="7" t="s">
        <v>116</v>
      </c>
      <c r="E33" s="7">
        <f t="shared" si="0"/>
        <v>1</v>
      </c>
      <c r="F33" s="10">
        <v>100</v>
      </c>
      <c r="G33" s="10">
        <v>1</v>
      </c>
      <c r="H33" s="10" t="s">
        <v>210</v>
      </c>
      <c r="I33" s="13">
        <v>1</v>
      </c>
      <c r="K33" t="s">
        <v>116</v>
      </c>
    </row>
    <row r="34" spans="1:11">
      <c r="A34" s="2">
        <v>33</v>
      </c>
      <c r="B34" s="9" t="s">
        <v>211</v>
      </c>
      <c r="C34" s="10">
        <v>22</v>
      </c>
      <c r="D34" s="7" t="s">
        <v>116</v>
      </c>
      <c r="E34" s="7">
        <f t="shared" si="0"/>
        <v>1</v>
      </c>
      <c r="F34" s="10">
        <v>100</v>
      </c>
      <c r="G34" s="10"/>
      <c r="H34" s="10" t="s">
        <v>212</v>
      </c>
      <c r="I34" s="13"/>
      <c r="K34" t="s">
        <v>116</v>
      </c>
    </row>
    <row r="35" spans="1:11">
      <c r="A35" s="2">
        <v>34</v>
      </c>
      <c r="B35" s="9" t="s">
        <v>213</v>
      </c>
      <c r="C35" s="10">
        <v>33</v>
      </c>
      <c r="D35" s="7" t="s">
        <v>116</v>
      </c>
      <c r="E35" s="7">
        <f t="shared" si="0"/>
        <v>1</v>
      </c>
      <c r="F35" s="10">
        <v>100</v>
      </c>
      <c r="G35" s="10"/>
      <c r="H35" s="10" t="s">
        <v>214</v>
      </c>
      <c r="I35" s="13"/>
      <c r="K35" t="s">
        <v>116</v>
      </c>
    </row>
    <row r="36" spans="1:11">
      <c r="A36" s="2">
        <v>35</v>
      </c>
      <c r="B36" s="9" t="s">
        <v>215</v>
      </c>
      <c r="C36" s="10">
        <v>44</v>
      </c>
      <c r="D36" s="7" t="s">
        <v>116</v>
      </c>
      <c r="E36" s="7">
        <f t="shared" si="0"/>
        <v>1</v>
      </c>
      <c r="F36" s="10">
        <v>100</v>
      </c>
      <c r="G36" s="10"/>
      <c r="H36" s="10" t="s">
        <v>216</v>
      </c>
      <c r="I36" s="13"/>
      <c r="K36" t="s">
        <v>116</v>
      </c>
    </row>
    <row r="37" spans="1:11">
      <c r="A37" s="2">
        <v>36</v>
      </c>
      <c r="B37" s="9" t="s">
        <v>217</v>
      </c>
      <c r="C37" s="7">
        <v>10</v>
      </c>
      <c r="D37" s="11" t="str">
        <f>7&amp;MID(B37,2,5)&amp;1&amp;RIGHT(B37,4)</f>
        <v>7:1000101:1</v>
      </c>
      <c r="E37" s="7">
        <f t="shared" si="0"/>
        <v>99</v>
      </c>
      <c r="F37" s="10">
        <v>100</v>
      </c>
      <c r="G37" s="10">
        <v>1</v>
      </c>
      <c r="H37" s="10" t="s">
        <v>218</v>
      </c>
      <c r="I37" s="13">
        <v>1</v>
      </c>
      <c r="K37" t="s">
        <v>116</v>
      </c>
    </row>
    <row r="38" spans="1:11">
      <c r="A38" s="2">
        <v>37</v>
      </c>
      <c r="B38" s="9" t="s">
        <v>219</v>
      </c>
      <c r="C38" s="10">
        <v>22</v>
      </c>
      <c r="D38" s="7" t="s">
        <v>116</v>
      </c>
      <c r="E38" s="7">
        <f t="shared" si="0"/>
        <v>1</v>
      </c>
      <c r="F38" s="10">
        <v>100</v>
      </c>
      <c r="G38" s="10"/>
      <c r="H38" s="10" t="s">
        <v>220</v>
      </c>
      <c r="I38" s="13"/>
      <c r="K38">
        <v>3</v>
      </c>
    </row>
    <row r="39" spans="1:11">
      <c r="A39" s="2">
        <v>38</v>
      </c>
      <c r="B39" s="9" t="s">
        <v>221</v>
      </c>
      <c r="C39" s="10">
        <v>33</v>
      </c>
      <c r="D39" s="7" t="s">
        <v>116</v>
      </c>
      <c r="E39" s="7">
        <f t="shared" si="0"/>
        <v>1</v>
      </c>
      <c r="F39" s="10">
        <v>100</v>
      </c>
      <c r="G39" s="10"/>
      <c r="H39" s="10" t="s">
        <v>222</v>
      </c>
      <c r="I39" s="13"/>
      <c r="K39" t="s">
        <v>116</v>
      </c>
    </row>
    <row r="40" spans="1:11">
      <c r="A40" s="2">
        <v>39</v>
      </c>
      <c r="B40" s="9" t="s">
        <v>223</v>
      </c>
      <c r="C40" s="10">
        <v>44</v>
      </c>
      <c r="D40" s="7" t="s">
        <v>116</v>
      </c>
      <c r="E40" s="7">
        <f t="shared" si="0"/>
        <v>1</v>
      </c>
      <c r="F40" s="10">
        <v>100</v>
      </c>
      <c r="G40" s="10"/>
      <c r="H40" s="10" t="s">
        <v>224</v>
      </c>
      <c r="I40" s="13"/>
      <c r="K40" t="s">
        <v>116</v>
      </c>
    </row>
    <row r="41" spans="1:11">
      <c r="A41" s="2">
        <v>40</v>
      </c>
      <c r="B41" s="9" t="s">
        <v>225</v>
      </c>
      <c r="C41" s="7">
        <v>10</v>
      </c>
      <c r="D41" s="11" t="str">
        <f>7&amp;MID(B41,2,5)&amp;1&amp;RIGHT(B41,4)</f>
        <v>7:2000101:1</v>
      </c>
      <c r="E41" s="7">
        <f t="shared" si="0"/>
        <v>99</v>
      </c>
      <c r="F41" s="10">
        <v>100</v>
      </c>
      <c r="G41" s="10">
        <v>1</v>
      </c>
      <c r="H41" s="10" t="s">
        <v>226</v>
      </c>
      <c r="I41" s="13">
        <v>1</v>
      </c>
      <c r="K41" t="s">
        <v>116</v>
      </c>
    </row>
    <row r="42" spans="1:11">
      <c r="A42" s="2">
        <v>41</v>
      </c>
      <c r="B42" s="9" t="s">
        <v>227</v>
      </c>
      <c r="C42" s="10">
        <v>22</v>
      </c>
      <c r="D42" s="7" t="s">
        <v>116</v>
      </c>
      <c r="E42" s="7">
        <f t="shared" si="0"/>
        <v>1</v>
      </c>
      <c r="F42" s="10">
        <v>100</v>
      </c>
      <c r="G42" s="10"/>
      <c r="H42" s="10" t="s">
        <v>228</v>
      </c>
      <c r="I42" s="13"/>
      <c r="K42">
        <v>3</v>
      </c>
    </row>
    <row r="43" spans="1:11">
      <c r="A43" s="2">
        <v>42</v>
      </c>
      <c r="B43" s="9" t="s">
        <v>229</v>
      </c>
      <c r="C43" s="10">
        <v>33</v>
      </c>
      <c r="D43" s="7" t="s">
        <v>116</v>
      </c>
      <c r="E43" s="7">
        <f t="shared" si="0"/>
        <v>1</v>
      </c>
      <c r="F43" s="10">
        <v>100</v>
      </c>
      <c r="G43" s="10"/>
      <c r="H43" s="10" t="s">
        <v>230</v>
      </c>
      <c r="I43" s="13"/>
      <c r="K43" t="s">
        <v>116</v>
      </c>
    </row>
    <row r="44" spans="1:11">
      <c r="A44" s="2">
        <v>43</v>
      </c>
      <c r="B44" s="9" t="s">
        <v>231</v>
      </c>
      <c r="C44" s="10">
        <v>44</v>
      </c>
      <c r="D44" s="7" t="s">
        <v>116</v>
      </c>
      <c r="E44" s="7">
        <f t="shared" si="0"/>
        <v>1</v>
      </c>
      <c r="F44" s="10">
        <v>100</v>
      </c>
      <c r="G44" s="10"/>
      <c r="H44" s="10" t="s">
        <v>232</v>
      </c>
      <c r="I44" s="13"/>
      <c r="K44" t="s">
        <v>116</v>
      </c>
    </row>
    <row r="45" spans="1:11">
      <c r="A45" s="2">
        <v>44</v>
      </c>
      <c r="B45" s="9" t="s">
        <v>233</v>
      </c>
      <c r="C45" s="7">
        <v>0</v>
      </c>
      <c r="D45" s="11" t="str">
        <f>7&amp;MID(B45,2,5)&amp;1&amp;RIGHT(B45,4)</f>
        <v>7:3000101:1</v>
      </c>
      <c r="E45" s="7">
        <f t="shared" si="0"/>
        <v>99</v>
      </c>
      <c r="F45" s="10">
        <v>100</v>
      </c>
      <c r="G45" s="10">
        <v>1</v>
      </c>
      <c r="H45" s="10" t="s">
        <v>234</v>
      </c>
      <c r="I45" s="13">
        <v>1</v>
      </c>
      <c r="K45" t="s">
        <v>116</v>
      </c>
    </row>
    <row r="46" spans="1:11">
      <c r="A46" s="2">
        <v>45</v>
      </c>
      <c r="B46" s="9" t="s">
        <v>235</v>
      </c>
      <c r="C46" s="10">
        <v>22</v>
      </c>
      <c r="D46" s="7" t="s">
        <v>116</v>
      </c>
      <c r="E46" s="7">
        <f t="shared" si="0"/>
        <v>1</v>
      </c>
      <c r="F46" s="10">
        <v>100</v>
      </c>
      <c r="G46" s="10"/>
      <c r="H46" s="10" t="s">
        <v>236</v>
      </c>
      <c r="I46" s="13"/>
      <c r="K46">
        <v>1</v>
      </c>
    </row>
    <row r="47" spans="1:11">
      <c r="A47" s="2">
        <v>46</v>
      </c>
      <c r="B47" s="9" t="s">
        <v>237</v>
      </c>
      <c r="C47" s="10">
        <v>33</v>
      </c>
      <c r="D47" s="7" t="s">
        <v>116</v>
      </c>
      <c r="E47" s="7">
        <f t="shared" si="0"/>
        <v>1</v>
      </c>
      <c r="F47" s="10">
        <v>100</v>
      </c>
      <c r="G47" s="10"/>
      <c r="H47" s="10" t="s">
        <v>238</v>
      </c>
      <c r="I47" s="13"/>
      <c r="K47" t="s">
        <v>116</v>
      </c>
    </row>
    <row r="48" spans="1:11">
      <c r="A48" s="2">
        <v>47</v>
      </c>
      <c r="B48" s="9" t="s">
        <v>239</v>
      </c>
      <c r="C48" s="10">
        <v>44</v>
      </c>
      <c r="D48" s="7" t="s">
        <v>116</v>
      </c>
      <c r="E48" s="7">
        <f t="shared" si="0"/>
        <v>1</v>
      </c>
      <c r="F48" s="10">
        <v>100</v>
      </c>
      <c r="G48" s="10"/>
      <c r="H48" s="10" t="s">
        <v>240</v>
      </c>
      <c r="I48" s="13"/>
      <c r="K48" t="s">
        <v>116</v>
      </c>
    </row>
    <row r="49" spans="1:11">
      <c r="A49" s="2">
        <v>48</v>
      </c>
      <c r="B49" s="9" t="s">
        <v>241</v>
      </c>
      <c r="C49" s="7">
        <v>0</v>
      </c>
      <c r="D49" s="11" t="str">
        <f>7&amp;MID(B49,2,5)&amp;1&amp;RIGHT(B49,4)</f>
        <v>7:4000101:1</v>
      </c>
      <c r="E49" s="7">
        <f t="shared" si="0"/>
        <v>99</v>
      </c>
      <c r="F49" s="10">
        <v>100</v>
      </c>
      <c r="G49" s="10">
        <v>1</v>
      </c>
      <c r="H49" s="10" t="s">
        <v>242</v>
      </c>
      <c r="I49" s="13">
        <v>1</v>
      </c>
      <c r="K49" t="s">
        <v>116</v>
      </c>
    </row>
    <row r="50" spans="1:11">
      <c r="A50" s="2">
        <v>49</v>
      </c>
      <c r="B50" s="9" t="s">
        <v>243</v>
      </c>
      <c r="C50" s="10">
        <v>22</v>
      </c>
      <c r="D50" s="7" t="s">
        <v>116</v>
      </c>
      <c r="E50" s="7">
        <f t="shared" si="0"/>
        <v>1</v>
      </c>
      <c r="F50" s="10">
        <v>100</v>
      </c>
      <c r="G50" s="10"/>
      <c r="H50" s="10" t="s">
        <v>244</v>
      </c>
      <c r="I50" s="13"/>
      <c r="K50">
        <v>1</v>
      </c>
    </row>
    <row r="51" spans="1:11">
      <c r="A51" s="2">
        <v>50</v>
      </c>
      <c r="B51" s="9" t="s">
        <v>245</v>
      </c>
      <c r="C51" s="10">
        <v>33</v>
      </c>
      <c r="D51" s="7" t="s">
        <v>116</v>
      </c>
      <c r="E51" s="7">
        <f t="shared" si="0"/>
        <v>1</v>
      </c>
      <c r="F51" s="10">
        <v>100</v>
      </c>
      <c r="G51" s="10"/>
      <c r="H51" s="10" t="s">
        <v>246</v>
      </c>
      <c r="I51" s="13"/>
      <c r="K51" t="s">
        <v>116</v>
      </c>
    </row>
    <row r="52" spans="1:11">
      <c r="A52" s="2">
        <v>51</v>
      </c>
      <c r="B52" s="9" t="s">
        <v>247</v>
      </c>
      <c r="C52" s="10">
        <v>44</v>
      </c>
      <c r="D52" s="7" t="s">
        <v>116</v>
      </c>
      <c r="E52" s="7">
        <f t="shared" si="0"/>
        <v>1</v>
      </c>
      <c r="F52" s="10">
        <v>100</v>
      </c>
      <c r="G52" s="10"/>
      <c r="H52" s="10" t="s">
        <v>248</v>
      </c>
      <c r="I52" s="13"/>
      <c r="K52" t="s">
        <v>116</v>
      </c>
    </row>
    <row r="53" spans="1:11">
      <c r="A53" s="2">
        <v>52</v>
      </c>
      <c r="B53" s="9" t="s">
        <v>249</v>
      </c>
      <c r="C53" s="7">
        <v>10</v>
      </c>
      <c r="D53" s="11" t="str">
        <f>7&amp;MID(B53,2,5)&amp;1&amp;RIGHT(B53,4)</f>
        <v>7:5000101:1</v>
      </c>
      <c r="E53" s="7">
        <f t="shared" si="0"/>
        <v>99</v>
      </c>
      <c r="F53" s="10">
        <v>100</v>
      </c>
      <c r="G53" s="10">
        <v>1</v>
      </c>
      <c r="H53" s="10" t="s">
        <v>250</v>
      </c>
      <c r="I53" s="13">
        <v>1</v>
      </c>
      <c r="K53" t="s">
        <v>116</v>
      </c>
    </row>
    <row r="54" spans="1:11">
      <c r="A54" s="2">
        <v>53</v>
      </c>
      <c r="B54" s="9" t="s">
        <v>251</v>
      </c>
      <c r="C54" s="10">
        <v>22</v>
      </c>
      <c r="D54" s="7" t="s">
        <v>116</v>
      </c>
      <c r="E54" s="7">
        <f t="shared" si="0"/>
        <v>1</v>
      </c>
      <c r="F54" s="10">
        <v>100</v>
      </c>
      <c r="G54" s="10"/>
      <c r="H54" s="10" t="s">
        <v>252</v>
      </c>
      <c r="I54" s="13"/>
      <c r="K54">
        <v>3</v>
      </c>
    </row>
    <row r="55" spans="1:11">
      <c r="A55" s="2">
        <v>54</v>
      </c>
      <c r="B55" s="9" t="s">
        <v>253</v>
      </c>
      <c r="C55" s="10">
        <v>33</v>
      </c>
      <c r="D55" s="7" t="s">
        <v>116</v>
      </c>
      <c r="E55" s="7">
        <f t="shared" si="0"/>
        <v>1</v>
      </c>
      <c r="F55" s="10">
        <v>100</v>
      </c>
      <c r="G55" s="10"/>
      <c r="H55" s="10" t="s">
        <v>254</v>
      </c>
      <c r="I55" s="13"/>
      <c r="K55" t="s">
        <v>116</v>
      </c>
    </row>
    <row r="56" spans="1:11">
      <c r="A56" s="2">
        <v>55</v>
      </c>
      <c r="B56" s="9" t="s">
        <v>255</v>
      </c>
      <c r="C56" s="10">
        <v>44</v>
      </c>
      <c r="D56" s="7" t="s">
        <v>116</v>
      </c>
      <c r="E56" s="7">
        <f t="shared" si="0"/>
        <v>1</v>
      </c>
      <c r="F56" s="10">
        <v>100</v>
      </c>
      <c r="G56" s="10"/>
      <c r="H56" s="10" t="s">
        <v>256</v>
      </c>
      <c r="I56" s="13"/>
      <c r="K56" t="s">
        <v>116</v>
      </c>
    </row>
    <row r="57" spans="1:11">
      <c r="A57" s="2">
        <v>56</v>
      </c>
      <c r="B57" s="9" t="s">
        <v>257</v>
      </c>
      <c r="C57" s="7">
        <v>10</v>
      </c>
      <c r="D57" s="11" t="str">
        <f>7&amp;MID(B57,2,5)&amp;1&amp;RIGHT(B57,4)</f>
        <v>7:6000101:1</v>
      </c>
      <c r="E57" s="7">
        <f t="shared" si="0"/>
        <v>99</v>
      </c>
      <c r="F57" s="10">
        <v>100</v>
      </c>
      <c r="G57" s="10">
        <v>1</v>
      </c>
      <c r="H57" s="10" t="s">
        <v>258</v>
      </c>
      <c r="I57" s="13">
        <v>1</v>
      </c>
      <c r="K57" t="s">
        <v>116</v>
      </c>
    </row>
    <row r="58" spans="1:11">
      <c r="A58" s="2">
        <v>57</v>
      </c>
      <c r="B58" s="9" t="s">
        <v>259</v>
      </c>
      <c r="C58" s="10">
        <v>22</v>
      </c>
      <c r="D58" s="7" t="s">
        <v>116</v>
      </c>
      <c r="E58" s="7">
        <f t="shared" si="0"/>
        <v>1</v>
      </c>
      <c r="F58" s="10">
        <v>100</v>
      </c>
      <c r="G58" s="10"/>
      <c r="H58" s="10" t="s">
        <v>260</v>
      </c>
      <c r="I58" s="13"/>
      <c r="K58">
        <v>3</v>
      </c>
    </row>
    <row r="59" spans="1:11">
      <c r="A59" s="2">
        <v>58</v>
      </c>
      <c r="B59" s="9" t="s">
        <v>261</v>
      </c>
      <c r="C59" s="10">
        <v>33</v>
      </c>
      <c r="D59" s="7" t="s">
        <v>116</v>
      </c>
      <c r="E59" s="7">
        <f t="shared" si="0"/>
        <v>1</v>
      </c>
      <c r="F59" s="10">
        <v>100</v>
      </c>
      <c r="G59" s="10"/>
      <c r="H59" s="10" t="s">
        <v>262</v>
      </c>
      <c r="I59" s="13"/>
      <c r="K59" t="s">
        <v>116</v>
      </c>
    </row>
    <row r="60" spans="1:11">
      <c r="A60" s="2">
        <v>59</v>
      </c>
      <c r="B60" s="9" t="s">
        <v>263</v>
      </c>
      <c r="C60" s="10">
        <v>44</v>
      </c>
      <c r="D60" s="7" t="s">
        <v>116</v>
      </c>
      <c r="E60" s="7">
        <f t="shared" si="0"/>
        <v>1</v>
      </c>
      <c r="F60" s="10">
        <v>100</v>
      </c>
      <c r="G60" s="10"/>
      <c r="H60" s="10" t="s">
        <v>264</v>
      </c>
      <c r="I60" s="13"/>
      <c r="K60" t="s">
        <v>116</v>
      </c>
    </row>
    <row r="61" spans="1:11">
      <c r="A61" s="2">
        <v>60</v>
      </c>
      <c r="B61" s="9" t="s">
        <v>265</v>
      </c>
      <c r="C61" s="7">
        <v>10</v>
      </c>
      <c r="D61" s="11" t="str">
        <f>7&amp;MID(B61,2,5)&amp;1&amp;RIGHT(B61,4)</f>
        <v>7:7000101:1</v>
      </c>
      <c r="E61" s="7">
        <f t="shared" si="0"/>
        <v>99</v>
      </c>
      <c r="F61" s="10">
        <v>100</v>
      </c>
      <c r="G61" s="10">
        <v>1</v>
      </c>
      <c r="H61" s="10" t="s">
        <v>266</v>
      </c>
      <c r="I61" s="13">
        <v>1</v>
      </c>
      <c r="K61" t="s">
        <v>116</v>
      </c>
    </row>
    <row r="62" spans="1:11">
      <c r="A62" s="2">
        <v>61</v>
      </c>
      <c r="B62" s="9" t="s">
        <v>267</v>
      </c>
      <c r="C62" s="10">
        <v>22</v>
      </c>
      <c r="D62" s="7" t="s">
        <v>116</v>
      </c>
      <c r="E62" s="7">
        <f t="shared" si="0"/>
        <v>1</v>
      </c>
      <c r="F62" s="10">
        <v>100</v>
      </c>
      <c r="G62" s="10"/>
      <c r="H62" s="10" t="s">
        <v>268</v>
      </c>
      <c r="I62" s="13"/>
      <c r="K62">
        <v>4</v>
      </c>
    </row>
    <row r="63" spans="1:11">
      <c r="A63" s="2">
        <v>62</v>
      </c>
      <c r="B63" s="9" t="s">
        <v>269</v>
      </c>
      <c r="C63" s="10">
        <v>33</v>
      </c>
      <c r="D63" s="7" t="s">
        <v>116</v>
      </c>
      <c r="E63" s="7">
        <f t="shared" si="0"/>
        <v>1</v>
      </c>
      <c r="F63" s="10">
        <v>100</v>
      </c>
      <c r="G63" s="10"/>
      <c r="H63" s="10" t="s">
        <v>270</v>
      </c>
      <c r="I63" s="13"/>
      <c r="K63" t="s">
        <v>116</v>
      </c>
    </row>
    <row r="64" spans="1:11">
      <c r="A64" s="2">
        <v>63</v>
      </c>
      <c r="B64" s="9" t="s">
        <v>271</v>
      </c>
      <c r="C64" s="10">
        <v>44</v>
      </c>
      <c r="D64" s="7" t="s">
        <v>116</v>
      </c>
      <c r="E64" s="7">
        <f t="shared" si="0"/>
        <v>1</v>
      </c>
      <c r="F64" s="10">
        <v>100</v>
      </c>
      <c r="G64" s="10"/>
      <c r="H64" s="10" t="s">
        <v>272</v>
      </c>
      <c r="I64" s="13"/>
      <c r="K64" t="s">
        <v>116</v>
      </c>
    </row>
    <row r="65" spans="1:11">
      <c r="A65" s="2">
        <v>64</v>
      </c>
      <c r="B65" s="9" t="s">
        <v>273</v>
      </c>
      <c r="C65" s="7">
        <v>10</v>
      </c>
      <c r="D65" s="11" t="str">
        <f>7&amp;MID(B65,2,5)&amp;1&amp;RIGHT(B65,4)</f>
        <v>7:8000101:1</v>
      </c>
      <c r="E65" s="7">
        <f t="shared" si="0"/>
        <v>99</v>
      </c>
      <c r="F65" s="10">
        <v>100</v>
      </c>
      <c r="G65" s="10">
        <v>1</v>
      </c>
      <c r="H65" s="10" t="s">
        <v>274</v>
      </c>
      <c r="I65" s="13">
        <v>1</v>
      </c>
      <c r="K65" t="s">
        <v>116</v>
      </c>
    </row>
    <row r="66" spans="1:11">
      <c r="A66" s="2">
        <v>65</v>
      </c>
      <c r="B66" s="9" t="s">
        <v>275</v>
      </c>
      <c r="C66" s="10">
        <v>22</v>
      </c>
      <c r="D66" s="7" t="s">
        <v>116</v>
      </c>
      <c r="E66" s="7">
        <f t="shared" ref="E66:E129" si="2">IF(D66="",1,99)</f>
        <v>1</v>
      </c>
      <c r="F66" s="10">
        <v>100</v>
      </c>
      <c r="G66" s="10"/>
      <c r="H66" s="10" t="s">
        <v>276</v>
      </c>
      <c r="I66" s="13"/>
      <c r="K66">
        <v>3</v>
      </c>
    </row>
    <row r="67" spans="1:11">
      <c r="A67" s="2">
        <v>66</v>
      </c>
      <c r="B67" s="9" t="s">
        <v>277</v>
      </c>
      <c r="C67" s="10">
        <v>33</v>
      </c>
      <c r="D67" s="7" t="s">
        <v>116</v>
      </c>
      <c r="E67" s="7">
        <f t="shared" si="2"/>
        <v>1</v>
      </c>
      <c r="F67" s="10">
        <v>100</v>
      </c>
      <c r="G67" s="10"/>
      <c r="H67" s="10" t="s">
        <v>278</v>
      </c>
      <c r="I67" s="13"/>
      <c r="K67" t="s">
        <v>116</v>
      </c>
    </row>
    <row r="68" spans="1:11">
      <c r="A68" s="2">
        <v>67</v>
      </c>
      <c r="B68" s="9" t="s">
        <v>279</v>
      </c>
      <c r="C68" s="10">
        <v>44</v>
      </c>
      <c r="D68" s="7" t="s">
        <v>116</v>
      </c>
      <c r="E68" s="7">
        <f t="shared" si="2"/>
        <v>1</v>
      </c>
      <c r="F68" s="10">
        <v>100</v>
      </c>
      <c r="G68" s="10"/>
      <c r="H68" s="10" t="s">
        <v>280</v>
      </c>
      <c r="I68" s="13"/>
      <c r="K68" t="s">
        <v>116</v>
      </c>
    </row>
    <row r="69" spans="1:11">
      <c r="A69" s="2">
        <v>68</v>
      </c>
      <c r="B69" s="9" t="s">
        <v>281</v>
      </c>
      <c r="C69" s="7">
        <v>0</v>
      </c>
      <c r="D69" s="7" t="s">
        <v>144</v>
      </c>
      <c r="E69" s="7">
        <f t="shared" si="2"/>
        <v>99</v>
      </c>
      <c r="F69" s="10">
        <v>100</v>
      </c>
      <c r="G69" s="10">
        <v>1</v>
      </c>
      <c r="H69" s="10" t="s">
        <v>282</v>
      </c>
      <c r="I69" s="13">
        <v>1</v>
      </c>
      <c r="K69" t="s">
        <v>116</v>
      </c>
    </row>
    <row r="70" spans="1:11">
      <c r="A70" s="2">
        <v>69</v>
      </c>
      <c r="B70" s="9" t="s">
        <v>283</v>
      </c>
      <c r="C70" s="10">
        <v>22</v>
      </c>
      <c r="D70" s="7" t="s">
        <v>116</v>
      </c>
      <c r="E70" s="7">
        <f t="shared" si="2"/>
        <v>1</v>
      </c>
      <c r="F70" s="10">
        <v>100</v>
      </c>
      <c r="G70" s="10"/>
      <c r="H70" s="10" t="s">
        <v>284</v>
      </c>
      <c r="I70" s="13"/>
      <c r="K70">
        <v>2</v>
      </c>
    </row>
    <row r="71" spans="1:11">
      <c r="A71" s="2">
        <v>70</v>
      </c>
      <c r="B71" s="9" t="s">
        <v>285</v>
      </c>
      <c r="C71" s="10">
        <v>33</v>
      </c>
      <c r="D71" s="7" t="s">
        <v>116</v>
      </c>
      <c r="E71" s="7">
        <f t="shared" si="2"/>
        <v>1</v>
      </c>
      <c r="F71" s="10">
        <v>100</v>
      </c>
      <c r="G71" s="10"/>
      <c r="H71" s="10" t="s">
        <v>286</v>
      </c>
      <c r="I71" s="13"/>
      <c r="K71" t="s">
        <v>116</v>
      </c>
    </row>
    <row r="72" spans="1:11">
      <c r="A72" s="2">
        <v>71</v>
      </c>
      <c r="B72" s="9" t="s">
        <v>287</v>
      </c>
      <c r="C72" s="10">
        <v>44</v>
      </c>
      <c r="D72" s="7" t="s">
        <v>116</v>
      </c>
      <c r="E72" s="7">
        <f t="shared" si="2"/>
        <v>1</v>
      </c>
      <c r="F72" s="10">
        <v>100</v>
      </c>
      <c r="G72" s="10"/>
      <c r="H72" s="10" t="s">
        <v>288</v>
      </c>
      <c r="I72" s="13"/>
      <c r="K72" t="s">
        <v>116</v>
      </c>
    </row>
    <row r="73" spans="1:11">
      <c r="A73" s="2">
        <v>72</v>
      </c>
      <c r="B73" s="9" t="s">
        <v>289</v>
      </c>
      <c r="C73" s="7">
        <v>0</v>
      </c>
      <c r="D73" s="8" t="s">
        <v>155</v>
      </c>
      <c r="E73" s="7">
        <f t="shared" si="2"/>
        <v>99</v>
      </c>
      <c r="F73" s="10">
        <v>100</v>
      </c>
      <c r="G73" s="10">
        <v>1</v>
      </c>
      <c r="H73" s="10" t="s">
        <v>290</v>
      </c>
      <c r="I73" s="13">
        <v>1</v>
      </c>
      <c r="K73" t="s">
        <v>116</v>
      </c>
    </row>
    <row r="74" spans="1:11">
      <c r="A74" s="2">
        <v>73</v>
      </c>
      <c r="B74" s="9" t="s">
        <v>291</v>
      </c>
      <c r="C74" s="10">
        <v>22</v>
      </c>
      <c r="D74" s="7" t="s">
        <v>116</v>
      </c>
      <c r="E74" s="7">
        <f t="shared" si="2"/>
        <v>1</v>
      </c>
      <c r="F74" s="10">
        <v>100</v>
      </c>
      <c r="G74" s="10"/>
      <c r="H74" s="10" t="s">
        <v>292</v>
      </c>
      <c r="I74" s="13"/>
      <c r="K74">
        <v>2</v>
      </c>
    </row>
    <row r="75" spans="1:11">
      <c r="A75" s="2">
        <v>74</v>
      </c>
      <c r="B75" s="9" t="s">
        <v>293</v>
      </c>
      <c r="C75" s="10">
        <v>33</v>
      </c>
      <c r="D75" s="7" t="s">
        <v>116</v>
      </c>
      <c r="E75" s="7">
        <f t="shared" si="2"/>
        <v>1</v>
      </c>
      <c r="F75" s="10">
        <v>100</v>
      </c>
      <c r="G75" s="10"/>
      <c r="H75" s="10" t="s">
        <v>294</v>
      </c>
      <c r="I75" s="13"/>
      <c r="K75" t="s">
        <v>116</v>
      </c>
    </row>
    <row r="76" spans="1:11">
      <c r="A76" s="2">
        <v>75</v>
      </c>
      <c r="B76" s="9" t="s">
        <v>295</v>
      </c>
      <c r="C76" s="10">
        <v>44</v>
      </c>
      <c r="D76" s="7" t="s">
        <v>116</v>
      </c>
      <c r="E76" s="7">
        <f t="shared" si="2"/>
        <v>1</v>
      </c>
      <c r="F76" s="10">
        <v>100</v>
      </c>
      <c r="G76" s="10"/>
      <c r="H76" s="10" t="s">
        <v>296</v>
      </c>
      <c r="I76" s="13"/>
      <c r="K76" t="s">
        <v>116</v>
      </c>
    </row>
    <row r="77" spans="1:11">
      <c r="A77" s="2">
        <v>76</v>
      </c>
      <c r="B77" s="9" t="s">
        <v>297</v>
      </c>
      <c r="C77" s="7">
        <v>0</v>
      </c>
      <c r="D77" s="8" t="s">
        <v>159</v>
      </c>
      <c r="E77" s="7">
        <f t="shared" si="2"/>
        <v>99</v>
      </c>
      <c r="F77" s="10">
        <v>100</v>
      </c>
      <c r="G77" s="10">
        <v>1</v>
      </c>
      <c r="H77" s="10" t="s">
        <v>298</v>
      </c>
      <c r="I77" s="13">
        <v>1</v>
      </c>
      <c r="K77" t="s">
        <v>116</v>
      </c>
    </row>
    <row r="78" spans="1:11">
      <c r="A78" s="2">
        <v>77</v>
      </c>
      <c r="B78" s="9" t="s">
        <v>299</v>
      </c>
      <c r="C78" s="10">
        <v>22</v>
      </c>
      <c r="D78" s="7" t="s">
        <v>116</v>
      </c>
      <c r="E78" s="7">
        <f t="shared" si="2"/>
        <v>1</v>
      </c>
      <c r="F78" s="10">
        <v>100</v>
      </c>
      <c r="G78" s="10"/>
      <c r="H78" s="10" t="s">
        <v>300</v>
      </c>
      <c r="I78" s="13"/>
      <c r="K78">
        <v>2</v>
      </c>
    </row>
    <row r="79" spans="1:11">
      <c r="A79" s="2">
        <v>78</v>
      </c>
      <c r="B79" s="9" t="s">
        <v>301</v>
      </c>
      <c r="C79" s="10">
        <v>33</v>
      </c>
      <c r="D79" s="7" t="s">
        <v>116</v>
      </c>
      <c r="E79" s="7">
        <f t="shared" si="2"/>
        <v>1</v>
      </c>
      <c r="F79" s="10">
        <v>100</v>
      </c>
      <c r="G79" s="10"/>
      <c r="H79" s="10" t="s">
        <v>302</v>
      </c>
      <c r="I79" s="13"/>
      <c r="K79" t="s">
        <v>116</v>
      </c>
    </row>
    <row r="80" spans="1:11">
      <c r="A80" s="2">
        <v>79</v>
      </c>
      <c r="B80" s="9" t="s">
        <v>303</v>
      </c>
      <c r="C80" s="10">
        <v>44</v>
      </c>
      <c r="D80" s="7" t="s">
        <v>116</v>
      </c>
      <c r="E80" s="7">
        <f t="shared" si="2"/>
        <v>1</v>
      </c>
      <c r="F80" s="10">
        <v>100</v>
      </c>
      <c r="G80" s="10"/>
      <c r="H80" s="10" t="s">
        <v>304</v>
      </c>
      <c r="I80" s="13"/>
      <c r="K80" t="s">
        <v>116</v>
      </c>
    </row>
    <row r="81" spans="1:11">
      <c r="A81" s="2">
        <v>80</v>
      </c>
      <c r="B81" s="9" t="s">
        <v>305</v>
      </c>
      <c r="C81" s="7">
        <v>0</v>
      </c>
      <c r="D81" s="8" t="s">
        <v>163</v>
      </c>
      <c r="E81" s="7">
        <f t="shared" si="2"/>
        <v>99</v>
      </c>
      <c r="F81" s="10">
        <v>100</v>
      </c>
      <c r="G81" s="10">
        <v>1</v>
      </c>
      <c r="H81" s="10" t="s">
        <v>306</v>
      </c>
      <c r="I81" s="13">
        <v>1</v>
      </c>
      <c r="K81" t="s">
        <v>116</v>
      </c>
    </row>
    <row r="82" spans="1:11">
      <c r="A82" s="2">
        <v>81</v>
      </c>
      <c r="B82" s="9" t="s">
        <v>307</v>
      </c>
      <c r="C82" s="10">
        <v>22</v>
      </c>
      <c r="D82" s="7" t="s">
        <v>116</v>
      </c>
      <c r="E82" s="7">
        <f t="shared" si="2"/>
        <v>1</v>
      </c>
      <c r="F82" s="10">
        <v>100</v>
      </c>
      <c r="G82" s="10"/>
      <c r="H82" s="10" t="s">
        <v>308</v>
      </c>
      <c r="I82" s="13"/>
      <c r="K82">
        <v>2</v>
      </c>
    </row>
    <row r="83" spans="1:11">
      <c r="A83" s="2">
        <v>82</v>
      </c>
      <c r="B83" s="9" t="s">
        <v>309</v>
      </c>
      <c r="C83" s="10">
        <v>33</v>
      </c>
      <c r="D83" s="7" t="s">
        <v>116</v>
      </c>
      <c r="E83" s="7">
        <f t="shared" si="2"/>
        <v>1</v>
      </c>
      <c r="F83" s="10">
        <v>100</v>
      </c>
      <c r="G83" s="10"/>
      <c r="H83" s="10" t="s">
        <v>310</v>
      </c>
      <c r="I83" s="13"/>
      <c r="K83" t="s">
        <v>116</v>
      </c>
    </row>
    <row r="84" spans="1:11">
      <c r="A84" s="2">
        <v>83</v>
      </c>
      <c r="B84" s="9" t="s">
        <v>311</v>
      </c>
      <c r="C84" s="10">
        <v>44</v>
      </c>
      <c r="D84" s="7" t="s">
        <v>116</v>
      </c>
      <c r="E84" s="7">
        <f t="shared" si="2"/>
        <v>1</v>
      </c>
      <c r="F84" s="10">
        <v>100</v>
      </c>
      <c r="G84" s="10"/>
      <c r="H84" s="10" t="s">
        <v>312</v>
      </c>
      <c r="I84" s="13"/>
      <c r="K84" t="s">
        <v>116</v>
      </c>
    </row>
    <row r="85" spans="1:11">
      <c r="A85" s="2">
        <v>84</v>
      </c>
      <c r="B85" s="9" t="s">
        <v>313</v>
      </c>
      <c r="C85" s="7">
        <v>0</v>
      </c>
      <c r="D85" s="8" t="s">
        <v>314</v>
      </c>
      <c r="E85" s="7">
        <f t="shared" si="2"/>
        <v>99</v>
      </c>
      <c r="F85" s="10">
        <v>100</v>
      </c>
      <c r="G85" s="10">
        <v>1</v>
      </c>
      <c r="H85" s="10" t="s">
        <v>315</v>
      </c>
      <c r="I85" s="13">
        <v>1</v>
      </c>
      <c r="K85" t="s">
        <v>116</v>
      </c>
    </row>
    <row r="86" spans="1:11">
      <c r="A86" s="2">
        <v>85</v>
      </c>
      <c r="B86" s="9" t="s">
        <v>316</v>
      </c>
      <c r="C86" s="10">
        <v>22</v>
      </c>
      <c r="D86" s="7" t="s">
        <v>116</v>
      </c>
      <c r="E86" s="7">
        <f t="shared" si="2"/>
        <v>1</v>
      </c>
      <c r="F86" s="10">
        <v>100</v>
      </c>
      <c r="G86" s="10"/>
      <c r="H86" s="10" t="s">
        <v>317</v>
      </c>
      <c r="I86" s="13"/>
      <c r="K86">
        <v>2</v>
      </c>
    </row>
    <row r="87" spans="1:11">
      <c r="A87" s="2">
        <v>86</v>
      </c>
      <c r="B87" s="9" t="s">
        <v>318</v>
      </c>
      <c r="C87" s="10">
        <v>33</v>
      </c>
      <c r="D87" s="7" t="s">
        <v>116</v>
      </c>
      <c r="E87" s="7">
        <f t="shared" si="2"/>
        <v>1</v>
      </c>
      <c r="F87" s="10">
        <v>100</v>
      </c>
      <c r="G87" s="10"/>
      <c r="H87" s="10" t="s">
        <v>319</v>
      </c>
      <c r="I87" s="13"/>
      <c r="K87" t="s">
        <v>116</v>
      </c>
    </row>
    <row r="88" spans="1:11">
      <c r="A88" s="2">
        <v>87</v>
      </c>
      <c r="B88" s="9" t="s">
        <v>320</v>
      </c>
      <c r="C88" s="10">
        <v>44</v>
      </c>
      <c r="D88" s="7" t="s">
        <v>116</v>
      </c>
      <c r="E88" s="7">
        <f t="shared" si="2"/>
        <v>1</v>
      </c>
      <c r="F88" s="10">
        <v>100</v>
      </c>
      <c r="G88" s="10"/>
      <c r="H88" s="10" t="s">
        <v>321</v>
      </c>
      <c r="I88" s="13"/>
      <c r="K88" t="s">
        <v>116</v>
      </c>
    </row>
    <row r="89" spans="1:11">
      <c r="A89" s="2">
        <v>88</v>
      </c>
      <c r="B89" s="9" t="s">
        <v>322</v>
      </c>
      <c r="C89" s="7">
        <v>0</v>
      </c>
      <c r="D89" s="8" t="s">
        <v>323</v>
      </c>
      <c r="E89" s="7">
        <f t="shared" si="2"/>
        <v>99</v>
      </c>
      <c r="F89" s="10">
        <v>100</v>
      </c>
      <c r="G89" s="10">
        <v>1</v>
      </c>
      <c r="H89" s="10"/>
      <c r="I89" s="13">
        <v>1</v>
      </c>
      <c r="K89" t="s">
        <v>116</v>
      </c>
    </row>
    <row r="90" spans="1:11">
      <c r="A90" s="2">
        <v>89</v>
      </c>
      <c r="B90" s="9" t="s">
        <v>324</v>
      </c>
      <c r="C90" s="10">
        <v>22</v>
      </c>
      <c r="D90" s="7" t="s">
        <v>116</v>
      </c>
      <c r="E90" s="7">
        <f t="shared" si="2"/>
        <v>1</v>
      </c>
      <c r="F90" s="10">
        <v>100</v>
      </c>
      <c r="G90" s="10"/>
      <c r="H90" s="10"/>
      <c r="I90" s="13"/>
      <c r="K90">
        <v>2</v>
      </c>
    </row>
    <row r="91" spans="1:11">
      <c r="A91" s="2">
        <v>90</v>
      </c>
      <c r="B91" s="9" t="s">
        <v>325</v>
      </c>
      <c r="C91" s="10">
        <v>33</v>
      </c>
      <c r="D91" s="7" t="s">
        <v>116</v>
      </c>
      <c r="E91" s="7">
        <f t="shared" si="2"/>
        <v>1</v>
      </c>
      <c r="F91" s="10">
        <v>100</v>
      </c>
      <c r="G91" s="10"/>
      <c r="H91" s="10"/>
      <c r="I91" s="13"/>
      <c r="K91" t="s">
        <v>116</v>
      </c>
    </row>
    <row r="92" spans="1:11">
      <c r="A92" s="2">
        <v>91</v>
      </c>
      <c r="B92" s="9" t="s">
        <v>326</v>
      </c>
      <c r="C92" s="10">
        <v>44</v>
      </c>
      <c r="D92" s="7" t="s">
        <v>116</v>
      </c>
      <c r="E92" s="7">
        <f t="shared" si="2"/>
        <v>1</v>
      </c>
      <c r="F92" s="10">
        <v>100</v>
      </c>
      <c r="G92" s="10"/>
      <c r="H92" s="10"/>
      <c r="I92" s="13"/>
      <c r="K92" t="s">
        <v>116</v>
      </c>
    </row>
    <row r="93" spans="1:11">
      <c r="A93" s="2">
        <v>92</v>
      </c>
      <c r="B93" s="9" t="s">
        <v>327</v>
      </c>
      <c r="C93" s="7">
        <v>10</v>
      </c>
      <c r="D93" s="8" t="s">
        <v>328</v>
      </c>
      <c r="E93" s="7">
        <f t="shared" si="2"/>
        <v>99</v>
      </c>
      <c r="F93" s="10">
        <v>100</v>
      </c>
      <c r="G93" s="10">
        <v>1</v>
      </c>
      <c r="H93" s="10"/>
      <c r="I93" s="13">
        <v>1</v>
      </c>
      <c r="K93" t="s">
        <v>116</v>
      </c>
    </row>
    <row r="94" spans="1:11">
      <c r="A94" s="2">
        <v>93</v>
      </c>
      <c r="B94" s="9" t="s">
        <v>329</v>
      </c>
      <c r="C94" s="10">
        <v>22</v>
      </c>
      <c r="D94" s="7" t="s">
        <v>116</v>
      </c>
      <c r="E94" s="7">
        <f t="shared" si="2"/>
        <v>1</v>
      </c>
      <c r="F94" s="10">
        <v>100</v>
      </c>
      <c r="G94" s="10"/>
      <c r="H94" s="10"/>
      <c r="I94" s="13"/>
      <c r="K94">
        <v>3</v>
      </c>
    </row>
    <row r="95" spans="1:11">
      <c r="A95" s="2">
        <v>94</v>
      </c>
      <c r="B95" s="9" t="s">
        <v>330</v>
      </c>
      <c r="C95" s="10">
        <v>33</v>
      </c>
      <c r="D95" s="7" t="s">
        <v>116</v>
      </c>
      <c r="E95" s="7">
        <f t="shared" si="2"/>
        <v>1</v>
      </c>
      <c r="F95" s="10">
        <v>100</v>
      </c>
      <c r="G95" s="10"/>
      <c r="H95" s="10"/>
      <c r="I95" s="13"/>
      <c r="K95" t="s">
        <v>116</v>
      </c>
    </row>
    <row r="96" spans="1:11">
      <c r="A96" s="2">
        <v>95</v>
      </c>
      <c r="B96" s="9" t="s">
        <v>331</v>
      </c>
      <c r="C96" s="10">
        <v>44</v>
      </c>
      <c r="D96" s="7" t="s">
        <v>116</v>
      </c>
      <c r="E96" s="7">
        <f t="shared" si="2"/>
        <v>1</v>
      </c>
      <c r="F96" s="10">
        <v>100</v>
      </c>
      <c r="G96" s="10"/>
      <c r="H96" s="10"/>
      <c r="I96" s="13"/>
      <c r="K96" t="s">
        <v>116</v>
      </c>
    </row>
    <row r="97" spans="1:11">
      <c r="A97" s="2">
        <v>96</v>
      </c>
      <c r="B97" s="18" t="s">
        <v>332</v>
      </c>
      <c r="C97">
        <v>3000</v>
      </c>
      <c r="D97" s="7" t="s">
        <v>116</v>
      </c>
      <c r="E97" s="7">
        <f t="shared" si="2"/>
        <v>1</v>
      </c>
      <c r="F97">
        <v>100</v>
      </c>
      <c r="H97" t="s">
        <v>333</v>
      </c>
      <c r="I97" s="13"/>
      <c r="K97" t="s">
        <v>116</v>
      </c>
    </row>
    <row r="98" spans="1:11">
      <c r="A98" s="2">
        <v>97</v>
      </c>
      <c r="B98" s="18" t="s">
        <v>334</v>
      </c>
      <c r="C98">
        <v>2000</v>
      </c>
      <c r="D98" s="7" t="s">
        <v>116</v>
      </c>
      <c r="E98" s="7">
        <f t="shared" si="2"/>
        <v>1</v>
      </c>
      <c r="F98">
        <v>100</v>
      </c>
      <c r="H98" t="s">
        <v>335</v>
      </c>
      <c r="I98" s="13"/>
      <c r="K98" t="s">
        <v>116</v>
      </c>
    </row>
    <row r="99" spans="1:11">
      <c r="A99" s="2">
        <v>98</v>
      </c>
      <c r="B99" s="9" t="s">
        <v>336</v>
      </c>
      <c r="C99" s="10">
        <v>0</v>
      </c>
      <c r="D99" s="7" t="s">
        <v>116</v>
      </c>
      <c r="E99" s="7">
        <f t="shared" si="2"/>
        <v>1</v>
      </c>
      <c r="F99" s="10">
        <v>100</v>
      </c>
      <c r="G99" s="10"/>
      <c r="H99" s="10" t="s">
        <v>337</v>
      </c>
      <c r="I99" s="13"/>
      <c r="K99" t="s">
        <v>116</v>
      </c>
    </row>
    <row r="100" spans="1:11">
      <c r="A100" s="2">
        <v>99</v>
      </c>
      <c r="B100" s="9" t="s">
        <v>338</v>
      </c>
      <c r="C100" s="10">
        <v>0</v>
      </c>
      <c r="D100" s="7" t="s">
        <v>116</v>
      </c>
      <c r="E100" s="7">
        <f t="shared" si="2"/>
        <v>1</v>
      </c>
      <c r="F100" s="10">
        <v>100</v>
      </c>
      <c r="G100" s="10"/>
      <c r="H100" s="10" t="s">
        <v>339</v>
      </c>
      <c r="I100" s="13"/>
      <c r="K100" t="s">
        <v>116</v>
      </c>
    </row>
    <row r="101" spans="1:11">
      <c r="A101" s="2">
        <v>100</v>
      </c>
      <c r="B101" s="9" t="s">
        <v>340</v>
      </c>
      <c r="C101" s="10">
        <v>0</v>
      </c>
      <c r="D101" s="7" t="s">
        <v>116</v>
      </c>
      <c r="E101" s="7">
        <f t="shared" si="2"/>
        <v>1</v>
      </c>
      <c r="F101" s="10">
        <v>100</v>
      </c>
      <c r="G101" s="10"/>
      <c r="H101" s="10" t="s">
        <v>341</v>
      </c>
      <c r="I101" s="13"/>
    </row>
    <row r="102" spans="1:11">
      <c r="A102" s="2">
        <v>101</v>
      </c>
      <c r="B102" s="9" t="s">
        <v>342</v>
      </c>
      <c r="C102" s="10">
        <v>0</v>
      </c>
      <c r="D102" s="7" t="s">
        <v>116</v>
      </c>
      <c r="E102" s="7">
        <f t="shared" si="2"/>
        <v>1</v>
      </c>
      <c r="F102" s="10">
        <v>100</v>
      </c>
      <c r="G102" s="10"/>
      <c r="H102" s="10" t="s">
        <v>343</v>
      </c>
      <c r="I102" s="13"/>
      <c r="K102" t="s">
        <v>116</v>
      </c>
    </row>
    <row r="103" spans="1:11">
      <c r="A103" s="2">
        <v>102</v>
      </c>
      <c r="B103" s="9" t="s">
        <v>344</v>
      </c>
      <c r="C103" s="10">
        <v>205</v>
      </c>
      <c r="D103" s="7" t="s">
        <v>116</v>
      </c>
      <c r="E103" s="7">
        <f t="shared" si="2"/>
        <v>1</v>
      </c>
      <c r="F103" s="10">
        <v>100</v>
      </c>
      <c r="G103" s="10"/>
      <c r="H103" s="10" t="s">
        <v>345</v>
      </c>
      <c r="I103" s="13"/>
      <c r="K103" t="s">
        <v>116</v>
      </c>
    </row>
    <row r="104" spans="1:11">
      <c r="A104" s="2">
        <v>103</v>
      </c>
      <c r="B104" s="9" t="s">
        <v>346</v>
      </c>
      <c r="C104" s="10">
        <v>164</v>
      </c>
      <c r="D104" s="7" t="s">
        <v>116</v>
      </c>
      <c r="E104" s="7">
        <f t="shared" si="2"/>
        <v>1</v>
      </c>
      <c r="F104" s="10">
        <v>100</v>
      </c>
      <c r="G104" s="10"/>
      <c r="H104" s="10" t="s">
        <v>347</v>
      </c>
      <c r="I104" s="13"/>
      <c r="K104" t="s">
        <v>116</v>
      </c>
    </row>
    <row r="105" spans="1:11">
      <c r="A105" s="2">
        <v>104</v>
      </c>
      <c r="B105" s="9" t="s">
        <v>348</v>
      </c>
      <c r="C105" s="10">
        <v>131</v>
      </c>
      <c r="D105" s="7" t="s">
        <v>116</v>
      </c>
      <c r="E105" s="7">
        <f t="shared" si="2"/>
        <v>1</v>
      </c>
      <c r="F105" s="10">
        <v>100</v>
      </c>
      <c r="G105" s="10"/>
      <c r="H105" s="10" t="s">
        <v>349</v>
      </c>
      <c r="I105" s="13"/>
      <c r="K105" t="s">
        <v>116</v>
      </c>
    </row>
    <row r="106" spans="1:11">
      <c r="A106" s="2">
        <v>105</v>
      </c>
      <c r="B106" s="9" t="s">
        <v>350</v>
      </c>
      <c r="C106" s="10">
        <v>105</v>
      </c>
      <c r="D106" s="7" t="s">
        <v>116</v>
      </c>
      <c r="E106" s="7">
        <f t="shared" si="2"/>
        <v>1</v>
      </c>
      <c r="F106" s="10">
        <v>100</v>
      </c>
      <c r="G106" s="10"/>
      <c r="H106" s="10" t="s">
        <v>351</v>
      </c>
      <c r="I106" s="13"/>
      <c r="K106" t="s">
        <v>116</v>
      </c>
    </row>
    <row r="107" spans="1:11">
      <c r="A107" s="2">
        <v>106</v>
      </c>
      <c r="B107" s="9" t="s">
        <v>352</v>
      </c>
      <c r="C107" s="10">
        <v>84</v>
      </c>
      <c r="D107" s="7" t="s">
        <v>116</v>
      </c>
      <c r="E107" s="7">
        <f t="shared" si="2"/>
        <v>1</v>
      </c>
      <c r="F107" s="10">
        <v>100</v>
      </c>
      <c r="G107" s="10"/>
      <c r="H107" s="10" t="s">
        <v>353</v>
      </c>
      <c r="I107" s="13"/>
      <c r="K107" t="s">
        <v>116</v>
      </c>
    </row>
    <row r="108" spans="1:11">
      <c r="A108" s="2">
        <v>107</v>
      </c>
      <c r="B108" s="9" t="s">
        <v>354</v>
      </c>
      <c r="C108" s="10">
        <v>67</v>
      </c>
      <c r="D108" s="7" t="s">
        <v>116</v>
      </c>
      <c r="E108" s="7">
        <f t="shared" si="2"/>
        <v>1</v>
      </c>
      <c r="F108" s="10">
        <v>100</v>
      </c>
      <c r="G108" s="10"/>
      <c r="H108" s="10" t="s">
        <v>355</v>
      </c>
      <c r="I108" s="13"/>
      <c r="K108" t="s">
        <v>116</v>
      </c>
    </row>
    <row r="109" spans="1:11">
      <c r="A109" s="2">
        <v>108</v>
      </c>
      <c r="B109" s="9" t="s">
        <v>356</v>
      </c>
      <c r="C109" s="10">
        <v>54</v>
      </c>
      <c r="D109" s="7" t="s">
        <v>116</v>
      </c>
      <c r="E109" s="7">
        <f t="shared" si="2"/>
        <v>1</v>
      </c>
      <c r="F109" s="10">
        <v>100</v>
      </c>
      <c r="G109" s="10"/>
      <c r="H109" s="10" t="s">
        <v>357</v>
      </c>
      <c r="I109" s="13"/>
      <c r="K109" t="s">
        <v>116</v>
      </c>
    </row>
    <row r="110" spans="1:11">
      <c r="A110" s="2">
        <v>109</v>
      </c>
      <c r="B110" s="9" t="s">
        <v>358</v>
      </c>
      <c r="C110" s="10">
        <v>43</v>
      </c>
      <c r="D110" s="7" t="s">
        <v>116</v>
      </c>
      <c r="E110" s="7">
        <f t="shared" si="2"/>
        <v>1</v>
      </c>
      <c r="F110" s="10">
        <v>100</v>
      </c>
      <c r="G110" s="10"/>
      <c r="H110" s="10" t="s">
        <v>359</v>
      </c>
      <c r="I110" s="13" t="s">
        <v>360</v>
      </c>
      <c r="K110" t="s">
        <v>116</v>
      </c>
    </row>
    <row r="111" spans="1:11">
      <c r="A111" s="2">
        <v>110</v>
      </c>
      <c r="B111" s="9" t="s">
        <v>361</v>
      </c>
      <c r="C111" s="10">
        <v>17</v>
      </c>
      <c r="D111" s="7" t="s">
        <v>116</v>
      </c>
      <c r="E111" s="7">
        <f t="shared" si="2"/>
        <v>1</v>
      </c>
      <c r="F111" s="10">
        <v>100</v>
      </c>
      <c r="G111" s="10"/>
      <c r="H111" s="10" t="s">
        <v>362</v>
      </c>
      <c r="I111" s="13" t="s">
        <v>360</v>
      </c>
      <c r="K111" t="s">
        <v>116</v>
      </c>
    </row>
    <row r="112" spans="1:11">
      <c r="A112" s="2">
        <v>111</v>
      </c>
      <c r="B112" s="9" t="s">
        <v>363</v>
      </c>
      <c r="C112" s="10">
        <v>7</v>
      </c>
      <c r="D112" s="7" t="s">
        <v>116</v>
      </c>
      <c r="E112" s="7">
        <f t="shared" si="2"/>
        <v>1</v>
      </c>
      <c r="F112" s="10">
        <v>100</v>
      </c>
      <c r="G112" s="10"/>
      <c r="H112" s="10" t="s">
        <v>364</v>
      </c>
      <c r="I112" s="13" t="s">
        <v>360</v>
      </c>
      <c r="K112" t="s">
        <v>116</v>
      </c>
    </row>
    <row r="113" spans="1:11">
      <c r="A113" s="2">
        <v>112</v>
      </c>
      <c r="B113" s="9" t="s">
        <v>365</v>
      </c>
      <c r="C113" s="10">
        <v>3</v>
      </c>
      <c r="D113" s="7" t="s">
        <v>116</v>
      </c>
      <c r="E113" s="7">
        <f t="shared" si="2"/>
        <v>1</v>
      </c>
      <c r="F113" s="10">
        <v>100</v>
      </c>
      <c r="G113" s="10"/>
      <c r="H113" s="10" t="s">
        <v>366</v>
      </c>
      <c r="I113" s="13" t="s">
        <v>360</v>
      </c>
      <c r="K113" t="s">
        <v>116</v>
      </c>
    </row>
    <row r="114" spans="1:11">
      <c r="A114" s="2">
        <v>113</v>
      </c>
      <c r="B114" s="9" t="s">
        <v>367</v>
      </c>
      <c r="C114" s="10">
        <v>0</v>
      </c>
      <c r="D114" s="7" t="s">
        <v>116</v>
      </c>
      <c r="E114" s="7">
        <f t="shared" si="2"/>
        <v>1</v>
      </c>
      <c r="F114" s="10">
        <v>100</v>
      </c>
      <c r="G114" s="10"/>
      <c r="H114" s="10" t="s">
        <v>368</v>
      </c>
      <c r="I114" s="13"/>
      <c r="K114" t="s">
        <v>116</v>
      </c>
    </row>
    <row r="115" spans="1:11">
      <c r="A115" s="2">
        <v>114</v>
      </c>
      <c r="B115" s="9" t="s">
        <v>369</v>
      </c>
      <c r="C115" s="10">
        <v>0</v>
      </c>
      <c r="D115" s="7" t="s">
        <v>116</v>
      </c>
      <c r="E115" s="7">
        <f t="shared" si="2"/>
        <v>1</v>
      </c>
      <c r="F115" s="10">
        <v>100</v>
      </c>
      <c r="G115" s="10"/>
      <c r="H115" s="10" t="s">
        <v>370</v>
      </c>
      <c r="I115" s="13"/>
      <c r="K115" t="s">
        <v>116</v>
      </c>
    </row>
    <row r="116" spans="1:11">
      <c r="A116" s="2">
        <v>115</v>
      </c>
      <c r="B116" s="9" t="s">
        <v>371</v>
      </c>
      <c r="C116" s="10">
        <v>0</v>
      </c>
      <c r="D116" s="7" t="s">
        <v>116</v>
      </c>
      <c r="E116" s="7">
        <f t="shared" si="2"/>
        <v>1</v>
      </c>
      <c r="F116" s="10">
        <v>100</v>
      </c>
      <c r="G116" s="10"/>
      <c r="H116" s="10" t="s">
        <v>372</v>
      </c>
      <c r="I116" s="13"/>
      <c r="K116" t="s">
        <v>116</v>
      </c>
    </row>
    <row r="117" spans="1:11">
      <c r="A117" s="2">
        <v>116</v>
      </c>
      <c r="B117" s="9" t="s">
        <v>373</v>
      </c>
      <c r="C117" s="10">
        <v>0</v>
      </c>
      <c r="D117" s="7" t="s">
        <v>116</v>
      </c>
      <c r="E117" s="7">
        <f t="shared" si="2"/>
        <v>1</v>
      </c>
      <c r="F117" s="10">
        <v>100</v>
      </c>
      <c r="G117" s="10"/>
      <c r="H117" s="10" t="s">
        <v>374</v>
      </c>
      <c r="I117" s="13"/>
      <c r="K117" t="s">
        <v>116</v>
      </c>
    </row>
    <row r="118" spans="1:11">
      <c r="A118" s="2">
        <v>117</v>
      </c>
      <c r="B118" s="9" t="s">
        <v>375</v>
      </c>
      <c r="C118" s="10">
        <v>205</v>
      </c>
      <c r="D118" s="7" t="s">
        <v>116</v>
      </c>
      <c r="E118" s="7">
        <f t="shared" si="2"/>
        <v>1</v>
      </c>
      <c r="F118" s="10">
        <v>100</v>
      </c>
      <c r="G118" s="10"/>
      <c r="H118" s="10" t="s">
        <v>376</v>
      </c>
      <c r="I118" s="13"/>
      <c r="K118" t="s">
        <v>116</v>
      </c>
    </row>
    <row r="119" spans="1:11">
      <c r="A119" s="2">
        <v>118</v>
      </c>
      <c r="B119" s="9" t="s">
        <v>377</v>
      </c>
      <c r="C119" s="10">
        <v>164</v>
      </c>
      <c r="D119" s="7" t="s">
        <v>116</v>
      </c>
      <c r="E119" s="7">
        <f t="shared" si="2"/>
        <v>1</v>
      </c>
      <c r="F119" s="10">
        <v>100</v>
      </c>
      <c r="G119" s="10"/>
      <c r="H119" s="10" t="s">
        <v>378</v>
      </c>
      <c r="I119" s="13"/>
      <c r="K119" t="s">
        <v>116</v>
      </c>
    </row>
    <row r="120" spans="1:11">
      <c r="A120" s="2">
        <v>119</v>
      </c>
      <c r="B120" s="9" t="s">
        <v>379</v>
      </c>
      <c r="C120" s="10">
        <v>131</v>
      </c>
      <c r="D120" s="7" t="s">
        <v>116</v>
      </c>
      <c r="E120" s="7">
        <f t="shared" si="2"/>
        <v>1</v>
      </c>
      <c r="F120" s="10">
        <v>100</v>
      </c>
      <c r="G120" s="10"/>
      <c r="H120" s="10" t="s">
        <v>380</v>
      </c>
      <c r="I120" s="13"/>
      <c r="K120" t="s">
        <v>116</v>
      </c>
    </row>
    <row r="121" spans="1:11">
      <c r="A121" s="2">
        <v>120</v>
      </c>
      <c r="B121" s="9" t="s">
        <v>381</v>
      </c>
      <c r="C121" s="10">
        <v>105</v>
      </c>
      <c r="D121" s="7" t="s">
        <v>116</v>
      </c>
      <c r="E121" s="7">
        <f t="shared" si="2"/>
        <v>1</v>
      </c>
      <c r="F121" s="10">
        <v>100</v>
      </c>
      <c r="G121" s="10"/>
      <c r="H121" s="10" t="s">
        <v>382</v>
      </c>
      <c r="I121" s="13"/>
      <c r="K121" t="s">
        <v>116</v>
      </c>
    </row>
    <row r="122" spans="1:11">
      <c r="A122" s="2">
        <v>121</v>
      </c>
      <c r="B122" s="9" t="s">
        <v>383</v>
      </c>
      <c r="C122" s="10">
        <v>84</v>
      </c>
      <c r="D122" s="7" t="s">
        <v>116</v>
      </c>
      <c r="E122" s="7">
        <f t="shared" si="2"/>
        <v>1</v>
      </c>
      <c r="F122" s="10">
        <v>100</v>
      </c>
      <c r="G122" s="10"/>
      <c r="H122" s="10" t="s">
        <v>384</v>
      </c>
      <c r="I122" s="13"/>
      <c r="K122" t="s">
        <v>116</v>
      </c>
    </row>
    <row r="123" spans="1:11">
      <c r="A123" s="2">
        <v>122</v>
      </c>
      <c r="B123" s="9" t="s">
        <v>385</v>
      </c>
      <c r="C123" s="10">
        <v>67</v>
      </c>
      <c r="D123" s="7" t="s">
        <v>116</v>
      </c>
      <c r="E123" s="7">
        <f t="shared" si="2"/>
        <v>1</v>
      </c>
      <c r="F123" s="10">
        <v>100</v>
      </c>
      <c r="G123" s="10"/>
      <c r="H123" s="10" t="s">
        <v>386</v>
      </c>
      <c r="I123" s="13"/>
      <c r="K123" t="s">
        <v>116</v>
      </c>
    </row>
    <row r="124" spans="1:11">
      <c r="A124" s="2">
        <v>123</v>
      </c>
      <c r="B124" s="9" t="s">
        <v>387</v>
      </c>
      <c r="C124" s="10">
        <v>54</v>
      </c>
      <c r="D124" s="7" t="s">
        <v>116</v>
      </c>
      <c r="E124" s="7">
        <f t="shared" si="2"/>
        <v>1</v>
      </c>
      <c r="F124" s="10">
        <v>100</v>
      </c>
      <c r="G124" s="10"/>
      <c r="H124" s="10" t="s">
        <v>388</v>
      </c>
      <c r="I124" s="13"/>
      <c r="K124" t="s">
        <v>116</v>
      </c>
    </row>
    <row r="125" spans="1:11">
      <c r="A125" s="2">
        <v>124</v>
      </c>
      <c r="B125" s="9" t="s">
        <v>389</v>
      </c>
      <c r="C125" s="10">
        <v>43</v>
      </c>
      <c r="D125" s="7" t="s">
        <v>116</v>
      </c>
      <c r="E125" s="7">
        <f t="shared" si="2"/>
        <v>1</v>
      </c>
      <c r="F125" s="10">
        <v>100</v>
      </c>
      <c r="G125" s="10"/>
      <c r="H125" s="10" t="s">
        <v>390</v>
      </c>
      <c r="I125" s="13" t="s">
        <v>360</v>
      </c>
      <c r="K125" t="s">
        <v>116</v>
      </c>
    </row>
    <row r="126" spans="1:11">
      <c r="A126" s="2">
        <v>125</v>
      </c>
      <c r="B126" s="9" t="s">
        <v>391</v>
      </c>
      <c r="C126" s="10">
        <v>17</v>
      </c>
      <c r="D126" s="7" t="s">
        <v>116</v>
      </c>
      <c r="E126" s="7">
        <f t="shared" si="2"/>
        <v>1</v>
      </c>
      <c r="F126" s="10">
        <v>100</v>
      </c>
      <c r="G126" s="10"/>
      <c r="H126" s="10" t="s">
        <v>392</v>
      </c>
      <c r="I126" s="13" t="s">
        <v>360</v>
      </c>
      <c r="K126" t="s">
        <v>116</v>
      </c>
    </row>
    <row r="127" spans="1:11">
      <c r="A127" s="2">
        <v>126</v>
      </c>
      <c r="B127" s="9" t="s">
        <v>393</v>
      </c>
      <c r="C127" s="10">
        <v>7</v>
      </c>
      <c r="D127" s="7" t="s">
        <v>116</v>
      </c>
      <c r="E127" s="7">
        <f t="shared" si="2"/>
        <v>1</v>
      </c>
      <c r="F127" s="10">
        <v>100</v>
      </c>
      <c r="G127" s="10"/>
      <c r="H127" s="10" t="s">
        <v>394</v>
      </c>
      <c r="I127" s="13" t="s">
        <v>360</v>
      </c>
      <c r="K127" t="s">
        <v>116</v>
      </c>
    </row>
    <row r="128" spans="1:11">
      <c r="A128" s="2">
        <v>127</v>
      </c>
      <c r="B128" s="9" t="s">
        <v>395</v>
      </c>
      <c r="C128" s="10">
        <v>3</v>
      </c>
      <c r="D128" s="7" t="s">
        <v>116</v>
      </c>
      <c r="E128" s="7">
        <f t="shared" si="2"/>
        <v>1</v>
      </c>
      <c r="F128" s="10">
        <v>100</v>
      </c>
      <c r="G128" s="10"/>
      <c r="H128" s="10" t="s">
        <v>396</v>
      </c>
      <c r="I128" s="13" t="s">
        <v>360</v>
      </c>
      <c r="K128" t="s">
        <v>116</v>
      </c>
    </row>
    <row r="129" spans="1:11">
      <c r="A129" s="2">
        <v>128</v>
      </c>
      <c r="B129" s="9" t="s">
        <v>397</v>
      </c>
      <c r="C129" s="10">
        <v>0</v>
      </c>
      <c r="D129" s="7" t="s">
        <v>116</v>
      </c>
      <c r="E129" s="7">
        <f t="shared" si="2"/>
        <v>1</v>
      </c>
      <c r="F129" s="10">
        <v>100</v>
      </c>
      <c r="G129" s="10"/>
      <c r="H129" s="10" t="s">
        <v>398</v>
      </c>
      <c r="I129" s="13"/>
      <c r="K129" t="s">
        <v>116</v>
      </c>
    </row>
    <row r="130" spans="1:11">
      <c r="A130" s="2">
        <v>129</v>
      </c>
      <c r="B130" s="9" t="s">
        <v>399</v>
      </c>
      <c r="C130" s="10">
        <v>0</v>
      </c>
      <c r="D130" s="7" t="s">
        <v>116</v>
      </c>
      <c r="E130" s="7">
        <f t="shared" ref="E130:E193" si="3">IF(D130="",1,99)</f>
        <v>1</v>
      </c>
      <c r="F130" s="10">
        <v>100</v>
      </c>
      <c r="G130" s="10"/>
      <c r="H130" s="10" t="s">
        <v>400</v>
      </c>
      <c r="I130" s="13"/>
      <c r="K130" t="s">
        <v>116</v>
      </c>
    </row>
    <row r="131" spans="1:11">
      <c r="A131" s="2">
        <v>130</v>
      </c>
      <c r="B131" s="9" t="s">
        <v>401</v>
      </c>
      <c r="C131" s="10">
        <v>0</v>
      </c>
      <c r="D131" s="7" t="s">
        <v>116</v>
      </c>
      <c r="E131" s="7">
        <f t="shared" si="3"/>
        <v>1</v>
      </c>
      <c r="F131" s="10">
        <v>100</v>
      </c>
      <c r="G131" s="10"/>
      <c r="H131" s="10" t="s">
        <v>402</v>
      </c>
      <c r="I131" s="13"/>
      <c r="K131" t="s">
        <v>116</v>
      </c>
    </row>
    <row r="132" spans="1:11">
      <c r="A132" s="2">
        <v>131</v>
      </c>
      <c r="B132" s="9" t="s">
        <v>403</v>
      </c>
      <c r="C132" s="10">
        <v>0</v>
      </c>
      <c r="D132" s="7" t="s">
        <v>116</v>
      </c>
      <c r="E132" s="7">
        <f t="shared" si="3"/>
        <v>1</v>
      </c>
      <c r="F132" s="10">
        <v>100</v>
      </c>
      <c r="G132" s="10"/>
      <c r="H132" s="10" t="s">
        <v>404</v>
      </c>
      <c r="I132" s="13"/>
      <c r="K132" t="s">
        <v>116</v>
      </c>
    </row>
    <row r="133" spans="1:11">
      <c r="A133" s="2">
        <v>132</v>
      </c>
      <c r="B133" s="9" t="s">
        <v>405</v>
      </c>
      <c r="C133" s="10">
        <v>205</v>
      </c>
      <c r="D133" s="7" t="s">
        <v>116</v>
      </c>
      <c r="E133" s="7">
        <f t="shared" si="3"/>
        <v>1</v>
      </c>
      <c r="F133" s="10">
        <v>100</v>
      </c>
      <c r="G133" s="10"/>
      <c r="H133" s="10" t="s">
        <v>406</v>
      </c>
      <c r="I133" s="13"/>
      <c r="K133" t="s">
        <v>116</v>
      </c>
    </row>
    <row r="134" spans="1:11">
      <c r="A134" s="2">
        <v>133</v>
      </c>
      <c r="B134" s="9" t="s">
        <v>407</v>
      </c>
      <c r="C134" s="10">
        <v>164</v>
      </c>
      <c r="D134" s="7" t="s">
        <v>116</v>
      </c>
      <c r="E134" s="7">
        <f t="shared" si="3"/>
        <v>1</v>
      </c>
      <c r="F134" s="10">
        <v>100</v>
      </c>
      <c r="G134" s="10"/>
      <c r="H134" s="10" t="s">
        <v>408</v>
      </c>
      <c r="I134" s="13"/>
      <c r="K134" t="s">
        <v>116</v>
      </c>
    </row>
    <row r="135" spans="1:11">
      <c r="A135" s="2">
        <v>134</v>
      </c>
      <c r="B135" s="9" t="s">
        <v>409</v>
      </c>
      <c r="C135" s="10">
        <v>131</v>
      </c>
      <c r="D135" s="7" t="s">
        <v>116</v>
      </c>
      <c r="E135" s="7">
        <f t="shared" si="3"/>
        <v>1</v>
      </c>
      <c r="F135" s="10">
        <v>100</v>
      </c>
      <c r="G135" s="10"/>
      <c r="H135" s="10" t="s">
        <v>410</v>
      </c>
      <c r="I135" s="13"/>
      <c r="K135" t="s">
        <v>116</v>
      </c>
    </row>
    <row r="136" spans="1:11">
      <c r="A136" s="2">
        <v>135</v>
      </c>
      <c r="B136" s="9" t="s">
        <v>411</v>
      </c>
      <c r="C136" s="10">
        <v>105</v>
      </c>
      <c r="D136" s="7" t="s">
        <v>116</v>
      </c>
      <c r="E136" s="7">
        <f t="shared" si="3"/>
        <v>1</v>
      </c>
      <c r="F136" s="10">
        <v>100</v>
      </c>
      <c r="G136" s="10"/>
      <c r="H136" s="10" t="s">
        <v>412</v>
      </c>
      <c r="I136" s="13"/>
      <c r="K136" t="s">
        <v>116</v>
      </c>
    </row>
    <row r="137" spans="1:11">
      <c r="A137" s="2">
        <v>136</v>
      </c>
      <c r="B137" s="9" t="s">
        <v>413</v>
      </c>
      <c r="C137" s="10">
        <v>84</v>
      </c>
      <c r="D137" s="7" t="s">
        <v>116</v>
      </c>
      <c r="E137" s="7">
        <f t="shared" si="3"/>
        <v>1</v>
      </c>
      <c r="F137" s="10">
        <v>100</v>
      </c>
      <c r="G137" s="10"/>
      <c r="H137" s="10" t="s">
        <v>414</v>
      </c>
      <c r="I137" s="13"/>
      <c r="K137" t="s">
        <v>116</v>
      </c>
    </row>
    <row r="138" spans="1:11">
      <c r="A138" s="2">
        <v>137</v>
      </c>
      <c r="B138" s="9" t="s">
        <v>415</v>
      </c>
      <c r="C138" s="10">
        <v>67</v>
      </c>
      <c r="D138" s="7" t="s">
        <v>116</v>
      </c>
      <c r="E138" s="7">
        <f t="shared" si="3"/>
        <v>1</v>
      </c>
      <c r="F138" s="10">
        <v>100</v>
      </c>
      <c r="G138" s="10"/>
      <c r="H138" s="10" t="s">
        <v>416</v>
      </c>
      <c r="I138" s="13"/>
      <c r="K138" t="s">
        <v>116</v>
      </c>
    </row>
    <row r="139" spans="1:11">
      <c r="A139" s="2">
        <v>138</v>
      </c>
      <c r="B139" s="9" t="s">
        <v>417</v>
      </c>
      <c r="C139" s="10">
        <v>54</v>
      </c>
      <c r="D139" s="7" t="s">
        <v>116</v>
      </c>
      <c r="E139" s="7">
        <f t="shared" si="3"/>
        <v>1</v>
      </c>
      <c r="F139" s="10">
        <v>100</v>
      </c>
      <c r="G139" s="10"/>
      <c r="H139" s="10" t="s">
        <v>418</v>
      </c>
      <c r="I139" s="13"/>
      <c r="K139" t="s">
        <v>116</v>
      </c>
    </row>
    <row r="140" spans="1:11">
      <c r="A140" s="2">
        <v>139</v>
      </c>
      <c r="B140" s="9" t="s">
        <v>419</v>
      </c>
      <c r="C140" s="10">
        <v>43</v>
      </c>
      <c r="D140" s="7" t="s">
        <v>116</v>
      </c>
      <c r="E140" s="7">
        <f t="shared" si="3"/>
        <v>1</v>
      </c>
      <c r="F140" s="10">
        <v>100</v>
      </c>
      <c r="G140" s="10"/>
      <c r="H140" s="10" t="s">
        <v>420</v>
      </c>
      <c r="I140" s="13" t="s">
        <v>360</v>
      </c>
      <c r="K140" t="s">
        <v>116</v>
      </c>
    </row>
    <row r="141" spans="1:11">
      <c r="A141" s="2">
        <v>140</v>
      </c>
      <c r="B141" s="9" t="s">
        <v>421</v>
      </c>
      <c r="C141" s="10">
        <v>17</v>
      </c>
      <c r="D141" s="7" t="s">
        <v>116</v>
      </c>
      <c r="E141" s="7">
        <f t="shared" si="3"/>
        <v>1</v>
      </c>
      <c r="F141" s="10">
        <v>100</v>
      </c>
      <c r="G141" s="10"/>
      <c r="H141" s="10" t="s">
        <v>422</v>
      </c>
      <c r="I141" s="13" t="s">
        <v>360</v>
      </c>
      <c r="K141" t="s">
        <v>116</v>
      </c>
    </row>
    <row r="142" spans="1:11">
      <c r="A142" s="2">
        <v>141</v>
      </c>
      <c r="B142" s="9" t="s">
        <v>423</v>
      </c>
      <c r="C142" s="10">
        <v>7</v>
      </c>
      <c r="D142" s="7" t="s">
        <v>116</v>
      </c>
      <c r="E142" s="7">
        <f t="shared" si="3"/>
        <v>1</v>
      </c>
      <c r="F142" s="10">
        <v>100</v>
      </c>
      <c r="G142" s="10"/>
      <c r="H142" s="10" t="s">
        <v>424</v>
      </c>
      <c r="I142" s="13" t="s">
        <v>360</v>
      </c>
      <c r="K142" t="s">
        <v>116</v>
      </c>
    </row>
    <row r="143" spans="1:11">
      <c r="A143" s="2">
        <v>142</v>
      </c>
      <c r="B143" s="9" t="s">
        <v>425</v>
      </c>
      <c r="C143" s="10">
        <v>3</v>
      </c>
      <c r="D143" s="7" t="s">
        <v>116</v>
      </c>
      <c r="E143" s="7">
        <f t="shared" si="3"/>
        <v>1</v>
      </c>
      <c r="F143" s="10">
        <v>100</v>
      </c>
      <c r="G143" s="10"/>
      <c r="H143" s="10" t="s">
        <v>426</v>
      </c>
      <c r="I143" s="13" t="s">
        <v>360</v>
      </c>
      <c r="K143" t="s">
        <v>116</v>
      </c>
    </row>
    <row r="144" spans="1:11">
      <c r="A144" s="2">
        <v>143</v>
      </c>
      <c r="B144" s="9" t="s">
        <v>427</v>
      </c>
      <c r="C144" s="10">
        <v>0</v>
      </c>
      <c r="D144" s="7" t="s">
        <v>116</v>
      </c>
      <c r="E144" s="7">
        <f t="shared" si="3"/>
        <v>1</v>
      </c>
      <c r="F144" s="10">
        <v>100</v>
      </c>
      <c r="G144" s="10"/>
      <c r="H144" s="10" t="s">
        <v>428</v>
      </c>
      <c r="I144" s="13"/>
      <c r="K144" t="s">
        <v>116</v>
      </c>
    </row>
    <row r="145" spans="1:11">
      <c r="A145" s="2">
        <v>144</v>
      </c>
      <c r="B145" s="9" t="s">
        <v>429</v>
      </c>
      <c r="C145" s="10">
        <v>0</v>
      </c>
      <c r="D145" s="7" t="s">
        <v>116</v>
      </c>
      <c r="E145" s="7">
        <f t="shared" si="3"/>
        <v>1</v>
      </c>
      <c r="F145" s="10">
        <v>100</v>
      </c>
      <c r="G145" s="10"/>
      <c r="H145" s="10" t="s">
        <v>430</v>
      </c>
      <c r="I145" s="13"/>
      <c r="K145" t="s">
        <v>116</v>
      </c>
    </row>
    <row r="146" spans="1:11">
      <c r="A146" s="2">
        <v>145</v>
      </c>
      <c r="B146" s="9" t="s">
        <v>431</v>
      </c>
      <c r="C146" s="10">
        <v>0</v>
      </c>
      <c r="D146" s="7" t="s">
        <v>116</v>
      </c>
      <c r="E146" s="7">
        <f t="shared" si="3"/>
        <v>1</v>
      </c>
      <c r="F146" s="10">
        <v>100</v>
      </c>
      <c r="G146" s="10"/>
      <c r="H146" s="10" t="s">
        <v>432</v>
      </c>
      <c r="I146" s="13"/>
      <c r="K146" t="s">
        <v>116</v>
      </c>
    </row>
    <row r="147" spans="1:11">
      <c r="A147" s="2">
        <v>146</v>
      </c>
      <c r="B147" s="9" t="s">
        <v>433</v>
      </c>
      <c r="C147" s="10">
        <v>0</v>
      </c>
      <c r="D147" s="7" t="s">
        <v>116</v>
      </c>
      <c r="E147" s="7">
        <f t="shared" si="3"/>
        <v>1</v>
      </c>
      <c r="F147" s="10">
        <v>100</v>
      </c>
      <c r="G147" s="10"/>
      <c r="H147" s="10" t="s">
        <v>434</v>
      </c>
      <c r="I147" s="13"/>
      <c r="K147" t="s">
        <v>116</v>
      </c>
    </row>
    <row r="148" spans="1:11">
      <c r="A148" s="2">
        <v>147</v>
      </c>
      <c r="B148" s="9" t="s">
        <v>435</v>
      </c>
      <c r="C148" s="10">
        <v>205</v>
      </c>
      <c r="D148" s="7" t="s">
        <v>116</v>
      </c>
      <c r="E148" s="7">
        <f t="shared" si="3"/>
        <v>1</v>
      </c>
      <c r="F148" s="10">
        <v>100</v>
      </c>
      <c r="G148" s="10"/>
      <c r="H148" s="10" t="s">
        <v>436</v>
      </c>
      <c r="I148" s="13"/>
      <c r="K148" t="s">
        <v>116</v>
      </c>
    </row>
    <row r="149" spans="1:11">
      <c r="A149" s="2">
        <v>148</v>
      </c>
      <c r="B149" s="9" t="s">
        <v>437</v>
      </c>
      <c r="C149" s="10">
        <v>164</v>
      </c>
      <c r="D149" s="7" t="s">
        <v>116</v>
      </c>
      <c r="E149" s="7">
        <f t="shared" si="3"/>
        <v>1</v>
      </c>
      <c r="F149" s="10">
        <v>100</v>
      </c>
      <c r="G149" s="10"/>
      <c r="H149" s="10" t="s">
        <v>438</v>
      </c>
      <c r="I149" s="13"/>
      <c r="K149" t="s">
        <v>116</v>
      </c>
    </row>
    <row r="150" spans="1:11">
      <c r="A150" s="2">
        <v>149</v>
      </c>
      <c r="B150" s="9" t="s">
        <v>439</v>
      </c>
      <c r="C150" s="10">
        <v>131</v>
      </c>
      <c r="D150" s="7" t="s">
        <v>116</v>
      </c>
      <c r="E150" s="7">
        <f t="shared" si="3"/>
        <v>1</v>
      </c>
      <c r="F150" s="10">
        <v>100</v>
      </c>
      <c r="G150" s="10"/>
      <c r="H150" s="10" t="s">
        <v>440</v>
      </c>
      <c r="I150" s="13"/>
      <c r="K150" t="s">
        <v>116</v>
      </c>
    </row>
    <row r="151" spans="1:11">
      <c r="A151" s="2">
        <v>150</v>
      </c>
      <c r="B151" s="9" t="s">
        <v>441</v>
      </c>
      <c r="C151" s="10">
        <v>105</v>
      </c>
      <c r="D151" s="7" t="s">
        <v>116</v>
      </c>
      <c r="E151" s="7">
        <f t="shared" si="3"/>
        <v>1</v>
      </c>
      <c r="F151" s="10">
        <v>100</v>
      </c>
      <c r="G151" s="10"/>
      <c r="H151" s="10" t="s">
        <v>442</v>
      </c>
      <c r="I151" s="13"/>
      <c r="K151" t="s">
        <v>116</v>
      </c>
    </row>
    <row r="152" spans="1:11">
      <c r="A152" s="2">
        <v>151</v>
      </c>
      <c r="B152" s="9" t="s">
        <v>443</v>
      </c>
      <c r="C152" s="10">
        <v>84</v>
      </c>
      <c r="D152" s="7" t="s">
        <v>116</v>
      </c>
      <c r="E152" s="7">
        <f t="shared" si="3"/>
        <v>1</v>
      </c>
      <c r="F152" s="10">
        <v>100</v>
      </c>
      <c r="G152" s="10"/>
      <c r="H152" s="10" t="s">
        <v>444</v>
      </c>
      <c r="I152" s="13"/>
      <c r="K152" t="s">
        <v>116</v>
      </c>
    </row>
    <row r="153" spans="1:11">
      <c r="A153" s="2">
        <v>152</v>
      </c>
      <c r="B153" s="9" t="s">
        <v>445</v>
      </c>
      <c r="C153" s="10">
        <v>67</v>
      </c>
      <c r="D153" s="7" t="s">
        <v>116</v>
      </c>
      <c r="E153" s="7">
        <f t="shared" si="3"/>
        <v>1</v>
      </c>
      <c r="F153" s="10">
        <v>100</v>
      </c>
      <c r="G153" s="10"/>
      <c r="H153" s="10" t="s">
        <v>446</v>
      </c>
      <c r="I153" s="13"/>
      <c r="K153" t="s">
        <v>116</v>
      </c>
    </row>
    <row r="154" spans="1:11">
      <c r="A154" s="2">
        <v>153</v>
      </c>
      <c r="B154" s="9" t="s">
        <v>447</v>
      </c>
      <c r="C154" s="10">
        <v>54</v>
      </c>
      <c r="D154" s="7" t="s">
        <v>116</v>
      </c>
      <c r="E154" s="7">
        <f t="shared" si="3"/>
        <v>1</v>
      </c>
      <c r="F154" s="10">
        <v>100</v>
      </c>
      <c r="G154" s="10"/>
      <c r="H154" s="10" t="s">
        <v>448</v>
      </c>
      <c r="I154" s="13"/>
      <c r="K154" t="s">
        <v>116</v>
      </c>
    </row>
    <row r="155" spans="1:11">
      <c r="A155" s="2">
        <v>154</v>
      </c>
      <c r="B155" s="9" t="s">
        <v>449</v>
      </c>
      <c r="C155" s="10">
        <v>43</v>
      </c>
      <c r="D155" s="7" t="s">
        <v>116</v>
      </c>
      <c r="E155" s="7">
        <f t="shared" si="3"/>
        <v>1</v>
      </c>
      <c r="F155" s="10">
        <v>100</v>
      </c>
      <c r="G155" s="10"/>
      <c r="H155" s="10" t="s">
        <v>450</v>
      </c>
      <c r="I155" s="13" t="s">
        <v>360</v>
      </c>
      <c r="K155" t="s">
        <v>116</v>
      </c>
    </row>
    <row r="156" spans="1:11">
      <c r="A156" s="2">
        <v>155</v>
      </c>
      <c r="B156" s="9" t="s">
        <v>451</v>
      </c>
      <c r="C156" s="10">
        <v>17</v>
      </c>
      <c r="D156" s="7" t="s">
        <v>116</v>
      </c>
      <c r="E156" s="7">
        <f t="shared" si="3"/>
        <v>1</v>
      </c>
      <c r="F156" s="10">
        <v>100</v>
      </c>
      <c r="G156" s="10"/>
      <c r="H156" s="10" t="s">
        <v>452</v>
      </c>
      <c r="I156" s="13" t="s">
        <v>360</v>
      </c>
      <c r="K156" t="s">
        <v>116</v>
      </c>
    </row>
    <row r="157" spans="1:11">
      <c r="A157" s="2">
        <v>156</v>
      </c>
      <c r="B157" s="9" t="s">
        <v>453</v>
      </c>
      <c r="C157" s="10">
        <v>7</v>
      </c>
      <c r="D157" s="7" t="s">
        <v>116</v>
      </c>
      <c r="E157" s="7">
        <f t="shared" si="3"/>
        <v>1</v>
      </c>
      <c r="F157" s="10">
        <v>100</v>
      </c>
      <c r="G157" s="10"/>
      <c r="H157" s="10" t="s">
        <v>454</v>
      </c>
      <c r="I157" s="13" t="s">
        <v>360</v>
      </c>
      <c r="K157" t="s">
        <v>116</v>
      </c>
    </row>
    <row r="158" spans="1:11">
      <c r="A158" s="2">
        <v>157</v>
      </c>
      <c r="B158" s="9" t="s">
        <v>455</v>
      </c>
      <c r="C158" s="10">
        <v>3</v>
      </c>
      <c r="D158" s="7" t="s">
        <v>116</v>
      </c>
      <c r="E158" s="7">
        <f t="shared" si="3"/>
        <v>1</v>
      </c>
      <c r="F158" s="10">
        <v>100</v>
      </c>
      <c r="G158" s="10"/>
      <c r="H158" s="10" t="s">
        <v>456</v>
      </c>
      <c r="I158" s="13" t="s">
        <v>360</v>
      </c>
      <c r="K158" t="s">
        <v>116</v>
      </c>
    </row>
    <row r="159" spans="1:11">
      <c r="A159" s="2">
        <v>158</v>
      </c>
      <c r="B159" s="9" t="s">
        <v>457</v>
      </c>
      <c r="C159" s="10">
        <v>300</v>
      </c>
      <c r="D159" s="7" t="s">
        <v>116</v>
      </c>
      <c r="E159" s="7">
        <f t="shared" si="3"/>
        <v>1</v>
      </c>
      <c r="F159" s="10">
        <v>100</v>
      </c>
      <c r="G159" s="10"/>
      <c r="H159" s="10" t="s">
        <v>458</v>
      </c>
      <c r="I159" s="13"/>
      <c r="K159" t="s">
        <v>116</v>
      </c>
    </row>
    <row r="160" spans="1:11">
      <c r="A160" s="2">
        <v>159</v>
      </c>
      <c r="B160" s="9" t="s">
        <v>459</v>
      </c>
      <c r="C160" s="10">
        <v>300</v>
      </c>
      <c r="D160" s="7" t="s">
        <v>116</v>
      </c>
      <c r="E160" s="7">
        <f t="shared" si="3"/>
        <v>1</v>
      </c>
      <c r="F160" s="10">
        <v>100</v>
      </c>
      <c r="G160" s="10"/>
      <c r="H160" s="10" t="s">
        <v>460</v>
      </c>
      <c r="I160" s="13"/>
      <c r="K160" t="s">
        <v>116</v>
      </c>
    </row>
    <row r="161" spans="1:11">
      <c r="A161" s="2">
        <v>160</v>
      </c>
      <c r="B161" s="9" t="s">
        <v>461</v>
      </c>
      <c r="C161" s="10">
        <v>300</v>
      </c>
      <c r="D161" s="7" t="s">
        <v>116</v>
      </c>
      <c r="E161" s="7">
        <f t="shared" si="3"/>
        <v>1</v>
      </c>
      <c r="F161" s="10">
        <v>100</v>
      </c>
      <c r="G161" s="10"/>
      <c r="H161" s="10" t="s">
        <v>462</v>
      </c>
      <c r="I161" s="13"/>
      <c r="K161" t="s">
        <v>116</v>
      </c>
    </row>
    <row r="162" spans="1:11">
      <c r="A162" s="2">
        <v>161</v>
      </c>
      <c r="B162" s="18" t="s">
        <v>463</v>
      </c>
      <c r="C162">
        <v>1000</v>
      </c>
      <c r="D162" s="7" t="s">
        <v>116</v>
      </c>
      <c r="E162" s="7">
        <f t="shared" si="3"/>
        <v>1</v>
      </c>
      <c r="F162">
        <v>100</v>
      </c>
      <c r="H162" t="s">
        <v>464</v>
      </c>
      <c r="I162" s="13"/>
      <c r="K162" t="s">
        <v>116</v>
      </c>
    </row>
    <row r="163" spans="1:11">
      <c r="A163" s="2">
        <v>162</v>
      </c>
      <c r="B163" s="18" t="s">
        <v>465</v>
      </c>
      <c r="C163">
        <v>1000</v>
      </c>
      <c r="D163" s="7" t="s">
        <v>116</v>
      </c>
      <c r="E163" s="7">
        <f t="shared" si="3"/>
        <v>1</v>
      </c>
      <c r="F163">
        <v>100</v>
      </c>
      <c r="H163" t="s">
        <v>466</v>
      </c>
      <c r="I163" s="13"/>
      <c r="K163" t="s">
        <v>116</v>
      </c>
    </row>
    <row r="164" spans="1:11">
      <c r="A164" s="2">
        <v>163</v>
      </c>
      <c r="B164" s="18" t="s">
        <v>467</v>
      </c>
      <c r="C164">
        <v>1000</v>
      </c>
      <c r="D164" s="7" t="s">
        <v>116</v>
      </c>
      <c r="E164" s="7">
        <f t="shared" si="3"/>
        <v>1</v>
      </c>
      <c r="F164">
        <v>100</v>
      </c>
      <c r="H164" t="s">
        <v>468</v>
      </c>
      <c r="I164" s="13"/>
      <c r="K164" t="s">
        <v>116</v>
      </c>
    </row>
    <row r="165" spans="1:11">
      <c r="A165" s="2">
        <v>164</v>
      </c>
      <c r="B165" s="19" t="s">
        <v>115</v>
      </c>
      <c r="C165" s="20">
        <v>20</v>
      </c>
      <c r="D165" s="7" t="s">
        <v>116</v>
      </c>
      <c r="E165" s="7">
        <f t="shared" si="3"/>
        <v>1</v>
      </c>
      <c r="F165" s="20">
        <v>101</v>
      </c>
      <c r="G165" s="20">
        <v>1</v>
      </c>
      <c r="H165" s="20" t="s">
        <v>117</v>
      </c>
      <c r="I165" s="13">
        <v>1</v>
      </c>
      <c r="K165" t="s">
        <v>116</v>
      </c>
    </row>
    <row r="166" spans="1:11">
      <c r="A166" s="2">
        <v>165</v>
      </c>
      <c r="B166" s="19" t="s">
        <v>121</v>
      </c>
      <c r="C166" s="20">
        <v>20</v>
      </c>
      <c r="D166" s="7" t="s">
        <v>116</v>
      </c>
      <c r="E166" s="7">
        <f t="shared" si="3"/>
        <v>1</v>
      </c>
      <c r="F166" s="20">
        <v>101</v>
      </c>
      <c r="G166" s="20">
        <v>1</v>
      </c>
      <c r="H166" s="20" t="s">
        <v>122</v>
      </c>
      <c r="I166" s="13">
        <v>1</v>
      </c>
      <c r="K166" t="s">
        <v>116</v>
      </c>
    </row>
    <row r="167" spans="1:11">
      <c r="A167" s="2">
        <v>166</v>
      </c>
      <c r="B167" s="19" t="s">
        <v>124</v>
      </c>
      <c r="C167" s="20">
        <v>20</v>
      </c>
      <c r="D167" s="7" t="s">
        <v>116</v>
      </c>
      <c r="E167" s="7">
        <f t="shared" si="3"/>
        <v>1</v>
      </c>
      <c r="F167" s="20">
        <v>101</v>
      </c>
      <c r="G167" s="20">
        <v>1</v>
      </c>
      <c r="H167" s="20" t="s">
        <v>125</v>
      </c>
      <c r="I167" s="13">
        <v>1</v>
      </c>
      <c r="K167" t="s">
        <v>116</v>
      </c>
    </row>
    <row r="168" spans="1:11">
      <c r="A168" s="2">
        <v>167</v>
      </c>
      <c r="B168" s="19" t="s">
        <v>128</v>
      </c>
      <c r="C168" s="20">
        <v>20</v>
      </c>
      <c r="D168" s="7" t="s">
        <v>116</v>
      </c>
      <c r="E168" s="7">
        <f t="shared" si="3"/>
        <v>1</v>
      </c>
      <c r="F168" s="20">
        <v>101</v>
      </c>
      <c r="G168" s="20">
        <v>1</v>
      </c>
      <c r="H168" s="20" t="s">
        <v>129</v>
      </c>
      <c r="I168" s="13">
        <v>1</v>
      </c>
      <c r="K168" t="s">
        <v>116</v>
      </c>
    </row>
    <row r="169" spans="1:11">
      <c r="A169" s="2">
        <v>168</v>
      </c>
      <c r="B169" s="19" t="s">
        <v>120</v>
      </c>
      <c r="C169" s="7">
        <v>0</v>
      </c>
      <c r="D169" s="11" t="str">
        <f>7&amp;MID(B169,2,5)&amp;1&amp;RIGHT(B169,4)</f>
        <v>7:1000101:1</v>
      </c>
      <c r="E169" s="7">
        <f t="shared" si="3"/>
        <v>99</v>
      </c>
      <c r="F169" s="20">
        <v>101</v>
      </c>
      <c r="G169" s="20">
        <v>1</v>
      </c>
      <c r="H169" s="20" t="s">
        <v>132</v>
      </c>
      <c r="I169" s="13">
        <v>1</v>
      </c>
      <c r="K169" t="s">
        <v>116</v>
      </c>
    </row>
    <row r="170" spans="1:11">
      <c r="A170" s="2">
        <v>169</v>
      </c>
      <c r="B170" s="19" t="s">
        <v>123</v>
      </c>
      <c r="C170" s="7">
        <v>0</v>
      </c>
      <c r="D170" s="11" t="str">
        <f t="shared" ref="D170:D176" si="4">7&amp;MID(B170,2,5)&amp;1&amp;RIGHT(B170,4)</f>
        <v>7:2000101:1</v>
      </c>
      <c r="E170" s="7">
        <f t="shared" si="3"/>
        <v>99</v>
      </c>
      <c r="F170" s="20">
        <v>101</v>
      </c>
      <c r="G170" s="20">
        <v>1</v>
      </c>
      <c r="H170" s="20" t="s">
        <v>134</v>
      </c>
      <c r="I170" s="13">
        <v>1</v>
      </c>
      <c r="K170">
        <v>3</v>
      </c>
    </row>
    <row r="171" spans="1:11">
      <c r="A171" s="2">
        <v>170</v>
      </c>
      <c r="B171" s="19" t="s">
        <v>127</v>
      </c>
      <c r="C171" s="7">
        <v>0</v>
      </c>
      <c r="D171" s="11" t="str">
        <f t="shared" si="4"/>
        <v>7:3000101:1</v>
      </c>
      <c r="E171" s="7">
        <f t="shared" si="3"/>
        <v>99</v>
      </c>
      <c r="F171" s="20">
        <v>101</v>
      </c>
      <c r="G171" s="20">
        <v>1</v>
      </c>
      <c r="H171" s="20" t="s">
        <v>137</v>
      </c>
      <c r="I171" s="13">
        <v>1</v>
      </c>
      <c r="K171">
        <v>3</v>
      </c>
    </row>
    <row r="172" spans="1:11">
      <c r="A172" s="2">
        <v>171</v>
      </c>
      <c r="B172" s="19" t="s">
        <v>131</v>
      </c>
      <c r="C172" s="7">
        <v>0</v>
      </c>
      <c r="D172" s="11" t="str">
        <f t="shared" si="4"/>
        <v>7:4000101:1</v>
      </c>
      <c r="E172" s="7">
        <f t="shared" si="3"/>
        <v>99</v>
      </c>
      <c r="F172" s="20">
        <v>101</v>
      </c>
      <c r="G172" s="20">
        <v>1</v>
      </c>
      <c r="H172" s="20" t="s">
        <v>139</v>
      </c>
      <c r="I172" s="13">
        <v>1</v>
      </c>
      <c r="K172">
        <v>1</v>
      </c>
    </row>
    <row r="173" spans="1:11">
      <c r="A173" s="2">
        <v>172</v>
      </c>
      <c r="B173" s="19" t="s">
        <v>133</v>
      </c>
      <c r="C173" s="7">
        <v>0</v>
      </c>
      <c r="D173" s="11" t="str">
        <f t="shared" si="4"/>
        <v>7:5000101:1</v>
      </c>
      <c r="E173" s="7">
        <f t="shared" si="3"/>
        <v>99</v>
      </c>
      <c r="F173" s="20">
        <v>101</v>
      </c>
      <c r="G173" s="20">
        <v>1</v>
      </c>
      <c r="H173" s="20" t="s">
        <v>142</v>
      </c>
      <c r="I173" s="13">
        <v>1</v>
      </c>
      <c r="K173">
        <v>1</v>
      </c>
    </row>
    <row r="174" spans="1:11">
      <c r="A174" s="2">
        <v>173</v>
      </c>
      <c r="B174" s="19" t="s">
        <v>136</v>
      </c>
      <c r="C174" s="7">
        <v>0</v>
      </c>
      <c r="D174" s="11" t="str">
        <f t="shared" si="4"/>
        <v>7:6000101:1</v>
      </c>
      <c r="E174" s="7">
        <f t="shared" si="3"/>
        <v>99</v>
      </c>
      <c r="F174" s="20">
        <v>101</v>
      </c>
      <c r="G174" s="20">
        <v>1</v>
      </c>
      <c r="H174" s="20" t="s">
        <v>145</v>
      </c>
      <c r="I174" s="13">
        <v>1</v>
      </c>
      <c r="K174">
        <v>3</v>
      </c>
    </row>
    <row r="175" spans="1:11">
      <c r="A175" s="2">
        <v>174</v>
      </c>
      <c r="B175" s="19" t="s">
        <v>138</v>
      </c>
      <c r="C175" s="7">
        <v>0</v>
      </c>
      <c r="D175" s="11" t="str">
        <f t="shared" si="4"/>
        <v>7:7000101:1</v>
      </c>
      <c r="E175" s="7">
        <f t="shared" si="3"/>
        <v>99</v>
      </c>
      <c r="F175" s="20">
        <v>101</v>
      </c>
      <c r="G175" s="20">
        <v>1</v>
      </c>
      <c r="H175" s="20" t="s">
        <v>147</v>
      </c>
      <c r="I175" s="13">
        <v>1</v>
      </c>
      <c r="K175">
        <v>3</v>
      </c>
    </row>
    <row r="176" spans="1:11">
      <c r="A176" s="2">
        <v>175</v>
      </c>
      <c r="B176" s="19" t="s">
        <v>141</v>
      </c>
      <c r="C176" s="7">
        <v>0</v>
      </c>
      <c r="D176" s="11" t="str">
        <f t="shared" si="4"/>
        <v>7:8000101:1</v>
      </c>
      <c r="E176" s="7">
        <f t="shared" si="3"/>
        <v>99</v>
      </c>
      <c r="F176" s="20">
        <v>101</v>
      </c>
      <c r="G176" s="20">
        <v>1</v>
      </c>
      <c r="H176" s="20" t="s">
        <v>150</v>
      </c>
      <c r="I176" s="13">
        <v>1</v>
      </c>
      <c r="K176">
        <v>4</v>
      </c>
    </row>
    <row r="177" spans="1:11">
      <c r="A177" s="2">
        <v>176</v>
      </c>
      <c r="B177" s="19" t="s">
        <v>144</v>
      </c>
      <c r="C177" s="7">
        <v>0</v>
      </c>
      <c r="D177" s="7" t="s">
        <v>144</v>
      </c>
      <c r="E177" s="7">
        <f t="shared" si="3"/>
        <v>99</v>
      </c>
      <c r="F177" s="20">
        <v>101</v>
      </c>
      <c r="G177" s="20">
        <v>1</v>
      </c>
      <c r="H177" s="20" t="s">
        <v>152</v>
      </c>
      <c r="I177" s="13">
        <v>1</v>
      </c>
      <c r="K177">
        <v>3</v>
      </c>
    </row>
    <row r="178" spans="1:11">
      <c r="A178" s="2">
        <v>177</v>
      </c>
      <c r="B178" s="19" t="s">
        <v>154</v>
      </c>
      <c r="C178" s="7">
        <v>0</v>
      </c>
      <c r="D178" s="8" t="s">
        <v>155</v>
      </c>
      <c r="E178" s="7">
        <f t="shared" si="3"/>
        <v>99</v>
      </c>
      <c r="F178" s="20">
        <v>101</v>
      </c>
      <c r="G178" s="20">
        <v>1</v>
      </c>
      <c r="H178" s="20" t="s">
        <v>156</v>
      </c>
      <c r="I178" s="13">
        <v>1</v>
      </c>
      <c r="K178">
        <v>2</v>
      </c>
    </row>
    <row r="179" spans="1:11">
      <c r="A179" s="2">
        <v>178</v>
      </c>
      <c r="B179" s="19" t="s">
        <v>158</v>
      </c>
      <c r="C179" s="7">
        <v>0</v>
      </c>
      <c r="D179" s="8" t="s">
        <v>159</v>
      </c>
      <c r="E179" s="7">
        <f t="shared" si="3"/>
        <v>99</v>
      </c>
      <c r="F179" s="20">
        <v>101</v>
      </c>
      <c r="G179" s="20">
        <v>1</v>
      </c>
      <c r="H179" s="20" t="s">
        <v>160</v>
      </c>
      <c r="I179" s="13">
        <v>1</v>
      </c>
      <c r="K179">
        <v>2</v>
      </c>
    </row>
    <row r="180" spans="1:11">
      <c r="A180" s="2">
        <v>179</v>
      </c>
      <c r="B180" s="19" t="s">
        <v>162</v>
      </c>
      <c r="C180" s="7">
        <v>0</v>
      </c>
      <c r="D180" s="8" t="s">
        <v>163</v>
      </c>
      <c r="E180" s="7">
        <f t="shared" si="3"/>
        <v>99</v>
      </c>
      <c r="F180" s="20">
        <v>101</v>
      </c>
      <c r="G180" s="20">
        <v>1</v>
      </c>
      <c r="H180" s="20" t="s">
        <v>164</v>
      </c>
      <c r="I180" s="13">
        <v>1</v>
      </c>
      <c r="K180">
        <v>2</v>
      </c>
    </row>
    <row r="181" spans="1:11">
      <c r="A181" s="2">
        <v>180</v>
      </c>
      <c r="B181" s="19" t="s">
        <v>170</v>
      </c>
      <c r="C181" s="7">
        <v>0</v>
      </c>
      <c r="D181" s="8" t="s">
        <v>314</v>
      </c>
      <c r="E181" s="7">
        <f t="shared" si="3"/>
        <v>99</v>
      </c>
      <c r="F181" s="20">
        <v>101</v>
      </c>
      <c r="G181" s="20">
        <v>1</v>
      </c>
      <c r="H181" s="20" t="s">
        <v>171</v>
      </c>
      <c r="I181" s="13">
        <v>1</v>
      </c>
      <c r="K181">
        <v>2</v>
      </c>
    </row>
    <row r="182" spans="1:11">
      <c r="A182" s="2">
        <v>181</v>
      </c>
      <c r="B182" s="19" t="s">
        <v>173</v>
      </c>
      <c r="C182" s="7">
        <v>0</v>
      </c>
      <c r="D182" s="8" t="s">
        <v>323</v>
      </c>
      <c r="E182" s="7">
        <f t="shared" si="3"/>
        <v>99</v>
      </c>
      <c r="F182" s="20">
        <v>101</v>
      </c>
      <c r="G182" s="20">
        <v>1</v>
      </c>
      <c r="H182" s="20"/>
      <c r="I182" s="13">
        <v>1</v>
      </c>
      <c r="K182">
        <v>2</v>
      </c>
    </row>
    <row r="183" spans="1:11">
      <c r="A183" s="2">
        <v>182</v>
      </c>
      <c r="B183" s="19" t="s">
        <v>175</v>
      </c>
      <c r="C183" s="7">
        <v>0</v>
      </c>
      <c r="D183" s="8" t="s">
        <v>328</v>
      </c>
      <c r="E183" s="7">
        <f t="shared" si="3"/>
        <v>99</v>
      </c>
      <c r="F183" s="20">
        <v>101</v>
      </c>
      <c r="G183" s="20">
        <v>1</v>
      </c>
      <c r="H183" s="20"/>
      <c r="I183" s="13">
        <v>1</v>
      </c>
      <c r="K183">
        <v>2</v>
      </c>
    </row>
    <row r="184" spans="1:11">
      <c r="A184" s="2">
        <v>183</v>
      </c>
      <c r="B184" s="19" t="s">
        <v>177</v>
      </c>
      <c r="C184" s="20">
        <v>10</v>
      </c>
      <c r="D184" s="7" t="s">
        <v>116</v>
      </c>
      <c r="E184" s="7">
        <f t="shared" si="3"/>
        <v>1</v>
      </c>
      <c r="F184" s="20">
        <v>101</v>
      </c>
      <c r="G184" s="20">
        <v>1</v>
      </c>
      <c r="H184" s="20" t="s">
        <v>178</v>
      </c>
      <c r="I184" s="13">
        <v>1</v>
      </c>
      <c r="K184">
        <v>3</v>
      </c>
    </row>
    <row r="185" spans="1:11">
      <c r="A185" s="2">
        <v>184</v>
      </c>
      <c r="B185" s="19" t="s">
        <v>180</v>
      </c>
      <c r="C185" s="20">
        <v>0</v>
      </c>
      <c r="D185" s="7" t="s">
        <v>116</v>
      </c>
      <c r="E185" s="7">
        <f t="shared" si="3"/>
        <v>1</v>
      </c>
      <c r="F185" s="20">
        <v>101</v>
      </c>
      <c r="G185" s="20">
        <v>1</v>
      </c>
      <c r="H185" s="20" t="s">
        <v>181</v>
      </c>
      <c r="I185" s="13">
        <v>1</v>
      </c>
      <c r="K185" t="s">
        <v>116</v>
      </c>
    </row>
    <row r="186" spans="1:11">
      <c r="A186" s="2">
        <v>185</v>
      </c>
      <c r="B186" s="19" t="s">
        <v>189</v>
      </c>
      <c r="C186" s="20">
        <v>10</v>
      </c>
      <c r="D186" s="7" t="s">
        <v>116</v>
      </c>
      <c r="E186" s="7">
        <f t="shared" si="3"/>
        <v>1</v>
      </c>
      <c r="F186" s="20">
        <v>101</v>
      </c>
      <c r="G186" s="20">
        <v>1</v>
      </c>
      <c r="H186" s="20" t="s">
        <v>190</v>
      </c>
      <c r="I186" s="13">
        <v>1</v>
      </c>
      <c r="K186" t="s">
        <v>116</v>
      </c>
    </row>
    <row r="187" spans="1:11">
      <c r="A187" s="2">
        <v>186</v>
      </c>
      <c r="B187" s="19" t="s">
        <v>192</v>
      </c>
      <c r="C187" s="20">
        <v>0</v>
      </c>
      <c r="D187" s="7" t="s">
        <v>116</v>
      </c>
      <c r="E187" s="7">
        <f t="shared" si="3"/>
        <v>1</v>
      </c>
      <c r="F187" s="20">
        <v>101</v>
      </c>
      <c r="G187" s="20">
        <v>1</v>
      </c>
      <c r="H187" s="20" t="s">
        <v>193</v>
      </c>
      <c r="I187" s="13">
        <v>1</v>
      </c>
      <c r="K187" t="s">
        <v>116</v>
      </c>
    </row>
    <row r="188" spans="1:11">
      <c r="A188" s="2">
        <v>187</v>
      </c>
      <c r="B188" s="19" t="s">
        <v>201</v>
      </c>
      <c r="C188" s="20">
        <v>10</v>
      </c>
      <c r="D188" s="7" t="s">
        <v>116</v>
      </c>
      <c r="E188" s="7">
        <f t="shared" si="3"/>
        <v>1</v>
      </c>
      <c r="F188" s="20">
        <v>101</v>
      </c>
      <c r="G188" s="20">
        <v>1</v>
      </c>
      <c r="H188" s="20" t="s">
        <v>202</v>
      </c>
      <c r="I188" s="13">
        <v>1</v>
      </c>
      <c r="K188" t="s">
        <v>116</v>
      </c>
    </row>
    <row r="189" spans="1:11">
      <c r="A189" s="2">
        <v>188</v>
      </c>
      <c r="B189" s="19" t="s">
        <v>203</v>
      </c>
      <c r="C189" s="20">
        <v>0</v>
      </c>
      <c r="D189" s="7" t="s">
        <v>116</v>
      </c>
      <c r="E189" s="7">
        <f t="shared" si="3"/>
        <v>1</v>
      </c>
      <c r="F189" s="20">
        <v>101</v>
      </c>
      <c r="G189" s="20">
        <v>1</v>
      </c>
      <c r="H189" s="20" t="s">
        <v>204</v>
      </c>
      <c r="I189" s="13">
        <v>1</v>
      </c>
      <c r="K189" t="s">
        <v>116</v>
      </c>
    </row>
    <row r="190" spans="1:11">
      <c r="A190" s="2">
        <v>189</v>
      </c>
      <c r="B190" s="19" t="s">
        <v>209</v>
      </c>
      <c r="C190" s="20">
        <v>10</v>
      </c>
      <c r="D190" s="7" t="s">
        <v>116</v>
      </c>
      <c r="E190" s="7">
        <f t="shared" si="3"/>
        <v>1</v>
      </c>
      <c r="F190" s="20">
        <v>101</v>
      </c>
      <c r="G190" s="20">
        <v>1</v>
      </c>
      <c r="H190" s="20" t="s">
        <v>210</v>
      </c>
      <c r="I190" s="13">
        <v>1</v>
      </c>
      <c r="K190" t="s">
        <v>116</v>
      </c>
    </row>
    <row r="191" spans="1:11">
      <c r="A191" s="2">
        <v>190</v>
      </c>
      <c r="B191" s="19" t="s">
        <v>211</v>
      </c>
      <c r="C191" s="20">
        <v>0</v>
      </c>
      <c r="D191" s="7" t="s">
        <v>116</v>
      </c>
      <c r="E191" s="7">
        <f t="shared" si="3"/>
        <v>1</v>
      </c>
      <c r="F191" s="20">
        <v>101</v>
      </c>
      <c r="G191" s="20">
        <v>1</v>
      </c>
      <c r="H191" s="20" t="s">
        <v>212</v>
      </c>
      <c r="I191" s="13">
        <v>1</v>
      </c>
      <c r="K191" t="s">
        <v>116</v>
      </c>
    </row>
    <row r="192" spans="1:11">
      <c r="A192" s="2">
        <v>191</v>
      </c>
      <c r="B192" s="19" t="s">
        <v>217</v>
      </c>
      <c r="C192" s="7">
        <v>0</v>
      </c>
      <c r="D192" s="11" t="str">
        <f>7&amp;MID(B192,2,5)&amp;1&amp;RIGHT(B192,4)</f>
        <v>7:1000101:1</v>
      </c>
      <c r="E192" s="7">
        <f t="shared" si="3"/>
        <v>99</v>
      </c>
      <c r="F192" s="20">
        <v>101</v>
      </c>
      <c r="G192" s="20">
        <v>1</v>
      </c>
      <c r="H192" s="20" t="s">
        <v>218</v>
      </c>
      <c r="I192" s="13">
        <v>1</v>
      </c>
      <c r="K192" t="s">
        <v>116</v>
      </c>
    </row>
    <row r="193" spans="1:11">
      <c r="A193" s="2">
        <v>192</v>
      </c>
      <c r="B193" s="19" t="s">
        <v>219</v>
      </c>
      <c r="C193" s="20">
        <v>0</v>
      </c>
      <c r="D193" s="7" t="s">
        <v>116</v>
      </c>
      <c r="E193" s="7">
        <f t="shared" si="3"/>
        <v>1</v>
      </c>
      <c r="F193" s="20">
        <v>101</v>
      </c>
      <c r="G193" s="20">
        <v>1</v>
      </c>
      <c r="H193" s="20" t="s">
        <v>220</v>
      </c>
      <c r="I193" s="13">
        <v>1</v>
      </c>
      <c r="K193">
        <v>3</v>
      </c>
    </row>
    <row r="194" spans="1:11">
      <c r="A194" s="2">
        <v>193</v>
      </c>
      <c r="B194" s="19" t="s">
        <v>225</v>
      </c>
      <c r="C194" s="7">
        <v>0</v>
      </c>
      <c r="D194" s="11" t="str">
        <f>7&amp;MID(B194,2,5)&amp;1&amp;RIGHT(B194,4)</f>
        <v>7:2000101:1</v>
      </c>
      <c r="E194" s="7">
        <f t="shared" ref="E194:E257" si="5">IF(D194="",1,99)</f>
        <v>99</v>
      </c>
      <c r="F194" s="20">
        <v>101</v>
      </c>
      <c r="G194" s="20">
        <v>1</v>
      </c>
      <c r="H194" s="20" t="s">
        <v>226</v>
      </c>
      <c r="I194" s="13">
        <v>1</v>
      </c>
      <c r="K194" t="s">
        <v>116</v>
      </c>
    </row>
    <row r="195" spans="1:11">
      <c r="A195" s="2">
        <v>194</v>
      </c>
      <c r="B195" s="19" t="s">
        <v>227</v>
      </c>
      <c r="C195" s="20">
        <v>0</v>
      </c>
      <c r="D195" s="7" t="s">
        <v>116</v>
      </c>
      <c r="E195" s="7">
        <f t="shared" si="5"/>
        <v>1</v>
      </c>
      <c r="F195" s="20">
        <v>101</v>
      </c>
      <c r="G195" s="20">
        <v>1</v>
      </c>
      <c r="H195" s="20" t="s">
        <v>228</v>
      </c>
      <c r="I195" s="13">
        <v>1</v>
      </c>
      <c r="K195">
        <v>3</v>
      </c>
    </row>
    <row r="196" spans="1:11">
      <c r="A196" s="2">
        <v>195</v>
      </c>
      <c r="B196" s="19" t="s">
        <v>233</v>
      </c>
      <c r="C196" s="7">
        <v>0</v>
      </c>
      <c r="D196" s="11" t="str">
        <f>7&amp;MID(B196,2,5)&amp;1&amp;RIGHT(B196,4)</f>
        <v>7:3000101:1</v>
      </c>
      <c r="E196" s="7">
        <f t="shared" si="5"/>
        <v>99</v>
      </c>
      <c r="F196" s="20">
        <v>101</v>
      </c>
      <c r="G196" s="20">
        <v>1</v>
      </c>
      <c r="H196" s="20" t="s">
        <v>234</v>
      </c>
      <c r="I196" s="13">
        <v>1</v>
      </c>
      <c r="K196" t="s">
        <v>116</v>
      </c>
    </row>
    <row r="197" spans="1:11">
      <c r="A197" s="2">
        <v>196</v>
      </c>
      <c r="B197" s="19" t="s">
        <v>235</v>
      </c>
      <c r="C197" s="20">
        <v>0</v>
      </c>
      <c r="D197" s="7" t="s">
        <v>116</v>
      </c>
      <c r="E197" s="7">
        <f t="shared" si="5"/>
        <v>1</v>
      </c>
      <c r="F197" s="20">
        <v>101</v>
      </c>
      <c r="G197" s="20">
        <v>1</v>
      </c>
      <c r="H197" s="20" t="s">
        <v>236</v>
      </c>
      <c r="I197" s="13">
        <v>1</v>
      </c>
      <c r="K197">
        <v>1</v>
      </c>
    </row>
    <row r="198" spans="1:11">
      <c r="A198" s="2">
        <v>197</v>
      </c>
      <c r="B198" s="19" t="s">
        <v>241</v>
      </c>
      <c r="C198" s="7">
        <v>0</v>
      </c>
      <c r="D198" s="11" t="str">
        <f>7&amp;MID(B198,2,5)&amp;1&amp;RIGHT(B198,4)</f>
        <v>7:4000101:1</v>
      </c>
      <c r="E198" s="7">
        <f t="shared" si="5"/>
        <v>99</v>
      </c>
      <c r="F198" s="20">
        <v>101</v>
      </c>
      <c r="G198" s="20">
        <v>1</v>
      </c>
      <c r="H198" s="20" t="s">
        <v>242</v>
      </c>
      <c r="I198" s="13">
        <v>1</v>
      </c>
      <c r="K198" t="s">
        <v>116</v>
      </c>
    </row>
    <row r="199" spans="1:11">
      <c r="A199" s="2">
        <v>198</v>
      </c>
      <c r="B199" s="19" t="s">
        <v>243</v>
      </c>
      <c r="C199" s="20">
        <v>0</v>
      </c>
      <c r="D199" s="7" t="s">
        <v>116</v>
      </c>
      <c r="E199" s="7">
        <f t="shared" si="5"/>
        <v>1</v>
      </c>
      <c r="F199" s="20">
        <v>101</v>
      </c>
      <c r="G199" s="20">
        <v>1</v>
      </c>
      <c r="H199" s="20" t="s">
        <v>244</v>
      </c>
      <c r="I199" s="13">
        <v>1</v>
      </c>
      <c r="K199">
        <v>1</v>
      </c>
    </row>
    <row r="200" spans="1:11">
      <c r="A200" s="2">
        <v>199</v>
      </c>
      <c r="B200" s="19" t="s">
        <v>249</v>
      </c>
      <c r="C200" s="7">
        <v>0</v>
      </c>
      <c r="D200" s="11" t="str">
        <f>7&amp;MID(B200,2,5)&amp;1&amp;RIGHT(B200,4)</f>
        <v>7:5000101:1</v>
      </c>
      <c r="E200" s="7">
        <f t="shared" si="5"/>
        <v>99</v>
      </c>
      <c r="F200" s="20">
        <v>101</v>
      </c>
      <c r="G200" s="20">
        <v>1</v>
      </c>
      <c r="H200" s="20" t="s">
        <v>250</v>
      </c>
      <c r="I200" s="13">
        <v>1</v>
      </c>
      <c r="K200" t="s">
        <v>116</v>
      </c>
    </row>
    <row r="201" spans="1:11">
      <c r="A201" s="2">
        <v>200</v>
      </c>
      <c r="B201" s="19" t="s">
        <v>251</v>
      </c>
      <c r="C201" s="20">
        <v>0</v>
      </c>
      <c r="D201" s="7" t="s">
        <v>116</v>
      </c>
      <c r="E201" s="7">
        <f t="shared" si="5"/>
        <v>1</v>
      </c>
      <c r="F201" s="20">
        <v>101</v>
      </c>
      <c r="G201" s="20">
        <v>1</v>
      </c>
      <c r="H201" s="20" t="s">
        <v>252</v>
      </c>
      <c r="I201" s="13">
        <v>1</v>
      </c>
      <c r="K201">
        <v>3</v>
      </c>
    </row>
    <row r="202" spans="1:11">
      <c r="A202" s="2">
        <v>201</v>
      </c>
      <c r="B202" s="19" t="s">
        <v>257</v>
      </c>
      <c r="C202" s="7">
        <v>0</v>
      </c>
      <c r="D202" s="11" t="str">
        <f>7&amp;MID(B202,2,5)&amp;1&amp;RIGHT(B202,4)</f>
        <v>7:6000101:1</v>
      </c>
      <c r="E202" s="7">
        <f t="shared" si="5"/>
        <v>99</v>
      </c>
      <c r="F202" s="20">
        <v>101</v>
      </c>
      <c r="G202" s="20">
        <v>1</v>
      </c>
      <c r="H202" s="20" t="s">
        <v>258</v>
      </c>
      <c r="I202" s="13">
        <v>1</v>
      </c>
      <c r="K202" t="s">
        <v>116</v>
      </c>
    </row>
    <row r="203" spans="1:11">
      <c r="A203" s="2">
        <v>202</v>
      </c>
      <c r="B203" s="19" t="s">
        <v>259</v>
      </c>
      <c r="C203" s="20">
        <v>0</v>
      </c>
      <c r="D203" s="7" t="s">
        <v>116</v>
      </c>
      <c r="E203" s="7">
        <f t="shared" si="5"/>
        <v>1</v>
      </c>
      <c r="F203" s="20">
        <v>101</v>
      </c>
      <c r="G203" s="20">
        <v>1</v>
      </c>
      <c r="H203" s="20" t="s">
        <v>260</v>
      </c>
      <c r="I203" s="13">
        <v>1</v>
      </c>
      <c r="K203">
        <v>3</v>
      </c>
    </row>
    <row r="204" spans="1:11">
      <c r="A204" s="2">
        <v>203</v>
      </c>
      <c r="B204" s="19" t="s">
        <v>265</v>
      </c>
      <c r="C204" s="7">
        <v>0</v>
      </c>
      <c r="D204" s="11" t="str">
        <f>7&amp;MID(B204,2,5)&amp;1&amp;RIGHT(B204,4)</f>
        <v>7:7000101:1</v>
      </c>
      <c r="E204" s="7">
        <f t="shared" si="5"/>
        <v>99</v>
      </c>
      <c r="F204" s="20">
        <v>101</v>
      </c>
      <c r="G204" s="20">
        <v>1</v>
      </c>
      <c r="H204" s="20" t="s">
        <v>266</v>
      </c>
      <c r="I204" s="13">
        <v>1</v>
      </c>
      <c r="K204" t="s">
        <v>116</v>
      </c>
    </row>
    <row r="205" spans="1:11">
      <c r="A205" s="2">
        <v>204</v>
      </c>
      <c r="B205" s="19" t="s">
        <v>267</v>
      </c>
      <c r="C205" s="20">
        <v>0</v>
      </c>
      <c r="D205" s="7" t="s">
        <v>116</v>
      </c>
      <c r="E205" s="7">
        <f t="shared" si="5"/>
        <v>1</v>
      </c>
      <c r="F205" s="20">
        <v>101</v>
      </c>
      <c r="G205" s="20">
        <v>1</v>
      </c>
      <c r="H205" s="20" t="s">
        <v>268</v>
      </c>
      <c r="I205" s="13">
        <v>1</v>
      </c>
      <c r="K205">
        <v>4</v>
      </c>
    </row>
    <row r="206" spans="1:11">
      <c r="A206" s="2">
        <v>205</v>
      </c>
      <c r="B206" s="19" t="s">
        <v>273</v>
      </c>
      <c r="C206" s="7">
        <v>0</v>
      </c>
      <c r="D206" s="11" t="str">
        <f>7&amp;MID(B206,2,5)&amp;1&amp;RIGHT(B206,4)</f>
        <v>7:8000101:1</v>
      </c>
      <c r="E206" s="7">
        <f t="shared" si="5"/>
        <v>99</v>
      </c>
      <c r="F206" s="20">
        <v>101</v>
      </c>
      <c r="G206" s="20">
        <v>1</v>
      </c>
      <c r="H206" s="20" t="s">
        <v>274</v>
      </c>
      <c r="I206" s="13">
        <v>1</v>
      </c>
      <c r="K206" t="s">
        <v>116</v>
      </c>
    </row>
    <row r="207" spans="1:11">
      <c r="A207" s="2">
        <v>206</v>
      </c>
      <c r="B207" s="19" t="s">
        <v>275</v>
      </c>
      <c r="C207" s="20">
        <v>0</v>
      </c>
      <c r="D207" s="7" t="s">
        <v>116</v>
      </c>
      <c r="E207" s="7">
        <f t="shared" si="5"/>
        <v>1</v>
      </c>
      <c r="F207" s="20">
        <v>101</v>
      </c>
      <c r="G207" s="20">
        <v>1</v>
      </c>
      <c r="H207" s="20" t="s">
        <v>276</v>
      </c>
      <c r="I207" s="13">
        <v>1</v>
      </c>
      <c r="K207">
        <v>3</v>
      </c>
    </row>
    <row r="208" spans="1:11">
      <c r="A208" s="2">
        <v>207</v>
      </c>
      <c r="B208" s="19" t="s">
        <v>281</v>
      </c>
      <c r="C208" s="7">
        <v>0</v>
      </c>
      <c r="D208" s="7" t="s">
        <v>144</v>
      </c>
      <c r="E208" s="7">
        <f t="shared" si="5"/>
        <v>99</v>
      </c>
      <c r="F208" s="20">
        <v>101</v>
      </c>
      <c r="G208" s="20">
        <v>1</v>
      </c>
      <c r="H208" s="20" t="s">
        <v>282</v>
      </c>
      <c r="I208" s="13">
        <v>1</v>
      </c>
      <c r="K208" t="s">
        <v>116</v>
      </c>
    </row>
    <row r="209" spans="1:11">
      <c r="A209" s="2">
        <v>208</v>
      </c>
      <c r="B209" s="19" t="s">
        <v>283</v>
      </c>
      <c r="C209" s="20">
        <v>0</v>
      </c>
      <c r="D209" s="7" t="s">
        <v>116</v>
      </c>
      <c r="E209" s="7">
        <f t="shared" si="5"/>
        <v>1</v>
      </c>
      <c r="F209" s="20">
        <v>101</v>
      </c>
      <c r="G209" s="20">
        <v>1</v>
      </c>
      <c r="H209" s="20" t="s">
        <v>284</v>
      </c>
      <c r="I209" s="13">
        <v>1</v>
      </c>
      <c r="K209">
        <v>2</v>
      </c>
    </row>
    <row r="210" spans="1:11">
      <c r="A210" s="2">
        <v>209</v>
      </c>
      <c r="B210" s="19" t="s">
        <v>289</v>
      </c>
      <c r="C210" s="7">
        <v>0</v>
      </c>
      <c r="D210" s="8" t="s">
        <v>155</v>
      </c>
      <c r="E210" s="7">
        <f t="shared" si="5"/>
        <v>99</v>
      </c>
      <c r="F210" s="20">
        <v>101</v>
      </c>
      <c r="G210" s="20">
        <v>1</v>
      </c>
      <c r="H210" s="20" t="s">
        <v>290</v>
      </c>
      <c r="I210" s="13">
        <v>1</v>
      </c>
      <c r="K210" t="s">
        <v>116</v>
      </c>
    </row>
    <row r="211" spans="1:11">
      <c r="A211" s="2">
        <v>210</v>
      </c>
      <c r="B211" s="19" t="s">
        <v>291</v>
      </c>
      <c r="C211" s="20">
        <v>0</v>
      </c>
      <c r="D211" s="7" t="s">
        <v>116</v>
      </c>
      <c r="E211" s="7">
        <f t="shared" si="5"/>
        <v>1</v>
      </c>
      <c r="F211" s="20">
        <v>101</v>
      </c>
      <c r="G211" s="20">
        <v>1</v>
      </c>
      <c r="H211" s="20" t="s">
        <v>292</v>
      </c>
      <c r="I211" s="13">
        <v>1</v>
      </c>
      <c r="K211">
        <v>2</v>
      </c>
    </row>
    <row r="212" spans="1:11">
      <c r="A212" s="2">
        <v>211</v>
      </c>
      <c r="B212" s="19" t="s">
        <v>297</v>
      </c>
      <c r="C212" s="7">
        <v>0</v>
      </c>
      <c r="D212" s="8" t="s">
        <v>159</v>
      </c>
      <c r="E212" s="7">
        <f t="shared" si="5"/>
        <v>99</v>
      </c>
      <c r="F212" s="20">
        <v>101</v>
      </c>
      <c r="G212" s="20">
        <v>1</v>
      </c>
      <c r="H212" s="20" t="s">
        <v>298</v>
      </c>
      <c r="I212" s="13">
        <v>1</v>
      </c>
      <c r="K212" t="s">
        <v>116</v>
      </c>
    </row>
    <row r="213" spans="1:11">
      <c r="A213" s="2">
        <v>212</v>
      </c>
      <c r="B213" s="19" t="s">
        <v>299</v>
      </c>
      <c r="C213" s="20">
        <v>0</v>
      </c>
      <c r="D213" s="7" t="s">
        <v>116</v>
      </c>
      <c r="E213" s="7">
        <f t="shared" si="5"/>
        <v>1</v>
      </c>
      <c r="F213" s="20">
        <v>101</v>
      </c>
      <c r="G213" s="20">
        <v>1</v>
      </c>
      <c r="H213" s="20" t="s">
        <v>300</v>
      </c>
      <c r="I213" s="13">
        <v>1</v>
      </c>
      <c r="K213">
        <v>2</v>
      </c>
    </row>
    <row r="214" spans="1:11">
      <c r="A214" s="2">
        <v>213</v>
      </c>
      <c r="B214" s="19" t="s">
        <v>305</v>
      </c>
      <c r="C214" s="7">
        <v>0</v>
      </c>
      <c r="D214" s="8" t="s">
        <v>163</v>
      </c>
      <c r="E214" s="7">
        <f t="shared" si="5"/>
        <v>99</v>
      </c>
      <c r="F214" s="20">
        <v>101</v>
      </c>
      <c r="G214" s="20">
        <v>1</v>
      </c>
      <c r="H214" s="20" t="s">
        <v>306</v>
      </c>
      <c r="I214" s="13">
        <v>1</v>
      </c>
      <c r="K214" t="s">
        <v>116</v>
      </c>
    </row>
    <row r="215" spans="1:11">
      <c r="A215" s="2">
        <v>214</v>
      </c>
      <c r="B215" s="19" t="s">
        <v>307</v>
      </c>
      <c r="C215" s="20">
        <v>0</v>
      </c>
      <c r="D215" s="7" t="s">
        <v>116</v>
      </c>
      <c r="E215" s="7">
        <f t="shared" si="5"/>
        <v>1</v>
      </c>
      <c r="F215" s="20">
        <v>101</v>
      </c>
      <c r="G215" s="20">
        <v>1</v>
      </c>
      <c r="H215" s="20" t="s">
        <v>308</v>
      </c>
      <c r="I215" s="13">
        <v>1</v>
      </c>
      <c r="K215">
        <v>2</v>
      </c>
    </row>
    <row r="216" spans="1:11">
      <c r="A216" s="2">
        <v>215</v>
      </c>
      <c r="B216" s="19" t="s">
        <v>313</v>
      </c>
      <c r="C216" s="7">
        <v>0</v>
      </c>
      <c r="D216" s="8" t="s">
        <v>314</v>
      </c>
      <c r="E216" s="7">
        <f t="shared" si="5"/>
        <v>99</v>
      </c>
      <c r="F216" s="20">
        <v>101</v>
      </c>
      <c r="G216" s="20">
        <v>1</v>
      </c>
      <c r="H216" s="20" t="s">
        <v>315</v>
      </c>
      <c r="I216" s="13">
        <v>1</v>
      </c>
      <c r="K216" t="s">
        <v>116</v>
      </c>
    </row>
    <row r="217" spans="1:11">
      <c r="A217" s="2">
        <v>216</v>
      </c>
      <c r="B217" s="19" t="s">
        <v>316</v>
      </c>
      <c r="C217" s="20">
        <v>0</v>
      </c>
      <c r="D217" s="7" t="s">
        <v>116</v>
      </c>
      <c r="E217" s="7">
        <f t="shared" si="5"/>
        <v>1</v>
      </c>
      <c r="F217" s="20">
        <v>101</v>
      </c>
      <c r="G217" s="20">
        <v>1</v>
      </c>
      <c r="H217" s="20" t="s">
        <v>317</v>
      </c>
      <c r="I217" s="13">
        <v>1</v>
      </c>
      <c r="K217">
        <v>2</v>
      </c>
    </row>
    <row r="218" spans="1:11">
      <c r="A218" s="2">
        <v>217</v>
      </c>
      <c r="B218" s="19" t="s">
        <v>322</v>
      </c>
      <c r="C218" s="7">
        <v>0</v>
      </c>
      <c r="D218" s="8" t="s">
        <v>323</v>
      </c>
      <c r="E218" s="7">
        <f t="shared" si="5"/>
        <v>99</v>
      </c>
      <c r="F218" s="20">
        <v>101</v>
      </c>
      <c r="G218" s="20">
        <v>1</v>
      </c>
      <c r="H218" s="20"/>
      <c r="I218" s="13">
        <v>1</v>
      </c>
      <c r="K218" t="s">
        <v>116</v>
      </c>
    </row>
    <row r="219" spans="1:11">
      <c r="A219" s="2">
        <v>218</v>
      </c>
      <c r="B219" s="19" t="s">
        <v>324</v>
      </c>
      <c r="C219" s="20">
        <v>0</v>
      </c>
      <c r="D219" s="7" t="s">
        <v>116</v>
      </c>
      <c r="E219" s="7">
        <f t="shared" si="5"/>
        <v>1</v>
      </c>
      <c r="F219" s="20">
        <v>101</v>
      </c>
      <c r="G219" s="20">
        <v>1</v>
      </c>
      <c r="H219" s="20"/>
      <c r="I219" s="13">
        <v>1</v>
      </c>
      <c r="K219">
        <v>2</v>
      </c>
    </row>
    <row r="220" spans="1:11">
      <c r="A220" s="2">
        <v>219</v>
      </c>
      <c r="B220" s="19" t="s">
        <v>327</v>
      </c>
      <c r="C220" s="7">
        <v>0</v>
      </c>
      <c r="D220" s="8" t="s">
        <v>328</v>
      </c>
      <c r="E220" s="7">
        <f t="shared" si="5"/>
        <v>99</v>
      </c>
      <c r="F220" s="20">
        <v>101</v>
      </c>
      <c r="G220" s="20">
        <v>1</v>
      </c>
      <c r="H220" s="20"/>
      <c r="I220" s="13">
        <v>1</v>
      </c>
      <c r="K220" t="s">
        <v>116</v>
      </c>
    </row>
    <row r="221" spans="1:11">
      <c r="A221" s="2">
        <v>220</v>
      </c>
      <c r="B221" s="19" t="s">
        <v>329</v>
      </c>
      <c r="C221" s="20">
        <v>0</v>
      </c>
      <c r="D221" s="7" t="s">
        <v>116</v>
      </c>
      <c r="E221" s="7">
        <f t="shared" si="5"/>
        <v>1</v>
      </c>
      <c r="F221" s="20">
        <v>101</v>
      </c>
      <c r="G221" s="20">
        <v>1</v>
      </c>
      <c r="H221" s="20"/>
      <c r="I221" s="13">
        <v>1</v>
      </c>
      <c r="K221">
        <v>3</v>
      </c>
    </row>
    <row r="222" spans="1:11">
      <c r="A222" s="2">
        <v>221</v>
      </c>
      <c r="B222" s="19" t="s">
        <v>358</v>
      </c>
      <c r="C222" s="20">
        <v>0</v>
      </c>
      <c r="D222" s="7" t="s">
        <v>116</v>
      </c>
      <c r="E222" s="7">
        <f t="shared" si="5"/>
        <v>1</v>
      </c>
      <c r="F222" s="20">
        <v>101</v>
      </c>
      <c r="G222" s="20">
        <v>1</v>
      </c>
      <c r="H222" s="20" t="s">
        <v>359</v>
      </c>
      <c r="I222" s="13">
        <v>1</v>
      </c>
      <c r="K222" t="s">
        <v>116</v>
      </c>
    </row>
    <row r="223" spans="1:11">
      <c r="A223" s="2">
        <v>222</v>
      </c>
      <c r="B223" s="19" t="s">
        <v>361</v>
      </c>
      <c r="C223" s="20">
        <v>0</v>
      </c>
      <c r="D223" s="7" t="s">
        <v>116</v>
      </c>
      <c r="E223" s="7">
        <f t="shared" si="5"/>
        <v>1</v>
      </c>
      <c r="F223" s="20">
        <v>101</v>
      </c>
      <c r="G223" s="20">
        <v>1</v>
      </c>
      <c r="H223" s="20" t="s">
        <v>362</v>
      </c>
      <c r="I223" s="13">
        <v>1</v>
      </c>
      <c r="K223" t="s">
        <v>116</v>
      </c>
    </row>
    <row r="224" spans="1:11">
      <c r="A224" s="2">
        <v>223</v>
      </c>
      <c r="B224" s="19" t="s">
        <v>363</v>
      </c>
      <c r="C224" s="20">
        <v>0</v>
      </c>
      <c r="D224" s="7" t="s">
        <v>116</v>
      </c>
      <c r="E224" s="7">
        <f t="shared" si="5"/>
        <v>1</v>
      </c>
      <c r="F224" s="20">
        <v>101</v>
      </c>
      <c r="G224" s="20">
        <v>1</v>
      </c>
      <c r="H224" s="20" t="s">
        <v>364</v>
      </c>
      <c r="I224" s="13">
        <v>1</v>
      </c>
      <c r="K224" t="s">
        <v>116</v>
      </c>
    </row>
    <row r="225" spans="1:11">
      <c r="A225" s="2">
        <v>224</v>
      </c>
      <c r="B225" s="19" t="s">
        <v>365</v>
      </c>
      <c r="C225" s="20">
        <v>0</v>
      </c>
      <c r="D225" s="7" t="s">
        <v>116</v>
      </c>
      <c r="E225" s="7">
        <f t="shared" si="5"/>
        <v>1</v>
      </c>
      <c r="F225" s="20">
        <v>101</v>
      </c>
      <c r="G225" s="20">
        <v>1</v>
      </c>
      <c r="H225" s="20" t="s">
        <v>366</v>
      </c>
      <c r="I225" s="13">
        <v>1</v>
      </c>
      <c r="K225" t="s">
        <v>116</v>
      </c>
    </row>
    <row r="226" spans="1:11">
      <c r="A226" s="2">
        <v>225</v>
      </c>
      <c r="B226" s="19" t="s">
        <v>389</v>
      </c>
      <c r="C226" s="20">
        <v>0</v>
      </c>
      <c r="D226" s="7" t="s">
        <v>116</v>
      </c>
      <c r="E226" s="7">
        <f t="shared" si="5"/>
        <v>1</v>
      </c>
      <c r="F226" s="20">
        <v>101</v>
      </c>
      <c r="G226" s="20">
        <v>1</v>
      </c>
      <c r="H226" s="20" t="s">
        <v>390</v>
      </c>
      <c r="I226" s="13">
        <v>1</v>
      </c>
      <c r="K226" t="s">
        <v>116</v>
      </c>
    </row>
    <row r="227" spans="1:11">
      <c r="A227" s="2">
        <v>226</v>
      </c>
      <c r="B227" s="19" t="s">
        <v>391</v>
      </c>
      <c r="C227" s="20">
        <v>0</v>
      </c>
      <c r="D227" s="7" t="s">
        <v>116</v>
      </c>
      <c r="E227" s="7">
        <f t="shared" si="5"/>
        <v>1</v>
      </c>
      <c r="F227" s="20">
        <v>101</v>
      </c>
      <c r="G227" s="20">
        <v>1</v>
      </c>
      <c r="H227" s="20" t="s">
        <v>392</v>
      </c>
      <c r="I227" s="13">
        <v>1</v>
      </c>
      <c r="K227" t="s">
        <v>116</v>
      </c>
    </row>
    <row r="228" spans="1:11">
      <c r="A228" s="2">
        <v>227</v>
      </c>
      <c r="B228" s="19" t="s">
        <v>393</v>
      </c>
      <c r="C228" s="20">
        <v>0</v>
      </c>
      <c r="D228" s="7" t="s">
        <v>116</v>
      </c>
      <c r="E228" s="7">
        <f t="shared" si="5"/>
        <v>1</v>
      </c>
      <c r="F228" s="20">
        <v>101</v>
      </c>
      <c r="G228" s="20">
        <v>1</v>
      </c>
      <c r="H228" s="20" t="s">
        <v>394</v>
      </c>
      <c r="I228" s="13">
        <v>1</v>
      </c>
      <c r="K228" t="s">
        <v>116</v>
      </c>
    </row>
    <row r="229" spans="1:11">
      <c r="A229" s="2">
        <v>228</v>
      </c>
      <c r="B229" s="19" t="s">
        <v>395</v>
      </c>
      <c r="C229" s="20">
        <v>0</v>
      </c>
      <c r="D229" s="7" t="s">
        <v>116</v>
      </c>
      <c r="E229" s="7">
        <f t="shared" si="5"/>
        <v>1</v>
      </c>
      <c r="F229" s="20">
        <v>101</v>
      </c>
      <c r="G229" s="20">
        <v>1</v>
      </c>
      <c r="H229" s="20" t="s">
        <v>396</v>
      </c>
      <c r="I229" s="13">
        <v>1</v>
      </c>
      <c r="K229" t="s">
        <v>116</v>
      </c>
    </row>
    <row r="230" spans="1:11">
      <c r="A230" s="2">
        <v>229</v>
      </c>
      <c r="B230" s="19" t="s">
        <v>419</v>
      </c>
      <c r="C230" s="20">
        <v>0</v>
      </c>
      <c r="D230" s="7" t="s">
        <v>116</v>
      </c>
      <c r="E230" s="7">
        <f t="shared" si="5"/>
        <v>1</v>
      </c>
      <c r="F230" s="20">
        <v>101</v>
      </c>
      <c r="G230" s="20">
        <v>1</v>
      </c>
      <c r="H230" s="20" t="s">
        <v>420</v>
      </c>
      <c r="I230" s="13">
        <v>1</v>
      </c>
      <c r="K230" t="s">
        <v>116</v>
      </c>
    </row>
    <row r="231" spans="1:11">
      <c r="A231" s="2">
        <v>230</v>
      </c>
      <c r="B231" s="19" t="s">
        <v>421</v>
      </c>
      <c r="C231" s="20">
        <v>0</v>
      </c>
      <c r="D231" s="7" t="s">
        <v>116</v>
      </c>
      <c r="E231" s="7">
        <f t="shared" si="5"/>
        <v>1</v>
      </c>
      <c r="F231" s="20">
        <v>101</v>
      </c>
      <c r="G231" s="20">
        <v>1</v>
      </c>
      <c r="H231" s="20" t="s">
        <v>422</v>
      </c>
      <c r="I231" s="13">
        <v>1</v>
      </c>
      <c r="K231" t="s">
        <v>116</v>
      </c>
    </row>
    <row r="232" spans="1:11">
      <c r="A232" s="2">
        <v>231</v>
      </c>
      <c r="B232" s="19" t="s">
        <v>423</v>
      </c>
      <c r="C232" s="20">
        <v>0</v>
      </c>
      <c r="D232" s="7" t="s">
        <v>116</v>
      </c>
      <c r="E232" s="7">
        <f t="shared" si="5"/>
        <v>1</v>
      </c>
      <c r="F232" s="20">
        <v>101</v>
      </c>
      <c r="G232" s="20">
        <v>1</v>
      </c>
      <c r="H232" s="20" t="s">
        <v>424</v>
      </c>
      <c r="I232" s="13">
        <v>1</v>
      </c>
      <c r="K232" t="s">
        <v>116</v>
      </c>
    </row>
    <row r="233" spans="1:11">
      <c r="A233" s="2">
        <v>232</v>
      </c>
      <c r="B233" s="19" t="s">
        <v>425</v>
      </c>
      <c r="C233" s="20">
        <v>0</v>
      </c>
      <c r="D233" s="7" t="s">
        <v>116</v>
      </c>
      <c r="E233" s="7">
        <f t="shared" si="5"/>
        <v>1</v>
      </c>
      <c r="F233" s="20">
        <v>101</v>
      </c>
      <c r="G233" s="20">
        <v>1</v>
      </c>
      <c r="H233" s="20" t="s">
        <v>426</v>
      </c>
      <c r="I233" s="13">
        <v>1</v>
      </c>
      <c r="K233" t="s">
        <v>116</v>
      </c>
    </row>
    <row r="234" spans="1:11">
      <c r="A234" s="2">
        <v>233</v>
      </c>
      <c r="B234" s="19" t="s">
        <v>449</v>
      </c>
      <c r="C234" s="20">
        <v>0</v>
      </c>
      <c r="D234" s="7" t="s">
        <v>116</v>
      </c>
      <c r="E234" s="7">
        <f t="shared" si="5"/>
        <v>1</v>
      </c>
      <c r="F234" s="20">
        <v>101</v>
      </c>
      <c r="G234" s="20">
        <v>1</v>
      </c>
      <c r="H234" s="20" t="s">
        <v>450</v>
      </c>
      <c r="I234" s="13">
        <v>1</v>
      </c>
      <c r="K234" t="s">
        <v>116</v>
      </c>
    </row>
    <row r="235" spans="1:11">
      <c r="A235" s="2">
        <v>234</v>
      </c>
      <c r="B235" s="19" t="s">
        <v>451</v>
      </c>
      <c r="C235" s="20">
        <v>0</v>
      </c>
      <c r="D235" s="7" t="s">
        <v>116</v>
      </c>
      <c r="E235" s="7">
        <f t="shared" si="5"/>
        <v>1</v>
      </c>
      <c r="F235" s="20">
        <v>101</v>
      </c>
      <c r="G235" s="20">
        <v>1</v>
      </c>
      <c r="H235" s="20" t="s">
        <v>452</v>
      </c>
      <c r="I235" s="13">
        <v>1</v>
      </c>
      <c r="K235" t="s">
        <v>116</v>
      </c>
    </row>
    <row r="236" spans="1:11">
      <c r="A236" s="2">
        <v>235</v>
      </c>
      <c r="B236" s="19" t="s">
        <v>453</v>
      </c>
      <c r="C236" s="20">
        <v>0</v>
      </c>
      <c r="D236" s="7" t="s">
        <v>116</v>
      </c>
      <c r="E236" s="7">
        <f t="shared" si="5"/>
        <v>1</v>
      </c>
      <c r="F236" s="20">
        <v>101</v>
      </c>
      <c r="G236" s="20">
        <v>1</v>
      </c>
      <c r="H236" s="20" t="s">
        <v>454</v>
      </c>
      <c r="I236" s="13">
        <v>1</v>
      </c>
      <c r="K236" t="s">
        <v>116</v>
      </c>
    </row>
    <row r="237" spans="1:11">
      <c r="A237" s="2">
        <v>236</v>
      </c>
      <c r="B237" s="19" t="s">
        <v>455</v>
      </c>
      <c r="C237" s="20">
        <v>0</v>
      </c>
      <c r="D237" s="7" t="s">
        <v>116</v>
      </c>
      <c r="E237" s="7">
        <f t="shared" si="5"/>
        <v>1</v>
      </c>
      <c r="F237" s="20">
        <v>101</v>
      </c>
      <c r="G237" s="20">
        <v>1</v>
      </c>
      <c r="H237" s="20" t="s">
        <v>456</v>
      </c>
      <c r="I237" s="13">
        <v>1</v>
      </c>
      <c r="K237" t="s">
        <v>116</v>
      </c>
    </row>
    <row r="238" spans="1:11">
      <c r="A238" s="2">
        <v>237</v>
      </c>
      <c r="B238" s="2" t="s">
        <v>180</v>
      </c>
      <c r="C238" s="2">
        <v>22</v>
      </c>
      <c r="D238" s="7" t="s">
        <v>116</v>
      </c>
      <c r="E238" s="7">
        <f t="shared" si="5"/>
        <v>1</v>
      </c>
      <c r="F238" s="2">
        <v>102</v>
      </c>
      <c r="G238" s="2"/>
      <c r="H238" s="2" t="s">
        <v>181</v>
      </c>
      <c r="I238" s="21"/>
      <c r="K238" t="s">
        <v>116</v>
      </c>
    </row>
    <row r="239" spans="1:11">
      <c r="A239" s="2">
        <v>238</v>
      </c>
      <c r="B239" s="2" t="s">
        <v>183</v>
      </c>
      <c r="C239" s="2">
        <v>33</v>
      </c>
      <c r="D239" s="7" t="s">
        <v>116</v>
      </c>
      <c r="E239" s="7">
        <f t="shared" si="5"/>
        <v>1</v>
      </c>
      <c r="F239" s="2">
        <v>102</v>
      </c>
      <c r="G239" s="2"/>
      <c r="H239" s="2" t="s">
        <v>184</v>
      </c>
      <c r="I239" s="21"/>
      <c r="K239" t="s">
        <v>116</v>
      </c>
    </row>
    <row r="240" spans="1:11">
      <c r="A240" s="2">
        <v>239</v>
      </c>
      <c r="B240" s="2" t="s">
        <v>186</v>
      </c>
      <c r="C240" s="2">
        <v>44</v>
      </c>
      <c r="D240" s="7" t="s">
        <v>116</v>
      </c>
      <c r="E240" s="7">
        <f t="shared" si="5"/>
        <v>1</v>
      </c>
      <c r="F240" s="2">
        <v>102</v>
      </c>
      <c r="G240" s="2"/>
      <c r="H240" s="2" t="s">
        <v>187</v>
      </c>
      <c r="I240" s="21"/>
      <c r="K240" t="s">
        <v>116</v>
      </c>
    </row>
    <row r="241" spans="1:11">
      <c r="A241" s="2">
        <v>240</v>
      </c>
      <c r="B241" s="2" t="s">
        <v>192</v>
      </c>
      <c r="C241" s="2">
        <v>22</v>
      </c>
      <c r="D241" s="7" t="s">
        <v>116</v>
      </c>
      <c r="E241" s="7">
        <f t="shared" si="5"/>
        <v>1</v>
      </c>
      <c r="F241" s="2">
        <v>102</v>
      </c>
      <c r="G241" s="2"/>
      <c r="H241" s="2" t="s">
        <v>193</v>
      </c>
      <c r="I241" s="21"/>
      <c r="K241" t="s">
        <v>116</v>
      </c>
    </row>
    <row r="242" spans="1:11">
      <c r="A242" s="2">
        <v>241</v>
      </c>
      <c r="B242" s="2" t="s">
        <v>195</v>
      </c>
      <c r="C242" s="2">
        <v>33</v>
      </c>
      <c r="D242" s="7" t="s">
        <v>116</v>
      </c>
      <c r="E242" s="7">
        <f t="shared" si="5"/>
        <v>1</v>
      </c>
      <c r="F242" s="2">
        <v>102</v>
      </c>
      <c r="G242" s="2"/>
      <c r="H242" s="2" t="s">
        <v>196</v>
      </c>
      <c r="I242" s="21"/>
      <c r="K242" t="s">
        <v>116</v>
      </c>
    </row>
    <row r="243" spans="1:11">
      <c r="A243" s="2">
        <v>242</v>
      </c>
      <c r="B243" s="2" t="s">
        <v>198</v>
      </c>
      <c r="C243" s="2">
        <v>44</v>
      </c>
      <c r="D243" s="7" t="s">
        <v>116</v>
      </c>
      <c r="E243" s="7">
        <f t="shared" si="5"/>
        <v>1</v>
      </c>
      <c r="F243" s="2">
        <v>102</v>
      </c>
      <c r="G243" s="2"/>
      <c r="H243" s="2" t="s">
        <v>199</v>
      </c>
      <c r="I243" s="21"/>
      <c r="K243" t="s">
        <v>116</v>
      </c>
    </row>
    <row r="244" spans="1:11">
      <c r="A244" s="2">
        <v>243</v>
      </c>
      <c r="B244" s="2" t="s">
        <v>203</v>
      </c>
      <c r="C244" s="2">
        <v>22</v>
      </c>
      <c r="D244" s="7" t="s">
        <v>116</v>
      </c>
      <c r="E244" s="7">
        <f t="shared" si="5"/>
        <v>1</v>
      </c>
      <c r="F244" s="2">
        <v>102</v>
      </c>
      <c r="G244" s="2"/>
      <c r="H244" s="2" t="s">
        <v>204</v>
      </c>
      <c r="I244" s="21"/>
      <c r="K244" t="s">
        <v>116</v>
      </c>
    </row>
    <row r="245" spans="1:11">
      <c r="A245" s="2">
        <v>244</v>
      </c>
      <c r="B245" s="2" t="s">
        <v>205</v>
      </c>
      <c r="C245" s="2">
        <v>33</v>
      </c>
      <c r="D245" s="7" t="s">
        <v>116</v>
      </c>
      <c r="E245" s="7">
        <f t="shared" si="5"/>
        <v>1</v>
      </c>
      <c r="F245" s="2">
        <v>102</v>
      </c>
      <c r="G245" s="2"/>
      <c r="H245" s="2" t="s">
        <v>206</v>
      </c>
      <c r="I245" s="21"/>
      <c r="K245" t="s">
        <v>116</v>
      </c>
    </row>
    <row r="246" spans="1:11">
      <c r="A246" s="2">
        <v>245</v>
      </c>
      <c r="B246" s="2" t="s">
        <v>207</v>
      </c>
      <c r="C246" s="2">
        <v>44</v>
      </c>
      <c r="D246" s="7" t="s">
        <v>116</v>
      </c>
      <c r="E246" s="7">
        <f t="shared" si="5"/>
        <v>1</v>
      </c>
      <c r="F246" s="2">
        <v>102</v>
      </c>
      <c r="G246" s="2"/>
      <c r="H246" s="2" t="s">
        <v>208</v>
      </c>
      <c r="I246" s="21"/>
      <c r="K246" t="s">
        <v>116</v>
      </c>
    </row>
    <row r="247" spans="1:11">
      <c r="A247" s="2">
        <v>246</v>
      </c>
      <c r="B247" s="2" t="s">
        <v>211</v>
      </c>
      <c r="C247" s="2">
        <v>22</v>
      </c>
      <c r="D247" s="7" t="s">
        <v>116</v>
      </c>
      <c r="E247" s="7">
        <f t="shared" si="5"/>
        <v>1</v>
      </c>
      <c r="F247" s="2">
        <v>102</v>
      </c>
      <c r="G247" s="2"/>
      <c r="H247" s="2" t="s">
        <v>212</v>
      </c>
      <c r="I247" s="21"/>
      <c r="K247" t="s">
        <v>116</v>
      </c>
    </row>
    <row r="248" spans="1:11">
      <c r="A248" s="2">
        <v>247</v>
      </c>
      <c r="B248" s="2" t="s">
        <v>213</v>
      </c>
      <c r="C248" s="2">
        <v>33</v>
      </c>
      <c r="D248" s="7" t="s">
        <v>116</v>
      </c>
      <c r="E248" s="7">
        <f t="shared" si="5"/>
        <v>1</v>
      </c>
      <c r="F248" s="2">
        <v>102</v>
      </c>
      <c r="G248" s="2"/>
      <c r="H248" s="2" t="s">
        <v>214</v>
      </c>
      <c r="I248" s="21"/>
      <c r="K248" t="s">
        <v>116</v>
      </c>
    </row>
    <row r="249" spans="1:11">
      <c r="A249" s="2">
        <v>248</v>
      </c>
      <c r="B249" s="2" t="s">
        <v>215</v>
      </c>
      <c r="C249" s="2">
        <v>44</v>
      </c>
      <c r="D249" s="7" t="s">
        <v>116</v>
      </c>
      <c r="E249" s="7">
        <f t="shared" si="5"/>
        <v>1</v>
      </c>
      <c r="F249" s="2">
        <v>102</v>
      </c>
      <c r="G249" s="2"/>
      <c r="H249" s="2" t="s">
        <v>216</v>
      </c>
      <c r="I249" s="21"/>
      <c r="K249" t="s">
        <v>116</v>
      </c>
    </row>
    <row r="250" spans="1:11">
      <c r="A250" s="2">
        <v>249</v>
      </c>
      <c r="B250" s="2" t="s">
        <v>219</v>
      </c>
      <c r="C250" s="2">
        <v>22</v>
      </c>
      <c r="D250" s="7" t="s">
        <v>116</v>
      </c>
      <c r="E250" s="7">
        <f t="shared" si="5"/>
        <v>1</v>
      </c>
      <c r="F250" s="2">
        <v>102</v>
      </c>
      <c r="G250" s="2"/>
      <c r="H250" s="2" t="s">
        <v>220</v>
      </c>
      <c r="I250" s="21"/>
      <c r="K250" t="s">
        <v>116</v>
      </c>
    </row>
    <row r="251" spans="1:11">
      <c r="A251" s="2">
        <v>250</v>
      </c>
      <c r="B251" s="2" t="s">
        <v>221</v>
      </c>
      <c r="C251" s="2">
        <v>33</v>
      </c>
      <c r="D251" s="7" t="s">
        <v>116</v>
      </c>
      <c r="E251" s="7">
        <f t="shared" si="5"/>
        <v>1</v>
      </c>
      <c r="F251" s="2">
        <v>102</v>
      </c>
      <c r="G251" s="2"/>
      <c r="H251" s="2" t="s">
        <v>222</v>
      </c>
      <c r="I251" s="21"/>
      <c r="K251" t="s">
        <v>116</v>
      </c>
    </row>
    <row r="252" spans="1:11">
      <c r="A252" s="2">
        <v>251</v>
      </c>
      <c r="B252" s="2" t="s">
        <v>223</v>
      </c>
      <c r="C252" s="2">
        <v>44</v>
      </c>
      <c r="D252" s="7" t="s">
        <v>116</v>
      </c>
      <c r="E252" s="7">
        <f t="shared" si="5"/>
        <v>1</v>
      </c>
      <c r="F252" s="2">
        <v>102</v>
      </c>
      <c r="G252" s="2"/>
      <c r="H252" s="2" t="s">
        <v>224</v>
      </c>
      <c r="I252" s="21"/>
      <c r="K252" t="s">
        <v>116</v>
      </c>
    </row>
    <row r="253" spans="1:11">
      <c r="A253" s="2">
        <v>252</v>
      </c>
      <c r="B253" s="2" t="s">
        <v>227</v>
      </c>
      <c r="C253" s="2">
        <v>22</v>
      </c>
      <c r="D253" s="7" t="s">
        <v>116</v>
      </c>
      <c r="E253" s="7">
        <f t="shared" si="5"/>
        <v>1</v>
      </c>
      <c r="F253" s="2">
        <v>102</v>
      </c>
      <c r="G253" s="2"/>
      <c r="H253" s="2" t="s">
        <v>228</v>
      </c>
      <c r="I253" s="21"/>
      <c r="K253" t="s">
        <v>116</v>
      </c>
    </row>
    <row r="254" spans="1:11">
      <c r="A254" s="2">
        <v>253</v>
      </c>
      <c r="B254" s="2" t="s">
        <v>229</v>
      </c>
      <c r="C254" s="2">
        <v>33</v>
      </c>
      <c r="D254" s="7" t="s">
        <v>116</v>
      </c>
      <c r="E254" s="7">
        <f t="shared" si="5"/>
        <v>1</v>
      </c>
      <c r="F254" s="2">
        <v>102</v>
      </c>
      <c r="G254" s="2"/>
      <c r="H254" s="2" t="s">
        <v>230</v>
      </c>
      <c r="I254" s="21"/>
      <c r="K254" t="s">
        <v>116</v>
      </c>
    </row>
    <row r="255" spans="1:11">
      <c r="A255" s="2">
        <v>254</v>
      </c>
      <c r="B255" s="2" t="s">
        <v>231</v>
      </c>
      <c r="C255" s="2">
        <v>44</v>
      </c>
      <c r="D255" s="7" t="s">
        <v>116</v>
      </c>
      <c r="E255" s="7">
        <f t="shared" si="5"/>
        <v>1</v>
      </c>
      <c r="F255" s="2">
        <v>102</v>
      </c>
      <c r="G255" s="2"/>
      <c r="H255" s="2" t="s">
        <v>232</v>
      </c>
      <c r="I255" s="21"/>
      <c r="K255" t="s">
        <v>116</v>
      </c>
    </row>
    <row r="256" spans="1:11">
      <c r="A256" s="2">
        <v>255</v>
      </c>
      <c r="B256" t="s">
        <v>235</v>
      </c>
      <c r="C256">
        <v>22</v>
      </c>
      <c r="D256" s="7" t="s">
        <v>116</v>
      </c>
      <c r="E256" s="7">
        <f t="shared" si="5"/>
        <v>1</v>
      </c>
      <c r="F256" s="2">
        <v>102</v>
      </c>
      <c r="H256" t="s">
        <v>236</v>
      </c>
      <c r="I256" s="21"/>
      <c r="K256" t="s">
        <v>116</v>
      </c>
    </row>
    <row r="257" spans="1:11">
      <c r="A257" s="2">
        <v>256</v>
      </c>
      <c r="B257" t="s">
        <v>237</v>
      </c>
      <c r="C257">
        <v>33</v>
      </c>
      <c r="D257" s="7" t="s">
        <v>116</v>
      </c>
      <c r="E257" s="7">
        <f t="shared" si="5"/>
        <v>1</v>
      </c>
      <c r="F257" s="2">
        <v>102</v>
      </c>
      <c r="H257" t="s">
        <v>238</v>
      </c>
      <c r="I257" s="21"/>
      <c r="K257" t="s">
        <v>116</v>
      </c>
    </row>
    <row r="258" spans="1:11">
      <c r="A258" s="2">
        <v>257</v>
      </c>
      <c r="B258" t="s">
        <v>239</v>
      </c>
      <c r="C258">
        <v>44</v>
      </c>
      <c r="D258" s="7" t="s">
        <v>116</v>
      </c>
      <c r="E258" s="7">
        <f t="shared" ref="E258:E321" si="6">IF(D258="",1,99)</f>
        <v>1</v>
      </c>
      <c r="F258" s="2">
        <v>102</v>
      </c>
      <c r="H258" t="s">
        <v>240</v>
      </c>
      <c r="I258" s="21"/>
      <c r="K258" t="s">
        <v>116</v>
      </c>
    </row>
    <row r="259" spans="1:11">
      <c r="A259" s="2">
        <v>258</v>
      </c>
      <c r="B259" t="s">
        <v>243</v>
      </c>
      <c r="C259">
        <v>22</v>
      </c>
      <c r="D259" s="7" t="s">
        <v>116</v>
      </c>
      <c r="E259" s="7">
        <f t="shared" si="6"/>
        <v>1</v>
      </c>
      <c r="F259" s="2">
        <v>102</v>
      </c>
      <c r="H259" t="s">
        <v>244</v>
      </c>
      <c r="I259" s="21"/>
      <c r="K259" t="s">
        <v>116</v>
      </c>
    </row>
    <row r="260" spans="1:11">
      <c r="A260" s="2">
        <v>259</v>
      </c>
      <c r="B260" t="s">
        <v>245</v>
      </c>
      <c r="C260">
        <v>33</v>
      </c>
      <c r="D260" s="7" t="s">
        <v>116</v>
      </c>
      <c r="E260" s="7">
        <f t="shared" si="6"/>
        <v>1</v>
      </c>
      <c r="F260" s="2">
        <v>102</v>
      </c>
      <c r="H260" t="s">
        <v>246</v>
      </c>
      <c r="I260" s="21"/>
      <c r="K260" t="s">
        <v>116</v>
      </c>
    </row>
    <row r="261" spans="1:11">
      <c r="A261" s="2">
        <v>260</v>
      </c>
      <c r="B261" t="s">
        <v>247</v>
      </c>
      <c r="C261">
        <v>44</v>
      </c>
      <c r="D261" s="7" t="s">
        <v>116</v>
      </c>
      <c r="E261" s="7">
        <f t="shared" si="6"/>
        <v>1</v>
      </c>
      <c r="F261" s="2">
        <v>102</v>
      </c>
      <c r="H261" t="s">
        <v>248</v>
      </c>
      <c r="I261" s="21"/>
      <c r="K261" t="s">
        <v>116</v>
      </c>
    </row>
    <row r="262" spans="1:11">
      <c r="A262" s="2">
        <v>261</v>
      </c>
      <c r="B262" t="s">
        <v>251</v>
      </c>
      <c r="C262">
        <v>22</v>
      </c>
      <c r="D262" s="7" t="s">
        <v>116</v>
      </c>
      <c r="E262" s="7">
        <f t="shared" si="6"/>
        <v>1</v>
      </c>
      <c r="F262" s="2">
        <v>102</v>
      </c>
      <c r="H262" t="s">
        <v>252</v>
      </c>
      <c r="I262" s="21"/>
      <c r="K262" t="s">
        <v>116</v>
      </c>
    </row>
    <row r="263" spans="1:11">
      <c r="A263" s="2">
        <v>262</v>
      </c>
      <c r="B263" t="s">
        <v>253</v>
      </c>
      <c r="C263">
        <v>33</v>
      </c>
      <c r="D263" s="7" t="s">
        <v>116</v>
      </c>
      <c r="E263" s="7">
        <f t="shared" si="6"/>
        <v>1</v>
      </c>
      <c r="F263" s="2">
        <v>102</v>
      </c>
      <c r="H263" t="s">
        <v>254</v>
      </c>
      <c r="I263" s="21"/>
      <c r="K263" t="s">
        <v>116</v>
      </c>
    </row>
    <row r="264" spans="1:11">
      <c r="A264" s="2">
        <v>263</v>
      </c>
      <c r="B264" t="s">
        <v>255</v>
      </c>
      <c r="C264">
        <v>44</v>
      </c>
      <c r="D264" s="7" t="s">
        <v>116</v>
      </c>
      <c r="E264" s="7">
        <f t="shared" si="6"/>
        <v>1</v>
      </c>
      <c r="F264" s="2">
        <v>102</v>
      </c>
      <c r="H264" t="s">
        <v>256</v>
      </c>
      <c r="I264" s="21"/>
      <c r="K264" t="s">
        <v>116</v>
      </c>
    </row>
    <row r="265" spans="1:11">
      <c r="A265" s="2">
        <v>264</v>
      </c>
      <c r="B265" t="s">
        <v>259</v>
      </c>
      <c r="C265">
        <v>22</v>
      </c>
      <c r="D265" s="7" t="s">
        <v>116</v>
      </c>
      <c r="E265" s="7">
        <f t="shared" si="6"/>
        <v>1</v>
      </c>
      <c r="F265" s="2">
        <v>102</v>
      </c>
      <c r="H265" t="s">
        <v>260</v>
      </c>
      <c r="I265" s="21"/>
      <c r="K265" t="s">
        <v>116</v>
      </c>
    </row>
    <row r="266" spans="1:11">
      <c r="A266" s="2">
        <v>265</v>
      </c>
      <c r="B266" t="s">
        <v>261</v>
      </c>
      <c r="C266">
        <v>33</v>
      </c>
      <c r="D266" s="7" t="s">
        <v>116</v>
      </c>
      <c r="E266" s="7">
        <f t="shared" si="6"/>
        <v>1</v>
      </c>
      <c r="F266" s="2">
        <v>102</v>
      </c>
      <c r="H266" t="s">
        <v>262</v>
      </c>
      <c r="I266" s="21"/>
      <c r="K266" t="s">
        <v>116</v>
      </c>
    </row>
    <row r="267" spans="1:11">
      <c r="A267" s="2">
        <v>266</v>
      </c>
      <c r="B267" t="s">
        <v>263</v>
      </c>
      <c r="C267">
        <v>44</v>
      </c>
      <c r="D267" s="7" t="s">
        <v>116</v>
      </c>
      <c r="E267" s="7">
        <f t="shared" si="6"/>
        <v>1</v>
      </c>
      <c r="F267" s="2">
        <v>102</v>
      </c>
      <c r="H267" t="s">
        <v>264</v>
      </c>
      <c r="I267" s="21"/>
      <c r="K267" t="s">
        <v>116</v>
      </c>
    </row>
    <row r="268" spans="1:11">
      <c r="A268" s="2">
        <v>267</v>
      </c>
      <c r="B268" t="s">
        <v>267</v>
      </c>
      <c r="C268">
        <v>22</v>
      </c>
      <c r="D268" s="7" t="s">
        <v>116</v>
      </c>
      <c r="E268" s="7">
        <f t="shared" si="6"/>
        <v>1</v>
      </c>
      <c r="F268" s="2">
        <v>102</v>
      </c>
      <c r="H268" t="s">
        <v>268</v>
      </c>
      <c r="I268" s="21"/>
      <c r="K268" t="s">
        <v>116</v>
      </c>
    </row>
    <row r="269" spans="1:11">
      <c r="A269" s="2">
        <v>268</v>
      </c>
      <c r="B269" t="s">
        <v>269</v>
      </c>
      <c r="C269">
        <v>33</v>
      </c>
      <c r="D269" s="7" t="s">
        <v>116</v>
      </c>
      <c r="E269" s="7">
        <f t="shared" si="6"/>
        <v>1</v>
      </c>
      <c r="F269" s="2">
        <v>102</v>
      </c>
      <c r="H269" t="s">
        <v>270</v>
      </c>
      <c r="I269" s="21"/>
      <c r="K269" t="s">
        <v>116</v>
      </c>
    </row>
    <row r="270" spans="1:11">
      <c r="A270" s="2">
        <v>269</v>
      </c>
      <c r="B270" t="s">
        <v>271</v>
      </c>
      <c r="C270">
        <v>44</v>
      </c>
      <c r="D270" s="7" t="s">
        <v>116</v>
      </c>
      <c r="E270" s="7">
        <f t="shared" si="6"/>
        <v>1</v>
      </c>
      <c r="F270" s="2">
        <v>102</v>
      </c>
      <c r="H270" t="s">
        <v>272</v>
      </c>
      <c r="I270" s="21"/>
      <c r="K270" t="s">
        <v>116</v>
      </c>
    </row>
    <row r="271" spans="1:11">
      <c r="A271" s="2">
        <v>270</v>
      </c>
      <c r="B271" t="s">
        <v>275</v>
      </c>
      <c r="C271">
        <v>22</v>
      </c>
      <c r="D271" s="7" t="s">
        <v>116</v>
      </c>
      <c r="E271" s="7">
        <f t="shared" si="6"/>
        <v>1</v>
      </c>
      <c r="F271" s="2">
        <v>102</v>
      </c>
      <c r="H271" t="s">
        <v>276</v>
      </c>
      <c r="I271" s="21"/>
      <c r="K271" t="s">
        <v>116</v>
      </c>
    </row>
    <row r="272" spans="1:11">
      <c r="A272" s="2">
        <v>271</v>
      </c>
      <c r="B272" t="s">
        <v>277</v>
      </c>
      <c r="C272">
        <v>33</v>
      </c>
      <c r="D272" s="7" t="s">
        <v>116</v>
      </c>
      <c r="E272" s="7">
        <f t="shared" si="6"/>
        <v>1</v>
      </c>
      <c r="F272" s="2">
        <v>102</v>
      </c>
      <c r="H272" t="s">
        <v>278</v>
      </c>
      <c r="I272" s="21"/>
      <c r="K272" t="s">
        <v>116</v>
      </c>
    </row>
    <row r="273" spans="1:11">
      <c r="A273" s="2">
        <v>272</v>
      </c>
      <c r="B273" t="s">
        <v>279</v>
      </c>
      <c r="C273">
        <v>44</v>
      </c>
      <c r="D273" s="7" t="s">
        <v>116</v>
      </c>
      <c r="E273" s="7">
        <f t="shared" si="6"/>
        <v>1</v>
      </c>
      <c r="F273" s="2">
        <v>102</v>
      </c>
      <c r="H273" t="s">
        <v>280</v>
      </c>
      <c r="I273" s="21"/>
      <c r="K273" t="s">
        <v>116</v>
      </c>
    </row>
    <row r="274" spans="1:11">
      <c r="A274" s="2">
        <v>273</v>
      </c>
      <c r="B274" t="s">
        <v>283</v>
      </c>
      <c r="C274">
        <v>22</v>
      </c>
      <c r="D274" s="7" t="s">
        <v>116</v>
      </c>
      <c r="E274" s="7">
        <f t="shared" si="6"/>
        <v>1</v>
      </c>
      <c r="F274" s="2">
        <v>102</v>
      </c>
      <c r="H274" t="s">
        <v>284</v>
      </c>
      <c r="I274" s="21"/>
      <c r="K274" t="s">
        <v>116</v>
      </c>
    </row>
    <row r="275" spans="1:11">
      <c r="A275" s="2">
        <v>274</v>
      </c>
      <c r="B275" t="s">
        <v>285</v>
      </c>
      <c r="C275">
        <v>33</v>
      </c>
      <c r="D275" s="7" t="s">
        <v>116</v>
      </c>
      <c r="E275" s="7">
        <f t="shared" si="6"/>
        <v>1</v>
      </c>
      <c r="F275" s="2">
        <v>102</v>
      </c>
      <c r="H275" t="s">
        <v>286</v>
      </c>
      <c r="I275" s="21"/>
      <c r="K275" t="s">
        <v>116</v>
      </c>
    </row>
    <row r="276" spans="1:11">
      <c r="A276" s="2">
        <v>275</v>
      </c>
      <c r="B276" t="s">
        <v>287</v>
      </c>
      <c r="C276">
        <v>44</v>
      </c>
      <c r="D276" s="7" t="s">
        <v>116</v>
      </c>
      <c r="E276" s="7">
        <f t="shared" si="6"/>
        <v>1</v>
      </c>
      <c r="F276" s="2">
        <v>102</v>
      </c>
      <c r="H276" t="s">
        <v>288</v>
      </c>
      <c r="I276" s="21"/>
      <c r="K276" t="s">
        <v>116</v>
      </c>
    </row>
    <row r="277" spans="1:11">
      <c r="A277" s="2">
        <v>276</v>
      </c>
      <c r="B277" t="s">
        <v>291</v>
      </c>
      <c r="C277">
        <v>22</v>
      </c>
      <c r="D277" s="7" t="s">
        <v>116</v>
      </c>
      <c r="E277" s="7">
        <f t="shared" si="6"/>
        <v>1</v>
      </c>
      <c r="F277" s="2">
        <v>102</v>
      </c>
      <c r="H277" t="s">
        <v>292</v>
      </c>
      <c r="I277" s="21"/>
      <c r="K277" t="s">
        <v>116</v>
      </c>
    </row>
    <row r="278" spans="1:11">
      <c r="A278" s="2">
        <v>277</v>
      </c>
      <c r="B278" t="s">
        <v>293</v>
      </c>
      <c r="C278">
        <v>33</v>
      </c>
      <c r="D278" s="7" t="s">
        <v>116</v>
      </c>
      <c r="E278" s="7">
        <f t="shared" si="6"/>
        <v>1</v>
      </c>
      <c r="F278" s="2">
        <v>102</v>
      </c>
      <c r="H278" t="s">
        <v>294</v>
      </c>
      <c r="I278" s="21"/>
      <c r="K278" t="s">
        <v>116</v>
      </c>
    </row>
    <row r="279" spans="1:11">
      <c r="A279" s="2">
        <v>278</v>
      </c>
      <c r="B279" t="s">
        <v>295</v>
      </c>
      <c r="C279">
        <v>44</v>
      </c>
      <c r="D279" s="7" t="s">
        <v>116</v>
      </c>
      <c r="E279" s="7">
        <f t="shared" si="6"/>
        <v>1</v>
      </c>
      <c r="F279" s="2">
        <v>102</v>
      </c>
      <c r="H279" t="s">
        <v>296</v>
      </c>
      <c r="I279" s="21"/>
      <c r="K279" t="s">
        <v>116</v>
      </c>
    </row>
    <row r="280" spans="1:11">
      <c r="A280" s="2">
        <v>279</v>
      </c>
      <c r="B280" t="s">
        <v>299</v>
      </c>
      <c r="C280">
        <v>22</v>
      </c>
      <c r="D280" s="7" t="s">
        <v>116</v>
      </c>
      <c r="E280" s="7">
        <f t="shared" si="6"/>
        <v>1</v>
      </c>
      <c r="F280" s="2">
        <v>102</v>
      </c>
      <c r="H280" t="s">
        <v>300</v>
      </c>
      <c r="I280" s="21"/>
      <c r="K280" t="s">
        <v>116</v>
      </c>
    </row>
    <row r="281" spans="1:11">
      <c r="A281" s="2">
        <v>280</v>
      </c>
      <c r="B281" t="s">
        <v>301</v>
      </c>
      <c r="C281">
        <v>33</v>
      </c>
      <c r="D281" s="7" t="s">
        <v>116</v>
      </c>
      <c r="E281" s="7">
        <f t="shared" si="6"/>
        <v>1</v>
      </c>
      <c r="F281" s="2">
        <v>102</v>
      </c>
      <c r="H281" t="s">
        <v>302</v>
      </c>
      <c r="I281" s="21"/>
      <c r="K281" t="s">
        <v>116</v>
      </c>
    </row>
    <row r="282" spans="1:11">
      <c r="A282" s="2">
        <v>281</v>
      </c>
      <c r="B282" t="s">
        <v>303</v>
      </c>
      <c r="C282">
        <v>44</v>
      </c>
      <c r="D282" s="7" t="s">
        <v>116</v>
      </c>
      <c r="E282" s="7">
        <f t="shared" si="6"/>
        <v>1</v>
      </c>
      <c r="F282" s="2">
        <v>102</v>
      </c>
      <c r="H282" t="s">
        <v>304</v>
      </c>
      <c r="I282" s="21"/>
      <c r="K282" t="s">
        <v>116</v>
      </c>
    </row>
    <row r="283" spans="1:11">
      <c r="A283" s="2">
        <v>282</v>
      </c>
      <c r="B283" t="s">
        <v>307</v>
      </c>
      <c r="C283">
        <v>22</v>
      </c>
      <c r="D283" s="7" t="s">
        <v>116</v>
      </c>
      <c r="E283" s="7">
        <f t="shared" si="6"/>
        <v>1</v>
      </c>
      <c r="F283" s="2">
        <v>102</v>
      </c>
      <c r="H283" t="s">
        <v>308</v>
      </c>
      <c r="I283" s="21"/>
      <c r="K283" t="s">
        <v>116</v>
      </c>
    </row>
    <row r="284" spans="1:11">
      <c r="A284" s="2">
        <v>283</v>
      </c>
      <c r="B284" t="s">
        <v>309</v>
      </c>
      <c r="C284">
        <v>33</v>
      </c>
      <c r="D284" s="7" t="s">
        <v>116</v>
      </c>
      <c r="E284" s="7">
        <f t="shared" si="6"/>
        <v>1</v>
      </c>
      <c r="F284" s="2">
        <v>102</v>
      </c>
      <c r="H284" t="s">
        <v>310</v>
      </c>
      <c r="I284" s="21"/>
      <c r="K284" t="s">
        <v>116</v>
      </c>
    </row>
    <row r="285" spans="1:11">
      <c r="A285" s="2">
        <v>284</v>
      </c>
      <c r="B285" t="s">
        <v>311</v>
      </c>
      <c r="C285">
        <v>44</v>
      </c>
      <c r="D285" s="7" t="s">
        <v>116</v>
      </c>
      <c r="E285" s="7">
        <f t="shared" si="6"/>
        <v>1</v>
      </c>
      <c r="F285" s="2">
        <v>102</v>
      </c>
      <c r="H285" t="s">
        <v>312</v>
      </c>
      <c r="I285" s="21"/>
      <c r="K285" t="s">
        <v>116</v>
      </c>
    </row>
    <row r="286" spans="1:11">
      <c r="A286" s="2">
        <v>285</v>
      </c>
      <c r="B286" t="s">
        <v>316</v>
      </c>
      <c r="C286">
        <v>22</v>
      </c>
      <c r="D286" s="7" t="s">
        <v>116</v>
      </c>
      <c r="E286" s="7">
        <f t="shared" si="6"/>
        <v>1</v>
      </c>
      <c r="F286" s="2">
        <v>102</v>
      </c>
      <c r="H286" t="s">
        <v>317</v>
      </c>
      <c r="I286" s="21"/>
      <c r="K286" t="s">
        <v>116</v>
      </c>
    </row>
    <row r="287" spans="1:11">
      <c r="A287" s="2">
        <v>286</v>
      </c>
      <c r="B287" t="s">
        <v>318</v>
      </c>
      <c r="C287">
        <v>33</v>
      </c>
      <c r="D287" s="7" t="s">
        <v>116</v>
      </c>
      <c r="E287" s="7">
        <f t="shared" si="6"/>
        <v>1</v>
      </c>
      <c r="F287" s="2">
        <v>102</v>
      </c>
      <c r="H287" t="s">
        <v>319</v>
      </c>
      <c r="I287" s="21"/>
      <c r="K287" t="s">
        <v>116</v>
      </c>
    </row>
    <row r="288" spans="1:11">
      <c r="A288" s="2">
        <v>287</v>
      </c>
      <c r="B288" t="s">
        <v>320</v>
      </c>
      <c r="C288">
        <v>44</v>
      </c>
      <c r="D288" s="7" t="s">
        <v>116</v>
      </c>
      <c r="E288" s="7">
        <f t="shared" si="6"/>
        <v>1</v>
      </c>
      <c r="F288" s="2">
        <v>102</v>
      </c>
      <c r="H288" t="s">
        <v>321</v>
      </c>
      <c r="I288" s="21"/>
      <c r="K288" t="s">
        <v>116</v>
      </c>
    </row>
    <row r="289" spans="1:11">
      <c r="A289" s="2">
        <v>288</v>
      </c>
      <c r="B289" t="s">
        <v>324</v>
      </c>
      <c r="C289">
        <v>22</v>
      </c>
      <c r="D289" s="7" t="s">
        <v>116</v>
      </c>
      <c r="E289" s="7">
        <f t="shared" si="6"/>
        <v>1</v>
      </c>
      <c r="F289" s="2">
        <v>102</v>
      </c>
      <c r="I289" s="21"/>
      <c r="K289" t="s">
        <v>116</v>
      </c>
    </row>
    <row r="290" spans="1:11">
      <c r="A290" s="2">
        <v>289</v>
      </c>
      <c r="B290" t="s">
        <v>325</v>
      </c>
      <c r="C290">
        <v>33</v>
      </c>
      <c r="D290" s="7" t="s">
        <v>116</v>
      </c>
      <c r="E290" s="7">
        <f t="shared" si="6"/>
        <v>1</v>
      </c>
      <c r="F290" s="2">
        <v>102</v>
      </c>
      <c r="I290" s="21"/>
      <c r="K290" t="s">
        <v>116</v>
      </c>
    </row>
    <row r="291" spans="1:11">
      <c r="A291" s="2">
        <v>290</v>
      </c>
      <c r="B291" t="s">
        <v>326</v>
      </c>
      <c r="C291">
        <v>44</v>
      </c>
      <c r="D291" s="7" t="s">
        <v>116</v>
      </c>
      <c r="E291" s="7">
        <f t="shared" si="6"/>
        <v>1</v>
      </c>
      <c r="F291" s="2">
        <v>102</v>
      </c>
      <c r="I291" s="21"/>
      <c r="K291" t="s">
        <v>116</v>
      </c>
    </row>
    <row r="292" spans="1:11">
      <c r="A292" s="2">
        <v>291</v>
      </c>
      <c r="B292" t="s">
        <v>329</v>
      </c>
      <c r="C292">
        <v>22</v>
      </c>
      <c r="D292" s="7" t="s">
        <v>116</v>
      </c>
      <c r="E292" s="7">
        <f t="shared" si="6"/>
        <v>1</v>
      </c>
      <c r="F292" s="2">
        <v>102</v>
      </c>
      <c r="I292" s="21"/>
      <c r="K292" t="s">
        <v>116</v>
      </c>
    </row>
    <row r="293" spans="1:11">
      <c r="A293" s="2">
        <v>292</v>
      </c>
      <c r="B293" t="s">
        <v>330</v>
      </c>
      <c r="C293">
        <v>33</v>
      </c>
      <c r="D293" s="7" t="s">
        <v>116</v>
      </c>
      <c r="E293" s="7">
        <f t="shared" si="6"/>
        <v>1</v>
      </c>
      <c r="F293" s="2">
        <v>102</v>
      </c>
      <c r="I293" s="21"/>
      <c r="K293" t="s">
        <v>116</v>
      </c>
    </row>
    <row r="294" spans="1:11">
      <c r="A294" s="2">
        <v>293</v>
      </c>
      <c r="B294" t="s">
        <v>331</v>
      </c>
      <c r="C294">
        <v>44</v>
      </c>
      <c r="D294" s="7" t="s">
        <v>116</v>
      </c>
      <c r="E294" s="7">
        <f t="shared" si="6"/>
        <v>1</v>
      </c>
      <c r="F294" s="2">
        <v>102</v>
      </c>
      <c r="I294" s="21"/>
      <c r="K294" t="s">
        <v>116</v>
      </c>
    </row>
    <row r="295" spans="1:11">
      <c r="A295" s="2">
        <v>294</v>
      </c>
      <c r="B295" t="s">
        <v>332</v>
      </c>
      <c r="C295">
        <v>6000</v>
      </c>
      <c r="D295" s="7" t="s">
        <v>116</v>
      </c>
      <c r="E295" s="7">
        <f t="shared" si="6"/>
        <v>1</v>
      </c>
      <c r="F295" s="2">
        <v>102</v>
      </c>
      <c r="H295" t="s">
        <v>333</v>
      </c>
      <c r="I295" s="21"/>
      <c r="K295" t="s">
        <v>116</v>
      </c>
    </row>
    <row r="296" spans="1:11">
      <c r="A296" s="2">
        <v>295</v>
      </c>
      <c r="B296" t="s">
        <v>334</v>
      </c>
      <c r="C296">
        <v>6000</v>
      </c>
      <c r="D296" s="7" t="s">
        <v>116</v>
      </c>
      <c r="E296" s="7">
        <f t="shared" si="6"/>
        <v>1</v>
      </c>
      <c r="F296" s="2">
        <v>102</v>
      </c>
      <c r="H296" t="s">
        <v>335</v>
      </c>
      <c r="I296" s="21"/>
      <c r="K296" t="s">
        <v>116</v>
      </c>
    </row>
    <row r="297" spans="1:11">
      <c r="A297" s="2">
        <v>296</v>
      </c>
      <c r="B297" t="s">
        <v>336</v>
      </c>
      <c r="C297">
        <v>0</v>
      </c>
      <c r="D297" s="7" t="s">
        <v>116</v>
      </c>
      <c r="E297" s="7">
        <f t="shared" si="6"/>
        <v>1</v>
      </c>
      <c r="F297" s="2">
        <v>102</v>
      </c>
      <c r="H297" t="s">
        <v>337</v>
      </c>
      <c r="I297" s="21"/>
      <c r="K297" t="s">
        <v>116</v>
      </c>
    </row>
    <row r="298" spans="1:11">
      <c r="A298" s="2">
        <v>297</v>
      </c>
      <c r="B298" t="s">
        <v>338</v>
      </c>
      <c r="C298">
        <v>0</v>
      </c>
      <c r="D298" s="7" t="s">
        <v>116</v>
      </c>
      <c r="E298" s="7">
        <f t="shared" si="6"/>
        <v>1</v>
      </c>
      <c r="F298" s="2">
        <v>102</v>
      </c>
      <c r="H298" t="s">
        <v>339</v>
      </c>
      <c r="I298" s="21"/>
      <c r="K298" t="s">
        <v>116</v>
      </c>
    </row>
    <row r="299" spans="1:11">
      <c r="A299" s="2">
        <v>298</v>
      </c>
      <c r="B299" t="s">
        <v>340</v>
      </c>
      <c r="C299">
        <v>0</v>
      </c>
      <c r="D299" s="7" t="s">
        <v>116</v>
      </c>
      <c r="E299" s="7">
        <f t="shared" si="6"/>
        <v>1</v>
      </c>
      <c r="F299" s="2">
        <v>102</v>
      </c>
      <c r="H299" t="s">
        <v>341</v>
      </c>
      <c r="I299" s="21"/>
      <c r="K299">
        <v>2</v>
      </c>
    </row>
    <row r="300" spans="1:11">
      <c r="A300" s="2">
        <v>299</v>
      </c>
      <c r="B300" t="s">
        <v>342</v>
      </c>
      <c r="C300">
        <v>0</v>
      </c>
      <c r="D300" s="7" t="s">
        <v>116</v>
      </c>
      <c r="E300" s="7">
        <f t="shared" si="6"/>
        <v>1</v>
      </c>
      <c r="F300" s="2">
        <v>102</v>
      </c>
      <c r="H300" t="s">
        <v>343</v>
      </c>
      <c r="I300" s="21"/>
      <c r="K300" t="s">
        <v>116</v>
      </c>
    </row>
    <row r="301" spans="1:11">
      <c r="A301" s="2">
        <v>300</v>
      </c>
      <c r="B301" t="s">
        <v>344</v>
      </c>
      <c r="C301">
        <v>205</v>
      </c>
      <c r="D301" s="7" t="s">
        <v>116</v>
      </c>
      <c r="E301" s="7">
        <f t="shared" si="6"/>
        <v>1</v>
      </c>
      <c r="F301" s="2">
        <v>102</v>
      </c>
      <c r="H301" t="s">
        <v>345</v>
      </c>
      <c r="I301" s="21"/>
      <c r="K301" t="s">
        <v>116</v>
      </c>
    </row>
    <row r="302" spans="1:11">
      <c r="A302" s="2">
        <v>301</v>
      </c>
      <c r="B302" t="s">
        <v>346</v>
      </c>
      <c r="C302">
        <v>164</v>
      </c>
      <c r="D302" s="7" t="s">
        <v>116</v>
      </c>
      <c r="E302" s="7">
        <f t="shared" si="6"/>
        <v>1</v>
      </c>
      <c r="F302" s="2">
        <v>102</v>
      </c>
      <c r="H302" t="s">
        <v>347</v>
      </c>
      <c r="I302" s="21"/>
      <c r="K302" t="s">
        <v>116</v>
      </c>
    </row>
    <row r="303" spans="1:11">
      <c r="A303" s="2">
        <v>302</v>
      </c>
      <c r="B303" t="s">
        <v>348</v>
      </c>
      <c r="C303">
        <v>131</v>
      </c>
      <c r="D303" s="7" t="s">
        <v>116</v>
      </c>
      <c r="E303" s="7">
        <f t="shared" si="6"/>
        <v>1</v>
      </c>
      <c r="F303" s="2">
        <v>102</v>
      </c>
      <c r="H303" t="s">
        <v>349</v>
      </c>
      <c r="I303" s="21"/>
      <c r="K303" t="s">
        <v>116</v>
      </c>
    </row>
    <row r="304" spans="1:11">
      <c r="A304" s="2">
        <v>303</v>
      </c>
      <c r="B304" t="s">
        <v>350</v>
      </c>
      <c r="C304">
        <v>105</v>
      </c>
      <c r="D304" s="7" t="s">
        <v>116</v>
      </c>
      <c r="E304" s="7">
        <f t="shared" si="6"/>
        <v>1</v>
      </c>
      <c r="F304" s="2">
        <v>102</v>
      </c>
      <c r="H304" t="s">
        <v>351</v>
      </c>
      <c r="I304" s="21"/>
      <c r="K304" t="s">
        <v>116</v>
      </c>
    </row>
    <row r="305" spans="1:11">
      <c r="A305" s="2">
        <v>304</v>
      </c>
      <c r="B305" t="s">
        <v>352</v>
      </c>
      <c r="C305">
        <v>84</v>
      </c>
      <c r="D305" s="7" t="s">
        <v>116</v>
      </c>
      <c r="E305" s="7">
        <f t="shared" si="6"/>
        <v>1</v>
      </c>
      <c r="F305" s="2">
        <v>102</v>
      </c>
      <c r="H305" t="s">
        <v>353</v>
      </c>
      <c r="I305" s="21"/>
      <c r="K305" t="s">
        <v>116</v>
      </c>
    </row>
    <row r="306" spans="1:11">
      <c r="A306" s="2">
        <v>305</v>
      </c>
      <c r="B306" t="s">
        <v>354</v>
      </c>
      <c r="C306">
        <v>67</v>
      </c>
      <c r="D306" s="7" t="s">
        <v>116</v>
      </c>
      <c r="E306" s="7">
        <f t="shared" si="6"/>
        <v>1</v>
      </c>
      <c r="F306" s="2">
        <v>102</v>
      </c>
      <c r="H306" t="s">
        <v>355</v>
      </c>
      <c r="I306" s="21"/>
      <c r="K306" t="s">
        <v>116</v>
      </c>
    </row>
    <row r="307" spans="1:11">
      <c r="A307" s="2">
        <v>306</v>
      </c>
      <c r="B307" t="s">
        <v>356</v>
      </c>
      <c r="C307">
        <v>54</v>
      </c>
      <c r="D307" s="7" t="s">
        <v>116</v>
      </c>
      <c r="E307" s="7">
        <f t="shared" si="6"/>
        <v>1</v>
      </c>
      <c r="F307" s="2">
        <v>102</v>
      </c>
      <c r="H307" t="s">
        <v>357</v>
      </c>
      <c r="I307" s="21"/>
      <c r="K307" t="s">
        <v>116</v>
      </c>
    </row>
    <row r="308" spans="1:11">
      <c r="A308" s="2">
        <v>307</v>
      </c>
      <c r="B308" t="s">
        <v>367</v>
      </c>
      <c r="C308">
        <v>0</v>
      </c>
      <c r="D308" s="7" t="s">
        <v>116</v>
      </c>
      <c r="E308" s="7">
        <f t="shared" si="6"/>
        <v>1</v>
      </c>
      <c r="F308" s="2">
        <v>102</v>
      </c>
      <c r="H308" t="s">
        <v>368</v>
      </c>
      <c r="I308" s="21"/>
      <c r="K308" t="s">
        <v>116</v>
      </c>
    </row>
    <row r="309" spans="1:11">
      <c r="A309" s="2">
        <v>308</v>
      </c>
      <c r="B309" t="s">
        <v>369</v>
      </c>
      <c r="C309">
        <v>0</v>
      </c>
      <c r="D309" s="7" t="s">
        <v>116</v>
      </c>
      <c r="E309" s="7">
        <f t="shared" si="6"/>
        <v>1</v>
      </c>
      <c r="F309" s="2">
        <v>102</v>
      </c>
      <c r="H309" t="s">
        <v>370</v>
      </c>
      <c r="I309" s="21"/>
      <c r="K309" t="s">
        <v>116</v>
      </c>
    </row>
    <row r="310" spans="1:11">
      <c r="A310" s="2">
        <v>309</v>
      </c>
      <c r="B310" t="s">
        <v>371</v>
      </c>
      <c r="C310">
        <v>0</v>
      </c>
      <c r="D310" s="7" t="s">
        <v>116</v>
      </c>
      <c r="E310" s="7">
        <f t="shared" si="6"/>
        <v>1</v>
      </c>
      <c r="F310" s="2">
        <v>102</v>
      </c>
      <c r="H310" t="s">
        <v>372</v>
      </c>
      <c r="I310" s="21"/>
      <c r="K310" t="s">
        <v>116</v>
      </c>
    </row>
    <row r="311" spans="1:11">
      <c r="A311" s="2">
        <v>310</v>
      </c>
      <c r="B311" t="s">
        <v>373</v>
      </c>
      <c r="C311">
        <v>0</v>
      </c>
      <c r="D311" s="7" t="s">
        <v>116</v>
      </c>
      <c r="E311" s="7">
        <f t="shared" si="6"/>
        <v>1</v>
      </c>
      <c r="F311" s="2">
        <v>102</v>
      </c>
      <c r="H311" t="s">
        <v>374</v>
      </c>
      <c r="I311" s="21"/>
      <c r="K311" t="s">
        <v>116</v>
      </c>
    </row>
    <row r="312" spans="1:11">
      <c r="A312" s="2">
        <v>311</v>
      </c>
      <c r="B312" t="s">
        <v>375</v>
      </c>
      <c r="C312">
        <v>205</v>
      </c>
      <c r="D312" s="7" t="s">
        <v>116</v>
      </c>
      <c r="E312" s="7">
        <f t="shared" si="6"/>
        <v>1</v>
      </c>
      <c r="F312" s="2">
        <v>102</v>
      </c>
      <c r="H312" t="s">
        <v>376</v>
      </c>
      <c r="I312" s="21"/>
      <c r="K312" t="s">
        <v>116</v>
      </c>
    </row>
    <row r="313" spans="1:11">
      <c r="A313" s="2">
        <v>312</v>
      </c>
      <c r="B313" t="s">
        <v>377</v>
      </c>
      <c r="C313">
        <v>164</v>
      </c>
      <c r="D313" s="7" t="s">
        <v>116</v>
      </c>
      <c r="E313" s="7">
        <f t="shared" si="6"/>
        <v>1</v>
      </c>
      <c r="F313" s="2">
        <v>102</v>
      </c>
      <c r="H313" t="s">
        <v>378</v>
      </c>
      <c r="I313" s="21"/>
      <c r="K313" t="s">
        <v>116</v>
      </c>
    </row>
    <row r="314" spans="1:11">
      <c r="A314" s="2">
        <v>313</v>
      </c>
      <c r="B314" t="s">
        <v>379</v>
      </c>
      <c r="C314">
        <v>131</v>
      </c>
      <c r="D314" s="7" t="s">
        <v>116</v>
      </c>
      <c r="E314" s="7">
        <f t="shared" si="6"/>
        <v>1</v>
      </c>
      <c r="F314" s="2">
        <v>102</v>
      </c>
      <c r="H314" t="s">
        <v>380</v>
      </c>
      <c r="I314" s="21"/>
      <c r="K314" t="s">
        <v>116</v>
      </c>
    </row>
    <row r="315" spans="1:11">
      <c r="A315" s="2">
        <v>314</v>
      </c>
      <c r="B315" t="s">
        <v>381</v>
      </c>
      <c r="C315">
        <v>105</v>
      </c>
      <c r="D315" s="7" t="s">
        <v>116</v>
      </c>
      <c r="E315" s="7">
        <f t="shared" si="6"/>
        <v>1</v>
      </c>
      <c r="F315" s="2">
        <v>102</v>
      </c>
      <c r="H315" t="s">
        <v>382</v>
      </c>
      <c r="I315" s="21"/>
      <c r="K315" t="s">
        <v>116</v>
      </c>
    </row>
    <row r="316" spans="1:11">
      <c r="A316" s="2">
        <v>315</v>
      </c>
      <c r="B316" t="s">
        <v>383</v>
      </c>
      <c r="C316">
        <v>84</v>
      </c>
      <c r="D316" s="7" t="s">
        <v>116</v>
      </c>
      <c r="E316" s="7">
        <f t="shared" si="6"/>
        <v>1</v>
      </c>
      <c r="F316" s="2">
        <v>102</v>
      </c>
      <c r="H316" t="s">
        <v>384</v>
      </c>
      <c r="I316" s="21"/>
      <c r="K316" t="s">
        <v>116</v>
      </c>
    </row>
    <row r="317" spans="1:11">
      <c r="A317" s="2">
        <v>316</v>
      </c>
      <c r="B317" t="s">
        <v>385</v>
      </c>
      <c r="C317">
        <v>67</v>
      </c>
      <c r="D317" s="7" t="s">
        <v>116</v>
      </c>
      <c r="E317" s="7">
        <f t="shared" si="6"/>
        <v>1</v>
      </c>
      <c r="F317" s="2">
        <v>102</v>
      </c>
      <c r="H317" t="s">
        <v>386</v>
      </c>
      <c r="I317" s="21"/>
      <c r="K317" t="s">
        <v>116</v>
      </c>
    </row>
    <row r="318" spans="1:11">
      <c r="A318" s="2">
        <v>317</v>
      </c>
      <c r="B318" t="s">
        <v>387</v>
      </c>
      <c r="C318">
        <v>54</v>
      </c>
      <c r="D318" s="7" t="s">
        <v>116</v>
      </c>
      <c r="E318" s="7">
        <f t="shared" si="6"/>
        <v>1</v>
      </c>
      <c r="F318" s="2">
        <v>102</v>
      </c>
      <c r="H318" t="s">
        <v>388</v>
      </c>
      <c r="I318" s="21"/>
      <c r="K318" t="s">
        <v>116</v>
      </c>
    </row>
    <row r="319" spans="1:11">
      <c r="A319" s="2">
        <v>318</v>
      </c>
      <c r="B319" t="s">
        <v>397</v>
      </c>
      <c r="C319">
        <v>0</v>
      </c>
      <c r="D319" s="7" t="s">
        <v>116</v>
      </c>
      <c r="E319" s="7">
        <f t="shared" si="6"/>
        <v>1</v>
      </c>
      <c r="F319" s="2">
        <v>102</v>
      </c>
      <c r="H319" t="s">
        <v>398</v>
      </c>
      <c r="I319" s="21"/>
      <c r="K319" t="s">
        <v>116</v>
      </c>
    </row>
    <row r="320" spans="1:11">
      <c r="A320" s="2">
        <v>319</v>
      </c>
      <c r="B320" t="s">
        <v>399</v>
      </c>
      <c r="C320">
        <v>0</v>
      </c>
      <c r="D320" s="7" t="s">
        <v>116</v>
      </c>
      <c r="E320" s="7">
        <f t="shared" si="6"/>
        <v>1</v>
      </c>
      <c r="F320" s="2">
        <v>102</v>
      </c>
      <c r="H320" t="s">
        <v>400</v>
      </c>
      <c r="I320" s="21"/>
      <c r="K320" t="s">
        <v>116</v>
      </c>
    </row>
    <row r="321" spans="1:11">
      <c r="A321" s="2">
        <v>320</v>
      </c>
      <c r="B321" t="s">
        <v>401</v>
      </c>
      <c r="C321">
        <v>0</v>
      </c>
      <c r="D321" s="7" t="s">
        <v>116</v>
      </c>
      <c r="E321" s="7">
        <f t="shared" si="6"/>
        <v>1</v>
      </c>
      <c r="F321" s="2">
        <v>102</v>
      </c>
      <c r="H321" t="s">
        <v>402</v>
      </c>
      <c r="I321" s="21"/>
      <c r="K321" t="s">
        <v>116</v>
      </c>
    </row>
    <row r="322" spans="1:11">
      <c r="A322" s="2">
        <v>321</v>
      </c>
      <c r="B322" t="s">
        <v>403</v>
      </c>
      <c r="C322">
        <v>0</v>
      </c>
      <c r="D322" s="7" t="s">
        <v>116</v>
      </c>
      <c r="E322" s="7">
        <f t="shared" ref="E322:E385" si="7">IF(D322="",1,99)</f>
        <v>1</v>
      </c>
      <c r="F322" s="2">
        <v>102</v>
      </c>
      <c r="H322" t="s">
        <v>404</v>
      </c>
      <c r="I322" s="21"/>
      <c r="K322" t="s">
        <v>116</v>
      </c>
    </row>
    <row r="323" spans="1:11">
      <c r="A323" s="2">
        <v>322</v>
      </c>
      <c r="B323" t="s">
        <v>405</v>
      </c>
      <c r="C323">
        <v>205</v>
      </c>
      <c r="D323" s="7" t="s">
        <v>116</v>
      </c>
      <c r="E323" s="7">
        <f t="shared" si="7"/>
        <v>1</v>
      </c>
      <c r="F323" s="2">
        <v>102</v>
      </c>
      <c r="H323" t="s">
        <v>406</v>
      </c>
      <c r="I323" s="21"/>
      <c r="K323" t="s">
        <v>116</v>
      </c>
    </row>
    <row r="324" spans="1:11">
      <c r="A324" s="2">
        <v>323</v>
      </c>
      <c r="B324" t="s">
        <v>407</v>
      </c>
      <c r="C324">
        <v>164</v>
      </c>
      <c r="D324" s="7" t="s">
        <v>116</v>
      </c>
      <c r="E324" s="7">
        <f t="shared" si="7"/>
        <v>1</v>
      </c>
      <c r="F324" s="2">
        <v>102</v>
      </c>
      <c r="H324" t="s">
        <v>408</v>
      </c>
      <c r="I324" s="21"/>
      <c r="K324" t="s">
        <v>116</v>
      </c>
    </row>
    <row r="325" spans="1:11">
      <c r="A325" s="2">
        <v>324</v>
      </c>
      <c r="B325" t="s">
        <v>409</v>
      </c>
      <c r="C325">
        <v>131</v>
      </c>
      <c r="D325" s="7" t="s">
        <v>116</v>
      </c>
      <c r="E325" s="7">
        <f t="shared" si="7"/>
        <v>1</v>
      </c>
      <c r="F325" s="2">
        <v>102</v>
      </c>
      <c r="H325" t="s">
        <v>410</v>
      </c>
      <c r="I325" s="21"/>
      <c r="K325" t="s">
        <v>116</v>
      </c>
    </row>
    <row r="326" spans="1:11">
      <c r="A326" s="2">
        <v>325</v>
      </c>
      <c r="B326" t="s">
        <v>411</v>
      </c>
      <c r="C326">
        <v>105</v>
      </c>
      <c r="D326" s="7" t="s">
        <v>116</v>
      </c>
      <c r="E326" s="7">
        <f t="shared" si="7"/>
        <v>1</v>
      </c>
      <c r="F326" s="2">
        <v>102</v>
      </c>
      <c r="H326" t="s">
        <v>412</v>
      </c>
      <c r="I326" s="21"/>
      <c r="K326" t="s">
        <v>116</v>
      </c>
    </row>
    <row r="327" spans="1:11">
      <c r="A327" s="2">
        <v>326</v>
      </c>
      <c r="B327" t="s">
        <v>413</v>
      </c>
      <c r="C327">
        <v>84</v>
      </c>
      <c r="D327" s="7" t="s">
        <v>116</v>
      </c>
      <c r="E327" s="7">
        <f t="shared" si="7"/>
        <v>1</v>
      </c>
      <c r="F327" s="2">
        <v>102</v>
      </c>
      <c r="H327" t="s">
        <v>414</v>
      </c>
      <c r="I327" s="21"/>
      <c r="K327" t="s">
        <v>116</v>
      </c>
    </row>
    <row r="328" spans="1:11">
      <c r="A328" s="2">
        <v>327</v>
      </c>
      <c r="B328" t="s">
        <v>415</v>
      </c>
      <c r="C328">
        <v>67</v>
      </c>
      <c r="D328" s="7" t="s">
        <v>116</v>
      </c>
      <c r="E328" s="7">
        <f t="shared" si="7"/>
        <v>1</v>
      </c>
      <c r="F328" s="2">
        <v>102</v>
      </c>
      <c r="H328" t="s">
        <v>416</v>
      </c>
      <c r="I328" s="21"/>
      <c r="K328" t="s">
        <v>116</v>
      </c>
    </row>
    <row r="329" spans="1:11">
      <c r="A329" s="2">
        <v>328</v>
      </c>
      <c r="B329" t="s">
        <v>417</v>
      </c>
      <c r="C329">
        <v>54</v>
      </c>
      <c r="D329" s="7" t="s">
        <v>116</v>
      </c>
      <c r="E329" s="7">
        <f t="shared" si="7"/>
        <v>1</v>
      </c>
      <c r="F329" s="2">
        <v>102</v>
      </c>
      <c r="H329" t="s">
        <v>418</v>
      </c>
      <c r="I329" s="21"/>
      <c r="K329" t="s">
        <v>116</v>
      </c>
    </row>
    <row r="330" spans="1:11">
      <c r="A330" s="2">
        <v>329</v>
      </c>
      <c r="B330" t="s">
        <v>427</v>
      </c>
      <c r="C330">
        <v>0</v>
      </c>
      <c r="D330" s="7" t="s">
        <v>116</v>
      </c>
      <c r="E330" s="7">
        <f t="shared" si="7"/>
        <v>1</v>
      </c>
      <c r="F330" s="2">
        <v>102</v>
      </c>
      <c r="H330" t="s">
        <v>428</v>
      </c>
      <c r="I330" s="21"/>
      <c r="K330" t="s">
        <v>116</v>
      </c>
    </row>
    <row r="331" spans="1:11">
      <c r="A331" s="2">
        <v>330</v>
      </c>
      <c r="B331" t="s">
        <v>429</v>
      </c>
      <c r="C331">
        <v>0</v>
      </c>
      <c r="D331" s="7" t="s">
        <v>116</v>
      </c>
      <c r="E331" s="7">
        <f t="shared" si="7"/>
        <v>1</v>
      </c>
      <c r="F331" s="2">
        <v>102</v>
      </c>
      <c r="H331" t="s">
        <v>430</v>
      </c>
      <c r="I331" s="21"/>
      <c r="K331" t="s">
        <v>116</v>
      </c>
    </row>
    <row r="332" spans="1:11">
      <c r="A332" s="2">
        <v>331</v>
      </c>
      <c r="B332" t="s">
        <v>431</v>
      </c>
      <c r="C332">
        <v>0</v>
      </c>
      <c r="D332" s="7" t="s">
        <v>116</v>
      </c>
      <c r="E332" s="7">
        <f t="shared" si="7"/>
        <v>1</v>
      </c>
      <c r="F332" s="2">
        <v>102</v>
      </c>
      <c r="H332" t="s">
        <v>432</v>
      </c>
      <c r="I332" s="21"/>
      <c r="K332" t="s">
        <v>116</v>
      </c>
    </row>
    <row r="333" spans="1:11">
      <c r="A333" s="2">
        <v>332</v>
      </c>
      <c r="B333" t="s">
        <v>433</v>
      </c>
      <c r="C333">
        <v>0</v>
      </c>
      <c r="D333" s="7" t="s">
        <v>116</v>
      </c>
      <c r="E333" s="7">
        <f t="shared" si="7"/>
        <v>1</v>
      </c>
      <c r="F333" s="2">
        <v>102</v>
      </c>
      <c r="H333" t="s">
        <v>434</v>
      </c>
      <c r="I333" s="21"/>
      <c r="K333" t="s">
        <v>116</v>
      </c>
    </row>
    <row r="334" spans="1:11">
      <c r="A334" s="2">
        <v>333</v>
      </c>
      <c r="B334" t="s">
        <v>435</v>
      </c>
      <c r="C334">
        <v>205</v>
      </c>
      <c r="D334" s="7" t="s">
        <v>116</v>
      </c>
      <c r="E334" s="7">
        <f t="shared" si="7"/>
        <v>1</v>
      </c>
      <c r="F334" s="2">
        <v>102</v>
      </c>
      <c r="H334" t="s">
        <v>436</v>
      </c>
      <c r="I334" s="21"/>
      <c r="K334" t="s">
        <v>116</v>
      </c>
    </row>
    <row r="335" spans="1:11">
      <c r="A335" s="2">
        <v>334</v>
      </c>
      <c r="B335" t="s">
        <v>437</v>
      </c>
      <c r="C335">
        <v>164</v>
      </c>
      <c r="D335" s="7" t="s">
        <v>116</v>
      </c>
      <c r="E335" s="7">
        <f t="shared" si="7"/>
        <v>1</v>
      </c>
      <c r="F335" s="2">
        <v>102</v>
      </c>
      <c r="H335" t="s">
        <v>438</v>
      </c>
      <c r="I335" s="21"/>
      <c r="K335" t="s">
        <v>116</v>
      </c>
    </row>
    <row r="336" spans="1:11">
      <c r="A336" s="2">
        <v>335</v>
      </c>
      <c r="B336" t="s">
        <v>439</v>
      </c>
      <c r="C336">
        <v>131</v>
      </c>
      <c r="D336" s="7" t="s">
        <v>116</v>
      </c>
      <c r="E336" s="7">
        <f t="shared" si="7"/>
        <v>1</v>
      </c>
      <c r="F336" s="2">
        <v>102</v>
      </c>
      <c r="H336" t="s">
        <v>440</v>
      </c>
      <c r="I336" s="21"/>
      <c r="K336" t="s">
        <v>116</v>
      </c>
    </row>
    <row r="337" spans="1:11">
      <c r="A337" s="2">
        <v>336</v>
      </c>
      <c r="B337" t="s">
        <v>441</v>
      </c>
      <c r="C337">
        <v>105</v>
      </c>
      <c r="D337" s="7" t="s">
        <v>116</v>
      </c>
      <c r="E337" s="7">
        <f t="shared" si="7"/>
        <v>1</v>
      </c>
      <c r="F337" s="2">
        <v>102</v>
      </c>
      <c r="H337" t="s">
        <v>442</v>
      </c>
      <c r="I337" s="21"/>
      <c r="K337" t="s">
        <v>116</v>
      </c>
    </row>
    <row r="338" spans="1:11">
      <c r="A338" s="2">
        <v>337</v>
      </c>
      <c r="B338" t="s">
        <v>443</v>
      </c>
      <c r="C338">
        <v>84</v>
      </c>
      <c r="D338" s="7" t="s">
        <v>116</v>
      </c>
      <c r="E338" s="7">
        <f t="shared" si="7"/>
        <v>1</v>
      </c>
      <c r="F338" s="2">
        <v>102</v>
      </c>
      <c r="H338" t="s">
        <v>444</v>
      </c>
      <c r="I338" s="21"/>
      <c r="K338" t="s">
        <v>116</v>
      </c>
    </row>
    <row r="339" spans="1:11">
      <c r="A339" s="2">
        <v>338</v>
      </c>
      <c r="B339" t="s">
        <v>445</v>
      </c>
      <c r="C339">
        <v>67</v>
      </c>
      <c r="D339" s="7" t="s">
        <v>116</v>
      </c>
      <c r="E339" s="7">
        <f t="shared" si="7"/>
        <v>1</v>
      </c>
      <c r="F339" s="2">
        <v>102</v>
      </c>
      <c r="H339" t="s">
        <v>446</v>
      </c>
      <c r="I339" s="21"/>
      <c r="K339" t="s">
        <v>116</v>
      </c>
    </row>
    <row r="340" spans="1:11">
      <c r="A340" s="2">
        <v>339</v>
      </c>
      <c r="B340" t="s">
        <v>447</v>
      </c>
      <c r="C340">
        <v>54</v>
      </c>
      <c r="D340" s="7" t="s">
        <v>116</v>
      </c>
      <c r="E340" s="7">
        <f t="shared" si="7"/>
        <v>1</v>
      </c>
      <c r="F340" s="2">
        <v>102</v>
      </c>
      <c r="H340" t="s">
        <v>448</v>
      </c>
      <c r="I340" s="21"/>
      <c r="K340" t="s">
        <v>116</v>
      </c>
    </row>
    <row r="341" spans="1:11">
      <c r="A341" s="2">
        <v>340</v>
      </c>
      <c r="B341" t="s">
        <v>463</v>
      </c>
      <c r="C341">
        <v>1000</v>
      </c>
      <c r="D341" s="7" t="s">
        <v>116</v>
      </c>
      <c r="E341" s="7">
        <f t="shared" si="7"/>
        <v>1</v>
      </c>
      <c r="F341" s="2">
        <v>102</v>
      </c>
      <c r="H341" t="s">
        <v>464</v>
      </c>
      <c r="I341" s="21"/>
      <c r="K341" t="s">
        <v>116</v>
      </c>
    </row>
    <row r="342" spans="1:11">
      <c r="A342" s="2">
        <v>341</v>
      </c>
      <c r="B342" t="s">
        <v>465</v>
      </c>
      <c r="C342">
        <v>1000</v>
      </c>
      <c r="D342" s="7" t="s">
        <v>116</v>
      </c>
      <c r="E342" s="7">
        <f t="shared" si="7"/>
        <v>1</v>
      </c>
      <c r="F342" s="2">
        <v>102</v>
      </c>
      <c r="H342" t="s">
        <v>466</v>
      </c>
      <c r="I342" s="21"/>
      <c r="K342" t="s">
        <v>116</v>
      </c>
    </row>
    <row r="343" spans="1:11">
      <c r="A343" s="2">
        <v>342</v>
      </c>
      <c r="B343" t="s">
        <v>467</v>
      </c>
      <c r="C343">
        <v>1000</v>
      </c>
      <c r="D343" s="7" t="s">
        <v>116</v>
      </c>
      <c r="E343" s="7">
        <f t="shared" si="7"/>
        <v>1</v>
      </c>
      <c r="F343" s="2">
        <v>102</v>
      </c>
      <c r="H343" t="s">
        <v>468</v>
      </c>
      <c r="I343" s="21"/>
      <c r="K343" t="s">
        <v>116</v>
      </c>
    </row>
    <row r="344" spans="1:11">
      <c r="A344" s="2">
        <v>343</v>
      </c>
      <c r="B344" s="18" t="s">
        <v>469</v>
      </c>
      <c r="C344">
        <v>2000</v>
      </c>
      <c r="D344" s="7" t="s">
        <v>116</v>
      </c>
      <c r="E344" s="7">
        <f t="shared" si="7"/>
        <v>1</v>
      </c>
      <c r="F344">
        <v>100</v>
      </c>
      <c r="H344" t="s">
        <v>335</v>
      </c>
      <c r="I344" s="13"/>
      <c r="K344" t="s">
        <v>116</v>
      </c>
    </row>
    <row r="345" spans="1:11">
      <c r="A345" s="2">
        <v>344</v>
      </c>
      <c r="B345" s="18" t="s">
        <v>470</v>
      </c>
      <c r="C345">
        <v>2000</v>
      </c>
      <c r="D345" s="7" t="s">
        <v>116</v>
      </c>
      <c r="E345" s="7">
        <f t="shared" si="7"/>
        <v>1</v>
      </c>
      <c r="F345">
        <v>100</v>
      </c>
      <c r="H345" t="s">
        <v>335</v>
      </c>
      <c r="I345" s="13"/>
      <c r="K345" t="s">
        <v>116</v>
      </c>
    </row>
    <row r="346" spans="1:11">
      <c r="A346" s="2">
        <v>345</v>
      </c>
      <c r="B346" s="22" t="s">
        <v>471</v>
      </c>
      <c r="C346" s="7">
        <v>10</v>
      </c>
      <c r="D346" s="8" t="s">
        <v>472</v>
      </c>
      <c r="E346" s="7">
        <f t="shared" si="7"/>
        <v>99</v>
      </c>
      <c r="F346" s="2">
        <v>100</v>
      </c>
      <c r="G346" s="2">
        <v>1</v>
      </c>
      <c r="H346" s="23" t="s">
        <v>473</v>
      </c>
      <c r="I346" s="21">
        <v>1</v>
      </c>
      <c r="K346" t="s">
        <v>116</v>
      </c>
    </row>
    <row r="347" spans="1:11">
      <c r="A347" s="2">
        <v>346</v>
      </c>
      <c r="B347" s="22" t="s">
        <v>474</v>
      </c>
      <c r="C347" s="7">
        <v>10</v>
      </c>
      <c r="D347" s="8" t="s">
        <v>472</v>
      </c>
      <c r="E347" s="7">
        <f t="shared" si="7"/>
        <v>99</v>
      </c>
      <c r="F347" s="2">
        <v>100</v>
      </c>
      <c r="G347" s="2">
        <v>1</v>
      </c>
      <c r="H347" s="23" t="s">
        <v>473</v>
      </c>
      <c r="I347" s="21">
        <v>1</v>
      </c>
      <c r="K347">
        <v>3</v>
      </c>
    </row>
    <row r="348" spans="1:11">
      <c r="A348" s="2">
        <v>347</v>
      </c>
      <c r="B348" s="22" t="s">
        <v>475</v>
      </c>
      <c r="C348" s="2">
        <v>22</v>
      </c>
      <c r="D348" s="7" t="s">
        <v>116</v>
      </c>
      <c r="E348" s="7">
        <f t="shared" si="7"/>
        <v>1</v>
      </c>
      <c r="F348" s="2">
        <v>100</v>
      </c>
      <c r="G348" s="2"/>
      <c r="H348" s="23" t="s">
        <v>473</v>
      </c>
      <c r="I348" s="21"/>
      <c r="K348">
        <v>3</v>
      </c>
    </row>
    <row r="349" spans="1:11">
      <c r="A349" s="2">
        <v>348</v>
      </c>
      <c r="B349" s="22" t="s">
        <v>476</v>
      </c>
      <c r="C349" s="2">
        <v>33</v>
      </c>
      <c r="D349" s="7" t="s">
        <v>116</v>
      </c>
      <c r="E349" s="7">
        <f t="shared" si="7"/>
        <v>1</v>
      </c>
      <c r="F349" s="2">
        <v>100</v>
      </c>
      <c r="G349" s="2"/>
      <c r="H349" s="23" t="s">
        <v>473</v>
      </c>
      <c r="I349" s="21"/>
      <c r="K349" t="s">
        <v>116</v>
      </c>
    </row>
    <row r="350" spans="1:11">
      <c r="A350" s="2">
        <v>349</v>
      </c>
      <c r="B350" s="22" t="s">
        <v>477</v>
      </c>
      <c r="C350" s="2">
        <v>44</v>
      </c>
      <c r="D350" s="7" t="s">
        <v>116</v>
      </c>
      <c r="E350" s="7">
        <f t="shared" si="7"/>
        <v>1</v>
      </c>
      <c r="F350" s="2">
        <v>100</v>
      </c>
      <c r="G350" s="2"/>
      <c r="H350" s="23" t="s">
        <v>473</v>
      </c>
      <c r="I350" s="21"/>
      <c r="K350" t="s">
        <v>116</v>
      </c>
    </row>
    <row r="351" spans="1:11">
      <c r="A351" s="2">
        <v>350</v>
      </c>
      <c r="B351" s="22" t="s">
        <v>471</v>
      </c>
      <c r="C351" s="7">
        <v>0</v>
      </c>
      <c r="D351" s="8" t="s">
        <v>472</v>
      </c>
      <c r="E351" s="7">
        <f t="shared" si="7"/>
        <v>99</v>
      </c>
      <c r="F351" s="2">
        <v>101</v>
      </c>
      <c r="G351" s="2">
        <v>1</v>
      </c>
      <c r="H351" s="23" t="s">
        <v>473</v>
      </c>
      <c r="I351" s="21">
        <v>1</v>
      </c>
      <c r="K351" t="s">
        <v>116</v>
      </c>
    </row>
    <row r="352" spans="1:11">
      <c r="A352" s="2">
        <v>351</v>
      </c>
      <c r="B352" s="22" t="s">
        <v>474</v>
      </c>
      <c r="C352" s="7">
        <v>0</v>
      </c>
      <c r="D352" s="8" t="s">
        <v>472</v>
      </c>
      <c r="E352" s="7">
        <f t="shared" si="7"/>
        <v>99</v>
      </c>
      <c r="F352" s="2">
        <v>101</v>
      </c>
      <c r="G352" s="2">
        <v>1</v>
      </c>
      <c r="H352" s="23" t="s">
        <v>473</v>
      </c>
      <c r="I352" s="21">
        <v>1</v>
      </c>
      <c r="K352">
        <v>3</v>
      </c>
    </row>
    <row r="353" spans="1:11">
      <c r="A353" s="2">
        <v>352</v>
      </c>
      <c r="B353" s="22" t="s">
        <v>475</v>
      </c>
      <c r="C353" s="2">
        <v>0</v>
      </c>
      <c r="D353" s="7" t="s">
        <v>116</v>
      </c>
      <c r="E353" s="7">
        <f t="shared" si="7"/>
        <v>1</v>
      </c>
      <c r="F353" s="2">
        <v>101</v>
      </c>
      <c r="G353" s="2">
        <v>1</v>
      </c>
      <c r="H353" s="23" t="s">
        <v>473</v>
      </c>
      <c r="I353" s="21">
        <v>1</v>
      </c>
      <c r="K353">
        <v>3</v>
      </c>
    </row>
    <row r="354" spans="1:11">
      <c r="A354" s="2">
        <v>353</v>
      </c>
      <c r="B354" s="23" t="s">
        <v>475</v>
      </c>
      <c r="C354" s="2">
        <v>22</v>
      </c>
      <c r="D354" s="7" t="s">
        <v>116</v>
      </c>
      <c r="E354" s="7">
        <f t="shared" si="7"/>
        <v>1</v>
      </c>
      <c r="F354" s="2">
        <v>102</v>
      </c>
      <c r="G354" s="2"/>
      <c r="H354" s="23" t="s">
        <v>473</v>
      </c>
      <c r="I354" s="21"/>
      <c r="K354" t="s">
        <v>116</v>
      </c>
    </row>
    <row r="355" spans="1:11">
      <c r="A355" s="2">
        <v>354</v>
      </c>
      <c r="B355" s="23" t="s">
        <v>476</v>
      </c>
      <c r="C355" s="2">
        <v>33</v>
      </c>
      <c r="D355" s="7" t="s">
        <v>116</v>
      </c>
      <c r="E355" s="7">
        <f t="shared" si="7"/>
        <v>1</v>
      </c>
      <c r="F355" s="2">
        <v>102</v>
      </c>
      <c r="G355" s="2"/>
      <c r="H355" s="23" t="s">
        <v>473</v>
      </c>
      <c r="I355" s="21"/>
      <c r="K355" t="s">
        <v>116</v>
      </c>
    </row>
    <row r="356" spans="1:11">
      <c r="A356" s="2">
        <v>355</v>
      </c>
      <c r="B356" s="23" t="s">
        <v>477</v>
      </c>
      <c r="C356" s="2">
        <v>44</v>
      </c>
      <c r="D356" s="7" t="s">
        <v>116</v>
      </c>
      <c r="E356" s="7">
        <f t="shared" si="7"/>
        <v>1</v>
      </c>
      <c r="F356" s="2">
        <v>102</v>
      </c>
      <c r="G356" s="2"/>
      <c r="H356" s="23" t="s">
        <v>473</v>
      </c>
      <c r="I356" s="21"/>
      <c r="K356" t="s">
        <v>116</v>
      </c>
    </row>
    <row r="357" spans="1:11">
      <c r="A357" s="2">
        <v>356</v>
      </c>
      <c r="B357" s="24" t="s">
        <v>478</v>
      </c>
      <c r="C357" s="7">
        <v>0</v>
      </c>
      <c r="D357" s="8" t="s">
        <v>479</v>
      </c>
      <c r="E357" s="7">
        <f t="shared" si="7"/>
        <v>99</v>
      </c>
      <c r="F357" s="25">
        <v>100</v>
      </c>
      <c r="G357" s="25">
        <v>1</v>
      </c>
      <c r="H357" s="26" t="s">
        <v>480</v>
      </c>
      <c r="I357" s="27">
        <v>1</v>
      </c>
      <c r="K357" t="s">
        <v>116</v>
      </c>
    </row>
    <row r="358" spans="1:11">
      <c r="A358" s="2">
        <v>357</v>
      </c>
      <c r="B358" s="24" t="s">
        <v>481</v>
      </c>
      <c r="C358" s="7">
        <v>0</v>
      </c>
      <c r="D358" s="7" t="s">
        <v>478</v>
      </c>
      <c r="E358" s="7">
        <f t="shared" si="7"/>
        <v>99</v>
      </c>
      <c r="F358" s="25">
        <v>100</v>
      </c>
      <c r="G358" s="25">
        <v>1</v>
      </c>
      <c r="H358" s="26" t="s">
        <v>480</v>
      </c>
      <c r="I358" s="27">
        <v>1</v>
      </c>
      <c r="K358">
        <v>2</v>
      </c>
    </row>
    <row r="359" spans="1:11">
      <c r="A359" s="2">
        <v>358</v>
      </c>
      <c r="B359" s="24" t="s">
        <v>482</v>
      </c>
      <c r="C359" s="25">
        <v>22</v>
      </c>
      <c r="D359" s="7" t="s">
        <v>116</v>
      </c>
      <c r="E359" s="7">
        <f t="shared" si="7"/>
        <v>1</v>
      </c>
      <c r="F359" s="25">
        <v>100</v>
      </c>
      <c r="G359" s="25"/>
      <c r="H359" s="26" t="s">
        <v>480</v>
      </c>
      <c r="I359" s="27"/>
      <c r="K359">
        <v>2</v>
      </c>
    </row>
    <row r="360" spans="1:11">
      <c r="A360" s="2">
        <v>359</v>
      </c>
      <c r="B360" s="24" t="s">
        <v>483</v>
      </c>
      <c r="C360" s="25">
        <v>33</v>
      </c>
      <c r="D360" s="7" t="s">
        <v>116</v>
      </c>
      <c r="E360" s="7">
        <f t="shared" si="7"/>
        <v>1</v>
      </c>
      <c r="F360" s="25">
        <v>100</v>
      </c>
      <c r="G360" s="25"/>
      <c r="H360" s="26" t="s">
        <v>480</v>
      </c>
      <c r="I360" s="27"/>
      <c r="K360" t="s">
        <v>116</v>
      </c>
    </row>
    <row r="361" spans="1:11">
      <c r="A361" s="2">
        <v>360</v>
      </c>
      <c r="B361" s="24" t="s">
        <v>484</v>
      </c>
      <c r="C361" s="25">
        <v>44</v>
      </c>
      <c r="D361" s="7" t="s">
        <v>116</v>
      </c>
      <c r="E361" s="7">
        <f t="shared" si="7"/>
        <v>1</v>
      </c>
      <c r="F361" s="25">
        <v>100</v>
      </c>
      <c r="G361" s="25"/>
      <c r="H361" s="26" t="s">
        <v>480</v>
      </c>
      <c r="I361" s="27"/>
      <c r="K361" t="s">
        <v>116</v>
      </c>
    </row>
    <row r="362" spans="1:11">
      <c r="A362" s="2">
        <v>361</v>
      </c>
      <c r="B362" s="24" t="s">
        <v>478</v>
      </c>
      <c r="C362" s="7">
        <v>0</v>
      </c>
      <c r="D362" s="7" t="s">
        <v>478</v>
      </c>
      <c r="E362" s="7">
        <f t="shared" si="7"/>
        <v>99</v>
      </c>
      <c r="F362" s="25">
        <v>101</v>
      </c>
      <c r="G362" s="25">
        <v>1</v>
      </c>
      <c r="H362" s="26" t="s">
        <v>480</v>
      </c>
      <c r="I362" s="27">
        <v>1</v>
      </c>
      <c r="K362" t="s">
        <v>116</v>
      </c>
    </row>
    <row r="363" spans="1:11">
      <c r="A363" s="2">
        <v>362</v>
      </c>
      <c r="B363" s="24" t="s">
        <v>481</v>
      </c>
      <c r="C363" s="7">
        <v>0</v>
      </c>
      <c r="D363" s="7" t="s">
        <v>478</v>
      </c>
      <c r="E363" s="7">
        <f t="shared" si="7"/>
        <v>99</v>
      </c>
      <c r="F363" s="25">
        <v>101</v>
      </c>
      <c r="G363" s="25">
        <v>1</v>
      </c>
      <c r="H363" s="26" t="s">
        <v>480</v>
      </c>
      <c r="I363" s="27">
        <v>1</v>
      </c>
      <c r="K363">
        <v>2</v>
      </c>
    </row>
    <row r="364" spans="1:11">
      <c r="A364" s="2">
        <v>363</v>
      </c>
      <c r="B364" s="24" t="s">
        <v>482</v>
      </c>
      <c r="C364" s="25">
        <v>0</v>
      </c>
      <c r="D364" s="7" t="s">
        <v>116</v>
      </c>
      <c r="E364" s="7">
        <f t="shared" si="7"/>
        <v>1</v>
      </c>
      <c r="F364" s="25">
        <v>101</v>
      </c>
      <c r="G364" s="25">
        <v>1</v>
      </c>
      <c r="H364" s="26" t="s">
        <v>480</v>
      </c>
      <c r="I364" s="27">
        <v>1</v>
      </c>
      <c r="K364">
        <v>2</v>
      </c>
    </row>
    <row r="365" spans="1:11">
      <c r="A365" s="2">
        <v>364</v>
      </c>
      <c r="B365" s="26" t="s">
        <v>482</v>
      </c>
      <c r="C365" s="25">
        <v>22</v>
      </c>
      <c r="D365" s="7" t="s">
        <v>116</v>
      </c>
      <c r="E365" s="7">
        <f t="shared" si="7"/>
        <v>1</v>
      </c>
      <c r="F365" s="25">
        <v>102</v>
      </c>
      <c r="G365" s="25"/>
      <c r="H365" s="26" t="s">
        <v>480</v>
      </c>
      <c r="I365" s="27"/>
      <c r="K365" t="s">
        <v>116</v>
      </c>
    </row>
    <row r="366" spans="1:11">
      <c r="A366" s="2">
        <v>365</v>
      </c>
      <c r="B366" s="26" t="s">
        <v>483</v>
      </c>
      <c r="C366" s="25">
        <v>33</v>
      </c>
      <c r="D366" s="7" t="s">
        <v>116</v>
      </c>
      <c r="E366" s="7">
        <f t="shared" si="7"/>
        <v>1</v>
      </c>
      <c r="F366" s="25">
        <v>102</v>
      </c>
      <c r="G366" s="25"/>
      <c r="H366" s="26" t="s">
        <v>480</v>
      </c>
      <c r="I366" s="27"/>
      <c r="K366" t="s">
        <v>116</v>
      </c>
    </row>
    <row r="367" spans="1:11">
      <c r="A367" s="2">
        <v>366</v>
      </c>
      <c r="B367" s="26" t="s">
        <v>484</v>
      </c>
      <c r="C367" s="25">
        <v>44</v>
      </c>
      <c r="D367" s="7" t="s">
        <v>116</v>
      </c>
      <c r="E367" s="7">
        <f t="shared" si="7"/>
        <v>1</v>
      </c>
      <c r="F367" s="25">
        <v>102</v>
      </c>
      <c r="G367" s="25"/>
      <c r="H367" s="26" t="s">
        <v>480</v>
      </c>
      <c r="I367" s="27"/>
      <c r="K367" t="s">
        <v>116</v>
      </c>
    </row>
    <row r="368" spans="1:11">
      <c r="A368" s="2">
        <v>367</v>
      </c>
      <c r="B368" s="24" t="s">
        <v>485</v>
      </c>
      <c r="C368" s="7">
        <v>0</v>
      </c>
      <c r="D368" s="7" t="s">
        <v>485</v>
      </c>
      <c r="E368" s="7">
        <f t="shared" si="7"/>
        <v>99</v>
      </c>
      <c r="F368" s="25">
        <v>100</v>
      </c>
      <c r="G368" s="25">
        <v>1</v>
      </c>
      <c r="H368" s="26" t="s">
        <v>486</v>
      </c>
      <c r="I368" s="27">
        <v>1</v>
      </c>
      <c r="K368" t="s">
        <v>116</v>
      </c>
    </row>
    <row r="369" spans="1:11">
      <c r="A369" s="2">
        <v>368</v>
      </c>
      <c r="B369" s="24" t="s">
        <v>487</v>
      </c>
      <c r="C369" s="7">
        <v>0</v>
      </c>
      <c r="D369" s="7" t="s">
        <v>485</v>
      </c>
      <c r="E369" s="7">
        <f t="shared" si="7"/>
        <v>99</v>
      </c>
      <c r="F369" s="25">
        <v>100</v>
      </c>
      <c r="G369" s="25">
        <v>1</v>
      </c>
      <c r="H369" s="26" t="s">
        <v>486</v>
      </c>
      <c r="I369" s="27">
        <v>1</v>
      </c>
      <c r="K369" t="s">
        <v>116</v>
      </c>
    </row>
    <row r="370" spans="1:11">
      <c r="A370" s="2">
        <v>369</v>
      </c>
      <c r="B370" s="24" t="s">
        <v>488</v>
      </c>
      <c r="C370" s="25">
        <v>22</v>
      </c>
      <c r="D370" s="7" t="s">
        <v>116</v>
      </c>
      <c r="E370" s="7">
        <f t="shared" si="7"/>
        <v>1</v>
      </c>
      <c r="F370" s="25">
        <v>100</v>
      </c>
      <c r="G370" s="25"/>
      <c r="H370" s="26" t="s">
        <v>486</v>
      </c>
      <c r="I370" s="27"/>
      <c r="K370" t="s">
        <v>116</v>
      </c>
    </row>
    <row r="371" spans="1:11">
      <c r="A371" s="2">
        <v>370</v>
      </c>
      <c r="B371" s="24" t="s">
        <v>489</v>
      </c>
      <c r="C371" s="25">
        <v>33</v>
      </c>
      <c r="D371" s="7" t="s">
        <v>116</v>
      </c>
      <c r="E371" s="7">
        <f t="shared" si="7"/>
        <v>1</v>
      </c>
      <c r="F371" s="25">
        <v>100</v>
      </c>
      <c r="G371" s="25"/>
      <c r="H371" s="26" t="s">
        <v>486</v>
      </c>
      <c r="I371" s="27"/>
      <c r="K371" t="s">
        <v>116</v>
      </c>
    </row>
    <row r="372" spans="1:11">
      <c r="A372" s="2">
        <v>371</v>
      </c>
      <c r="B372" s="24" t="s">
        <v>490</v>
      </c>
      <c r="C372" s="25">
        <v>44</v>
      </c>
      <c r="D372" s="7" t="s">
        <v>116</v>
      </c>
      <c r="E372" s="7">
        <f t="shared" si="7"/>
        <v>1</v>
      </c>
      <c r="F372" s="25">
        <v>100</v>
      </c>
      <c r="G372" s="25"/>
      <c r="H372" s="26" t="s">
        <v>486</v>
      </c>
      <c r="I372" s="27"/>
      <c r="K372" t="s">
        <v>116</v>
      </c>
    </row>
    <row r="373" spans="1:11">
      <c r="A373" s="2">
        <v>372</v>
      </c>
      <c r="B373" s="24" t="s">
        <v>485</v>
      </c>
      <c r="C373" s="7">
        <v>0</v>
      </c>
      <c r="D373" s="7" t="s">
        <v>485</v>
      </c>
      <c r="E373" s="7">
        <f t="shared" si="7"/>
        <v>99</v>
      </c>
      <c r="F373" s="25">
        <v>101</v>
      </c>
      <c r="G373" s="25">
        <v>1</v>
      </c>
      <c r="H373" s="26" t="s">
        <v>486</v>
      </c>
      <c r="I373" s="27">
        <v>1</v>
      </c>
      <c r="K373" t="s">
        <v>116</v>
      </c>
    </row>
    <row r="374" spans="1:11">
      <c r="A374" s="2">
        <v>373</v>
      </c>
      <c r="B374" s="24" t="s">
        <v>487</v>
      </c>
      <c r="C374" s="7">
        <v>0</v>
      </c>
      <c r="D374" s="7" t="s">
        <v>485</v>
      </c>
      <c r="E374" s="7">
        <f t="shared" si="7"/>
        <v>99</v>
      </c>
      <c r="F374" s="25">
        <v>101</v>
      </c>
      <c r="G374" s="25">
        <v>1</v>
      </c>
      <c r="H374" s="26" t="s">
        <v>486</v>
      </c>
      <c r="I374" s="27">
        <v>1</v>
      </c>
      <c r="K374" t="s">
        <v>116</v>
      </c>
    </row>
    <row r="375" spans="1:11">
      <c r="A375" s="2">
        <v>374</v>
      </c>
      <c r="B375" s="24" t="s">
        <v>488</v>
      </c>
      <c r="C375" s="25">
        <v>0</v>
      </c>
      <c r="D375" s="7" t="s">
        <v>116</v>
      </c>
      <c r="E375" s="7">
        <f t="shared" si="7"/>
        <v>1</v>
      </c>
      <c r="F375" s="25">
        <v>101</v>
      </c>
      <c r="G375" s="25">
        <v>1</v>
      </c>
      <c r="H375" s="26" t="s">
        <v>486</v>
      </c>
      <c r="I375" s="27">
        <v>1</v>
      </c>
      <c r="K375" t="s">
        <v>116</v>
      </c>
    </row>
    <row r="376" spans="1:11">
      <c r="A376" s="2">
        <v>375</v>
      </c>
      <c r="B376" s="26" t="s">
        <v>488</v>
      </c>
      <c r="C376" s="25">
        <v>22</v>
      </c>
      <c r="D376" s="7" t="s">
        <v>116</v>
      </c>
      <c r="E376" s="7">
        <f t="shared" si="7"/>
        <v>1</v>
      </c>
      <c r="F376" s="25">
        <v>102</v>
      </c>
      <c r="G376" s="25"/>
      <c r="H376" s="26" t="s">
        <v>486</v>
      </c>
      <c r="I376" s="27"/>
      <c r="K376" t="s">
        <v>116</v>
      </c>
    </row>
    <row r="377" spans="1:11">
      <c r="A377" s="2">
        <v>376</v>
      </c>
      <c r="B377" s="26" t="s">
        <v>489</v>
      </c>
      <c r="C377" s="25">
        <v>33</v>
      </c>
      <c r="D377" s="7" t="s">
        <v>116</v>
      </c>
      <c r="E377" s="7">
        <f t="shared" si="7"/>
        <v>1</v>
      </c>
      <c r="F377" s="25">
        <v>102</v>
      </c>
      <c r="G377" s="25"/>
      <c r="H377" s="26" t="s">
        <v>486</v>
      </c>
      <c r="I377" s="27"/>
      <c r="K377" t="s">
        <v>116</v>
      </c>
    </row>
    <row r="378" spans="1:11">
      <c r="A378" s="2">
        <v>377</v>
      </c>
      <c r="B378" s="26" t="s">
        <v>490</v>
      </c>
      <c r="C378" s="25">
        <v>44</v>
      </c>
      <c r="D378" s="7" t="s">
        <v>116</v>
      </c>
      <c r="E378" s="7">
        <f t="shared" si="7"/>
        <v>1</v>
      </c>
      <c r="F378" s="25">
        <v>102</v>
      </c>
      <c r="G378" s="25"/>
      <c r="H378" s="26" t="s">
        <v>486</v>
      </c>
      <c r="I378" s="27"/>
      <c r="K378" t="s">
        <v>116</v>
      </c>
    </row>
    <row r="379" spans="1:11">
      <c r="A379" s="2">
        <v>378</v>
      </c>
      <c r="B379" t="s">
        <v>491</v>
      </c>
      <c r="C379" s="7">
        <v>0</v>
      </c>
      <c r="D379" s="7" t="s">
        <v>491</v>
      </c>
      <c r="E379" s="7">
        <f t="shared" si="7"/>
        <v>99</v>
      </c>
      <c r="F379">
        <v>100</v>
      </c>
      <c r="G379">
        <v>1</v>
      </c>
      <c r="H379" t="s">
        <v>492</v>
      </c>
      <c r="I379" s="3">
        <v>1</v>
      </c>
      <c r="K379" t="s">
        <v>116</v>
      </c>
    </row>
    <row r="380" spans="1:11">
      <c r="A380" s="2">
        <v>379</v>
      </c>
      <c r="B380" t="s">
        <v>493</v>
      </c>
      <c r="C380" s="7">
        <v>0</v>
      </c>
      <c r="D380" s="7" t="s">
        <v>491</v>
      </c>
      <c r="E380" s="7">
        <f t="shared" si="7"/>
        <v>99</v>
      </c>
      <c r="F380">
        <v>100</v>
      </c>
      <c r="G380">
        <v>1</v>
      </c>
      <c r="H380" t="s">
        <v>492</v>
      </c>
      <c r="I380" s="3">
        <v>1</v>
      </c>
      <c r="K380">
        <v>2</v>
      </c>
    </row>
    <row r="381" spans="1:11">
      <c r="A381" s="2">
        <v>380</v>
      </c>
      <c r="B381" t="s">
        <v>494</v>
      </c>
      <c r="C381">
        <v>24</v>
      </c>
      <c r="D381" s="7" t="s">
        <v>116</v>
      </c>
      <c r="E381" s="7">
        <f t="shared" si="7"/>
        <v>1</v>
      </c>
      <c r="F381">
        <v>100</v>
      </c>
      <c r="H381" t="s">
        <v>492</v>
      </c>
      <c r="K381">
        <v>2</v>
      </c>
    </row>
    <row r="382" spans="1:11">
      <c r="A382" s="2">
        <v>381</v>
      </c>
      <c r="B382" t="s">
        <v>495</v>
      </c>
      <c r="C382">
        <v>33</v>
      </c>
      <c r="D382" s="7" t="s">
        <v>116</v>
      </c>
      <c r="E382" s="7">
        <f t="shared" si="7"/>
        <v>1</v>
      </c>
      <c r="F382">
        <v>100</v>
      </c>
      <c r="H382" t="s">
        <v>492</v>
      </c>
      <c r="K382" t="s">
        <v>116</v>
      </c>
    </row>
    <row r="383" spans="1:11">
      <c r="A383" s="2">
        <v>382</v>
      </c>
      <c r="B383" t="s">
        <v>496</v>
      </c>
      <c r="C383">
        <v>44</v>
      </c>
      <c r="D383" s="7" t="s">
        <v>116</v>
      </c>
      <c r="E383" s="7">
        <f t="shared" si="7"/>
        <v>1</v>
      </c>
      <c r="F383">
        <v>100</v>
      </c>
      <c r="H383" t="s">
        <v>492</v>
      </c>
      <c r="K383" t="s">
        <v>116</v>
      </c>
    </row>
    <row r="384" spans="1:11">
      <c r="A384" s="2">
        <v>383</v>
      </c>
      <c r="B384" t="s">
        <v>491</v>
      </c>
      <c r="C384" s="7">
        <v>0</v>
      </c>
      <c r="D384" s="7" t="s">
        <v>491</v>
      </c>
      <c r="E384" s="7">
        <f t="shared" si="7"/>
        <v>99</v>
      </c>
      <c r="F384">
        <v>101</v>
      </c>
      <c r="G384">
        <v>1</v>
      </c>
      <c r="H384" t="s">
        <v>492</v>
      </c>
      <c r="I384" s="3">
        <v>1</v>
      </c>
      <c r="K384" t="s">
        <v>116</v>
      </c>
    </row>
    <row r="385" spans="1:11">
      <c r="A385" s="2">
        <v>384</v>
      </c>
      <c r="B385" t="s">
        <v>493</v>
      </c>
      <c r="C385" s="7">
        <v>0</v>
      </c>
      <c r="D385" s="7" t="s">
        <v>491</v>
      </c>
      <c r="E385" s="7">
        <f t="shared" si="7"/>
        <v>99</v>
      </c>
      <c r="F385">
        <v>101</v>
      </c>
      <c r="G385">
        <v>1</v>
      </c>
      <c r="H385" t="s">
        <v>492</v>
      </c>
      <c r="I385" s="3">
        <v>1</v>
      </c>
      <c r="K385">
        <v>2</v>
      </c>
    </row>
    <row r="386" spans="1:11">
      <c r="A386" s="2">
        <v>385</v>
      </c>
      <c r="B386" t="s">
        <v>494</v>
      </c>
      <c r="C386">
        <v>0</v>
      </c>
      <c r="D386" s="7" t="s">
        <v>116</v>
      </c>
      <c r="E386" s="7">
        <f t="shared" ref="E386:E449" si="8">IF(D386="",1,99)</f>
        <v>1</v>
      </c>
      <c r="F386">
        <v>101</v>
      </c>
      <c r="G386">
        <v>1</v>
      </c>
      <c r="H386" t="s">
        <v>492</v>
      </c>
      <c r="I386" s="3">
        <v>1</v>
      </c>
      <c r="K386">
        <v>2</v>
      </c>
    </row>
    <row r="387" spans="1:11">
      <c r="A387" s="2">
        <v>386</v>
      </c>
      <c r="B387" t="s">
        <v>494</v>
      </c>
      <c r="C387">
        <v>24</v>
      </c>
      <c r="D387" s="7" t="s">
        <v>116</v>
      </c>
      <c r="E387" s="7">
        <f t="shared" si="8"/>
        <v>1</v>
      </c>
      <c r="F387">
        <v>102</v>
      </c>
      <c r="H387" t="s">
        <v>492</v>
      </c>
      <c r="K387" t="s">
        <v>116</v>
      </c>
    </row>
    <row r="388" spans="1:11">
      <c r="A388" s="2">
        <v>387</v>
      </c>
      <c r="B388" t="s">
        <v>495</v>
      </c>
      <c r="C388">
        <v>33</v>
      </c>
      <c r="D388" s="7" t="s">
        <v>116</v>
      </c>
      <c r="E388" s="7">
        <f t="shared" si="8"/>
        <v>1</v>
      </c>
      <c r="F388">
        <v>102</v>
      </c>
      <c r="H388" t="s">
        <v>492</v>
      </c>
      <c r="K388" t="s">
        <v>116</v>
      </c>
    </row>
    <row r="389" spans="1:11">
      <c r="A389" s="2">
        <v>388</v>
      </c>
      <c r="B389" t="s">
        <v>496</v>
      </c>
      <c r="C389">
        <v>44</v>
      </c>
      <c r="D389" s="7" t="s">
        <v>116</v>
      </c>
      <c r="E389" s="7">
        <f t="shared" si="8"/>
        <v>1</v>
      </c>
      <c r="F389">
        <v>102</v>
      </c>
      <c r="H389" t="s">
        <v>492</v>
      </c>
      <c r="K389" t="s">
        <v>116</v>
      </c>
    </row>
    <row r="390" spans="1:11">
      <c r="A390" s="2">
        <v>389</v>
      </c>
      <c r="B390" s="28" t="s">
        <v>497</v>
      </c>
      <c r="C390" s="7">
        <v>0</v>
      </c>
      <c r="D390" s="7" t="s">
        <v>116</v>
      </c>
      <c r="E390" s="7">
        <f t="shared" si="8"/>
        <v>1</v>
      </c>
      <c r="F390" s="7">
        <v>100</v>
      </c>
      <c r="G390" s="7">
        <v>1</v>
      </c>
      <c r="H390" s="7" t="s">
        <v>498</v>
      </c>
      <c r="I390" s="13">
        <v>1</v>
      </c>
      <c r="K390" t="s">
        <v>116</v>
      </c>
    </row>
    <row r="391" spans="1:11">
      <c r="A391" s="2">
        <v>390</v>
      </c>
      <c r="B391" s="11" t="s">
        <v>499</v>
      </c>
      <c r="C391" s="10">
        <v>0</v>
      </c>
      <c r="D391" s="7" t="s">
        <v>116</v>
      </c>
      <c r="E391" s="7">
        <f t="shared" si="8"/>
        <v>1</v>
      </c>
      <c r="F391" s="10">
        <v>100</v>
      </c>
      <c r="G391" s="10">
        <v>1</v>
      </c>
      <c r="H391" s="10" t="s">
        <v>498</v>
      </c>
      <c r="I391" s="13">
        <v>1</v>
      </c>
    </row>
    <row r="392" spans="1:11">
      <c r="A392" s="2">
        <v>391</v>
      </c>
      <c r="B392" s="11" t="s">
        <v>500</v>
      </c>
      <c r="C392" s="10">
        <v>0</v>
      </c>
      <c r="D392" s="7" t="s">
        <v>116</v>
      </c>
      <c r="E392" s="7">
        <f t="shared" si="8"/>
        <v>1</v>
      </c>
      <c r="F392" s="10">
        <v>100</v>
      </c>
      <c r="G392" s="10"/>
      <c r="H392" s="10" t="s">
        <v>498</v>
      </c>
      <c r="I392" s="13"/>
    </row>
    <row r="393" spans="1:11">
      <c r="A393" s="2">
        <v>392</v>
      </c>
      <c r="B393" s="11" t="s">
        <v>501</v>
      </c>
      <c r="C393" s="10">
        <v>0</v>
      </c>
      <c r="D393" s="7" t="s">
        <v>116</v>
      </c>
      <c r="E393" s="7">
        <f t="shared" si="8"/>
        <v>1</v>
      </c>
      <c r="F393" s="10">
        <v>100</v>
      </c>
      <c r="G393" s="10"/>
      <c r="H393" s="10" t="s">
        <v>498</v>
      </c>
      <c r="I393" s="13"/>
    </row>
    <row r="394" spans="1:11">
      <c r="A394" s="2">
        <v>393</v>
      </c>
      <c r="B394" s="11" t="s">
        <v>502</v>
      </c>
      <c r="C394" s="10">
        <v>0</v>
      </c>
      <c r="D394" s="7" t="s">
        <v>116</v>
      </c>
      <c r="E394" s="7">
        <f t="shared" si="8"/>
        <v>1</v>
      </c>
      <c r="F394" s="10">
        <v>100</v>
      </c>
      <c r="G394" s="10"/>
      <c r="H394" s="10" t="s">
        <v>498</v>
      </c>
      <c r="I394" s="13"/>
    </row>
    <row r="395" spans="1:11">
      <c r="A395" s="2">
        <v>394</v>
      </c>
      <c r="B395" s="29" t="s">
        <v>497</v>
      </c>
      <c r="C395" s="20">
        <v>0</v>
      </c>
      <c r="D395" s="7" t="s">
        <v>116</v>
      </c>
      <c r="E395" s="7">
        <f t="shared" si="8"/>
        <v>1</v>
      </c>
      <c r="F395" s="20">
        <v>101</v>
      </c>
      <c r="G395" s="20">
        <v>1</v>
      </c>
      <c r="H395" s="10" t="s">
        <v>498</v>
      </c>
      <c r="I395" s="13">
        <v>1</v>
      </c>
    </row>
    <row r="396" spans="1:11">
      <c r="A396" s="2">
        <v>395</v>
      </c>
      <c r="B396" s="29" t="s">
        <v>499</v>
      </c>
      <c r="C396" s="20">
        <v>0</v>
      </c>
      <c r="D396" s="7" t="s">
        <v>116</v>
      </c>
      <c r="E396" s="7">
        <f t="shared" si="8"/>
        <v>1</v>
      </c>
      <c r="F396" s="20">
        <v>101</v>
      </c>
      <c r="G396" s="20">
        <v>1</v>
      </c>
      <c r="H396" s="30" t="s">
        <v>498</v>
      </c>
      <c r="I396" s="13">
        <v>1</v>
      </c>
    </row>
    <row r="397" spans="1:11">
      <c r="A397" s="2">
        <v>396</v>
      </c>
      <c r="B397" s="23" t="s">
        <v>500</v>
      </c>
      <c r="C397" s="2">
        <v>0</v>
      </c>
      <c r="D397" s="7" t="s">
        <v>116</v>
      </c>
      <c r="E397" s="7">
        <f t="shared" si="8"/>
        <v>1</v>
      </c>
      <c r="F397" s="2">
        <v>102</v>
      </c>
      <c r="G397" s="2"/>
      <c r="H397" s="23" t="s">
        <v>503</v>
      </c>
    </row>
    <row r="398" spans="1:11">
      <c r="A398" s="2">
        <v>397</v>
      </c>
      <c r="B398" s="23" t="s">
        <v>501</v>
      </c>
      <c r="C398" s="2">
        <v>0</v>
      </c>
      <c r="D398" s="7" t="s">
        <v>116</v>
      </c>
      <c r="E398" s="7">
        <f t="shared" si="8"/>
        <v>1</v>
      </c>
      <c r="F398" s="2">
        <v>102</v>
      </c>
      <c r="G398" s="2"/>
      <c r="H398" s="23" t="s">
        <v>504</v>
      </c>
    </row>
    <row r="399" spans="1:11">
      <c r="A399" s="2">
        <v>398</v>
      </c>
      <c r="B399" s="23" t="s">
        <v>502</v>
      </c>
      <c r="C399" s="2">
        <v>0</v>
      </c>
      <c r="D399" s="7" t="s">
        <v>116</v>
      </c>
      <c r="E399" s="7">
        <f t="shared" si="8"/>
        <v>1</v>
      </c>
      <c r="F399" s="2">
        <v>102</v>
      </c>
      <c r="G399" s="2"/>
      <c r="H399" s="23" t="s">
        <v>505</v>
      </c>
    </row>
    <row r="400" spans="1:11">
      <c r="A400" s="2">
        <v>399</v>
      </c>
      <c r="B400" s="31" t="s">
        <v>506</v>
      </c>
      <c r="C400" s="32">
        <v>10</v>
      </c>
      <c r="D400" s="7" t="s">
        <v>116</v>
      </c>
      <c r="E400" s="7">
        <f t="shared" si="8"/>
        <v>1</v>
      </c>
      <c r="F400" s="32">
        <v>200</v>
      </c>
      <c r="G400" s="32">
        <v>1</v>
      </c>
      <c r="H400" s="31" t="s">
        <v>26</v>
      </c>
      <c r="I400" s="13">
        <v>1</v>
      </c>
    </row>
    <row r="401" spans="1:15">
      <c r="A401" s="2">
        <v>400</v>
      </c>
      <c r="B401" s="31" t="s">
        <v>507</v>
      </c>
      <c r="C401" s="32">
        <v>10</v>
      </c>
      <c r="D401" s="7" t="s">
        <v>116</v>
      </c>
      <c r="E401" s="7">
        <f t="shared" si="8"/>
        <v>1</v>
      </c>
      <c r="F401" s="32">
        <v>200</v>
      </c>
      <c r="G401" s="32">
        <v>1</v>
      </c>
      <c r="H401" s="31" t="s">
        <v>25</v>
      </c>
      <c r="I401" s="13">
        <v>1</v>
      </c>
      <c r="L401" s="14" t="s">
        <v>508</v>
      </c>
      <c r="M401" s="33">
        <f>I400*2</f>
        <v>2</v>
      </c>
    </row>
    <row r="402" spans="1:15">
      <c r="A402" s="2">
        <v>401</v>
      </c>
      <c r="B402" s="31" t="s">
        <v>509</v>
      </c>
      <c r="C402" s="32">
        <v>4</v>
      </c>
      <c r="D402" s="7" t="s">
        <v>116</v>
      </c>
      <c r="E402" s="7">
        <f t="shared" si="8"/>
        <v>1</v>
      </c>
      <c r="F402" s="32">
        <v>200</v>
      </c>
      <c r="G402" s="32">
        <v>1</v>
      </c>
      <c r="H402" s="31" t="s">
        <v>510</v>
      </c>
      <c r="I402" s="13">
        <v>1</v>
      </c>
      <c r="L402" s="14" t="s">
        <v>511</v>
      </c>
      <c r="M402" s="33">
        <f>I402+I403+I404+I408</f>
        <v>4</v>
      </c>
      <c r="N402">
        <f>200/M402</f>
        <v>50</v>
      </c>
    </row>
    <row r="403" spans="1:15">
      <c r="A403" s="2">
        <v>402</v>
      </c>
      <c r="B403" s="31" t="s">
        <v>512</v>
      </c>
      <c r="C403" s="32">
        <v>2</v>
      </c>
      <c r="D403" s="7" t="s">
        <v>116</v>
      </c>
      <c r="E403" s="7">
        <f t="shared" si="8"/>
        <v>1</v>
      </c>
      <c r="F403" s="32">
        <v>200</v>
      </c>
      <c r="G403" s="32">
        <v>1</v>
      </c>
      <c r="H403" s="31" t="s">
        <v>513</v>
      </c>
      <c r="I403" s="13">
        <v>1</v>
      </c>
      <c r="L403" s="14"/>
      <c r="M403" s="33"/>
    </row>
    <row r="404" spans="1:15">
      <c r="A404" s="2">
        <v>403</v>
      </c>
      <c r="B404" s="31" t="s">
        <v>481</v>
      </c>
      <c r="C404" s="32">
        <v>4</v>
      </c>
      <c r="D404" s="7" t="s">
        <v>116</v>
      </c>
      <c r="E404" s="7">
        <f t="shared" si="8"/>
        <v>1</v>
      </c>
      <c r="F404" s="32">
        <v>200</v>
      </c>
      <c r="G404" s="32">
        <v>1</v>
      </c>
      <c r="H404" s="31" t="s">
        <v>514</v>
      </c>
      <c r="I404" s="13">
        <v>1</v>
      </c>
      <c r="L404" s="14" t="s">
        <v>515</v>
      </c>
      <c r="M404" s="16">
        <f>COMBIN(10,1)*POWER(M402,1)*POWER(1-M402,9)</f>
        <v>-787320</v>
      </c>
      <c r="O404" s="16"/>
    </row>
    <row r="405" spans="1:15">
      <c r="A405" s="2">
        <v>404</v>
      </c>
      <c r="B405" s="31" t="s">
        <v>482</v>
      </c>
      <c r="C405" s="32">
        <v>20</v>
      </c>
      <c r="D405" s="7" t="s">
        <v>116</v>
      </c>
      <c r="E405" s="7">
        <f t="shared" si="8"/>
        <v>1</v>
      </c>
      <c r="F405" s="32">
        <v>200</v>
      </c>
      <c r="G405" s="32"/>
      <c r="H405" s="31" t="s">
        <v>516</v>
      </c>
      <c r="I405" s="13"/>
      <c r="L405" s="14" t="s">
        <v>517</v>
      </c>
      <c r="M405" s="34">
        <f>COMBIN(10,2)*POWER(M402,2)*POWER(1-M402,8)</f>
        <v>4723920</v>
      </c>
    </row>
    <row r="406" spans="1:15">
      <c r="A406" s="2">
        <v>405</v>
      </c>
      <c r="B406" s="31" t="s">
        <v>483</v>
      </c>
      <c r="C406" s="32">
        <v>20</v>
      </c>
      <c r="D406" s="7" t="s">
        <v>116</v>
      </c>
      <c r="E406" s="7">
        <f t="shared" si="8"/>
        <v>1</v>
      </c>
      <c r="F406" s="32">
        <v>200</v>
      </c>
      <c r="G406" s="32"/>
      <c r="H406" s="31" t="s">
        <v>518</v>
      </c>
      <c r="I406" s="13"/>
      <c r="L406" s="14" t="s">
        <v>519</v>
      </c>
      <c r="M406" s="34">
        <f>COMBIN(10,3)*POWER(M402,3)*POWER(1-M402,7)</f>
        <v>-16796160</v>
      </c>
    </row>
    <row r="407" spans="1:15">
      <c r="A407" s="2">
        <v>406</v>
      </c>
      <c r="B407" s="31" t="s">
        <v>484</v>
      </c>
      <c r="C407" s="32">
        <v>20</v>
      </c>
      <c r="D407" s="7" t="s">
        <v>116</v>
      </c>
      <c r="E407" s="7">
        <f t="shared" si="8"/>
        <v>1</v>
      </c>
      <c r="F407" s="32">
        <v>200</v>
      </c>
      <c r="G407" s="32"/>
      <c r="H407" s="31" t="s">
        <v>520</v>
      </c>
      <c r="I407" s="13"/>
      <c r="L407" s="14" t="s">
        <v>521</v>
      </c>
      <c r="M407" s="35">
        <f>COMBIN(20,2)*POWER(M402,2)*POWER(1-M402,18)</f>
        <v>1177758286560</v>
      </c>
    </row>
    <row r="408" spans="1:15">
      <c r="A408" s="2">
        <v>407</v>
      </c>
      <c r="B408" s="31" t="s">
        <v>305</v>
      </c>
      <c r="C408" s="32">
        <v>2</v>
      </c>
      <c r="D408" s="7" t="s">
        <v>116</v>
      </c>
      <c r="E408" s="7">
        <f t="shared" si="8"/>
        <v>1</v>
      </c>
      <c r="F408" s="32">
        <v>200</v>
      </c>
      <c r="G408" s="32">
        <v>1</v>
      </c>
      <c r="H408" s="31" t="s">
        <v>522</v>
      </c>
      <c r="I408" s="13">
        <v>1</v>
      </c>
      <c r="L408" s="14" t="s">
        <v>523</v>
      </c>
      <c r="M408" s="35">
        <f>COMBIN(20,3)*POWER(M402,3)*POWER(1-M402,17)</f>
        <v>-9422066292480</v>
      </c>
    </row>
    <row r="409" spans="1:15">
      <c r="A409" s="2">
        <v>408</v>
      </c>
      <c r="B409" s="31" t="s">
        <v>307</v>
      </c>
      <c r="C409" s="32">
        <v>20</v>
      </c>
      <c r="D409" s="7" t="s">
        <v>116</v>
      </c>
      <c r="E409" s="7">
        <f t="shared" si="8"/>
        <v>1</v>
      </c>
      <c r="F409" s="32">
        <v>200</v>
      </c>
      <c r="G409" s="32"/>
      <c r="H409" s="31" t="s">
        <v>524</v>
      </c>
      <c r="I409" s="13"/>
    </row>
    <row r="410" spans="1:15">
      <c r="A410" s="2">
        <v>409</v>
      </c>
      <c r="B410" s="31" t="s">
        <v>309</v>
      </c>
      <c r="C410" s="32">
        <v>20</v>
      </c>
      <c r="D410" s="7" t="s">
        <v>116</v>
      </c>
      <c r="E410" s="7">
        <f t="shared" si="8"/>
        <v>1</v>
      </c>
      <c r="F410" s="32">
        <v>200</v>
      </c>
      <c r="G410" s="32"/>
      <c r="H410" s="31" t="s">
        <v>525</v>
      </c>
      <c r="I410" s="13"/>
    </row>
    <row r="411" spans="1:15">
      <c r="A411" s="2">
        <v>410</v>
      </c>
      <c r="B411" s="31" t="s">
        <v>311</v>
      </c>
      <c r="C411" s="32">
        <v>20</v>
      </c>
      <c r="D411" s="7" t="s">
        <v>116</v>
      </c>
      <c r="E411" s="7">
        <f t="shared" si="8"/>
        <v>1</v>
      </c>
      <c r="F411" s="32">
        <v>200</v>
      </c>
      <c r="G411" s="32"/>
      <c r="H411" s="31" t="s">
        <v>526</v>
      </c>
      <c r="I411" s="13"/>
    </row>
    <row r="412" spans="1:15">
      <c r="A412" s="2">
        <v>411</v>
      </c>
      <c r="B412" s="31" t="s">
        <v>527</v>
      </c>
      <c r="C412" s="32">
        <v>2</v>
      </c>
      <c r="D412" s="7" t="s">
        <v>116</v>
      </c>
      <c r="E412" s="7">
        <f t="shared" si="8"/>
        <v>1</v>
      </c>
      <c r="F412" s="32">
        <v>200</v>
      </c>
      <c r="G412" s="32"/>
      <c r="H412" s="31" t="s">
        <v>528</v>
      </c>
      <c r="I412" s="13"/>
    </row>
    <row r="413" spans="1:15">
      <c r="A413" s="2">
        <v>412</v>
      </c>
      <c r="B413" s="31" t="s">
        <v>529</v>
      </c>
      <c r="C413" s="32">
        <v>10</v>
      </c>
      <c r="D413" s="7" t="s">
        <v>116</v>
      </c>
      <c r="E413" s="7">
        <f t="shared" si="8"/>
        <v>1</v>
      </c>
      <c r="F413" s="32">
        <v>200</v>
      </c>
      <c r="G413" s="32"/>
      <c r="H413" s="31" t="s">
        <v>530</v>
      </c>
      <c r="I413" s="13"/>
    </row>
    <row r="414" spans="1:15">
      <c r="A414" s="2">
        <v>413</v>
      </c>
      <c r="B414" s="31" t="s">
        <v>459</v>
      </c>
      <c r="C414" s="32">
        <v>50</v>
      </c>
      <c r="D414" s="7" t="s">
        <v>116</v>
      </c>
      <c r="E414" s="7">
        <f t="shared" si="8"/>
        <v>1</v>
      </c>
      <c r="F414" s="32">
        <v>200</v>
      </c>
      <c r="G414" s="32"/>
      <c r="H414" s="31" t="s">
        <v>531</v>
      </c>
      <c r="I414" s="13"/>
    </row>
    <row r="415" spans="1:15">
      <c r="A415" s="2">
        <v>414</v>
      </c>
      <c r="B415" s="31" t="s">
        <v>532</v>
      </c>
      <c r="C415" s="32">
        <v>200</v>
      </c>
      <c r="D415" s="7" t="s">
        <v>116</v>
      </c>
      <c r="E415" s="7">
        <f t="shared" si="8"/>
        <v>1</v>
      </c>
      <c r="F415" s="32">
        <v>200</v>
      </c>
      <c r="G415" s="32"/>
      <c r="H415" s="31" t="s">
        <v>533</v>
      </c>
      <c r="I415" s="13"/>
    </row>
    <row r="416" spans="1:15">
      <c r="A416" s="2">
        <v>415</v>
      </c>
      <c r="B416" s="31" t="s">
        <v>534</v>
      </c>
      <c r="C416" s="32">
        <v>2</v>
      </c>
      <c r="D416" s="7" t="s">
        <v>116</v>
      </c>
      <c r="E416" s="7">
        <f t="shared" si="8"/>
        <v>1</v>
      </c>
      <c r="F416" s="32">
        <v>200</v>
      </c>
      <c r="G416" s="32"/>
      <c r="H416" s="31" t="s">
        <v>535</v>
      </c>
      <c r="I416" s="13"/>
    </row>
    <row r="417" spans="1:9">
      <c r="A417" s="2">
        <v>416</v>
      </c>
      <c r="B417" s="31" t="s">
        <v>536</v>
      </c>
      <c r="C417" s="32">
        <v>10</v>
      </c>
      <c r="D417" s="7" t="s">
        <v>116</v>
      </c>
      <c r="E417" s="7">
        <f t="shared" si="8"/>
        <v>1</v>
      </c>
      <c r="F417" s="32">
        <v>200</v>
      </c>
      <c r="G417" s="32"/>
      <c r="H417" s="31" t="s">
        <v>537</v>
      </c>
      <c r="I417" s="13"/>
    </row>
    <row r="418" spans="1:9">
      <c r="A418" s="2">
        <v>417</v>
      </c>
      <c r="B418" s="31" t="s">
        <v>538</v>
      </c>
      <c r="C418" s="32">
        <v>50</v>
      </c>
      <c r="D418" s="7" t="s">
        <v>116</v>
      </c>
      <c r="E418" s="7">
        <f t="shared" si="8"/>
        <v>1</v>
      </c>
      <c r="F418" s="32">
        <v>200</v>
      </c>
      <c r="G418" s="32"/>
      <c r="H418" s="31" t="s">
        <v>539</v>
      </c>
      <c r="I418" s="13"/>
    </row>
    <row r="419" spans="1:9">
      <c r="A419" s="2">
        <v>418</v>
      </c>
      <c r="B419" s="31" t="s">
        <v>540</v>
      </c>
      <c r="C419" s="32">
        <v>200</v>
      </c>
      <c r="D419" s="7" t="s">
        <v>116</v>
      </c>
      <c r="E419" s="7">
        <f t="shared" si="8"/>
        <v>1</v>
      </c>
      <c r="F419" s="32">
        <v>200</v>
      </c>
      <c r="G419" s="32"/>
      <c r="H419" s="31" t="s">
        <v>541</v>
      </c>
      <c r="I419" s="13"/>
    </row>
    <row r="420" spans="1:9">
      <c r="A420" s="2">
        <v>419</v>
      </c>
      <c r="B420" s="31" t="s">
        <v>542</v>
      </c>
      <c r="C420" s="32">
        <v>5</v>
      </c>
      <c r="D420" s="7" t="s">
        <v>116</v>
      </c>
      <c r="E420" s="7">
        <f t="shared" si="8"/>
        <v>1</v>
      </c>
      <c r="F420" s="32">
        <v>200</v>
      </c>
      <c r="G420" s="32"/>
      <c r="H420" s="31" t="s">
        <v>543</v>
      </c>
      <c r="I420" s="13"/>
    </row>
    <row r="421" spans="1:9">
      <c r="A421" s="2">
        <v>420</v>
      </c>
      <c r="B421" s="31" t="s">
        <v>544</v>
      </c>
      <c r="C421" s="32">
        <v>20</v>
      </c>
      <c r="D421" s="7" t="s">
        <v>116</v>
      </c>
      <c r="E421" s="7">
        <f t="shared" si="8"/>
        <v>1</v>
      </c>
      <c r="F421" s="32">
        <v>200</v>
      </c>
      <c r="G421" s="32"/>
      <c r="H421" s="31" t="s">
        <v>545</v>
      </c>
      <c r="I421" s="13"/>
    </row>
    <row r="422" spans="1:9">
      <c r="A422" s="2">
        <v>421</v>
      </c>
      <c r="B422" s="31" t="s">
        <v>546</v>
      </c>
      <c r="C422" s="32">
        <v>100</v>
      </c>
      <c r="D422" s="7" t="s">
        <v>116</v>
      </c>
      <c r="E422" s="7">
        <f t="shared" si="8"/>
        <v>1</v>
      </c>
      <c r="F422" s="32">
        <v>200</v>
      </c>
      <c r="G422" s="32"/>
      <c r="H422" s="31" t="s">
        <v>547</v>
      </c>
      <c r="I422" s="13"/>
    </row>
    <row r="423" spans="1:9">
      <c r="A423" s="2">
        <v>422</v>
      </c>
      <c r="B423" s="31" t="s">
        <v>548</v>
      </c>
      <c r="C423" s="32">
        <v>200</v>
      </c>
      <c r="D423" s="7" t="s">
        <v>116</v>
      </c>
      <c r="E423" s="7">
        <f t="shared" si="8"/>
        <v>1</v>
      </c>
      <c r="F423" s="32">
        <v>200</v>
      </c>
      <c r="G423" s="32"/>
      <c r="H423" s="31" t="s">
        <v>549</v>
      </c>
      <c r="I423" s="13"/>
    </row>
    <row r="424" spans="1:9">
      <c r="A424" s="2">
        <v>423</v>
      </c>
      <c r="B424" s="31" t="s">
        <v>550</v>
      </c>
      <c r="C424" s="32">
        <v>5</v>
      </c>
      <c r="D424" s="7" t="s">
        <v>116</v>
      </c>
      <c r="E424" s="7">
        <f t="shared" si="8"/>
        <v>1</v>
      </c>
      <c r="F424" s="32">
        <v>200</v>
      </c>
      <c r="G424" s="32"/>
      <c r="H424" s="31" t="s">
        <v>551</v>
      </c>
      <c r="I424" s="13"/>
    </row>
    <row r="425" spans="1:9">
      <c r="A425" s="2">
        <v>424</v>
      </c>
      <c r="B425" s="31" t="s">
        <v>552</v>
      </c>
      <c r="C425" s="32">
        <v>20</v>
      </c>
      <c r="D425" s="7" t="s">
        <v>116</v>
      </c>
      <c r="E425" s="7">
        <f t="shared" si="8"/>
        <v>1</v>
      </c>
      <c r="F425" s="32">
        <v>200</v>
      </c>
      <c r="G425" s="32"/>
      <c r="H425" s="31" t="s">
        <v>553</v>
      </c>
      <c r="I425" s="13"/>
    </row>
    <row r="426" spans="1:9">
      <c r="A426" s="2">
        <v>425</v>
      </c>
      <c r="B426" s="31" t="s">
        <v>470</v>
      </c>
      <c r="C426" s="32">
        <v>100</v>
      </c>
      <c r="D426" s="7" t="s">
        <v>116</v>
      </c>
      <c r="E426" s="7">
        <f t="shared" si="8"/>
        <v>1</v>
      </c>
      <c r="F426" s="32">
        <v>200</v>
      </c>
      <c r="G426" s="32"/>
      <c r="H426" s="31" t="s">
        <v>554</v>
      </c>
      <c r="I426" s="13"/>
    </row>
    <row r="427" spans="1:9">
      <c r="A427" s="2">
        <v>426</v>
      </c>
      <c r="B427" s="31" t="s">
        <v>469</v>
      </c>
      <c r="C427" s="32">
        <v>200</v>
      </c>
      <c r="D427" s="7" t="s">
        <v>116</v>
      </c>
      <c r="E427" s="7">
        <f t="shared" si="8"/>
        <v>1</v>
      </c>
      <c r="F427" s="32">
        <v>200</v>
      </c>
      <c r="G427" s="32"/>
      <c r="H427" s="31" t="s">
        <v>555</v>
      </c>
      <c r="I427" s="13"/>
    </row>
    <row r="428" spans="1:9">
      <c r="A428" s="2">
        <v>427</v>
      </c>
      <c r="B428" s="31" t="s">
        <v>509</v>
      </c>
      <c r="C428" s="32">
        <v>4</v>
      </c>
      <c r="D428" s="7" t="s">
        <v>116</v>
      </c>
      <c r="E428" s="7">
        <f t="shared" si="8"/>
        <v>1</v>
      </c>
      <c r="F428" s="32">
        <v>201</v>
      </c>
      <c r="G428" s="32">
        <v>1</v>
      </c>
      <c r="H428" s="31" t="s">
        <v>510</v>
      </c>
      <c r="I428" s="3">
        <v>1</v>
      </c>
    </row>
    <row r="429" spans="1:9">
      <c r="A429" s="2">
        <v>428</v>
      </c>
      <c r="B429" s="31" t="s">
        <v>512</v>
      </c>
      <c r="C429" s="32">
        <v>2</v>
      </c>
      <c r="D429" s="7" t="s">
        <v>116</v>
      </c>
      <c r="E429" s="7">
        <f t="shared" si="8"/>
        <v>1</v>
      </c>
      <c r="F429" s="32">
        <v>201</v>
      </c>
      <c r="G429" s="32">
        <v>1</v>
      </c>
      <c r="H429" s="31" t="s">
        <v>513</v>
      </c>
      <c r="I429" s="3">
        <v>1</v>
      </c>
    </row>
    <row r="430" spans="1:9">
      <c r="A430" s="2">
        <v>429</v>
      </c>
      <c r="B430" s="31" t="s">
        <v>481</v>
      </c>
      <c r="C430" s="32">
        <v>4</v>
      </c>
      <c r="D430" s="7" t="s">
        <v>116</v>
      </c>
      <c r="E430" s="7">
        <f t="shared" si="8"/>
        <v>1</v>
      </c>
      <c r="F430" s="32">
        <v>201</v>
      </c>
      <c r="G430" s="32">
        <v>1</v>
      </c>
      <c r="H430" s="31" t="s">
        <v>514</v>
      </c>
      <c r="I430" s="3">
        <v>1</v>
      </c>
    </row>
    <row r="431" spans="1:9">
      <c r="A431" s="2">
        <v>430</v>
      </c>
      <c r="B431" s="31" t="s">
        <v>305</v>
      </c>
      <c r="C431" s="32">
        <v>2</v>
      </c>
      <c r="D431" s="7" t="s">
        <v>116</v>
      </c>
      <c r="E431" s="7">
        <f t="shared" si="8"/>
        <v>1</v>
      </c>
      <c r="F431" s="32">
        <v>201</v>
      </c>
      <c r="G431" s="32">
        <v>1</v>
      </c>
      <c r="H431" s="31" t="s">
        <v>522</v>
      </c>
      <c r="I431" s="3">
        <v>1</v>
      </c>
    </row>
    <row r="432" spans="1:9">
      <c r="A432" s="2">
        <v>431</v>
      </c>
      <c r="B432" s="31" t="s">
        <v>506</v>
      </c>
      <c r="C432" s="32">
        <v>50</v>
      </c>
      <c r="D432" s="7" t="s">
        <v>116</v>
      </c>
      <c r="E432" s="7">
        <f t="shared" si="8"/>
        <v>1</v>
      </c>
      <c r="F432" s="32">
        <v>201</v>
      </c>
      <c r="G432" s="32">
        <v>1</v>
      </c>
      <c r="H432" s="31" t="s">
        <v>26</v>
      </c>
      <c r="I432" s="3">
        <v>1</v>
      </c>
    </row>
    <row r="433" spans="1:9">
      <c r="A433" s="2">
        <v>432</v>
      </c>
      <c r="B433" s="31" t="s">
        <v>507</v>
      </c>
      <c r="C433" s="32">
        <v>50</v>
      </c>
      <c r="D433" s="7" t="s">
        <v>116</v>
      </c>
      <c r="E433" s="7">
        <f t="shared" si="8"/>
        <v>1</v>
      </c>
      <c r="F433" s="32">
        <v>201</v>
      </c>
      <c r="G433" s="32">
        <v>1</v>
      </c>
      <c r="H433" s="31" t="s">
        <v>25</v>
      </c>
      <c r="I433" s="3">
        <v>1</v>
      </c>
    </row>
    <row r="434" spans="1:9">
      <c r="A434" s="2">
        <v>433</v>
      </c>
      <c r="B434" s="31" t="s">
        <v>482</v>
      </c>
      <c r="C434" s="32">
        <v>20</v>
      </c>
      <c r="D434" s="7" t="s">
        <v>116</v>
      </c>
      <c r="E434" s="7">
        <f t="shared" si="8"/>
        <v>1</v>
      </c>
      <c r="F434" s="32">
        <v>202</v>
      </c>
      <c r="G434" s="32"/>
      <c r="H434" s="31" t="s">
        <v>516</v>
      </c>
    </row>
    <row r="435" spans="1:9">
      <c r="A435" s="2">
        <v>434</v>
      </c>
      <c r="B435" s="31" t="s">
        <v>483</v>
      </c>
      <c r="C435" s="32">
        <v>20</v>
      </c>
      <c r="D435" s="7" t="s">
        <v>116</v>
      </c>
      <c r="E435" s="7">
        <f t="shared" si="8"/>
        <v>1</v>
      </c>
      <c r="F435" s="32">
        <v>202</v>
      </c>
      <c r="G435" s="32"/>
      <c r="H435" s="31" t="s">
        <v>518</v>
      </c>
    </row>
    <row r="436" spans="1:9">
      <c r="A436" s="2">
        <v>435</v>
      </c>
      <c r="B436" s="31" t="s">
        <v>484</v>
      </c>
      <c r="C436" s="32">
        <v>20</v>
      </c>
      <c r="D436" s="7" t="s">
        <v>116</v>
      </c>
      <c r="E436" s="7">
        <f t="shared" si="8"/>
        <v>1</v>
      </c>
      <c r="F436" s="32">
        <v>202</v>
      </c>
      <c r="G436" s="32"/>
      <c r="H436" s="31" t="s">
        <v>520</v>
      </c>
    </row>
    <row r="437" spans="1:9">
      <c r="A437" s="2">
        <v>436</v>
      </c>
      <c r="B437" s="31" t="s">
        <v>307</v>
      </c>
      <c r="C437" s="32">
        <v>20</v>
      </c>
      <c r="D437" s="7" t="s">
        <v>116</v>
      </c>
      <c r="E437" s="7">
        <f t="shared" si="8"/>
        <v>1</v>
      </c>
      <c r="F437" s="32">
        <v>202</v>
      </c>
      <c r="G437" s="32"/>
      <c r="H437" s="31" t="s">
        <v>524</v>
      </c>
    </row>
    <row r="438" spans="1:9">
      <c r="A438" s="2">
        <v>437</v>
      </c>
      <c r="B438" s="31" t="s">
        <v>309</v>
      </c>
      <c r="C438" s="32">
        <v>20</v>
      </c>
      <c r="D438" s="7" t="s">
        <v>116</v>
      </c>
      <c r="E438" s="7">
        <f t="shared" si="8"/>
        <v>1</v>
      </c>
      <c r="F438" s="32">
        <v>202</v>
      </c>
      <c r="G438" s="32"/>
      <c r="H438" s="31" t="s">
        <v>525</v>
      </c>
    </row>
    <row r="439" spans="1:9">
      <c r="A439" s="2">
        <v>438</v>
      </c>
      <c r="B439" s="31" t="s">
        <v>311</v>
      </c>
      <c r="C439" s="32">
        <v>20</v>
      </c>
      <c r="D439" s="7" t="s">
        <v>116</v>
      </c>
      <c r="E439" s="7">
        <f t="shared" si="8"/>
        <v>1</v>
      </c>
      <c r="F439" s="32">
        <v>202</v>
      </c>
      <c r="G439" s="32"/>
      <c r="H439" s="31" t="s">
        <v>526</v>
      </c>
    </row>
    <row r="440" spans="1:9">
      <c r="A440" s="2">
        <v>439</v>
      </c>
      <c r="B440" s="31" t="s">
        <v>527</v>
      </c>
      <c r="C440" s="32">
        <v>2</v>
      </c>
      <c r="D440" s="7" t="s">
        <v>116</v>
      </c>
      <c r="E440" s="7">
        <f t="shared" si="8"/>
        <v>1</v>
      </c>
      <c r="F440" s="32">
        <v>202</v>
      </c>
      <c r="G440" s="32"/>
      <c r="H440" s="31" t="s">
        <v>528</v>
      </c>
    </row>
    <row r="441" spans="1:9">
      <c r="A441" s="2">
        <v>440</v>
      </c>
      <c r="B441" s="31" t="s">
        <v>529</v>
      </c>
      <c r="C441" s="32">
        <v>10</v>
      </c>
      <c r="D441" s="7" t="s">
        <v>116</v>
      </c>
      <c r="E441" s="7">
        <f t="shared" si="8"/>
        <v>1</v>
      </c>
      <c r="F441" s="32">
        <v>202</v>
      </c>
      <c r="G441" s="32"/>
      <c r="H441" s="31" t="s">
        <v>530</v>
      </c>
    </row>
    <row r="442" spans="1:9">
      <c r="A442" s="2">
        <v>441</v>
      </c>
      <c r="B442" s="31" t="s">
        <v>459</v>
      </c>
      <c r="C442" s="32">
        <v>50</v>
      </c>
      <c r="D442" s="7" t="s">
        <v>116</v>
      </c>
      <c r="E442" s="7">
        <f t="shared" si="8"/>
        <v>1</v>
      </c>
      <c r="F442" s="32">
        <v>202</v>
      </c>
      <c r="G442" s="32"/>
      <c r="H442" s="31" t="s">
        <v>531</v>
      </c>
    </row>
    <row r="443" spans="1:9">
      <c r="A443" s="2">
        <v>442</v>
      </c>
      <c r="B443" s="31" t="s">
        <v>532</v>
      </c>
      <c r="C443" s="32">
        <v>200</v>
      </c>
      <c r="D443" s="7" t="s">
        <v>116</v>
      </c>
      <c r="E443" s="7">
        <f t="shared" si="8"/>
        <v>1</v>
      </c>
      <c r="F443" s="32">
        <v>202</v>
      </c>
      <c r="G443" s="32"/>
      <c r="H443" s="31" t="s">
        <v>533</v>
      </c>
    </row>
    <row r="444" spans="1:9">
      <c r="A444" s="2">
        <v>443</v>
      </c>
      <c r="B444" s="31" t="s">
        <v>534</v>
      </c>
      <c r="C444" s="32">
        <v>2</v>
      </c>
      <c r="D444" s="7" t="s">
        <v>116</v>
      </c>
      <c r="E444" s="7">
        <f t="shared" si="8"/>
        <v>1</v>
      </c>
      <c r="F444" s="32">
        <v>202</v>
      </c>
      <c r="G444" s="32"/>
      <c r="H444" s="31" t="s">
        <v>535</v>
      </c>
    </row>
    <row r="445" spans="1:9">
      <c r="A445" s="2">
        <v>444</v>
      </c>
      <c r="B445" s="31" t="s">
        <v>536</v>
      </c>
      <c r="C445" s="32">
        <v>10</v>
      </c>
      <c r="D445" s="7" t="s">
        <v>116</v>
      </c>
      <c r="E445" s="7">
        <f t="shared" si="8"/>
        <v>1</v>
      </c>
      <c r="F445" s="32">
        <v>202</v>
      </c>
      <c r="G445" s="32"/>
      <c r="H445" s="31" t="s">
        <v>537</v>
      </c>
    </row>
    <row r="446" spans="1:9">
      <c r="A446" s="2">
        <v>445</v>
      </c>
      <c r="B446" s="31" t="s">
        <v>538</v>
      </c>
      <c r="C446" s="32">
        <v>50</v>
      </c>
      <c r="D446" s="7" t="s">
        <v>116</v>
      </c>
      <c r="E446" s="7">
        <f t="shared" si="8"/>
        <v>1</v>
      </c>
      <c r="F446" s="32">
        <v>202</v>
      </c>
      <c r="G446" s="32"/>
      <c r="H446" s="31" t="s">
        <v>539</v>
      </c>
    </row>
    <row r="447" spans="1:9">
      <c r="A447" s="2">
        <v>446</v>
      </c>
      <c r="B447" s="31" t="s">
        <v>540</v>
      </c>
      <c r="C447" s="32">
        <v>200</v>
      </c>
      <c r="D447" s="7" t="s">
        <v>116</v>
      </c>
      <c r="E447" s="7">
        <f t="shared" si="8"/>
        <v>1</v>
      </c>
      <c r="F447" s="32">
        <v>202</v>
      </c>
      <c r="G447" s="32"/>
      <c r="H447" s="31" t="s">
        <v>541</v>
      </c>
    </row>
    <row r="448" spans="1:9">
      <c r="A448" s="2">
        <v>447</v>
      </c>
      <c r="B448" s="31" t="s">
        <v>542</v>
      </c>
      <c r="C448" s="32">
        <v>5</v>
      </c>
      <c r="D448" s="7" t="s">
        <v>116</v>
      </c>
      <c r="E448" s="7">
        <f t="shared" si="8"/>
        <v>1</v>
      </c>
      <c r="F448" s="32">
        <v>202</v>
      </c>
      <c r="G448" s="32"/>
      <c r="H448" s="31" t="s">
        <v>543</v>
      </c>
    </row>
    <row r="449" spans="1:9">
      <c r="A449" s="2">
        <v>448</v>
      </c>
      <c r="B449" s="31" t="s">
        <v>544</v>
      </c>
      <c r="C449" s="32">
        <v>20</v>
      </c>
      <c r="D449" s="7" t="s">
        <v>116</v>
      </c>
      <c r="E449" s="7">
        <f t="shared" si="8"/>
        <v>1</v>
      </c>
      <c r="F449" s="32">
        <v>202</v>
      </c>
      <c r="G449" s="32"/>
      <c r="H449" s="31" t="s">
        <v>545</v>
      </c>
    </row>
    <row r="450" spans="1:9">
      <c r="A450" s="2">
        <v>449</v>
      </c>
      <c r="B450" s="31" t="s">
        <v>546</v>
      </c>
      <c r="C450" s="32">
        <v>100</v>
      </c>
      <c r="D450" s="7" t="s">
        <v>116</v>
      </c>
      <c r="E450" s="7">
        <f t="shared" ref="E450:E513" si="9">IF(D450="",1,99)</f>
        <v>1</v>
      </c>
      <c r="F450" s="32">
        <v>202</v>
      </c>
      <c r="G450" s="32"/>
      <c r="H450" s="31" t="s">
        <v>547</v>
      </c>
    </row>
    <row r="451" spans="1:9">
      <c r="A451" s="2">
        <v>450</v>
      </c>
      <c r="B451" s="31" t="s">
        <v>548</v>
      </c>
      <c r="C451" s="32">
        <v>200</v>
      </c>
      <c r="D451" s="7" t="s">
        <v>116</v>
      </c>
      <c r="E451" s="7">
        <f t="shared" si="9"/>
        <v>1</v>
      </c>
      <c r="F451" s="32">
        <v>202</v>
      </c>
      <c r="G451" s="32"/>
      <c r="H451" s="31" t="s">
        <v>549</v>
      </c>
    </row>
    <row r="452" spans="1:9">
      <c r="A452" s="2">
        <v>451</v>
      </c>
      <c r="B452" s="31" t="s">
        <v>550</v>
      </c>
      <c r="C452" s="32">
        <v>5</v>
      </c>
      <c r="D452" s="7" t="s">
        <v>116</v>
      </c>
      <c r="E452" s="7">
        <f t="shared" si="9"/>
        <v>1</v>
      </c>
      <c r="F452" s="32">
        <v>202</v>
      </c>
      <c r="G452" s="32"/>
      <c r="H452" s="31" t="s">
        <v>551</v>
      </c>
    </row>
    <row r="453" spans="1:9">
      <c r="A453" s="2">
        <v>452</v>
      </c>
      <c r="B453" s="31" t="s">
        <v>552</v>
      </c>
      <c r="C453" s="32">
        <v>20</v>
      </c>
      <c r="D453" s="7" t="s">
        <v>116</v>
      </c>
      <c r="E453" s="7">
        <f t="shared" si="9"/>
        <v>1</v>
      </c>
      <c r="F453" s="32">
        <v>202</v>
      </c>
      <c r="G453" s="32"/>
      <c r="H453" s="31" t="s">
        <v>553</v>
      </c>
    </row>
    <row r="454" spans="1:9">
      <c r="A454" s="2">
        <v>453</v>
      </c>
      <c r="B454" s="31" t="s">
        <v>470</v>
      </c>
      <c r="C454" s="32">
        <v>100</v>
      </c>
      <c r="D454" s="7" t="s">
        <v>116</v>
      </c>
      <c r="E454" s="7">
        <f t="shared" si="9"/>
        <v>1</v>
      </c>
      <c r="F454" s="32">
        <v>202</v>
      </c>
      <c r="G454" s="32"/>
      <c r="H454" s="31" t="s">
        <v>554</v>
      </c>
    </row>
    <row r="455" spans="1:9">
      <c r="A455" s="2">
        <v>454</v>
      </c>
      <c r="B455" s="31" t="s">
        <v>469</v>
      </c>
      <c r="C455" s="32">
        <v>200</v>
      </c>
      <c r="D455" s="7" t="s">
        <v>116</v>
      </c>
      <c r="E455" s="7">
        <f t="shared" si="9"/>
        <v>1</v>
      </c>
      <c r="F455" s="32">
        <v>202</v>
      </c>
      <c r="G455" s="32"/>
      <c r="H455" s="31" t="s">
        <v>555</v>
      </c>
    </row>
    <row r="456" spans="1:9">
      <c r="A456" s="2">
        <v>455</v>
      </c>
      <c r="B456" s="31" t="s">
        <v>509</v>
      </c>
      <c r="C456" s="32">
        <v>10</v>
      </c>
      <c r="D456" s="7" t="s">
        <v>116</v>
      </c>
      <c r="E456" s="7">
        <f t="shared" si="9"/>
        <v>1</v>
      </c>
      <c r="F456" s="32">
        <v>203</v>
      </c>
      <c r="G456" s="32">
        <v>1</v>
      </c>
      <c r="H456" s="31" t="s">
        <v>510</v>
      </c>
      <c r="I456" s="3">
        <v>1</v>
      </c>
    </row>
    <row r="457" spans="1:9">
      <c r="A457" s="2">
        <v>456</v>
      </c>
      <c r="B457" s="31" t="s">
        <v>512</v>
      </c>
      <c r="C457" s="32">
        <v>5</v>
      </c>
      <c r="D457" s="7" t="s">
        <v>116</v>
      </c>
      <c r="E457" s="7">
        <f t="shared" si="9"/>
        <v>1</v>
      </c>
      <c r="F457" s="32">
        <v>203</v>
      </c>
      <c r="G457" s="32">
        <v>1</v>
      </c>
      <c r="H457" s="31" t="s">
        <v>513</v>
      </c>
      <c r="I457" s="3">
        <v>1</v>
      </c>
    </row>
    <row r="458" spans="1:9">
      <c r="A458" s="2">
        <v>457</v>
      </c>
      <c r="B458" t="s">
        <v>556</v>
      </c>
      <c r="C458" s="7">
        <v>10</v>
      </c>
      <c r="D458" s="7" t="s">
        <v>556</v>
      </c>
      <c r="E458" s="7">
        <f t="shared" si="9"/>
        <v>99</v>
      </c>
      <c r="F458">
        <v>100</v>
      </c>
      <c r="G458">
        <v>1</v>
      </c>
      <c r="H458" t="s">
        <v>557</v>
      </c>
      <c r="I458" s="3">
        <v>1</v>
      </c>
    </row>
    <row r="459" spans="1:9">
      <c r="A459" s="2">
        <v>458</v>
      </c>
      <c r="B459" t="s">
        <v>558</v>
      </c>
      <c r="C459" s="7">
        <v>0</v>
      </c>
      <c r="D459" s="7" t="s">
        <v>558</v>
      </c>
      <c r="E459" s="7">
        <f t="shared" si="9"/>
        <v>99</v>
      </c>
      <c r="F459">
        <v>100</v>
      </c>
      <c r="G459">
        <v>1</v>
      </c>
      <c r="H459" t="s">
        <v>559</v>
      </c>
      <c r="I459" s="3">
        <v>1</v>
      </c>
    </row>
    <row r="460" spans="1:9">
      <c r="A460" s="2">
        <v>459</v>
      </c>
      <c r="B460" t="s">
        <v>560</v>
      </c>
      <c r="C460" s="7">
        <v>10</v>
      </c>
      <c r="D460" s="7" t="s">
        <v>556</v>
      </c>
      <c r="E460" s="7">
        <f t="shared" si="9"/>
        <v>99</v>
      </c>
      <c r="F460">
        <v>100</v>
      </c>
      <c r="G460">
        <v>1</v>
      </c>
      <c r="H460" t="s">
        <v>557</v>
      </c>
      <c r="I460" s="3">
        <v>1</v>
      </c>
    </row>
    <row r="461" spans="1:9">
      <c r="A461" s="2">
        <v>460</v>
      </c>
      <c r="B461" t="s">
        <v>561</v>
      </c>
      <c r="C461">
        <v>24</v>
      </c>
      <c r="D461" s="7" t="s">
        <v>116</v>
      </c>
      <c r="E461" s="7">
        <f t="shared" si="9"/>
        <v>1</v>
      </c>
      <c r="F461">
        <v>100</v>
      </c>
      <c r="H461" t="s">
        <v>557</v>
      </c>
    </row>
    <row r="462" spans="1:9">
      <c r="A462" s="2">
        <v>461</v>
      </c>
      <c r="B462" t="s">
        <v>562</v>
      </c>
      <c r="C462">
        <v>33</v>
      </c>
      <c r="D462" s="7" t="s">
        <v>116</v>
      </c>
      <c r="E462" s="7">
        <f t="shared" si="9"/>
        <v>1</v>
      </c>
      <c r="F462">
        <v>100</v>
      </c>
      <c r="H462" t="s">
        <v>557</v>
      </c>
    </row>
    <row r="463" spans="1:9">
      <c r="A463" s="2">
        <v>462</v>
      </c>
      <c r="B463" t="s">
        <v>563</v>
      </c>
      <c r="C463">
        <v>44</v>
      </c>
      <c r="D463" s="7" t="s">
        <v>116</v>
      </c>
      <c r="E463" s="7">
        <f t="shared" si="9"/>
        <v>1</v>
      </c>
      <c r="F463">
        <v>100</v>
      </c>
      <c r="H463" t="s">
        <v>557</v>
      </c>
    </row>
    <row r="464" spans="1:9">
      <c r="A464" s="2">
        <v>463</v>
      </c>
      <c r="B464" t="s">
        <v>564</v>
      </c>
      <c r="C464" s="7">
        <v>0</v>
      </c>
      <c r="D464" s="8" t="s">
        <v>565</v>
      </c>
      <c r="E464" s="7">
        <f t="shared" si="9"/>
        <v>99</v>
      </c>
      <c r="F464">
        <v>100</v>
      </c>
      <c r="G464">
        <v>1</v>
      </c>
      <c r="H464" t="s">
        <v>559</v>
      </c>
      <c r="I464" s="3">
        <v>1</v>
      </c>
    </row>
    <row r="465" spans="1:9">
      <c r="A465" s="2">
        <v>464</v>
      </c>
      <c r="B465" t="s">
        <v>566</v>
      </c>
      <c r="C465">
        <v>24</v>
      </c>
      <c r="D465" s="7" t="s">
        <v>116</v>
      </c>
      <c r="E465" s="7">
        <f t="shared" si="9"/>
        <v>1</v>
      </c>
      <c r="F465">
        <v>100</v>
      </c>
      <c r="H465" t="s">
        <v>559</v>
      </c>
    </row>
    <row r="466" spans="1:9">
      <c r="A466" s="2">
        <v>465</v>
      </c>
      <c r="B466" t="s">
        <v>567</v>
      </c>
      <c r="C466">
        <v>33</v>
      </c>
      <c r="D466" s="7" t="s">
        <v>116</v>
      </c>
      <c r="E466" s="7">
        <f t="shared" si="9"/>
        <v>1</v>
      </c>
      <c r="F466">
        <v>100</v>
      </c>
      <c r="H466" t="s">
        <v>559</v>
      </c>
    </row>
    <row r="467" spans="1:9">
      <c r="A467" s="2">
        <v>466</v>
      </c>
      <c r="B467" t="s">
        <v>568</v>
      </c>
      <c r="C467">
        <v>44</v>
      </c>
      <c r="D467" s="7" t="s">
        <v>116</v>
      </c>
      <c r="E467" s="7">
        <f t="shared" si="9"/>
        <v>1</v>
      </c>
      <c r="F467">
        <v>100</v>
      </c>
      <c r="H467" t="s">
        <v>559</v>
      </c>
    </row>
    <row r="468" spans="1:9">
      <c r="A468" s="2">
        <v>467</v>
      </c>
      <c r="B468" t="s">
        <v>556</v>
      </c>
      <c r="C468" s="7">
        <v>0</v>
      </c>
      <c r="D468" s="7" t="s">
        <v>556</v>
      </c>
      <c r="E468" s="7">
        <f t="shared" si="9"/>
        <v>99</v>
      </c>
      <c r="F468">
        <v>101</v>
      </c>
      <c r="G468">
        <v>1</v>
      </c>
      <c r="H468" t="s">
        <v>557</v>
      </c>
      <c r="I468" s="3">
        <v>1</v>
      </c>
    </row>
    <row r="469" spans="1:9">
      <c r="A469" s="2">
        <v>468</v>
      </c>
      <c r="B469" t="s">
        <v>558</v>
      </c>
      <c r="C469" s="7">
        <v>0</v>
      </c>
      <c r="D469" s="7" t="s">
        <v>558</v>
      </c>
      <c r="E469" s="7">
        <f t="shared" si="9"/>
        <v>99</v>
      </c>
      <c r="F469">
        <v>101</v>
      </c>
      <c r="G469">
        <v>1</v>
      </c>
      <c r="H469" t="s">
        <v>559</v>
      </c>
      <c r="I469" s="3">
        <v>1</v>
      </c>
    </row>
    <row r="470" spans="1:9">
      <c r="A470" s="2">
        <v>469</v>
      </c>
      <c r="B470" t="s">
        <v>560</v>
      </c>
      <c r="C470" s="7">
        <v>0</v>
      </c>
      <c r="D470" s="7" t="s">
        <v>556</v>
      </c>
      <c r="E470" s="7">
        <f t="shared" si="9"/>
        <v>99</v>
      </c>
      <c r="F470">
        <v>101</v>
      </c>
      <c r="G470">
        <v>1</v>
      </c>
      <c r="H470" t="s">
        <v>557</v>
      </c>
      <c r="I470" s="3">
        <v>1</v>
      </c>
    </row>
    <row r="471" spans="1:9">
      <c r="A471" s="2">
        <v>470</v>
      </c>
      <c r="B471" t="s">
        <v>561</v>
      </c>
      <c r="C471">
        <v>0</v>
      </c>
      <c r="D471" s="7" t="s">
        <v>116</v>
      </c>
      <c r="E471" s="7">
        <f t="shared" si="9"/>
        <v>1</v>
      </c>
      <c r="F471">
        <v>101</v>
      </c>
      <c r="G471">
        <v>1</v>
      </c>
      <c r="H471" t="s">
        <v>557</v>
      </c>
      <c r="I471" s="3">
        <v>1</v>
      </c>
    </row>
    <row r="472" spans="1:9">
      <c r="A472" s="2">
        <v>471</v>
      </c>
      <c r="B472" t="s">
        <v>564</v>
      </c>
      <c r="C472" s="7">
        <v>0</v>
      </c>
      <c r="D472" s="7" t="s">
        <v>182</v>
      </c>
      <c r="E472" s="7">
        <f t="shared" si="9"/>
        <v>99</v>
      </c>
      <c r="F472">
        <v>101</v>
      </c>
      <c r="G472">
        <v>1</v>
      </c>
      <c r="H472" t="s">
        <v>559</v>
      </c>
      <c r="I472" s="3">
        <v>1</v>
      </c>
    </row>
    <row r="473" spans="1:9">
      <c r="A473" s="2">
        <v>472</v>
      </c>
      <c r="B473" t="s">
        <v>566</v>
      </c>
      <c r="C473">
        <v>0</v>
      </c>
      <c r="D473" s="7" t="s">
        <v>116</v>
      </c>
      <c r="E473" s="7">
        <f t="shared" si="9"/>
        <v>1</v>
      </c>
      <c r="F473">
        <v>101</v>
      </c>
      <c r="G473">
        <v>1</v>
      </c>
      <c r="H473" t="s">
        <v>559</v>
      </c>
      <c r="I473" s="3">
        <v>1</v>
      </c>
    </row>
    <row r="474" spans="1:9">
      <c r="A474" s="2">
        <v>473</v>
      </c>
      <c r="B474" t="s">
        <v>561</v>
      </c>
      <c r="C474">
        <v>24</v>
      </c>
      <c r="D474" s="7" t="s">
        <v>116</v>
      </c>
      <c r="E474" s="7">
        <f t="shared" si="9"/>
        <v>1</v>
      </c>
      <c r="F474">
        <v>102</v>
      </c>
      <c r="H474" t="s">
        <v>557</v>
      </c>
    </row>
    <row r="475" spans="1:9">
      <c r="A475" s="2">
        <v>474</v>
      </c>
      <c r="B475" t="s">
        <v>562</v>
      </c>
      <c r="C475">
        <v>33</v>
      </c>
      <c r="D475" s="7" t="s">
        <v>116</v>
      </c>
      <c r="E475" s="7">
        <f t="shared" si="9"/>
        <v>1</v>
      </c>
      <c r="F475">
        <v>102</v>
      </c>
      <c r="H475" t="s">
        <v>557</v>
      </c>
    </row>
    <row r="476" spans="1:9">
      <c r="A476" s="2">
        <v>475</v>
      </c>
      <c r="B476" t="s">
        <v>563</v>
      </c>
      <c r="C476">
        <v>44</v>
      </c>
      <c r="D476" s="7" t="s">
        <v>116</v>
      </c>
      <c r="E476" s="7">
        <f t="shared" si="9"/>
        <v>1</v>
      </c>
      <c r="F476">
        <v>102</v>
      </c>
      <c r="H476" t="s">
        <v>557</v>
      </c>
    </row>
    <row r="477" spans="1:9">
      <c r="A477" s="2">
        <v>476</v>
      </c>
      <c r="B477" t="s">
        <v>566</v>
      </c>
      <c r="C477">
        <v>24</v>
      </c>
      <c r="D477" s="7" t="s">
        <v>116</v>
      </c>
      <c r="E477" s="7">
        <f t="shared" si="9"/>
        <v>1</v>
      </c>
      <c r="F477">
        <v>102</v>
      </c>
      <c r="H477" t="s">
        <v>559</v>
      </c>
    </row>
    <row r="478" spans="1:9">
      <c r="A478" s="2">
        <v>477</v>
      </c>
      <c r="B478" t="s">
        <v>567</v>
      </c>
      <c r="C478">
        <v>33</v>
      </c>
      <c r="D478" s="7" t="s">
        <v>116</v>
      </c>
      <c r="E478" s="7">
        <f t="shared" si="9"/>
        <v>1</v>
      </c>
      <c r="F478">
        <v>102</v>
      </c>
      <c r="H478" t="s">
        <v>559</v>
      </c>
    </row>
    <row r="479" spans="1:9">
      <c r="A479" s="2">
        <v>478</v>
      </c>
      <c r="B479" t="s">
        <v>568</v>
      </c>
      <c r="C479">
        <v>44</v>
      </c>
      <c r="D479" s="7" t="s">
        <v>116</v>
      </c>
      <c r="E479" s="7">
        <f t="shared" si="9"/>
        <v>1</v>
      </c>
      <c r="F479">
        <v>102</v>
      </c>
      <c r="H479" t="s">
        <v>559</v>
      </c>
    </row>
    <row r="480" spans="1:9">
      <c r="A480" s="2">
        <v>479</v>
      </c>
      <c r="B480" t="s">
        <v>569</v>
      </c>
      <c r="C480" s="7">
        <v>0</v>
      </c>
      <c r="D480" s="7" t="s">
        <v>569</v>
      </c>
      <c r="E480" s="7">
        <f t="shared" si="9"/>
        <v>99</v>
      </c>
      <c r="F480">
        <v>100</v>
      </c>
      <c r="G480">
        <v>1</v>
      </c>
      <c r="H480" t="s">
        <v>570</v>
      </c>
      <c r="I480" s="3">
        <v>1</v>
      </c>
    </row>
    <row r="481" spans="1:9">
      <c r="A481" s="2">
        <v>480</v>
      </c>
      <c r="B481" t="s">
        <v>571</v>
      </c>
      <c r="C481" s="7">
        <v>0</v>
      </c>
      <c r="D481" s="7" t="s">
        <v>571</v>
      </c>
      <c r="E481" s="7">
        <f t="shared" si="9"/>
        <v>99</v>
      </c>
      <c r="F481">
        <v>100</v>
      </c>
      <c r="G481">
        <v>1</v>
      </c>
      <c r="H481" t="s">
        <v>572</v>
      </c>
      <c r="I481" s="3">
        <v>1</v>
      </c>
    </row>
    <row r="482" spans="1:9">
      <c r="A482" s="2">
        <v>481</v>
      </c>
      <c r="B482" t="s">
        <v>573</v>
      </c>
      <c r="C482" s="7">
        <v>0</v>
      </c>
      <c r="D482" s="7" t="s">
        <v>569</v>
      </c>
      <c r="E482" s="7">
        <f t="shared" si="9"/>
        <v>99</v>
      </c>
      <c r="F482">
        <v>100</v>
      </c>
      <c r="G482">
        <v>1</v>
      </c>
      <c r="H482" t="s">
        <v>570</v>
      </c>
      <c r="I482" s="3">
        <v>1</v>
      </c>
    </row>
    <row r="483" spans="1:9">
      <c r="A483" s="2">
        <v>482</v>
      </c>
      <c r="B483" t="s">
        <v>574</v>
      </c>
      <c r="C483">
        <v>24</v>
      </c>
      <c r="D483" s="7" t="s">
        <v>116</v>
      </c>
      <c r="E483" s="7">
        <f t="shared" si="9"/>
        <v>1</v>
      </c>
      <c r="F483">
        <v>100</v>
      </c>
      <c r="H483" t="s">
        <v>570</v>
      </c>
    </row>
    <row r="484" spans="1:9">
      <c r="A484" s="2">
        <v>483</v>
      </c>
      <c r="B484" t="s">
        <v>575</v>
      </c>
      <c r="C484">
        <v>33</v>
      </c>
      <c r="D484" s="7" t="s">
        <v>116</v>
      </c>
      <c r="E484" s="7">
        <f t="shared" si="9"/>
        <v>1</v>
      </c>
      <c r="F484">
        <v>100</v>
      </c>
      <c r="H484" t="s">
        <v>570</v>
      </c>
    </row>
    <row r="485" spans="1:9">
      <c r="A485" s="2">
        <v>484</v>
      </c>
      <c r="B485" t="s">
        <v>576</v>
      </c>
      <c r="C485">
        <v>44</v>
      </c>
      <c r="D485" s="7" t="s">
        <v>116</v>
      </c>
      <c r="E485" s="7">
        <f t="shared" si="9"/>
        <v>1</v>
      </c>
      <c r="F485">
        <v>100</v>
      </c>
      <c r="H485" t="s">
        <v>570</v>
      </c>
    </row>
    <row r="486" spans="1:9">
      <c r="A486" s="2">
        <v>485</v>
      </c>
      <c r="B486" t="s">
        <v>577</v>
      </c>
      <c r="C486" s="7">
        <v>0</v>
      </c>
      <c r="D486" s="8" t="s">
        <v>578</v>
      </c>
      <c r="E486" s="7">
        <f t="shared" si="9"/>
        <v>99</v>
      </c>
      <c r="F486">
        <v>100</v>
      </c>
      <c r="G486">
        <v>1</v>
      </c>
      <c r="H486" t="s">
        <v>572</v>
      </c>
      <c r="I486" s="3">
        <v>1</v>
      </c>
    </row>
    <row r="487" spans="1:9">
      <c r="A487" s="2">
        <v>486</v>
      </c>
      <c r="B487" t="s">
        <v>579</v>
      </c>
      <c r="C487">
        <v>24</v>
      </c>
      <c r="D487" s="7" t="s">
        <v>116</v>
      </c>
      <c r="E487" s="7">
        <f t="shared" si="9"/>
        <v>1</v>
      </c>
      <c r="F487">
        <v>100</v>
      </c>
      <c r="H487" t="s">
        <v>572</v>
      </c>
    </row>
    <row r="488" spans="1:9">
      <c r="A488" s="2">
        <v>487</v>
      </c>
      <c r="B488" t="s">
        <v>580</v>
      </c>
      <c r="C488">
        <v>33</v>
      </c>
      <c r="D488" s="7" t="s">
        <v>116</v>
      </c>
      <c r="E488" s="7">
        <f t="shared" si="9"/>
        <v>1</v>
      </c>
      <c r="F488">
        <v>100</v>
      </c>
      <c r="H488" t="s">
        <v>572</v>
      </c>
    </row>
    <row r="489" spans="1:9">
      <c r="A489" s="2">
        <v>488</v>
      </c>
      <c r="B489" t="s">
        <v>581</v>
      </c>
      <c r="C489">
        <v>44</v>
      </c>
      <c r="D489" s="7" t="s">
        <v>116</v>
      </c>
      <c r="E489" s="7">
        <f t="shared" si="9"/>
        <v>1</v>
      </c>
      <c r="F489">
        <v>100</v>
      </c>
      <c r="H489" t="s">
        <v>572</v>
      </c>
    </row>
    <row r="490" spans="1:9">
      <c r="A490" s="2">
        <v>489</v>
      </c>
      <c r="B490" t="s">
        <v>569</v>
      </c>
      <c r="C490" s="7">
        <v>0</v>
      </c>
      <c r="D490" s="7" t="s">
        <v>569</v>
      </c>
      <c r="E490" s="7">
        <f t="shared" si="9"/>
        <v>99</v>
      </c>
      <c r="F490">
        <v>101</v>
      </c>
      <c r="G490">
        <v>1</v>
      </c>
      <c r="H490" t="s">
        <v>570</v>
      </c>
      <c r="I490" s="3">
        <v>1</v>
      </c>
    </row>
    <row r="491" spans="1:9">
      <c r="A491" s="2">
        <v>490</v>
      </c>
      <c r="B491" t="s">
        <v>571</v>
      </c>
      <c r="C491" s="7">
        <v>0</v>
      </c>
      <c r="D491" s="7" t="s">
        <v>571</v>
      </c>
      <c r="E491" s="7">
        <f t="shared" si="9"/>
        <v>99</v>
      </c>
      <c r="F491">
        <v>101</v>
      </c>
      <c r="G491">
        <v>1</v>
      </c>
      <c r="H491" t="s">
        <v>572</v>
      </c>
      <c r="I491" s="3">
        <v>1</v>
      </c>
    </row>
    <row r="492" spans="1:9">
      <c r="A492" s="2">
        <v>491</v>
      </c>
      <c r="B492" t="s">
        <v>573</v>
      </c>
      <c r="C492" s="7">
        <v>0</v>
      </c>
      <c r="D492" s="7" t="s">
        <v>569</v>
      </c>
      <c r="E492" s="7">
        <f t="shared" si="9"/>
        <v>99</v>
      </c>
      <c r="F492">
        <v>101</v>
      </c>
      <c r="G492">
        <v>1</v>
      </c>
      <c r="H492" t="s">
        <v>570</v>
      </c>
      <c r="I492" s="3">
        <v>1</v>
      </c>
    </row>
    <row r="493" spans="1:9">
      <c r="A493" s="2">
        <v>492</v>
      </c>
      <c r="B493" t="s">
        <v>574</v>
      </c>
      <c r="C493">
        <v>0</v>
      </c>
      <c r="D493" s="7" t="s">
        <v>116</v>
      </c>
      <c r="E493" s="7">
        <f t="shared" si="9"/>
        <v>1</v>
      </c>
      <c r="F493">
        <v>101</v>
      </c>
      <c r="G493">
        <v>1</v>
      </c>
      <c r="H493" t="s">
        <v>570</v>
      </c>
      <c r="I493" s="3">
        <v>1</v>
      </c>
    </row>
    <row r="494" spans="1:9">
      <c r="A494" s="2">
        <v>493</v>
      </c>
      <c r="B494" t="s">
        <v>577</v>
      </c>
      <c r="C494" s="7">
        <v>0</v>
      </c>
      <c r="D494" s="7" t="s">
        <v>571</v>
      </c>
      <c r="E494" s="7">
        <f t="shared" si="9"/>
        <v>99</v>
      </c>
      <c r="F494">
        <v>101</v>
      </c>
      <c r="G494">
        <v>1</v>
      </c>
      <c r="H494" t="s">
        <v>572</v>
      </c>
      <c r="I494" s="3">
        <v>1</v>
      </c>
    </row>
    <row r="495" spans="1:9">
      <c r="A495" s="2">
        <v>494</v>
      </c>
      <c r="B495" t="s">
        <v>579</v>
      </c>
      <c r="C495">
        <v>0</v>
      </c>
      <c r="D495" s="7" t="s">
        <v>116</v>
      </c>
      <c r="E495" s="7">
        <f t="shared" si="9"/>
        <v>1</v>
      </c>
      <c r="F495">
        <v>101</v>
      </c>
      <c r="G495">
        <v>1</v>
      </c>
      <c r="H495" t="s">
        <v>572</v>
      </c>
      <c r="I495" s="3">
        <v>1</v>
      </c>
    </row>
    <row r="496" spans="1:9">
      <c r="A496" s="2">
        <v>495</v>
      </c>
      <c r="B496" t="s">
        <v>574</v>
      </c>
      <c r="C496">
        <v>24</v>
      </c>
      <c r="D496" s="7" t="s">
        <v>116</v>
      </c>
      <c r="E496" s="7">
        <f t="shared" si="9"/>
        <v>1</v>
      </c>
      <c r="F496">
        <v>102</v>
      </c>
      <c r="H496" t="s">
        <v>570</v>
      </c>
    </row>
    <row r="497" spans="1:9">
      <c r="A497" s="2">
        <v>496</v>
      </c>
      <c r="B497" t="s">
        <v>575</v>
      </c>
      <c r="C497">
        <v>33</v>
      </c>
      <c r="D497" s="7" t="s">
        <v>116</v>
      </c>
      <c r="E497" s="7">
        <f t="shared" si="9"/>
        <v>1</v>
      </c>
      <c r="F497">
        <v>102</v>
      </c>
      <c r="H497" t="s">
        <v>570</v>
      </c>
    </row>
    <row r="498" spans="1:9">
      <c r="A498" s="2">
        <v>497</v>
      </c>
      <c r="B498" t="s">
        <v>576</v>
      </c>
      <c r="C498">
        <v>44</v>
      </c>
      <c r="D498" s="7" t="s">
        <v>116</v>
      </c>
      <c r="E498" s="7">
        <f t="shared" si="9"/>
        <v>1</v>
      </c>
      <c r="F498">
        <v>102</v>
      </c>
      <c r="H498" t="s">
        <v>570</v>
      </c>
    </row>
    <row r="499" spans="1:9">
      <c r="A499" s="2">
        <v>498</v>
      </c>
      <c r="B499" t="s">
        <v>579</v>
      </c>
      <c r="C499">
        <v>24</v>
      </c>
      <c r="D499" s="7" t="s">
        <v>116</v>
      </c>
      <c r="E499" s="7">
        <f t="shared" si="9"/>
        <v>1</v>
      </c>
      <c r="F499">
        <v>102</v>
      </c>
      <c r="H499" t="s">
        <v>572</v>
      </c>
    </row>
    <row r="500" spans="1:9">
      <c r="A500" s="2">
        <v>499</v>
      </c>
      <c r="B500" t="s">
        <v>580</v>
      </c>
      <c r="C500">
        <v>33</v>
      </c>
      <c r="D500" s="7" t="s">
        <v>116</v>
      </c>
      <c r="E500" s="7">
        <f t="shared" si="9"/>
        <v>1</v>
      </c>
      <c r="F500">
        <v>102</v>
      </c>
      <c r="H500" t="s">
        <v>572</v>
      </c>
    </row>
    <row r="501" spans="1:9">
      <c r="A501" s="2">
        <v>500</v>
      </c>
      <c r="B501" t="s">
        <v>581</v>
      </c>
      <c r="C501">
        <v>44</v>
      </c>
      <c r="D501" s="7" t="s">
        <v>116</v>
      </c>
      <c r="E501" s="7">
        <f t="shared" si="9"/>
        <v>1</v>
      </c>
      <c r="F501">
        <v>102</v>
      </c>
      <c r="H501" t="s">
        <v>572</v>
      </c>
    </row>
    <row r="502" spans="1:9">
      <c r="A502" s="2">
        <v>501</v>
      </c>
      <c r="B502" s="36" t="s">
        <v>582</v>
      </c>
      <c r="C502" s="7">
        <v>0</v>
      </c>
      <c r="D502" s="7" t="s">
        <v>582</v>
      </c>
      <c r="E502" s="7">
        <f t="shared" si="9"/>
        <v>99</v>
      </c>
      <c r="F502" s="36">
        <v>100</v>
      </c>
      <c r="G502" s="36">
        <v>1</v>
      </c>
      <c r="H502" s="36" t="s">
        <v>583</v>
      </c>
      <c r="I502" s="37">
        <v>1</v>
      </c>
    </row>
    <row r="503" spans="1:9">
      <c r="A503" s="2">
        <v>502</v>
      </c>
      <c r="B503" s="36" t="s">
        <v>194</v>
      </c>
      <c r="C503" s="7">
        <v>10</v>
      </c>
      <c r="D503" s="7" t="s">
        <v>194</v>
      </c>
      <c r="E503" s="7">
        <f t="shared" si="9"/>
        <v>99</v>
      </c>
      <c r="F503" s="36">
        <v>100</v>
      </c>
      <c r="G503" s="36">
        <v>1</v>
      </c>
      <c r="H503" s="36" t="s">
        <v>584</v>
      </c>
      <c r="I503" s="37">
        <v>1</v>
      </c>
    </row>
    <row r="504" spans="1:9">
      <c r="A504" s="2">
        <v>503</v>
      </c>
      <c r="B504" s="36" t="s">
        <v>585</v>
      </c>
      <c r="C504" s="7">
        <v>0</v>
      </c>
      <c r="D504" s="7" t="s">
        <v>582</v>
      </c>
      <c r="E504" s="7">
        <f t="shared" si="9"/>
        <v>99</v>
      </c>
      <c r="F504" s="36">
        <v>100</v>
      </c>
      <c r="G504" s="36">
        <v>1</v>
      </c>
      <c r="H504" s="36" t="s">
        <v>583</v>
      </c>
      <c r="I504" s="37">
        <v>1</v>
      </c>
    </row>
    <row r="505" spans="1:9">
      <c r="A505" s="2">
        <v>504</v>
      </c>
      <c r="B505" s="36" t="s">
        <v>586</v>
      </c>
      <c r="C505" s="36">
        <v>24</v>
      </c>
      <c r="D505" s="7" t="s">
        <v>116</v>
      </c>
      <c r="E505" s="7">
        <f t="shared" si="9"/>
        <v>1</v>
      </c>
      <c r="F505" s="36">
        <v>100</v>
      </c>
      <c r="G505" s="36"/>
      <c r="H505" s="36" t="s">
        <v>583</v>
      </c>
      <c r="I505" s="37"/>
    </row>
    <row r="506" spans="1:9">
      <c r="A506" s="2">
        <v>505</v>
      </c>
      <c r="B506" s="36" t="s">
        <v>587</v>
      </c>
      <c r="C506" s="36">
        <v>33</v>
      </c>
      <c r="D506" s="7" t="s">
        <v>116</v>
      </c>
      <c r="E506" s="7">
        <f t="shared" si="9"/>
        <v>1</v>
      </c>
      <c r="F506" s="36">
        <v>100</v>
      </c>
      <c r="G506" s="36"/>
      <c r="H506" s="36" t="s">
        <v>583</v>
      </c>
      <c r="I506" s="37"/>
    </row>
    <row r="507" spans="1:9">
      <c r="A507" s="2">
        <v>506</v>
      </c>
      <c r="B507" s="36" t="s">
        <v>588</v>
      </c>
      <c r="C507" s="36">
        <v>44</v>
      </c>
      <c r="D507" s="7" t="s">
        <v>116</v>
      </c>
      <c r="E507" s="7">
        <f t="shared" si="9"/>
        <v>1</v>
      </c>
      <c r="F507" s="36">
        <v>100</v>
      </c>
      <c r="G507" s="36"/>
      <c r="H507" s="36" t="s">
        <v>583</v>
      </c>
      <c r="I507" s="37"/>
    </row>
    <row r="508" spans="1:9">
      <c r="A508" s="2">
        <v>507</v>
      </c>
      <c r="B508" s="36" t="s">
        <v>589</v>
      </c>
      <c r="C508" s="7">
        <v>10</v>
      </c>
      <c r="D508" s="7" t="s">
        <v>194</v>
      </c>
      <c r="E508" s="7">
        <f t="shared" si="9"/>
        <v>99</v>
      </c>
      <c r="F508" s="36">
        <v>100</v>
      </c>
      <c r="G508" s="36">
        <v>1</v>
      </c>
      <c r="H508" s="36" t="s">
        <v>584</v>
      </c>
      <c r="I508" s="37">
        <v>1</v>
      </c>
    </row>
    <row r="509" spans="1:9">
      <c r="A509" s="2">
        <v>508</v>
      </c>
      <c r="B509" s="36" t="s">
        <v>590</v>
      </c>
      <c r="C509" s="36">
        <v>24</v>
      </c>
      <c r="D509" s="7" t="s">
        <v>116</v>
      </c>
      <c r="E509" s="7">
        <f t="shared" si="9"/>
        <v>1</v>
      </c>
      <c r="F509" s="36">
        <v>100</v>
      </c>
      <c r="G509" s="36"/>
      <c r="H509" s="36" t="s">
        <v>584</v>
      </c>
      <c r="I509" s="37"/>
    </row>
    <row r="510" spans="1:9">
      <c r="A510" s="2">
        <v>509</v>
      </c>
      <c r="B510" s="36" t="s">
        <v>591</v>
      </c>
      <c r="C510" s="36">
        <v>33</v>
      </c>
      <c r="D510" s="7" t="s">
        <v>116</v>
      </c>
      <c r="E510" s="7">
        <f t="shared" si="9"/>
        <v>1</v>
      </c>
      <c r="F510" s="36">
        <v>100</v>
      </c>
      <c r="G510" s="36"/>
      <c r="H510" s="36" t="s">
        <v>584</v>
      </c>
      <c r="I510" s="37"/>
    </row>
    <row r="511" spans="1:9">
      <c r="A511" s="2">
        <v>510</v>
      </c>
      <c r="B511" s="36" t="s">
        <v>592</v>
      </c>
      <c r="C511" s="36">
        <v>44</v>
      </c>
      <c r="D511" s="7" t="s">
        <v>116</v>
      </c>
      <c r="E511" s="7">
        <f t="shared" si="9"/>
        <v>1</v>
      </c>
      <c r="F511" s="36">
        <v>100</v>
      </c>
      <c r="G511" s="36"/>
      <c r="H511" s="36" t="s">
        <v>584</v>
      </c>
      <c r="I511" s="37"/>
    </row>
    <row r="512" spans="1:9">
      <c r="A512" s="2">
        <v>511</v>
      </c>
      <c r="B512" s="36" t="s">
        <v>582</v>
      </c>
      <c r="C512" s="7">
        <v>0</v>
      </c>
      <c r="D512" s="7" t="s">
        <v>582</v>
      </c>
      <c r="E512" s="7">
        <f t="shared" si="9"/>
        <v>99</v>
      </c>
      <c r="F512" s="36">
        <v>101</v>
      </c>
      <c r="G512" s="36">
        <v>1</v>
      </c>
      <c r="H512" s="36" t="s">
        <v>583</v>
      </c>
      <c r="I512" s="37">
        <v>1</v>
      </c>
    </row>
    <row r="513" spans="1:9">
      <c r="A513" s="2">
        <v>512</v>
      </c>
      <c r="B513" s="36" t="s">
        <v>194</v>
      </c>
      <c r="C513" s="7">
        <v>0</v>
      </c>
      <c r="D513" s="7" t="s">
        <v>194</v>
      </c>
      <c r="E513" s="7">
        <f t="shared" si="9"/>
        <v>99</v>
      </c>
      <c r="F513" s="36">
        <v>101</v>
      </c>
      <c r="G513" s="36">
        <v>1</v>
      </c>
      <c r="H513" s="36" t="s">
        <v>584</v>
      </c>
      <c r="I513" s="37">
        <v>1</v>
      </c>
    </row>
    <row r="514" spans="1:9">
      <c r="A514" s="2">
        <v>513</v>
      </c>
      <c r="B514" s="36" t="s">
        <v>585</v>
      </c>
      <c r="C514" s="7">
        <v>0</v>
      </c>
      <c r="D514" s="7" t="s">
        <v>582</v>
      </c>
      <c r="E514" s="7">
        <f t="shared" ref="E514:E545" si="10">IF(D514="",1,99)</f>
        <v>99</v>
      </c>
      <c r="F514" s="36">
        <v>101</v>
      </c>
      <c r="G514" s="36">
        <v>1</v>
      </c>
      <c r="H514" s="36" t="s">
        <v>583</v>
      </c>
      <c r="I514" s="37">
        <v>1</v>
      </c>
    </row>
    <row r="515" spans="1:9">
      <c r="A515" s="2">
        <v>514</v>
      </c>
      <c r="B515" s="36" t="s">
        <v>586</v>
      </c>
      <c r="C515" s="36">
        <v>0</v>
      </c>
      <c r="D515" s="7" t="s">
        <v>116</v>
      </c>
      <c r="E515" s="7">
        <f t="shared" si="10"/>
        <v>1</v>
      </c>
      <c r="F515" s="36">
        <v>101</v>
      </c>
      <c r="G515" s="36">
        <v>1</v>
      </c>
      <c r="H515" s="36" t="s">
        <v>583</v>
      </c>
      <c r="I515" s="37">
        <v>1</v>
      </c>
    </row>
    <row r="516" spans="1:9">
      <c r="A516" s="2">
        <v>515</v>
      </c>
      <c r="B516" s="36" t="s">
        <v>589</v>
      </c>
      <c r="C516" s="7">
        <v>0</v>
      </c>
      <c r="D516" s="7" t="s">
        <v>194</v>
      </c>
      <c r="E516" s="7">
        <f t="shared" si="10"/>
        <v>99</v>
      </c>
      <c r="F516" s="36">
        <v>101</v>
      </c>
      <c r="G516" s="36">
        <v>1</v>
      </c>
      <c r="H516" s="36" t="s">
        <v>584</v>
      </c>
      <c r="I516" s="37">
        <v>1</v>
      </c>
    </row>
    <row r="517" spans="1:9">
      <c r="A517" s="2">
        <v>516</v>
      </c>
      <c r="B517" s="36" t="s">
        <v>590</v>
      </c>
      <c r="C517" s="36">
        <v>0</v>
      </c>
      <c r="D517" s="7" t="s">
        <v>116</v>
      </c>
      <c r="E517" s="7">
        <f t="shared" si="10"/>
        <v>1</v>
      </c>
      <c r="F517" s="36">
        <v>101</v>
      </c>
      <c r="G517" s="36">
        <v>1</v>
      </c>
      <c r="H517" s="36" t="s">
        <v>584</v>
      </c>
      <c r="I517" s="37">
        <v>1</v>
      </c>
    </row>
    <row r="518" spans="1:9">
      <c r="A518" s="2">
        <v>517</v>
      </c>
      <c r="B518" s="36" t="s">
        <v>586</v>
      </c>
      <c r="C518" s="36">
        <v>24</v>
      </c>
      <c r="D518" s="7" t="s">
        <v>116</v>
      </c>
      <c r="E518" s="7">
        <f t="shared" si="10"/>
        <v>1</v>
      </c>
      <c r="F518" s="36">
        <v>102</v>
      </c>
      <c r="G518" s="36"/>
      <c r="H518" s="36" t="s">
        <v>583</v>
      </c>
      <c r="I518" s="37"/>
    </row>
    <row r="519" spans="1:9">
      <c r="A519" s="2">
        <v>518</v>
      </c>
      <c r="B519" s="36" t="s">
        <v>587</v>
      </c>
      <c r="C519" s="36">
        <v>33</v>
      </c>
      <c r="D519" s="7" t="s">
        <v>116</v>
      </c>
      <c r="E519" s="7">
        <f t="shared" si="10"/>
        <v>1</v>
      </c>
      <c r="F519" s="36">
        <v>102</v>
      </c>
      <c r="G519" s="36"/>
      <c r="H519" s="38" t="s">
        <v>583</v>
      </c>
      <c r="I519" s="37"/>
    </row>
    <row r="520" spans="1:9">
      <c r="A520" s="2">
        <v>519</v>
      </c>
      <c r="B520" s="36" t="s">
        <v>588</v>
      </c>
      <c r="C520" s="36">
        <v>44</v>
      </c>
      <c r="D520" s="7" t="s">
        <v>116</v>
      </c>
      <c r="E520" s="7">
        <f t="shared" si="10"/>
        <v>1</v>
      </c>
      <c r="F520" s="36">
        <v>102</v>
      </c>
      <c r="G520" s="36"/>
      <c r="H520" s="36" t="s">
        <v>583</v>
      </c>
      <c r="I520" s="37"/>
    </row>
    <row r="521" spans="1:9">
      <c r="A521" s="2">
        <v>520</v>
      </c>
      <c r="B521" s="36" t="s">
        <v>590</v>
      </c>
      <c r="C521" s="36">
        <v>24</v>
      </c>
      <c r="D521" s="7" t="s">
        <v>116</v>
      </c>
      <c r="E521" s="7">
        <f t="shared" si="10"/>
        <v>1</v>
      </c>
      <c r="F521" s="36">
        <v>102</v>
      </c>
      <c r="G521" s="36"/>
      <c r="H521" s="36" t="s">
        <v>584</v>
      </c>
      <c r="I521" s="37"/>
    </row>
    <row r="522" spans="1:9">
      <c r="A522" s="2">
        <v>521</v>
      </c>
      <c r="B522" s="36" t="s">
        <v>591</v>
      </c>
      <c r="C522" s="36">
        <v>33</v>
      </c>
      <c r="D522" s="7" t="s">
        <v>116</v>
      </c>
      <c r="E522" s="7">
        <f t="shared" si="10"/>
        <v>1</v>
      </c>
      <c r="F522" s="36">
        <v>102</v>
      </c>
      <c r="G522" s="36"/>
      <c r="H522" s="36" t="s">
        <v>584</v>
      </c>
      <c r="I522" s="37"/>
    </row>
    <row r="523" spans="1:9">
      <c r="A523" s="2">
        <v>522</v>
      </c>
      <c r="B523" s="36" t="s">
        <v>592</v>
      </c>
      <c r="C523" s="36">
        <v>44</v>
      </c>
      <c r="D523" s="7" t="s">
        <v>116</v>
      </c>
      <c r="E523" s="7">
        <f t="shared" si="10"/>
        <v>1</v>
      </c>
      <c r="F523" s="36">
        <v>102</v>
      </c>
      <c r="G523" s="36"/>
      <c r="H523" s="36" t="s">
        <v>584</v>
      </c>
      <c r="I523" s="37"/>
    </row>
    <row r="524" spans="1:9">
      <c r="A524" s="2">
        <v>523</v>
      </c>
      <c r="B524" t="s">
        <v>593</v>
      </c>
      <c r="C524" s="7">
        <v>0</v>
      </c>
      <c r="D524" s="7" t="s">
        <v>593</v>
      </c>
      <c r="E524" s="7">
        <f t="shared" si="10"/>
        <v>99</v>
      </c>
      <c r="F524">
        <v>100</v>
      </c>
      <c r="G524">
        <v>1</v>
      </c>
      <c r="H524" t="s">
        <v>594</v>
      </c>
      <c r="I524" s="3">
        <v>1</v>
      </c>
    </row>
    <row r="525" spans="1:9">
      <c r="A525" s="2">
        <v>524</v>
      </c>
      <c r="B525" t="s">
        <v>595</v>
      </c>
      <c r="C525" s="7">
        <v>10</v>
      </c>
      <c r="D525" s="7" t="s">
        <v>595</v>
      </c>
      <c r="E525" s="7">
        <f t="shared" si="10"/>
        <v>99</v>
      </c>
      <c r="F525">
        <v>100</v>
      </c>
      <c r="G525">
        <v>1</v>
      </c>
      <c r="H525" t="s">
        <v>596</v>
      </c>
      <c r="I525" s="3">
        <v>1</v>
      </c>
    </row>
    <row r="526" spans="1:9">
      <c r="A526" s="2">
        <v>525</v>
      </c>
      <c r="B526" t="s">
        <v>597</v>
      </c>
      <c r="C526" s="7">
        <v>0</v>
      </c>
      <c r="D526" s="7" t="s">
        <v>593</v>
      </c>
      <c r="E526" s="7">
        <f t="shared" si="10"/>
        <v>99</v>
      </c>
      <c r="F526">
        <v>100</v>
      </c>
      <c r="G526">
        <v>1</v>
      </c>
      <c r="H526" t="s">
        <v>594</v>
      </c>
      <c r="I526" s="3">
        <v>1</v>
      </c>
    </row>
    <row r="527" spans="1:9">
      <c r="A527" s="2">
        <v>526</v>
      </c>
      <c r="B527" t="s">
        <v>598</v>
      </c>
      <c r="C527">
        <v>24</v>
      </c>
      <c r="D527" s="7" t="s">
        <v>116</v>
      </c>
      <c r="E527" s="7">
        <f t="shared" si="10"/>
        <v>1</v>
      </c>
      <c r="F527">
        <v>100</v>
      </c>
      <c r="H527" t="s">
        <v>594</v>
      </c>
    </row>
    <row r="528" spans="1:9">
      <c r="A528" s="2">
        <v>527</v>
      </c>
      <c r="B528" t="s">
        <v>599</v>
      </c>
      <c r="C528">
        <v>33</v>
      </c>
      <c r="D528" s="7" t="s">
        <v>116</v>
      </c>
      <c r="E528" s="7">
        <f t="shared" si="10"/>
        <v>1</v>
      </c>
      <c r="F528">
        <v>100</v>
      </c>
      <c r="H528" t="s">
        <v>594</v>
      </c>
    </row>
    <row r="529" spans="1:9">
      <c r="A529" s="2">
        <v>528</v>
      </c>
      <c r="B529" t="s">
        <v>600</v>
      </c>
      <c r="C529">
        <v>44</v>
      </c>
      <c r="D529" s="7" t="s">
        <v>116</v>
      </c>
      <c r="E529" s="7">
        <f t="shared" si="10"/>
        <v>1</v>
      </c>
      <c r="F529">
        <v>100</v>
      </c>
      <c r="H529" t="s">
        <v>594</v>
      </c>
    </row>
    <row r="530" spans="1:9">
      <c r="A530" s="2">
        <v>529</v>
      </c>
      <c r="B530" t="s">
        <v>601</v>
      </c>
      <c r="C530" s="7">
        <v>10</v>
      </c>
      <c r="D530" s="8" t="s">
        <v>602</v>
      </c>
      <c r="E530" s="7">
        <f t="shared" si="10"/>
        <v>99</v>
      </c>
      <c r="F530">
        <v>100</v>
      </c>
      <c r="G530">
        <v>1</v>
      </c>
      <c r="H530" t="s">
        <v>596</v>
      </c>
      <c r="I530" s="3">
        <v>1</v>
      </c>
    </row>
    <row r="531" spans="1:9">
      <c r="A531" s="2">
        <v>530</v>
      </c>
      <c r="B531" t="s">
        <v>603</v>
      </c>
      <c r="C531">
        <v>24</v>
      </c>
      <c r="D531" s="7" t="s">
        <v>116</v>
      </c>
      <c r="E531" s="7">
        <f t="shared" si="10"/>
        <v>1</v>
      </c>
      <c r="F531">
        <v>100</v>
      </c>
      <c r="H531" t="s">
        <v>596</v>
      </c>
    </row>
    <row r="532" spans="1:9">
      <c r="A532" s="2">
        <v>531</v>
      </c>
      <c r="B532" t="s">
        <v>604</v>
      </c>
      <c r="C532">
        <v>33</v>
      </c>
      <c r="D532" s="7" t="s">
        <v>116</v>
      </c>
      <c r="E532" s="7">
        <f t="shared" si="10"/>
        <v>1</v>
      </c>
      <c r="F532">
        <v>100</v>
      </c>
      <c r="H532" t="s">
        <v>596</v>
      </c>
    </row>
    <row r="533" spans="1:9">
      <c r="A533" s="2">
        <v>532</v>
      </c>
      <c r="B533" t="s">
        <v>605</v>
      </c>
      <c r="C533">
        <v>44</v>
      </c>
      <c r="D533" s="7" t="s">
        <v>116</v>
      </c>
      <c r="E533" s="7">
        <f t="shared" si="10"/>
        <v>1</v>
      </c>
      <c r="F533">
        <v>100</v>
      </c>
      <c r="H533" t="s">
        <v>596</v>
      </c>
    </row>
    <row r="534" spans="1:9">
      <c r="A534" s="2">
        <v>533</v>
      </c>
      <c r="B534" t="s">
        <v>593</v>
      </c>
      <c r="C534" s="7">
        <v>0</v>
      </c>
      <c r="D534" s="7" t="s">
        <v>593</v>
      </c>
      <c r="E534" s="7">
        <f t="shared" si="10"/>
        <v>99</v>
      </c>
      <c r="F534">
        <v>101</v>
      </c>
      <c r="G534">
        <v>1</v>
      </c>
      <c r="H534" t="s">
        <v>594</v>
      </c>
      <c r="I534" s="3">
        <v>1</v>
      </c>
    </row>
    <row r="535" spans="1:9">
      <c r="A535" s="2">
        <v>534</v>
      </c>
      <c r="B535" t="s">
        <v>595</v>
      </c>
      <c r="C535" s="7">
        <v>0</v>
      </c>
      <c r="D535" s="7" t="s">
        <v>595</v>
      </c>
      <c r="E535" s="7">
        <f t="shared" si="10"/>
        <v>99</v>
      </c>
      <c r="F535">
        <v>101</v>
      </c>
      <c r="G535">
        <v>1</v>
      </c>
      <c r="H535" t="s">
        <v>596</v>
      </c>
      <c r="I535" s="3">
        <v>1</v>
      </c>
    </row>
    <row r="536" spans="1:9">
      <c r="A536" s="2">
        <v>535</v>
      </c>
      <c r="B536" t="s">
        <v>597</v>
      </c>
      <c r="C536" s="7">
        <v>0</v>
      </c>
      <c r="D536" s="7" t="s">
        <v>593</v>
      </c>
      <c r="E536" s="7">
        <f t="shared" si="10"/>
        <v>99</v>
      </c>
      <c r="F536">
        <v>101</v>
      </c>
      <c r="G536">
        <v>1</v>
      </c>
      <c r="H536" t="s">
        <v>594</v>
      </c>
      <c r="I536" s="3">
        <v>1</v>
      </c>
    </row>
    <row r="537" spans="1:9">
      <c r="A537" s="2">
        <v>536</v>
      </c>
      <c r="B537" t="s">
        <v>598</v>
      </c>
      <c r="C537">
        <v>0</v>
      </c>
      <c r="D537" s="7" t="s">
        <v>116</v>
      </c>
      <c r="E537" s="7">
        <f t="shared" si="10"/>
        <v>1</v>
      </c>
      <c r="F537">
        <v>101</v>
      </c>
      <c r="G537">
        <v>1</v>
      </c>
      <c r="H537" t="s">
        <v>594</v>
      </c>
      <c r="I537" s="3">
        <v>1</v>
      </c>
    </row>
    <row r="538" spans="1:9">
      <c r="A538" s="2">
        <v>537</v>
      </c>
      <c r="B538" t="s">
        <v>601</v>
      </c>
      <c r="C538" s="7">
        <v>0</v>
      </c>
      <c r="D538" s="7" t="s">
        <v>595</v>
      </c>
      <c r="E538" s="7">
        <f t="shared" si="10"/>
        <v>99</v>
      </c>
      <c r="F538">
        <v>101</v>
      </c>
      <c r="G538">
        <v>1</v>
      </c>
      <c r="H538" t="s">
        <v>596</v>
      </c>
      <c r="I538" s="3">
        <v>1</v>
      </c>
    </row>
    <row r="539" spans="1:9">
      <c r="A539" s="2">
        <v>538</v>
      </c>
      <c r="B539" t="s">
        <v>603</v>
      </c>
      <c r="C539">
        <v>0</v>
      </c>
      <c r="D539" s="7" t="s">
        <v>116</v>
      </c>
      <c r="E539" s="7">
        <f t="shared" si="10"/>
        <v>1</v>
      </c>
      <c r="F539">
        <v>101</v>
      </c>
      <c r="G539">
        <v>1</v>
      </c>
      <c r="H539" t="s">
        <v>596</v>
      </c>
      <c r="I539" s="3">
        <v>1</v>
      </c>
    </row>
    <row r="540" spans="1:9">
      <c r="A540" s="2">
        <v>539</v>
      </c>
      <c r="B540" t="s">
        <v>598</v>
      </c>
      <c r="C540">
        <v>24</v>
      </c>
      <c r="D540" s="7" t="s">
        <v>116</v>
      </c>
      <c r="E540" s="7">
        <f t="shared" si="10"/>
        <v>1</v>
      </c>
      <c r="F540">
        <v>102</v>
      </c>
      <c r="H540" t="s">
        <v>594</v>
      </c>
    </row>
    <row r="541" spans="1:9">
      <c r="A541" s="2">
        <v>540</v>
      </c>
      <c r="B541" t="s">
        <v>599</v>
      </c>
      <c r="C541">
        <v>33</v>
      </c>
      <c r="D541" s="7" t="s">
        <v>116</v>
      </c>
      <c r="E541" s="7">
        <f t="shared" si="10"/>
        <v>1</v>
      </c>
      <c r="F541">
        <v>102</v>
      </c>
      <c r="H541" t="s">
        <v>594</v>
      </c>
    </row>
    <row r="542" spans="1:9">
      <c r="A542" s="2">
        <v>541</v>
      </c>
      <c r="B542" t="s">
        <v>600</v>
      </c>
      <c r="C542">
        <v>44</v>
      </c>
      <c r="D542" s="7" t="s">
        <v>116</v>
      </c>
      <c r="E542" s="7">
        <f t="shared" si="10"/>
        <v>1</v>
      </c>
      <c r="F542">
        <v>102</v>
      </c>
      <c r="H542" t="s">
        <v>594</v>
      </c>
    </row>
    <row r="543" spans="1:9">
      <c r="A543" s="2">
        <v>542</v>
      </c>
      <c r="B543" t="s">
        <v>603</v>
      </c>
      <c r="C543">
        <v>24</v>
      </c>
      <c r="D543" s="7" t="s">
        <v>116</v>
      </c>
      <c r="E543" s="7">
        <f t="shared" si="10"/>
        <v>1</v>
      </c>
      <c r="F543">
        <v>102</v>
      </c>
      <c r="H543" t="s">
        <v>596</v>
      </c>
    </row>
    <row r="544" spans="1:9">
      <c r="A544" s="2">
        <v>543</v>
      </c>
      <c r="B544" t="s">
        <v>604</v>
      </c>
      <c r="C544">
        <v>33</v>
      </c>
      <c r="D544" s="7" t="s">
        <v>116</v>
      </c>
      <c r="E544" s="7">
        <f t="shared" si="10"/>
        <v>1</v>
      </c>
      <c r="F544">
        <v>102</v>
      </c>
      <c r="H544" t="s">
        <v>596</v>
      </c>
    </row>
    <row r="545" spans="1:9">
      <c r="A545" s="2">
        <v>544</v>
      </c>
      <c r="B545" t="s">
        <v>605</v>
      </c>
      <c r="C545">
        <v>44</v>
      </c>
      <c r="D545" s="7" t="s">
        <v>116</v>
      </c>
      <c r="E545" s="7">
        <f t="shared" si="10"/>
        <v>1</v>
      </c>
      <c r="F545">
        <v>102</v>
      </c>
      <c r="H545" t="s">
        <v>596</v>
      </c>
    </row>
    <row r="546" spans="1:9">
      <c r="A546" s="2">
        <v>545</v>
      </c>
      <c r="B546" t="s">
        <v>606</v>
      </c>
      <c r="C546">
        <v>10</v>
      </c>
      <c r="D546" t="s">
        <v>606</v>
      </c>
      <c r="E546">
        <v>99</v>
      </c>
      <c r="F546">
        <v>100</v>
      </c>
      <c r="G546">
        <v>1</v>
      </c>
      <c r="H546" t="s">
        <v>607</v>
      </c>
      <c r="I546" s="3" t="s">
        <v>360</v>
      </c>
    </row>
    <row r="547" spans="1:9">
      <c r="A547" s="2">
        <v>546</v>
      </c>
      <c r="B547" t="s">
        <v>608</v>
      </c>
      <c r="C547">
        <v>0</v>
      </c>
      <c r="D547" t="s">
        <v>608</v>
      </c>
      <c r="E547">
        <v>99</v>
      </c>
      <c r="F547">
        <v>100</v>
      </c>
      <c r="G547">
        <v>1</v>
      </c>
      <c r="H547" t="s">
        <v>609</v>
      </c>
      <c r="I547" s="3" t="s">
        <v>360</v>
      </c>
    </row>
    <row r="548" spans="1:9">
      <c r="A548" s="2">
        <v>547</v>
      </c>
      <c r="B548" t="s">
        <v>610</v>
      </c>
      <c r="C548">
        <v>10</v>
      </c>
      <c r="D548" t="s">
        <v>606</v>
      </c>
      <c r="E548">
        <v>99</v>
      </c>
      <c r="F548">
        <v>100</v>
      </c>
      <c r="G548">
        <v>1</v>
      </c>
      <c r="H548" t="s">
        <v>607</v>
      </c>
      <c r="I548" s="3" t="s">
        <v>360</v>
      </c>
    </row>
    <row r="549" spans="1:9">
      <c r="A549" s="2">
        <v>548</v>
      </c>
      <c r="B549" t="s">
        <v>611</v>
      </c>
      <c r="C549">
        <v>24</v>
      </c>
      <c r="E549">
        <v>1</v>
      </c>
      <c r="F549">
        <v>100</v>
      </c>
      <c r="H549" t="s">
        <v>607</v>
      </c>
    </row>
    <row r="550" spans="1:9">
      <c r="A550" s="2">
        <v>549</v>
      </c>
      <c r="B550" t="s">
        <v>612</v>
      </c>
      <c r="C550">
        <v>33</v>
      </c>
      <c r="E550">
        <v>1</v>
      </c>
      <c r="F550">
        <v>100</v>
      </c>
      <c r="H550" t="s">
        <v>607</v>
      </c>
    </row>
    <row r="551" spans="1:9">
      <c r="A551" s="2">
        <v>550</v>
      </c>
      <c r="B551" t="s">
        <v>613</v>
      </c>
      <c r="C551">
        <v>44</v>
      </c>
      <c r="E551">
        <v>1</v>
      </c>
      <c r="F551">
        <v>100</v>
      </c>
      <c r="H551" t="s">
        <v>607</v>
      </c>
    </row>
    <row r="552" spans="1:9">
      <c r="A552" s="2">
        <v>551</v>
      </c>
      <c r="B552" t="s">
        <v>614</v>
      </c>
      <c r="C552">
        <v>10</v>
      </c>
      <c r="D552" s="14" t="s">
        <v>615</v>
      </c>
      <c r="E552">
        <v>99</v>
      </c>
      <c r="F552">
        <v>100</v>
      </c>
      <c r="G552">
        <v>1</v>
      </c>
      <c r="H552" t="s">
        <v>609</v>
      </c>
      <c r="I552" s="3" t="s">
        <v>360</v>
      </c>
    </row>
    <row r="553" spans="1:9">
      <c r="A553" s="2">
        <v>552</v>
      </c>
      <c r="B553" t="s">
        <v>616</v>
      </c>
      <c r="C553">
        <v>24</v>
      </c>
      <c r="E553">
        <v>1</v>
      </c>
      <c r="F553">
        <v>100</v>
      </c>
      <c r="H553" t="s">
        <v>609</v>
      </c>
    </row>
    <row r="554" spans="1:9">
      <c r="A554" s="2">
        <v>553</v>
      </c>
      <c r="B554" t="s">
        <v>617</v>
      </c>
      <c r="C554">
        <v>33</v>
      </c>
      <c r="E554">
        <v>1</v>
      </c>
      <c r="F554">
        <v>100</v>
      </c>
      <c r="H554" t="s">
        <v>609</v>
      </c>
    </row>
    <row r="555" spans="1:9">
      <c r="A555" s="2">
        <v>554</v>
      </c>
      <c r="B555" t="s">
        <v>618</v>
      </c>
      <c r="C555">
        <v>44</v>
      </c>
      <c r="E555">
        <v>1</v>
      </c>
      <c r="F555">
        <v>100</v>
      </c>
      <c r="H555" t="s">
        <v>609</v>
      </c>
    </row>
    <row r="556" spans="1:9">
      <c r="A556" s="2">
        <v>555</v>
      </c>
      <c r="B556" t="s">
        <v>606</v>
      </c>
      <c r="C556">
        <v>0</v>
      </c>
      <c r="D556" t="s">
        <v>606</v>
      </c>
      <c r="E556">
        <v>99</v>
      </c>
      <c r="F556">
        <v>101</v>
      </c>
      <c r="H556" t="s">
        <v>607</v>
      </c>
    </row>
    <row r="557" spans="1:9">
      <c r="A557" s="2">
        <v>556</v>
      </c>
      <c r="B557" t="s">
        <v>608</v>
      </c>
      <c r="C557">
        <v>10</v>
      </c>
      <c r="D557" t="s">
        <v>608</v>
      </c>
      <c r="E557">
        <v>99</v>
      </c>
      <c r="F557">
        <v>101</v>
      </c>
      <c r="G557">
        <v>1</v>
      </c>
      <c r="H557" t="s">
        <v>609</v>
      </c>
      <c r="I557" s="3" t="s">
        <v>360</v>
      </c>
    </row>
    <row r="558" spans="1:9">
      <c r="A558" s="2">
        <v>557</v>
      </c>
      <c r="B558" t="s">
        <v>610</v>
      </c>
      <c r="C558">
        <v>0</v>
      </c>
      <c r="D558" t="s">
        <v>606</v>
      </c>
      <c r="E558">
        <v>99</v>
      </c>
      <c r="F558">
        <v>101</v>
      </c>
      <c r="H558" t="s">
        <v>607</v>
      </c>
    </row>
    <row r="559" spans="1:9">
      <c r="A559" s="2">
        <v>558</v>
      </c>
      <c r="B559" t="s">
        <v>611</v>
      </c>
      <c r="C559">
        <v>0</v>
      </c>
      <c r="E559">
        <v>1</v>
      </c>
      <c r="F559">
        <v>101</v>
      </c>
      <c r="H559" t="s">
        <v>607</v>
      </c>
    </row>
    <row r="560" spans="1:9">
      <c r="A560" s="2">
        <v>559</v>
      </c>
      <c r="B560" t="s">
        <v>614</v>
      </c>
      <c r="C560">
        <v>0</v>
      </c>
      <c r="D560" t="s">
        <v>608</v>
      </c>
      <c r="E560">
        <v>99</v>
      </c>
      <c r="F560">
        <v>101</v>
      </c>
      <c r="H560" t="s">
        <v>609</v>
      </c>
    </row>
    <row r="561" spans="1:9">
      <c r="A561" s="2">
        <v>560</v>
      </c>
      <c r="B561" t="s">
        <v>616</v>
      </c>
      <c r="C561">
        <v>0</v>
      </c>
      <c r="E561">
        <v>1</v>
      </c>
      <c r="F561">
        <v>101</v>
      </c>
      <c r="H561" t="s">
        <v>609</v>
      </c>
    </row>
    <row r="562" spans="1:9">
      <c r="A562" s="2">
        <v>561</v>
      </c>
      <c r="B562" t="s">
        <v>611</v>
      </c>
      <c r="C562">
        <v>24</v>
      </c>
      <c r="E562">
        <v>1</v>
      </c>
      <c r="F562">
        <v>102</v>
      </c>
      <c r="H562" t="s">
        <v>607</v>
      </c>
    </row>
    <row r="563" spans="1:9">
      <c r="A563" s="2">
        <v>562</v>
      </c>
      <c r="B563" t="s">
        <v>612</v>
      </c>
      <c r="C563">
        <v>33</v>
      </c>
      <c r="E563">
        <v>1</v>
      </c>
      <c r="F563">
        <v>102</v>
      </c>
      <c r="H563" t="s">
        <v>607</v>
      </c>
    </row>
    <row r="564" spans="1:9">
      <c r="A564" s="2">
        <v>563</v>
      </c>
      <c r="B564" t="s">
        <v>613</v>
      </c>
      <c r="C564">
        <v>44</v>
      </c>
      <c r="E564">
        <v>1</v>
      </c>
      <c r="F564">
        <v>102</v>
      </c>
      <c r="H564" t="s">
        <v>607</v>
      </c>
    </row>
    <row r="565" spans="1:9">
      <c r="A565" s="2">
        <v>564</v>
      </c>
      <c r="B565" t="s">
        <v>616</v>
      </c>
      <c r="C565">
        <v>24</v>
      </c>
      <c r="E565">
        <v>1</v>
      </c>
      <c r="F565">
        <v>102</v>
      </c>
      <c r="H565" t="s">
        <v>609</v>
      </c>
    </row>
    <row r="566" spans="1:9">
      <c r="A566" s="2">
        <v>565</v>
      </c>
      <c r="B566" t="s">
        <v>617</v>
      </c>
      <c r="C566">
        <v>33</v>
      </c>
      <c r="E566">
        <v>1</v>
      </c>
      <c r="F566">
        <v>102</v>
      </c>
      <c r="H566" t="s">
        <v>609</v>
      </c>
    </row>
    <row r="567" spans="1:9">
      <c r="A567" s="2">
        <v>566</v>
      </c>
      <c r="B567" t="s">
        <v>618</v>
      </c>
      <c r="C567">
        <v>44</v>
      </c>
      <c r="E567">
        <v>1</v>
      </c>
      <c r="F567">
        <v>102</v>
      </c>
      <c r="H567" t="s">
        <v>609</v>
      </c>
    </row>
    <row r="568" spans="1:9">
      <c r="A568" s="2">
        <v>567</v>
      </c>
      <c r="B568" s="39" t="s">
        <v>619</v>
      </c>
      <c r="C568" s="39">
        <v>10</v>
      </c>
      <c r="D568" s="39" t="s">
        <v>619</v>
      </c>
      <c r="E568" s="39">
        <v>99</v>
      </c>
      <c r="F568" s="39">
        <v>100</v>
      </c>
      <c r="G568" s="39">
        <v>1</v>
      </c>
      <c r="H568" s="39" t="s">
        <v>620</v>
      </c>
      <c r="I568" s="41" t="s">
        <v>360</v>
      </c>
    </row>
    <row r="569" spans="1:9">
      <c r="A569" s="2">
        <v>568</v>
      </c>
      <c r="B569" s="39" t="s">
        <v>621</v>
      </c>
      <c r="C569" s="39">
        <v>0</v>
      </c>
      <c r="D569" s="39" t="s">
        <v>621</v>
      </c>
      <c r="E569" s="39">
        <v>99</v>
      </c>
      <c r="F569" s="39">
        <v>100</v>
      </c>
      <c r="G569" s="39">
        <v>1</v>
      </c>
      <c r="H569" s="39" t="s">
        <v>622</v>
      </c>
      <c r="I569" s="41" t="s">
        <v>360</v>
      </c>
    </row>
    <row r="570" spans="1:9">
      <c r="A570" s="2">
        <v>569</v>
      </c>
      <c r="B570" s="39" t="s">
        <v>623</v>
      </c>
      <c r="C570" s="39">
        <v>10</v>
      </c>
      <c r="D570" s="39" t="s">
        <v>619</v>
      </c>
      <c r="E570" s="39">
        <v>99</v>
      </c>
      <c r="F570" s="39">
        <v>100</v>
      </c>
      <c r="G570" s="39">
        <v>1</v>
      </c>
      <c r="H570" s="39" t="s">
        <v>620</v>
      </c>
      <c r="I570" s="41" t="s">
        <v>360</v>
      </c>
    </row>
    <row r="571" spans="1:9">
      <c r="A571" s="2">
        <v>570</v>
      </c>
      <c r="B571" s="39" t="s">
        <v>624</v>
      </c>
      <c r="C571" s="39">
        <v>24</v>
      </c>
      <c r="D571" s="39"/>
      <c r="E571" s="39">
        <v>1</v>
      </c>
      <c r="F571" s="39">
        <v>100</v>
      </c>
      <c r="G571" s="39"/>
      <c r="H571" s="39" t="s">
        <v>620</v>
      </c>
      <c r="I571" s="41"/>
    </row>
    <row r="572" spans="1:9">
      <c r="A572" s="2">
        <v>571</v>
      </c>
      <c r="B572" s="39" t="s">
        <v>625</v>
      </c>
      <c r="C572" s="39">
        <v>33</v>
      </c>
      <c r="D572" s="39"/>
      <c r="E572" s="39">
        <v>1</v>
      </c>
      <c r="F572" s="39">
        <v>100</v>
      </c>
      <c r="G572" s="39"/>
      <c r="H572" s="39" t="s">
        <v>620</v>
      </c>
      <c r="I572" s="41"/>
    </row>
    <row r="573" spans="1:9">
      <c r="A573" s="2">
        <v>572</v>
      </c>
      <c r="B573" s="39" t="s">
        <v>626</v>
      </c>
      <c r="C573" s="39">
        <v>44</v>
      </c>
      <c r="D573" s="39"/>
      <c r="E573" s="39">
        <v>1</v>
      </c>
      <c r="F573" s="39">
        <v>100</v>
      </c>
      <c r="G573" s="39"/>
      <c r="H573" s="39" t="s">
        <v>620</v>
      </c>
      <c r="I573" s="41"/>
    </row>
    <row r="574" spans="1:9">
      <c r="A574" s="2">
        <v>573</v>
      </c>
      <c r="B574" s="39" t="s">
        <v>627</v>
      </c>
      <c r="C574" s="39">
        <v>0</v>
      </c>
      <c r="D574" s="40" t="s">
        <v>621</v>
      </c>
      <c r="E574" s="39">
        <v>99</v>
      </c>
      <c r="F574" s="39">
        <v>100</v>
      </c>
      <c r="G574" s="39">
        <v>1</v>
      </c>
      <c r="H574" s="39" t="s">
        <v>622</v>
      </c>
      <c r="I574" s="41" t="s">
        <v>360</v>
      </c>
    </row>
    <row r="575" spans="1:9">
      <c r="A575" s="2">
        <v>574</v>
      </c>
      <c r="B575" s="39" t="s">
        <v>628</v>
      </c>
      <c r="C575" s="39">
        <v>0</v>
      </c>
      <c r="D575" s="39"/>
      <c r="E575" s="39">
        <v>1</v>
      </c>
      <c r="F575" s="39">
        <v>100</v>
      </c>
      <c r="G575" s="39"/>
      <c r="H575" s="39" t="s">
        <v>622</v>
      </c>
      <c r="I575" s="41"/>
    </row>
    <row r="576" spans="1:9">
      <c r="A576" s="2">
        <v>575</v>
      </c>
      <c r="B576" s="39" t="s">
        <v>629</v>
      </c>
      <c r="C576" s="39">
        <v>0</v>
      </c>
      <c r="D576" s="39"/>
      <c r="E576" s="39">
        <v>1</v>
      </c>
      <c r="F576" s="39">
        <v>100</v>
      </c>
      <c r="G576" s="39"/>
      <c r="H576" s="39" t="s">
        <v>622</v>
      </c>
      <c r="I576" s="41"/>
    </row>
    <row r="577" spans="1:9">
      <c r="A577" s="2">
        <v>576</v>
      </c>
      <c r="B577" s="39" t="s">
        <v>630</v>
      </c>
      <c r="C577" s="39">
        <v>0</v>
      </c>
      <c r="D577" s="39"/>
      <c r="E577" s="39">
        <v>1</v>
      </c>
      <c r="F577" s="39">
        <v>100</v>
      </c>
      <c r="G577" s="39"/>
      <c r="H577" s="39" t="s">
        <v>622</v>
      </c>
      <c r="I577" s="41"/>
    </row>
    <row r="578" spans="1:9">
      <c r="A578" s="2">
        <v>577</v>
      </c>
      <c r="B578" s="39" t="s">
        <v>619</v>
      </c>
      <c r="C578" s="39">
        <v>0</v>
      </c>
      <c r="D578" s="39" t="s">
        <v>619</v>
      </c>
      <c r="E578" s="39">
        <v>99</v>
      </c>
      <c r="F578" s="39">
        <v>101</v>
      </c>
      <c r="G578" s="39"/>
      <c r="H578" s="39" t="s">
        <v>620</v>
      </c>
      <c r="I578" s="41"/>
    </row>
    <row r="579" spans="1:9">
      <c r="A579" s="2">
        <v>578</v>
      </c>
      <c r="B579" s="39" t="s">
        <v>621</v>
      </c>
      <c r="C579" s="39">
        <v>0</v>
      </c>
      <c r="D579" s="39" t="s">
        <v>621</v>
      </c>
      <c r="E579" s="39">
        <v>99</v>
      </c>
      <c r="F579" s="39">
        <v>101</v>
      </c>
      <c r="G579" s="39">
        <v>1</v>
      </c>
      <c r="H579" s="39" t="s">
        <v>622</v>
      </c>
      <c r="I579" s="41" t="s">
        <v>360</v>
      </c>
    </row>
    <row r="580" spans="1:9">
      <c r="A580" s="2">
        <v>579</v>
      </c>
      <c r="B580" s="39" t="s">
        <v>623</v>
      </c>
      <c r="C580" s="39">
        <v>0</v>
      </c>
      <c r="D580" s="39" t="s">
        <v>619</v>
      </c>
      <c r="E580" s="39">
        <v>99</v>
      </c>
      <c r="F580" s="39">
        <v>101</v>
      </c>
      <c r="G580" s="39"/>
      <c r="H580" s="39" t="s">
        <v>620</v>
      </c>
      <c r="I580" s="41"/>
    </row>
    <row r="581" spans="1:9">
      <c r="A581" s="2">
        <v>580</v>
      </c>
      <c r="B581" s="39" t="s">
        <v>624</v>
      </c>
      <c r="C581" s="39">
        <v>0</v>
      </c>
      <c r="D581" s="39"/>
      <c r="E581" s="39">
        <v>1</v>
      </c>
      <c r="F581" s="39">
        <v>101</v>
      </c>
      <c r="G581" s="39"/>
      <c r="H581" s="39" t="s">
        <v>620</v>
      </c>
      <c r="I581" s="41"/>
    </row>
    <row r="582" spans="1:9">
      <c r="A582" s="2">
        <v>581</v>
      </c>
      <c r="B582" s="39" t="s">
        <v>627</v>
      </c>
      <c r="C582" s="39">
        <v>0</v>
      </c>
      <c r="D582" s="39" t="s">
        <v>621</v>
      </c>
      <c r="E582" s="39">
        <v>99</v>
      </c>
      <c r="F582" s="39">
        <v>101</v>
      </c>
      <c r="G582" s="39"/>
      <c r="H582" s="39" t="s">
        <v>622</v>
      </c>
      <c r="I582" s="41"/>
    </row>
    <row r="583" spans="1:9">
      <c r="A583" s="2">
        <v>582</v>
      </c>
      <c r="B583" s="39" t="s">
        <v>628</v>
      </c>
      <c r="C583" s="39">
        <v>0</v>
      </c>
      <c r="D583" s="39"/>
      <c r="E583" s="39">
        <v>1</v>
      </c>
      <c r="F583" s="39">
        <v>101</v>
      </c>
      <c r="G583" s="39"/>
      <c r="H583" s="39" t="s">
        <v>622</v>
      </c>
      <c r="I583" s="41"/>
    </row>
    <row r="584" spans="1:9">
      <c r="A584" s="2">
        <v>583</v>
      </c>
      <c r="B584" s="39" t="s">
        <v>624</v>
      </c>
      <c r="C584" s="39">
        <v>24</v>
      </c>
      <c r="D584" s="39"/>
      <c r="E584" s="39">
        <v>1</v>
      </c>
      <c r="F584" s="39">
        <v>102</v>
      </c>
      <c r="G584" s="39"/>
      <c r="H584" s="39" t="s">
        <v>620</v>
      </c>
      <c r="I584" s="41"/>
    </row>
    <row r="585" spans="1:9">
      <c r="A585" s="2">
        <v>584</v>
      </c>
      <c r="B585" s="39" t="s">
        <v>625</v>
      </c>
      <c r="C585" s="39">
        <v>33</v>
      </c>
      <c r="D585" s="39"/>
      <c r="E585" s="39">
        <v>1</v>
      </c>
      <c r="F585" s="39">
        <v>102</v>
      </c>
      <c r="G585" s="39"/>
      <c r="H585" s="39" t="s">
        <v>620</v>
      </c>
      <c r="I585" s="41"/>
    </row>
    <row r="586" spans="1:9">
      <c r="A586" s="2">
        <v>585</v>
      </c>
      <c r="B586" s="39" t="s">
        <v>626</v>
      </c>
      <c r="C586" s="39">
        <v>44</v>
      </c>
      <c r="D586" s="39"/>
      <c r="E586" s="39">
        <v>1</v>
      </c>
      <c r="F586" s="39">
        <v>102</v>
      </c>
      <c r="G586" s="39"/>
      <c r="H586" s="39" t="s">
        <v>620</v>
      </c>
      <c r="I586" s="41"/>
    </row>
    <row r="587" spans="1:9">
      <c r="A587" s="2">
        <v>586</v>
      </c>
      <c r="B587" s="39" t="s">
        <v>628</v>
      </c>
      <c r="C587" s="39">
        <v>0</v>
      </c>
      <c r="D587" s="39"/>
      <c r="E587" s="39">
        <v>1</v>
      </c>
      <c r="F587" s="39">
        <v>102</v>
      </c>
      <c r="G587" s="39"/>
      <c r="H587" s="39" t="s">
        <v>622</v>
      </c>
      <c r="I587" s="41"/>
    </row>
    <row r="588" spans="1:9">
      <c r="A588" s="2">
        <v>587</v>
      </c>
      <c r="B588" s="39" t="s">
        <v>629</v>
      </c>
      <c r="C588" s="39">
        <v>0</v>
      </c>
      <c r="D588" s="39"/>
      <c r="E588" s="39">
        <v>1</v>
      </c>
      <c r="F588" s="39">
        <v>102</v>
      </c>
      <c r="G588" s="39"/>
      <c r="H588" s="39" t="s">
        <v>622</v>
      </c>
      <c r="I588" s="41"/>
    </row>
    <row r="589" spans="1:9">
      <c r="A589" s="2">
        <v>588</v>
      </c>
      <c r="B589" s="39" t="s">
        <v>630</v>
      </c>
      <c r="C589" s="39">
        <v>0</v>
      </c>
      <c r="D589" s="39"/>
      <c r="E589" s="39">
        <v>1</v>
      </c>
      <c r="F589" s="39">
        <v>102</v>
      </c>
      <c r="G589" s="39"/>
      <c r="H589" s="39" t="s">
        <v>622</v>
      </c>
      <c r="I589" s="41"/>
    </row>
    <row r="590" spans="1:9">
      <c r="A590" s="2">
        <v>589</v>
      </c>
      <c r="B590" t="s">
        <v>631</v>
      </c>
      <c r="C590">
        <v>10</v>
      </c>
      <c r="D590" t="s">
        <v>631</v>
      </c>
      <c r="E590">
        <v>99</v>
      </c>
      <c r="F590">
        <v>100</v>
      </c>
      <c r="G590">
        <v>1</v>
      </c>
      <c r="H590" t="s">
        <v>632</v>
      </c>
    </row>
    <row r="591" spans="1:9">
      <c r="A591" s="2">
        <v>590</v>
      </c>
      <c r="B591" t="s">
        <v>633</v>
      </c>
      <c r="C591">
        <v>0</v>
      </c>
      <c r="D591" t="s">
        <v>633</v>
      </c>
      <c r="E591">
        <v>99</v>
      </c>
      <c r="F591">
        <v>100</v>
      </c>
      <c r="G591">
        <v>1</v>
      </c>
      <c r="H591" t="s">
        <v>634</v>
      </c>
    </row>
    <row r="592" spans="1:9">
      <c r="A592" s="2">
        <v>591</v>
      </c>
      <c r="B592" t="s">
        <v>635</v>
      </c>
      <c r="C592">
        <v>10</v>
      </c>
      <c r="D592" t="s">
        <v>631</v>
      </c>
      <c r="E592">
        <v>99</v>
      </c>
      <c r="F592">
        <v>100</v>
      </c>
      <c r="G592">
        <v>1</v>
      </c>
      <c r="H592" t="s">
        <v>632</v>
      </c>
    </row>
    <row r="593" spans="1:8">
      <c r="A593" s="2">
        <v>592</v>
      </c>
      <c r="B593" t="s">
        <v>636</v>
      </c>
      <c r="C593">
        <v>24</v>
      </c>
      <c r="E593">
        <v>1</v>
      </c>
      <c r="F593">
        <v>100</v>
      </c>
      <c r="H593" t="s">
        <v>632</v>
      </c>
    </row>
    <row r="594" spans="1:8">
      <c r="A594" s="2">
        <v>593</v>
      </c>
      <c r="B594" t="s">
        <v>637</v>
      </c>
      <c r="C594">
        <v>33</v>
      </c>
      <c r="E594">
        <v>1</v>
      </c>
      <c r="F594">
        <v>100</v>
      </c>
      <c r="H594" t="s">
        <v>632</v>
      </c>
    </row>
    <row r="595" spans="1:8">
      <c r="A595" s="2">
        <v>594</v>
      </c>
      <c r="B595" t="s">
        <v>638</v>
      </c>
      <c r="C595">
        <v>44</v>
      </c>
      <c r="E595">
        <v>1</v>
      </c>
      <c r="F595">
        <v>100</v>
      </c>
      <c r="H595" t="s">
        <v>632</v>
      </c>
    </row>
    <row r="596" spans="1:8">
      <c r="A596" s="2">
        <v>595</v>
      </c>
      <c r="B596" t="s">
        <v>639</v>
      </c>
      <c r="C596">
        <v>0</v>
      </c>
      <c r="D596" t="s">
        <v>640</v>
      </c>
      <c r="E596">
        <v>99</v>
      </c>
      <c r="F596">
        <v>100</v>
      </c>
      <c r="G596">
        <v>1</v>
      </c>
      <c r="H596" t="s">
        <v>634</v>
      </c>
    </row>
    <row r="597" spans="1:8">
      <c r="A597" s="2">
        <v>596</v>
      </c>
      <c r="B597" t="s">
        <v>641</v>
      </c>
      <c r="C597">
        <v>0</v>
      </c>
      <c r="E597">
        <v>1</v>
      </c>
      <c r="F597">
        <v>100</v>
      </c>
      <c r="H597" t="s">
        <v>634</v>
      </c>
    </row>
    <row r="598" spans="1:8">
      <c r="A598" s="2">
        <v>597</v>
      </c>
      <c r="B598" t="s">
        <v>642</v>
      </c>
      <c r="C598">
        <v>0</v>
      </c>
      <c r="E598">
        <v>1</v>
      </c>
      <c r="F598">
        <v>100</v>
      </c>
      <c r="H598" t="s">
        <v>634</v>
      </c>
    </row>
    <row r="599" spans="1:8">
      <c r="A599" s="2">
        <v>598</v>
      </c>
      <c r="B599" t="s">
        <v>643</v>
      </c>
      <c r="C599">
        <v>0</v>
      </c>
      <c r="E599">
        <v>1</v>
      </c>
      <c r="F599">
        <v>100</v>
      </c>
      <c r="H599" t="s">
        <v>634</v>
      </c>
    </row>
    <row r="600" spans="1:8">
      <c r="A600" s="2">
        <v>599</v>
      </c>
      <c r="B600" t="s">
        <v>631</v>
      </c>
      <c r="C600">
        <v>0</v>
      </c>
      <c r="D600" t="s">
        <v>631</v>
      </c>
      <c r="E600">
        <v>99</v>
      </c>
      <c r="F600">
        <v>101</v>
      </c>
      <c r="H600" t="s">
        <v>632</v>
      </c>
    </row>
    <row r="601" spans="1:8">
      <c r="A601" s="2">
        <v>600</v>
      </c>
      <c r="B601" t="s">
        <v>633</v>
      </c>
      <c r="C601">
        <v>0</v>
      </c>
      <c r="D601" t="s">
        <v>633</v>
      </c>
      <c r="E601">
        <v>99</v>
      </c>
      <c r="F601">
        <v>101</v>
      </c>
      <c r="G601">
        <v>1</v>
      </c>
      <c r="H601" t="s">
        <v>634</v>
      </c>
    </row>
    <row r="602" spans="1:8">
      <c r="A602" s="2">
        <v>601</v>
      </c>
      <c r="B602" t="s">
        <v>635</v>
      </c>
      <c r="C602">
        <v>0</v>
      </c>
      <c r="D602" t="s">
        <v>631</v>
      </c>
      <c r="E602">
        <v>99</v>
      </c>
      <c r="F602">
        <v>101</v>
      </c>
      <c r="H602" t="s">
        <v>632</v>
      </c>
    </row>
    <row r="603" spans="1:8">
      <c r="A603" s="2">
        <v>602</v>
      </c>
      <c r="B603" t="s">
        <v>636</v>
      </c>
      <c r="C603">
        <v>0</v>
      </c>
      <c r="E603">
        <v>1</v>
      </c>
      <c r="F603">
        <v>101</v>
      </c>
      <c r="H603" t="s">
        <v>632</v>
      </c>
    </row>
    <row r="604" spans="1:8">
      <c r="A604" s="2">
        <v>603</v>
      </c>
      <c r="B604" t="s">
        <v>639</v>
      </c>
      <c r="C604">
        <v>0</v>
      </c>
      <c r="D604" t="s">
        <v>633</v>
      </c>
      <c r="E604">
        <v>99</v>
      </c>
      <c r="F604">
        <v>101</v>
      </c>
      <c r="H604" t="s">
        <v>634</v>
      </c>
    </row>
    <row r="605" spans="1:8">
      <c r="A605" s="2">
        <v>604</v>
      </c>
      <c r="B605" t="s">
        <v>641</v>
      </c>
      <c r="C605">
        <v>0</v>
      </c>
      <c r="E605">
        <v>1</v>
      </c>
      <c r="F605">
        <v>101</v>
      </c>
      <c r="H605" t="s">
        <v>634</v>
      </c>
    </row>
    <row r="606" spans="1:8">
      <c r="A606" s="2">
        <v>605</v>
      </c>
      <c r="B606" t="s">
        <v>636</v>
      </c>
      <c r="C606">
        <v>24</v>
      </c>
      <c r="E606">
        <v>1</v>
      </c>
      <c r="F606">
        <v>102</v>
      </c>
      <c r="H606" t="s">
        <v>632</v>
      </c>
    </row>
    <row r="607" spans="1:8">
      <c r="A607" s="2">
        <v>606</v>
      </c>
      <c r="B607" t="s">
        <v>637</v>
      </c>
      <c r="C607">
        <v>33</v>
      </c>
      <c r="E607">
        <v>1</v>
      </c>
      <c r="F607">
        <v>102</v>
      </c>
      <c r="H607" t="s">
        <v>632</v>
      </c>
    </row>
    <row r="608" spans="1:8">
      <c r="A608" s="2">
        <v>607</v>
      </c>
      <c r="B608" t="s">
        <v>638</v>
      </c>
      <c r="C608">
        <v>44</v>
      </c>
      <c r="E608">
        <v>1</v>
      </c>
      <c r="F608">
        <v>102</v>
      </c>
      <c r="H608" t="s">
        <v>632</v>
      </c>
    </row>
    <row r="609" spans="1:8">
      <c r="A609" s="2">
        <v>608</v>
      </c>
      <c r="B609" t="s">
        <v>641</v>
      </c>
      <c r="C609">
        <v>0</v>
      </c>
      <c r="E609">
        <v>1</v>
      </c>
      <c r="F609">
        <v>102</v>
      </c>
      <c r="H609" t="s">
        <v>634</v>
      </c>
    </row>
    <row r="610" spans="1:8">
      <c r="A610" s="2">
        <v>609</v>
      </c>
      <c r="B610" t="s">
        <v>642</v>
      </c>
      <c r="C610">
        <v>0</v>
      </c>
      <c r="E610">
        <v>1</v>
      </c>
      <c r="F610">
        <v>102</v>
      </c>
      <c r="H610" t="s">
        <v>634</v>
      </c>
    </row>
    <row r="611" spans="1:8">
      <c r="A611" s="2">
        <v>610</v>
      </c>
      <c r="B611" t="s">
        <v>643</v>
      </c>
      <c r="C611">
        <v>0</v>
      </c>
      <c r="E611">
        <v>1</v>
      </c>
      <c r="F611">
        <v>102</v>
      </c>
      <c r="H611" t="s">
        <v>634</v>
      </c>
    </row>
    <row r="612" spans="1:8">
      <c r="A612" s="2">
        <v>611</v>
      </c>
      <c r="B612" s="1" t="s">
        <v>644</v>
      </c>
      <c r="C612" s="1">
        <v>10</v>
      </c>
      <c r="D612" s="1" t="s">
        <v>644</v>
      </c>
      <c r="E612" s="1">
        <v>99</v>
      </c>
      <c r="F612" s="1">
        <v>100</v>
      </c>
      <c r="G612" s="1">
        <v>1</v>
      </c>
      <c r="H612" s="1" t="s">
        <v>645</v>
      </c>
    </row>
    <row r="613" spans="1:8">
      <c r="A613" s="2">
        <v>612</v>
      </c>
      <c r="B613" s="1" t="s">
        <v>646</v>
      </c>
      <c r="C613" s="1">
        <v>10</v>
      </c>
      <c r="D613" s="1" t="s">
        <v>644</v>
      </c>
      <c r="E613" s="1">
        <v>99</v>
      </c>
      <c r="F613" s="1">
        <v>100</v>
      </c>
      <c r="G613" s="1">
        <v>1</v>
      </c>
      <c r="H613" s="1" t="s">
        <v>645</v>
      </c>
    </row>
    <row r="614" spans="1:8">
      <c r="A614" s="2">
        <v>613</v>
      </c>
      <c r="B614" s="1" t="s">
        <v>647</v>
      </c>
      <c r="C614" s="1">
        <v>24</v>
      </c>
      <c r="D614" s="1"/>
      <c r="E614" s="1">
        <v>1</v>
      </c>
      <c r="F614" s="1">
        <v>100</v>
      </c>
      <c r="G614" s="1"/>
      <c r="H614" s="1" t="s">
        <v>645</v>
      </c>
    </row>
    <row r="615" spans="1:8">
      <c r="A615" s="2">
        <v>614</v>
      </c>
      <c r="B615" s="1" t="s">
        <v>648</v>
      </c>
      <c r="C615" s="1">
        <v>33</v>
      </c>
      <c r="D615" s="1"/>
      <c r="E615" s="1">
        <v>1</v>
      </c>
      <c r="F615" s="1">
        <v>100</v>
      </c>
      <c r="G615" s="1"/>
      <c r="H615" s="1" t="s">
        <v>645</v>
      </c>
    </row>
    <row r="616" spans="1:8">
      <c r="A616" s="2">
        <v>615</v>
      </c>
      <c r="B616" s="1" t="s">
        <v>649</v>
      </c>
      <c r="C616" s="1">
        <v>44</v>
      </c>
      <c r="D616" s="1"/>
      <c r="E616" s="1">
        <v>1</v>
      </c>
      <c r="F616" s="1">
        <v>100</v>
      </c>
      <c r="G616" s="1"/>
      <c r="H616" s="1" t="s">
        <v>645</v>
      </c>
    </row>
    <row r="617" spans="1:8">
      <c r="A617" s="2">
        <v>616</v>
      </c>
      <c r="B617" s="1" t="s">
        <v>644</v>
      </c>
      <c r="C617" s="1">
        <v>0</v>
      </c>
      <c r="D617" s="1" t="s">
        <v>644</v>
      </c>
      <c r="E617" s="1">
        <v>99</v>
      </c>
      <c r="F617" s="1">
        <v>101</v>
      </c>
      <c r="G617" s="1"/>
      <c r="H617" s="1" t="s">
        <v>645</v>
      </c>
    </row>
    <row r="618" spans="1:8">
      <c r="A618" s="2">
        <v>617</v>
      </c>
      <c r="B618" s="1" t="s">
        <v>646</v>
      </c>
      <c r="C618" s="1">
        <v>0</v>
      </c>
      <c r="D618" s="1" t="s">
        <v>644</v>
      </c>
      <c r="E618" s="1">
        <v>99</v>
      </c>
      <c r="F618" s="1">
        <v>101</v>
      </c>
      <c r="G618" s="1"/>
      <c r="H618" s="1" t="s">
        <v>645</v>
      </c>
    </row>
    <row r="619" spans="1:8">
      <c r="A619" s="2">
        <v>618</v>
      </c>
      <c r="B619" s="1" t="s">
        <v>647</v>
      </c>
      <c r="C619" s="1">
        <v>0</v>
      </c>
      <c r="D619" s="1"/>
      <c r="E619" s="1">
        <v>1</v>
      </c>
      <c r="F619" s="1">
        <v>101</v>
      </c>
      <c r="G619" s="1"/>
      <c r="H619" s="1" t="s">
        <v>645</v>
      </c>
    </row>
    <row r="620" spans="1:8">
      <c r="A620" s="2">
        <v>619</v>
      </c>
      <c r="B620" s="1" t="s">
        <v>647</v>
      </c>
      <c r="C620" s="1">
        <v>24</v>
      </c>
      <c r="D620" s="1"/>
      <c r="E620" s="1">
        <v>1</v>
      </c>
      <c r="F620" s="1">
        <v>102</v>
      </c>
      <c r="G620" s="1"/>
      <c r="H620" s="1" t="s">
        <v>645</v>
      </c>
    </row>
    <row r="621" spans="1:8">
      <c r="A621" s="2">
        <v>620</v>
      </c>
      <c r="B621" s="1" t="s">
        <v>648</v>
      </c>
      <c r="C621" s="1">
        <v>33</v>
      </c>
      <c r="D621" s="1"/>
      <c r="E621" s="1">
        <v>1</v>
      </c>
      <c r="F621" s="1">
        <v>102</v>
      </c>
      <c r="G621" s="1"/>
      <c r="H621" s="1" t="s">
        <v>645</v>
      </c>
    </row>
    <row r="622" spans="1:8">
      <c r="A622" s="2">
        <v>621</v>
      </c>
      <c r="B622" s="1" t="s">
        <v>649</v>
      </c>
      <c r="C622" s="1">
        <v>44</v>
      </c>
      <c r="D622" s="1"/>
      <c r="E622" s="1">
        <v>1</v>
      </c>
      <c r="F622" s="1">
        <v>102</v>
      </c>
      <c r="G622" s="1"/>
      <c r="H622" s="1" t="s">
        <v>645</v>
      </c>
    </row>
    <row r="623" spans="1:8">
      <c r="A623" s="2">
        <v>622</v>
      </c>
      <c r="B623" t="s">
        <v>650</v>
      </c>
      <c r="C623">
        <v>10</v>
      </c>
      <c r="D623" t="s">
        <v>650</v>
      </c>
      <c r="E623">
        <v>99</v>
      </c>
      <c r="F623">
        <v>100</v>
      </c>
      <c r="G623">
        <v>1</v>
      </c>
      <c r="H623" t="s">
        <v>651</v>
      </c>
    </row>
    <row r="624" spans="1:8">
      <c r="A624" s="2">
        <v>623</v>
      </c>
      <c r="B624" t="s">
        <v>652</v>
      </c>
      <c r="C624">
        <v>10</v>
      </c>
      <c r="D624" t="s">
        <v>650</v>
      </c>
      <c r="E624">
        <v>99</v>
      </c>
      <c r="F624">
        <v>100</v>
      </c>
      <c r="G624">
        <v>1</v>
      </c>
      <c r="H624" t="s">
        <v>651</v>
      </c>
    </row>
    <row r="625" spans="1:9">
      <c r="A625" s="2">
        <v>624</v>
      </c>
      <c r="B625" t="s">
        <v>653</v>
      </c>
      <c r="C625">
        <v>24</v>
      </c>
      <c r="E625">
        <v>1</v>
      </c>
      <c r="F625">
        <v>100</v>
      </c>
      <c r="H625" t="s">
        <v>651</v>
      </c>
    </row>
    <row r="626" spans="1:9">
      <c r="A626" s="2">
        <v>625</v>
      </c>
      <c r="B626" t="s">
        <v>654</v>
      </c>
      <c r="C626">
        <v>33</v>
      </c>
      <c r="E626">
        <v>1</v>
      </c>
      <c r="F626">
        <v>100</v>
      </c>
      <c r="H626" t="s">
        <v>651</v>
      </c>
    </row>
    <row r="627" spans="1:9">
      <c r="A627" s="2">
        <v>626</v>
      </c>
      <c r="B627" t="s">
        <v>655</v>
      </c>
      <c r="C627">
        <v>44</v>
      </c>
      <c r="E627">
        <v>1</v>
      </c>
      <c r="F627">
        <v>100</v>
      </c>
      <c r="H627" t="s">
        <v>651</v>
      </c>
    </row>
    <row r="628" spans="1:9">
      <c r="A628" s="2">
        <v>627</v>
      </c>
      <c r="B628" t="s">
        <v>650</v>
      </c>
      <c r="C628">
        <v>0</v>
      </c>
      <c r="D628" t="s">
        <v>650</v>
      </c>
      <c r="E628">
        <v>99</v>
      </c>
      <c r="F628">
        <v>101</v>
      </c>
      <c r="H628" t="s">
        <v>651</v>
      </c>
    </row>
    <row r="629" spans="1:9">
      <c r="A629" s="2">
        <v>628</v>
      </c>
      <c r="B629" t="s">
        <v>652</v>
      </c>
      <c r="C629">
        <v>0</v>
      </c>
      <c r="D629" t="s">
        <v>650</v>
      </c>
      <c r="E629">
        <v>99</v>
      </c>
      <c r="F629">
        <v>101</v>
      </c>
      <c r="H629" t="s">
        <v>651</v>
      </c>
    </row>
    <row r="630" spans="1:9">
      <c r="A630" s="2">
        <v>629</v>
      </c>
      <c r="B630" t="s">
        <v>653</v>
      </c>
      <c r="C630">
        <v>0</v>
      </c>
      <c r="E630">
        <v>1</v>
      </c>
      <c r="F630">
        <v>101</v>
      </c>
      <c r="H630" t="s">
        <v>651</v>
      </c>
    </row>
    <row r="631" spans="1:9">
      <c r="A631" s="2">
        <v>630</v>
      </c>
      <c r="B631" t="s">
        <v>653</v>
      </c>
      <c r="C631">
        <v>24</v>
      </c>
      <c r="E631">
        <v>1</v>
      </c>
      <c r="F631">
        <v>102</v>
      </c>
      <c r="H631" t="s">
        <v>651</v>
      </c>
    </row>
    <row r="632" spans="1:9">
      <c r="A632" s="2">
        <v>631</v>
      </c>
      <c r="B632" t="s">
        <v>654</v>
      </c>
      <c r="C632">
        <v>33</v>
      </c>
      <c r="E632">
        <v>1</v>
      </c>
      <c r="F632">
        <v>102</v>
      </c>
      <c r="H632" t="s">
        <v>651</v>
      </c>
    </row>
    <row r="633" spans="1:9">
      <c r="A633" s="2">
        <v>632</v>
      </c>
      <c r="B633" t="s">
        <v>655</v>
      </c>
      <c r="C633">
        <v>44</v>
      </c>
      <c r="E633">
        <v>1</v>
      </c>
      <c r="F633">
        <v>102</v>
      </c>
      <c r="H633" t="s">
        <v>651</v>
      </c>
    </row>
    <row r="634" spans="1:9" s="1" customFormat="1">
      <c r="A634" s="2">
        <v>633</v>
      </c>
      <c r="B634" s="1" t="s">
        <v>656</v>
      </c>
      <c r="C634" s="1">
        <v>10</v>
      </c>
      <c r="D634" s="1" t="s">
        <v>656</v>
      </c>
      <c r="E634" s="1">
        <v>99</v>
      </c>
      <c r="F634" s="1">
        <v>100</v>
      </c>
      <c r="G634" s="1">
        <v>1</v>
      </c>
      <c r="H634" s="1" t="s">
        <v>657</v>
      </c>
      <c r="I634" s="42"/>
    </row>
    <row r="635" spans="1:9" s="1" customFormat="1">
      <c r="A635" s="2">
        <v>634</v>
      </c>
      <c r="B635" s="1" t="s">
        <v>658</v>
      </c>
      <c r="C635" s="1">
        <v>10</v>
      </c>
      <c r="D635" s="1" t="s">
        <v>656</v>
      </c>
      <c r="E635" s="1">
        <v>99</v>
      </c>
      <c r="F635" s="1">
        <v>100</v>
      </c>
      <c r="G635" s="1">
        <v>1</v>
      </c>
      <c r="H635" s="1" t="s">
        <v>657</v>
      </c>
      <c r="I635" s="42"/>
    </row>
    <row r="636" spans="1:9" s="1" customFormat="1">
      <c r="A636" s="2">
        <v>635</v>
      </c>
      <c r="B636" s="1" t="s">
        <v>659</v>
      </c>
      <c r="C636" s="1">
        <v>24</v>
      </c>
      <c r="E636" s="1">
        <v>1</v>
      </c>
      <c r="F636" s="1">
        <v>100</v>
      </c>
      <c r="H636" s="1" t="s">
        <v>657</v>
      </c>
      <c r="I636" s="42"/>
    </row>
    <row r="637" spans="1:9" s="1" customFormat="1">
      <c r="A637" s="2">
        <v>636</v>
      </c>
      <c r="B637" s="1" t="s">
        <v>660</v>
      </c>
      <c r="C637" s="1">
        <v>33</v>
      </c>
      <c r="E637" s="1">
        <v>1</v>
      </c>
      <c r="F637" s="1">
        <v>100</v>
      </c>
      <c r="H637" s="1" t="s">
        <v>657</v>
      </c>
      <c r="I637" s="42"/>
    </row>
    <row r="638" spans="1:9" s="1" customFormat="1">
      <c r="A638" s="2">
        <v>637</v>
      </c>
      <c r="B638" s="1" t="s">
        <v>661</v>
      </c>
      <c r="C638" s="1">
        <v>44</v>
      </c>
      <c r="E638" s="1">
        <v>1</v>
      </c>
      <c r="F638" s="1">
        <v>100</v>
      </c>
      <c r="H638" s="1" t="s">
        <v>657</v>
      </c>
      <c r="I638" s="42"/>
    </row>
    <row r="639" spans="1:9" s="1" customFormat="1">
      <c r="A639" s="2">
        <v>638</v>
      </c>
      <c r="B639" s="1" t="s">
        <v>656</v>
      </c>
      <c r="C639" s="1">
        <v>0</v>
      </c>
      <c r="D639" s="1" t="s">
        <v>656</v>
      </c>
      <c r="E639" s="1">
        <v>99</v>
      </c>
      <c r="F639" s="1">
        <v>101</v>
      </c>
      <c r="H639" s="1" t="s">
        <v>657</v>
      </c>
      <c r="I639" s="42"/>
    </row>
    <row r="640" spans="1:9" s="1" customFormat="1">
      <c r="A640" s="2">
        <v>639</v>
      </c>
      <c r="B640" s="1" t="s">
        <v>658</v>
      </c>
      <c r="C640" s="1">
        <v>0</v>
      </c>
      <c r="D640" s="1" t="s">
        <v>656</v>
      </c>
      <c r="E640" s="1">
        <v>99</v>
      </c>
      <c r="F640" s="1">
        <v>101</v>
      </c>
      <c r="H640" s="1" t="s">
        <v>657</v>
      </c>
      <c r="I640" s="42"/>
    </row>
    <row r="641" spans="1:9" s="1" customFormat="1">
      <c r="A641" s="2">
        <v>640</v>
      </c>
      <c r="B641" s="1" t="s">
        <v>659</v>
      </c>
      <c r="C641" s="1">
        <v>0</v>
      </c>
      <c r="E641" s="1">
        <v>1</v>
      </c>
      <c r="F641" s="1">
        <v>101</v>
      </c>
      <c r="H641" s="1" t="s">
        <v>657</v>
      </c>
      <c r="I641" s="42"/>
    </row>
    <row r="642" spans="1:9" s="1" customFormat="1">
      <c r="A642" s="2">
        <v>641</v>
      </c>
      <c r="B642" s="1" t="s">
        <v>659</v>
      </c>
      <c r="C642" s="1">
        <v>24</v>
      </c>
      <c r="E642" s="1">
        <v>1</v>
      </c>
      <c r="F642" s="1">
        <v>102</v>
      </c>
      <c r="H642" s="1" t="s">
        <v>657</v>
      </c>
      <c r="I642" s="42"/>
    </row>
    <row r="643" spans="1:9" s="1" customFormat="1">
      <c r="A643" s="2">
        <v>642</v>
      </c>
      <c r="B643" s="1" t="s">
        <v>660</v>
      </c>
      <c r="C643" s="1">
        <v>33</v>
      </c>
      <c r="E643" s="1">
        <v>1</v>
      </c>
      <c r="F643" s="1">
        <v>102</v>
      </c>
      <c r="H643" s="1" t="s">
        <v>657</v>
      </c>
      <c r="I643" s="42"/>
    </row>
    <row r="644" spans="1:9" s="1" customFormat="1">
      <c r="A644" s="2">
        <v>643</v>
      </c>
      <c r="B644" s="1" t="s">
        <v>661</v>
      </c>
      <c r="C644" s="1">
        <v>44</v>
      </c>
      <c r="E644" s="1">
        <v>1</v>
      </c>
      <c r="F644" s="1">
        <v>102</v>
      </c>
      <c r="H644" s="1" t="s">
        <v>657</v>
      </c>
      <c r="I644" s="42"/>
    </row>
    <row r="645" spans="1:9">
      <c r="A645" s="2">
        <v>644</v>
      </c>
      <c r="B645" t="s">
        <v>662</v>
      </c>
      <c r="C645">
        <v>10</v>
      </c>
      <c r="D645" t="s">
        <v>662</v>
      </c>
      <c r="E645">
        <v>99</v>
      </c>
      <c r="F645">
        <v>100</v>
      </c>
      <c r="G645">
        <v>1</v>
      </c>
      <c r="H645" t="s">
        <v>663</v>
      </c>
    </row>
    <row r="646" spans="1:9">
      <c r="A646" s="2">
        <v>645</v>
      </c>
      <c r="B646" t="s">
        <v>664</v>
      </c>
      <c r="C646">
        <v>10</v>
      </c>
      <c r="D646" t="s">
        <v>662</v>
      </c>
      <c r="E646">
        <v>99</v>
      </c>
      <c r="F646">
        <v>100</v>
      </c>
      <c r="G646">
        <v>1</v>
      </c>
      <c r="H646" t="s">
        <v>663</v>
      </c>
    </row>
    <row r="647" spans="1:9">
      <c r="A647" s="2">
        <v>646</v>
      </c>
      <c r="B647" t="s">
        <v>665</v>
      </c>
      <c r="C647">
        <v>24</v>
      </c>
      <c r="E647">
        <v>1</v>
      </c>
      <c r="F647">
        <v>100</v>
      </c>
      <c r="H647" t="s">
        <v>663</v>
      </c>
    </row>
    <row r="648" spans="1:9">
      <c r="A648" s="2">
        <v>647</v>
      </c>
      <c r="B648" t="s">
        <v>666</v>
      </c>
      <c r="C648">
        <v>33</v>
      </c>
      <c r="E648">
        <v>1</v>
      </c>
      <c r="F648">
        <v>100</v>
      </c>
      <c r="H648" t="s">
        <v>663</v>
      </c>
    </row>
    <row r="649" spans="1:9">
      <c r="A649" s="2">
        <v>648</v>
      </c>
      <c r="B649" t="s">
        <v>667</v>
      </c>
      <c r="C649">
        <v>44</v>
      </c>
      <c r="E649">
        <v>1</v>
      </c>
      <c r="F649">
        <v>100</v>
      </c>
      <c r="H649" t="s">
        <v>663</v>
      </c>
    </row>
    <row r="650" spans="1:9">
      <c r="A650" s="2">
        <v>649</v>
      </c>
      <c r="B650" t="s">
        <v>662</v>
      </c>
      <c r="C650">
        <v>0</v>
      </c>
      <c r="D650" t="s">
        <v>662</v>
      </c>
      <c r="E650">
        <v>99</v>
      </c>
      <c r="F650">
        <v>101</v>
      </c>
      <c r="H650" t="s">
        <v>663</v>
      </c>
    </row>
    <row r="651" spans="1:9">
      <c r="A651" s="2">
        <v>650</v>
      </c>
      <c r="B651" t="s">
        <v>664</v>
      </c>
      <c r="C651">
        <v>0</v>
      </c>
      <c r="D651" t="s">
        <v>662</v>
      </c>
      <c r="E651">
        <v>99</v>
      </c>
      <c r="F651">
        <v>101</v>
      </c>
      <c r="H651" t="s">
        <v>663</v>
      </c>
    </row>
    <row r="652" spans="1:9">
      <c r="A652" s="2">
        <v>651</v>
      </c>
      <c r="B652" t="s">
        <v>665</v>
      </c>
      <c r="C652">
        <v>0</v>
      </c>
      <c r="E652">
        <v>1</v>
      </c>
      <c r="F652">
        <v>101</v>
      </c>
      <c r="H652" t="s">
        <v>663</v>
      </c>
    </row>
    <row r="653" spans="1:9">
      <c r="A653" s="2">
        <v>652</v>
      </c>
      <c r="B653" t="s">
        <v>665</v>
      </c>
      <c r="C653">
        <v>24</v>
      </c>
      <c r="E653">
        <v>1</v>
      </c>
      <c r="F653">
        <v>102</v>
      </c>
      <c r="H653" t="s">
        <v>663</v>
      </c>
    </row>
    <row r="654" spans="1:9">
      <c r="A654" s="2">
        <v>653</v>
      </c>
      <c r="B654" t="s">
        <v>666</v>
      </c>
      <c r="C654">
        <v>33</v>
      </c>
      <c r="E654">
        <v>1</v>
      </c>
      <c r="F654">
        <v>102</v>
      </c>
      <c r="H654" t="s">
        <v>663</v>
      </c>
    </row>
    <row r="655" spans="1:9">
      <c r="A655" s="2">
        <v>654</v>
      </c>
      <c r="B655" t="s">
        <v>667</v>
      </c>
      <c r="C655">
        <v>44</v>
      </c>
      <c r="E655">
        <v>1</v>
      </c>
      <c r="F655">
        <v>102</v>
      </c>
      <c r="H655" t="s">
        <v>663</v>
      </c>
    </row>
    <row r="656" spans="1:9">
      <c r="A656" s="2">
        <v>655</v>
      </c>
      <c r="B656" s="7" t="s">
        <v>668</v>
      </c>
      <c r="C656" s="7">
        <v>10</v>
      </c>
      <c r="D656" s="8" t="s">
        <v>669</v>
      </c>
      <c r="E656" s="7">
        <v>99</v>
      </c>
      <c r="F656" s="7">
        <v>100</v>
      </c>
      <c r="G656" s="7">
        <v>1</v>
      </c>
      <c r="H656" s="7" t="s">
        <v>670</v>
      </c>
    </row>
    <row r="657" spans="1:8">
      <c r="A657" s="2">
        <v>656</v>
      </c>
      <c r="B657" s="7" t="s">
        <v>671</v>
      </c>
      <c r="C657" s="7">
        <v>10</v>
      </c>
      <c r="D657" s="8" t="s">
        <v>669</v>
      </c>
      <c r="E657" s="7">
        <v>99</v>
      </c>
      <c r="F657" s="7">
        <v>100</v>
      </c>
      <c r="G657" s="7">
        <v>1</v>
      </c>
      <c r="H657" s="7" t="s">
        <v>670</v>
      </c>
    </row>
    <row r="658" spans="1:8">
      <c r="A658" s="2">
        <v>657</v>
      </c>
      <c r="B658" s="7" t="s">
        <v>672</v>
      </c>
      <c r="C658" s="7">
        <v>24</v>
      </c>
      <c r="D658" s="7"/>
      <c r="E658" s="7">
        <v>1</v>
      </c>
      <c r="F658" s="7">
        <v>100</v>
      </c>
      <c r="G658" s="7"/>
      <c r="H658" s="7" t="s">
        <v>670</v>
      </c>
    </row>
    <row r="659" spans="1:8">
      <c r="A659" s="2">
        <v>658</v>
      </c>
      <c r="B659" s="7" t="s">
        <v>673</v>
      </c>
      <c r="C659" s="7">
        <v>33</v>
      </c>
      <c r="D659" s="7"/>
      <c r="E659" s="7">
        <v>1</v>
      </c>
      <c r="F659" s="7">
        <v>100</v>
      </c>
      <c r="G659" s="7"/>
      <c r="H659" s="7" t="s">
        <v>670</v>
      </c>
    </row>
    <row r="660" spans="1:8">
      <c r="A660" s="2">
        <v>659</v>
      </c>
      <c r="B660" s="7" t="s">
        <v>674</v>
      </c>
      <c r="C660" s="7">
        <v>44</v>
      </c>
      <c r="D660" s="7"/>
      <c r="E660" s="7">
        <v>1</v>
      </c>
      <c r="F660" s="7">
        <v>100</v>
      </c>
      <c r="G660" s="7"/>
      <c r="H660" s="7" t="s">
        <v>670</v>
      </c>
    </row>
    <row r="661" spans="1:8">
      <c r="A661" s="2">
        <v>660</v>
      </c>
      <c r="B661" s="7" t="s">
        <v>668</v>
      </c>
      <c r="C661" s="7">
        <v>0</v>
      </c>
      <c r="D661" s="8" t="s">
        <v>669</v>
      </c>
      <c r="E661" s="7">
        <v>99</v>
      </c>
      <c r="F661" s="7">
        <v>101</v>
      </c>
      <c r="G661" s="7"/>
      <c r="H661" s="7" t="s">
        <v>670</v>
      </c>
    </row>
    <row r="662" spans="1:8">
      <c r="A662" s="2">
        <v>661</v>
      </c>
      <c r="B662" s="7" t="s">
        <v>671</v>
      </c>
      <c r="C662" s="7">
        <v>0</v>
      </c>
      <c r="D662" s="8" t="s">
        <v>669</v>
      </c>
      <c r="E662" s="7">
        <v>99</v>
      </c>
      <c r="F662" s="7">
        <v>101</v>
      </c>
      <c r="G662" s="7"/>
      <c r="H662" s="7" t="s">
        <v>670</v>
      </c>
    </row>
    <row r="663" spans="1:8">
      <c r="A663" s="2">
        <v>662</v>
      </c>
      <c r="B663" s="7" t="s">
        <v>672</v>
      </c>
      <c r="C663" s="7">
        <v>0</v>
      </c>
      <c r="D663" s="7"/>
      <c r="E663" s="7">
        <v>1</v>
      </c>
      <c r="F663" s="7">
        <v>101</v>
      </c>
      <c r="G663" s="7"/>
      <c r="H663" s="7" t="s">
        <v>670</v>
      </c>
    </row>
    <row r="664" spans="1:8">
      <c r="A664" s="2">
        <v>663</v>
      </c>
      <c r="B664" s="7" t="s">
        <v>672</v>
      </c>
      <c r="C664" s="7">
        <v>24</v>
      </c>
      <c r="D664" s="7"/>
      <c r="E664" s="7">
        <v>1</v>
      </c>
      <c r="F664" s="7">
        <v>102</v>
      </c>
      <c r="G664" s="7"/>
      <c r="H664" s="7" t="s">
        <v>670</v>
      </c>
    </row>
    <row r="665" spans="1:8">
      <c r="A665" s="2">
        <v>664</v>
      </c>
      <c r="B665" s="7" t="s">
        <v>673</v>
      </c>
      <c r="C665" s="7">
        <v>33</v>
      </c>
      <c r="D665" s="7"/>
      <c r="E665" s="7">
        <v>1</v>
      </c>
      <c r="F665" s="7">
        <v>102</v>
      </c>
      <c r="G665" s="7"/>
      <c r="H665" s="7" t="s">
        <v>670</v>
      </c>
    </row>
    <row r="666" spans="1:8">
      <c r="A666" s="2">
        <v>665</v>
      </c>
      <c r="B666" s="7" t="s">
        <v>674</v>
      </c>
      <c r="C666" s="7">
        <v>44</v>
      </c>
      <c r="D666" s="7"/>
      <c r="E666" s="7">
        <v>1</v>
      </c>
      <c r="F666" s="7">
        <v>102</v>
      </c>
      <c r="G666" s="7"/>
      <c r="H666" s="7" t="s">
        <v>670</v>
      </c>
    </row>
    <row r="667" spans="1:8">
      <c r="A667" s="2">
        <v>666</v>
      </c>
      <c r="B667" t="s">
        <v>675</v>
      </c>
      <c r="C667">
        <v>10</v>
      </c>
      <c r="D667" t="s">
        <v>675</v>
      </c>
      <c r="E667">
        <v>99</v>
      </c>
      <c r="F667">
        <v>100</v>
      </c>
      <c r="G667">
        <v>1</v>
      </c>
      <c r="H667" t="s">
        <v>676</v>
      </c>
    </row>
    <row r="668" spans="1:8">
      <c r="A668" s="2">
        <v>667</v>
      </c>
      <c r="B668" t="s">
        <v>677</v>
      </c>
      <c r="C668">
        <v>10</v>
      </c>
      <c r="D668" t="s">
        <v>675</v>
      </c>
      <c r="E668">
        <v>99</v>
      </c>
      <c r="F668">
        <v>100</v>
      </c>
      <c r="G668">
        <v>1</v>
      </c>
      <c r="H668" t="s">
        <v>676</v>
      </c>
    </row>
    <row r="669" spans="1:8">
      <c r="A669" s="2">
        <v>668</v>
      </c>
      <c r="B669" t="s">
        <v>678</v>
      </c>
      <c r="C669">
        <v>24</v>
      </c>
      <c r="E669">
        <v>1</v>
      </c>
      <c r="F669">
        <v>100</v>
      </c>
      <c r="H669" t="s">
        <v>676</v>
      </c>
    </row>
    <row r="670" spans="1:8">
      <c r="A670" s="2">
        <v>669</v>
      </c>
      <c r="B670" t="s">
        <v>679</v>
      </c>
      <c r="C670">
        <v>33</v>
      </c>
      <c r="E670">
        <v>1</v>
      </c>
      <c r="F670">
        <v>100</v>
      </c>
      <c r="H670" t="s">
        <v>676</v>
      </c>
    </row>
    <row r="671" spans="1:8">
      <c r="A671" s="2">
        <v>670</v>
      </c>
      <c r="B671" t="s">
        <v>680</v>
      </c>
      <c r="C671">
        <v>44</v>
      </c>
      <c r="E671">
        <v>1</v>
      </c>
      <c r="F671">
        <v>100</v>
      </c>
      <c r="H671" t="s">
        <v>676</v>
      </c>
    </row>
    <row r="672" spans="1:8">
      <c r="A672" s="2">
        <v>671</v>
      </c>
      <c r="B672" t="s">
        <v>675</v>
      </c>
      <c r="C672">
        <v>0</v>
      </c>
      <c r="D672" t="s">
        <v>675</v>
      </c>
      <c r="E672">
        <v>99</v>
      </c>
      <c r="F672">
        <v>101</v>
      </c>
      <c r="H672" t="s">
        <v>676</v>
      </c>
    </row>
    <row r="673" spans="1:8">
      <c r="A673" s="2">
        <v>672</v>
      </c>
      <c r="B673" t="s">
        <v>677</v>
      </c>
      <c r="C673">
        <v>0</v>
      </c>
      <c r="D673" t="s">
        <v>675</v>
      </c>
      <c r="E673">
        <v>99</v>
      </c>
      <c r="F673">
        <v>101</v>
      </c>
      <c r="H673" t="s">
        <v>676</v>
      </c>
    </row>
    <row r="674" spans="1:8">
      <c r="A674" s="2">
        <v>673</v>
      </c>
      <c r="B674" t="s">
        <v>678</v>
      </c>
      <c r="C674">
        <v>0</v>
      </c>
      <c r="E674">
        <v>1</v>
      </c>
      <c r="F674">
        <v>101</v>
      </c>
      <c r="H674" t="s">
        <v>676</v>
      </c>
    </row>
    <row r="675" spans="1:8">
      <c r="A675" s="2">
        <v>674</v>
      </c>
      <c r="B675" t="s">
        <v>678</v>
      </c>
      <c r="C675">
        <v>24</v>
      </c>
      <c r="E675">
        <v>1</v>
      </c>
      <c r="F675">
        <v>102</v>
      </c>
      <c r="H675" t="s">
        <v>676</v>
      </c>
    </row>
    <row r="676" spans="1:8">
      <c r="A676" s="2">
        <v>675</v>
      </c>
      <c r="B676" t="s">
        <v>679</v>
      </c>
      <c r="C676">
        <v>33</v>
      </c>
      <c r="E676">
        <v>1</v>
      </c>
      <c r="F676">
        <v>102</v>
      </c>
      <c r="H676" t="s">
        <v>676</v>
      </c>
    </row>
    <row r="677" spans="1:8">
      <c r="A677" s="2">
        <v>676</v>
      </c>
      <c r="B677" t="s">
        <v>680</v>
      </c>
      <c r="C677">
        <v>44</v>
      </c>
      <c r="E677">
        <v>1</v>
      </c>
      <c r="F677">
        <v>102</v>
      </c>
      <c r="H677" t="s">
        <v>676</v>
      </c>
    </row>
    <row r="678" spans="1:8">
      <c r="A678" s="2">
        <v>677</v>
      </c>
      <c r="B678" s="7" t="s">
        <v>681</v>
      </c>
      <c r="C678" s="7">
        <v>10</v>
      </c>
      <c r="D678" s="8" t="s">
        <v>681</v>
      </c>
      <c r="E678" s="7">
        <v>99</v>
      </c>
      <c r="F678" s="7">
        <v>100</v>
      </c>
      <c r="G678" s="7">
        <v>1</v>
      </c>
      <c r="H678" s="7" t="s">
        <v>682</v>
      </c>
    </row>
    <row r="679" spans="1:8">
      <c r="A679" s="2">
        <v>678</v>
      </c>
      <c r="B679" s="7" t="s">
        <v>683</v>
      </c>
      <c r="C679" s="7">
        <v>10</v>
      </c>
      <c r="D679" s="8" t="s">
        <v>681</v>
      </c>
      <c r="E679" s="7">
        <v>99</v>
      </c>
      <c r="F679" s="7">
        <v>100</v>
      </c>
      <c r="G679" s="7">
        <v>1</v>
      </c>
      <c r="H679" s="7" t="s">
        <v>682</v>
      </c>
    </row>
    <row r="680" spans="1:8">
      <c r="A680" s="2">
        <v>679</v>
      </c>
      <c r="B680" s="7" t="s">
        <v>684</v>
      </c>
      <c r="C680" s="7">
        <v>24</v>
      </c>
      <c r="D680" s="7"/>
      <c r="E680" s="7">
        <v>1</v>
      </c>
      <c r="F680" s="7">
        <v>100</v>
      </c>
      <c r="G680" s="7"/>
      <c r="H680" s="7" t="s">
        <v>682</v>
      </c>
    </row>
    <row r="681" spans="1:8">
      <c r="A681" s="2">
        <v>680</v>
      </c>
      <c r="B681" s="7" t="s">
        <v>685</v>
      </c>
      <c r="C681" s="7">
        <v>33</v>
      </c>
      <c r="D681" s="7"/>
      <c r="E681" s="7">
        <v>1</v>
      </c>
      <c r="F681" s="7">
        <v>100</v>
      </c>
      <c r="G681" s="7"/>
      <c r="H681" s="7" t="s">
        <v>682</v>
      </c>
    </row>
    <row r="682" spans="1:8">
      <c r="A682" s="2">
        <v>681</v>
      </c>
      <c r="B682" s="7" t="s">
        <v>686</v>
      </c>
      <c r="C682" s="7">
        <v>44</v>
      </c>
      <c r="D682" s="7"/>
      <c r="E682" s="7">
        <v>1</v>
      </c>
      <c r="F682" s="7">
        <v>100</v>
      </c>
      <c r="G682" s="7"/>
      <c r="H682" s="7" t="s">
        <v>682</v>
      </c>
    </row>
    <row r="683" spans="1:8">
      <c r="A683" s="2">
        <v>682</v>
      </c>
      <c r="B683" s="7" t="s">
        <v>681</v>
      </c>
      <c r="C683" s="7">
        <v>0</v>
      </c>
      <c r="D683" s="8" t="s">
        <v>681</v>
      </c>
      <c r="E683" s="7">
        <v>99</v>
      </c>
      <c r="F683" s="7">
        <v>101</v>
      </c>
      <c r="G683" s="7"/>
      <c r="H683" s="7" t="s">
        <v>682</v>
      </c>
    </row>
    <row r="684" spans="1:8">
      <c r="A684" s="2">
        <v>683</v>
      </c>
      <c r="B684" s="7" t="s">
        <v>683</v>
      </c>
      <c r="C684" s="7">
        <v>0</v>
      </c>
      <c r="D684" s="8" t="s">
        <v>681</v>
      </c>
      <c r="E684" s="7">
        <v>99</v>
      </c>
      <c r="F684" s="7">
        <v>101</v>
      </c>
      <c r="G684" s="7"/>
      <c r="H684" s="7" t="s">
        <v>682</v>
      </c>
    </row>
    <row r="685" spans="1:8">
      <c r="A685" s="2">
        <v>684</v>
      </c>
      <c r="B685" s="7" t="s">
        <v>684</v>
      </c>
      <c r="C685" s="7">
        <v>0</v>
      </c>
      <c r="D685" s="7"/>
      <c r="E685" s="7">
        <v>1</v>
      </c>
      <c r="F685" s="7">
        <v>101</v>
      </c>
      <c r="G685" s="7"/>
      <c r="H685" s="7" t="s">
        <v>682</v>
      </c>
    </row>
    <row r="686" spans="1:8">
      <c r="A686" s="2">
        <v>685</v>
      </c>
      <c r="B686" s="7" t="s">
        <v>684</v>
      </c>
      <c r="C686" s="7">
        <v>24</v>
      </c>
      <c r="D686" s="7"/>
      <c r="E686" s="7">
        <v>1</v>
      </c>
      <c r="F686" s="7">
        <v>102</v>
      </c>
      <c r="G686" s="7"/>
      <c r="H686" s="7" t="s">
        <v>682</v>
      </c>
    </row>
    <row r="687" spans="1:8">
      <c r="A687" s="2">
        <v>686</v>
      </c>
      <c r="B687" s="7" t="s">
        <v>685</v>
      </c>
      <c r="C687" s="7">
        <v>33</v>
      </c>
      <c r="D687" s="7"/>
      <c r="E687" s="7">
        <v>1</v>
      </c>
      <c r="F687" s="7">
        <v>102</v>
      </c>
      <c r="G687" s="7"/>
      <c r="H687" s="7" t="s">
        <v>682</v>
      </c>
    </row>
    <row r="688" spans="1:8">
      <c r="A688" s="2">
        <v>687</v>
      </c>
      <c r="B688" s="7" t="s">
        <v>686</v>
      </c>
      <c r="C688" s="7">
        <v>44</v>
      </c>
      <c r="D688" s="7"/>
      <c r="E688" s="7">
        <v>1</v>
      </c>
      <c r="F688" s="7">
        <v>102</v>
      </c>
      <c r="G688" s="7"/>
      <c r="H688" s="7" t="s">
        <v>682</v>
      </c>
    </row>
    <row r="689" spans="1:8">
      <c r="A689" s="2">
        <v>688</v>
      </c>
      <c r="B689" s="43" t="s">
        <v>687</v>
      </c>
      <c r="C689" s="43">
        <v>10</v>
      </c>
      <c r="D689" s="44" t="s">
        <v>687</v>
      </c>
      <c r="E689" s="43">
        <v>99</v>
      </c>
      <c r="F689" s="43">
        <v>100</v>
      </c>
      <c r="G689" s="43">
        <v>1</v>
      </c>
      <c r="H689" s="43" t="s">
        <v>688</v>
      </c>
    </row>
    <row r="690" spans="1:8">
      <c r="A690" s="2">
        <v>689</v>
      </c>
      <c r="B690" s="43" t="s">
        <v>689</v>
      </c>
      <c r="C690" s="43">
        <v>10</v>
      </c>
      <c r="D690" s="44" t="s">
        <v>687</v>
      </c>
      <c r="E690" s="43">
        <v>99</v>
      </c>
      <c r="F690" s="43">
        <v>100</v>
      </c>
      <c r="G690" s="43">
        <v>1</v>
      </c>
      <c r="H690" s="43" t="s">
        <v>688</v>
      </c>
    </row>
    <row r="691" spans="1:8">
      <c r="A691" s="2">
        <v>690</v>
      </c>
      <c r="B691" s="43" t="s">
        <v>690</v>
      </c>
      <c r="C691" s="43">
        <v>24</v>
      </c>
      <c r="D691" s="43"/>
      <c r="E691" s="43">
        <v>1</v>
      </c>
      <c r="F691" s="43">
        <v>100</v>
      </c>
      <c r="G691" s="43"/>
      <c r="H691" s="43" t="s">
        <v>688</v>
      </c>
    </row>
    <row r="692" spans="1:8">
      <c r="A692" s="2">
        <v>691</v>
      </c>
      <c r="B692" s="43" t="s">
        <v>691</v>
      </c>
      <c r="C692" s="43">
        <v>33</v>
      </c>
      <c r="D692" s="43"/>
      <c r="E692" s="43">
        <v>1</v>
      </c>
      <c r="F692" s="43">
        <v>100</v>
      </c>
      <c r="G692" s="43"/>
      <c r="H692" s="43" t="s">
        <v>688</v>
      </c>
    </row>
    <row r="693" spans="1:8">
      <c r="A693" s="2">
        <v>692</v>
      </c>
      <c r="B693" s="43" t="s">
        <v>692</v>
      </c>
      <c r="C693" s="43">
        <v>44</v>
      </c>
      <c r="D693" s="43"/>
      <c r="E693" s="43">
        <v>1</v>
      </c>
      <c r="F693" s="43">
        <v>100</v>
      </c>
      <c r="G693" s="43"/>
      <c r="H693" s="43" t="s">
        <v>688</v>
      </c>
    </row>
    <row r="694" spans="1:8">
      <c r="A694" s="2">
        <v>693</v>
      </c>
      <c r="B694" s="43" t="s">
        <v>687</v>
      </c>
      <c r="C694" s="43">
        <v>0</v>
      </c>
      <c r="D694" s="44" t="s">
        <v>687</v>
      </c>
      <c r="E694" s="43">
        <v>99</v>
      </c>
      <c r="F694" s="43">
        <v>101</v>
      </c>
      <c r="G694" s="43"/>
      <c r="H694" s="43" t="s">
        <v>688</v>
      </c>
    </row>
    <row r="695" spans="1:8">
      <c r="A695" s="2">
        <v>694</v>
      </c>
      <c r="B695" s="43" t="s">
        <v>689</v>
      </c>
      <c r="C695" s="43">
        <v>0</v>
      </c>
      <c r="D695" s="44" t="s">
        <v>687</v>
      </c>
      <c r="E695" s="43">
        <v>99</v>
      </c>
      <c r="F695" s="43">
        <v>101</v>
      </c>
      <c r="G695" s="43"/>
      <c r="H695" s="43" t="s">
        <v>688</v>
      </c>
    </row>
    <row r="696" spans="1:8">
      <c r="A696" s="2">
        <v>695</v>
      </c>
      <c r="B696" s="43" t="s">
        <v>690</v>
      </c>
      <c r="C696" s="43">
        <v>0</v>
      </c>
      <c r="D696" s="43"/>
      <c r="E696" s="43">
        <v>1</v>
      </c>
      <c r="F696" s="43">
        <v>101</v>
      </c>
      <c r="G696" s="43"/>
      <c r="H696" s="43" t="s">
        <v>688</v>
      </c>
    </row>
    <row r="697" spans="1:8">
      <c r="A697" s="2">
        <v>696</v>
      </c>
      <c r="B697" s="43" t="s">
        <v>690</v>
      </c>
      <c r="C697" s="43">
        <v>24</v>
      </c>
      <c r="D697" s="43"/>
      <c r="E697" s="43">
        <v>1</v>
      </c>
      <c r="F697" s="43">
        <v>102</v>
      </c>
      <c r="G697" s="43"/>
      <c r="H697" s="43" t="s">
        <v>688</v>
      </c>
    </row>
    <row r="698" spans="1:8">
      <c r="A698" s="2">
        <v>697</v>
      </c>
      <c r="B698" s="43" t="s">
        <v>691</v>
      </c>
      <c r="C698" s="43">
        <v>33</v>
      </c>
      <c r="D698" s="43"/>
      <c r="E698" s="43">
        <v>1</v>
      </c>
      <c r="F698" s="43">
        <v>102</v>
      </c>
      <c r="G698" s="43"/>
      <c r="H698" s="43" t="s">
        <v>688</v>
      </c>
    </row>
    <row r="699" spans="1:8">
      <c r="A699" s="2">
        <v>698</v>
      </c>
      <c r="B699" s="43" t="s">
        <v>692</v>
      </c>
      <c r="C699" s="43">
        <v>44</v>
      </c>
      <c r="D699" s="43"/>
      <c r="E699" s="43">
        <v>1</v>
      </c>
      <c r="F699" s="43">
        <v>102</v>
      </c>
      <c r="G699" s="43"/>
      <c r="H699" s="43" t="s">
        <v>688</v>
      </c>
    </row>
    <row r="700" spans="1:8">
      <c r="A700" s="2">
        <v>699</v>
      </c>
      <c r="B700" s="45" t="s">
        <v>693</v>
      </c>
      <c r="C700" s="45">
        <v>5</v>
      </c>
      <c r="D700" s="46" t="s">
        <v>693</v>
      </c>
      <c r="E700" s="45">
        <v>99</v>
      </c>
      <c r="F700" s="45">
        <v>100</v>
      </c>
      <c r="G700" s="45">
        <v>1</v>
      </c>
      <c r="H700" s="45" t="s">
        <v>694</v>
      </c>
    </row>
    <row r="701" spans="1:8">
      <c r="A701" s="2">
        <v>700</v>
      </c>
      <c r="B701" s="45" t="s">
        <v>695</v>
      </c>
      <c r="C701" s="45">
        <v>5</v>
      </c>
      <c r="D701" s="46" t="s">
        <v>693</v>
      </c>
      <c r="E701" s="45">
        <v>99</v>
      </c>
      <c r="F701" s="45">
        <v>100</v>
      </c>
      <c r="G701" s="45">
        <v>1</v>
      </c>
      <c r="H701" s="45" t="s">
        <v>694</v>
      </c>
    </row>
    <row r="702" spans="1:8">
      <c r="A702" s="2">
        <v>701</v>
      </c>
      <c r="B702" s="45" t="s">
        <v>696</v>
      </c>
      <c r="C702" s="45">
        <v>12</v>
      </c>
      <c r="D702" s="45"/>
      <c r="E702" s="45">
        <v>1</v>
      </c>
      <c r="F702" s="45">
        <v>100</v>
      </c>
      <c r="G702" s="45"/>
      <c r="H702" s="45" t="s">
        <v>694</v>
      </c>
    </row>
    <row r="703" spans="1:8">
      <c r="A703" s="2">
        <v>702</v>
      </c>
      <c r="B703" s="45" t="s">
        <v>697</v>
      </c>
      <c r="C703" s="45">
        <v>16</v>
      </c>
      <c r="D703" s="45"/>
      <c r="E703" s="45">
        <v>1</v>
      </c>
      <c r="F703" s="45">
        <v>100</v>
      </c>
      <c r="G703" s="45"/>
      <c r="H703" s="45" t="s">
        <v>694</v>
      </c>
    </row>
    <row r="704" spans="1:8">
      <c r="A704" s="2">
        <v>703</v>
      </c>
      <c r="B704" s="45" t="s">
        <v>698</v>
      </c>
      <c r="C704" s="45">
        <v>22</v>
      </c>
      <c r="D704" s="45"/>
      <c r="E704" s="45">
        <v>1</v>
      </c>
      <c r="F704" s="45">
        <v>100</v>
      </c>
      <c r="G704" s="45"/>
      <c r="H704" s="45" t="s">
        <v>694</v>
      </c>
    </row>
    <row r="705" spans="1:8">
      <c r="A705" s="2">
        <v>704</v>
      </c>
      <c r="B705" s="45" t="s">
        <v>693</v>
      </c>
      <c r="C705" s="45">
        <v>0</v>
      </c>
      <c r="D705" s="46" t="s">
        <v>693</v>
      </c>
      <c r="E705" s="45">
        <v>99</v>
      </c>
      <c r="F705" s="45">
        <v>101</v>
      </c>
      <c r="G705" s="45"/>
      <c r="H705" s="45" t="s">
        <v>694</v>
      </c>
    </row>
    <row r="706" spans="1:8">
      <c r="A706" s="2">
        <v>705</v>
      </c>
      <c r="B706" s="45" t="s">
        <v>695</v>
      </c>
      <c r="C706" s="45">
        <v>0</v>
      </c>
      <c r="D706" s="46" t="s">
        <v>693</v>
      </c>
      <c r="E706" s="45">
        <v>99</v>
      </c>
      <c r="F706" s="45">
        <v>101</v>
      </c>
      <c r="G706" s="45"/>
      <c r="H706" s="45" t="s">
        <v>694</v>
      </c>
    </row>
    <row r="707" spans="1:8">
      <c r="A707" s="2">
        <v>706</v>
      </c>
      <c r="B707" s="45" t="s">
        <v>696</v>
      </c>
      <c r="C707" s="45">
        <v>0</v>
      </c>
      <c r="D707" s="45"/>
      <c r="E707" s="45">
        <v>1</v>
      </c>
      <c r="F707" s="45">
        <v>101</v>
      </c>
      <c r="G707" s="45"/>
      <c r="H707" s="45" t="s">
        <v>694</v>
      </c>
    </row>
    <row r="708" spans="1:8">
      <c r="A708" s="2">
        <v>707</v>
      </c>
      <c r="B708" s="45" t="s">
        <v>696</v>
      </c>
      <c r="C708" s="45">
        <v>12</v>
      </c>
      <c r="D708" s="45"/>
      <c r="E708" s="45">
        <v>1</v>
      </c>
      <c r="F708" s="45">
        <v>102</v>
      </c>
      <c r="G708" s="45"/>
      <c r="H708" s="45" t="s">
        <v>694</v>
      </c>
    </row>
    <row r="709" spans="1:8">
      <c r="A709" s="2">
        <v>708</v>
      </c>
      <c r="B709" s="45" t="s">
        <v>697</v>
      </c>
      <c r="C709" s="45">
        <v>16</v>
      </c>
      <c r="D709" s="45"/>
      <c r="E709" s="45">
        <v>1</v>
      </c>
      <c r="F709" s="45">
        <v>102</v>
      </c>
      <c r="G709" s="45"/>
      <c r="H709" s="45" t="s">
        <v>694</v>
      </c>
    </row>
    <row r="710" spans="1:8">
      <c r="A710" s="2">
        <v>709</v>
      </c>
      <c r="B710" s="45" t="s">
        <v>698</v>
      </c>
      <c r="C710" s="45">
        <v>22</v>
      </c>
      <c r="D710" s="45"/>
      <c r="E710" s="45">
        <v>1</v>
      </c>
      <c r="F710" s="45">
        <v>102</v>
      </c>
      <c r="G710" s="45"/>
      <c r="H710" s="45" t="s">
        <v>694</v>
      </c>
    </row>
    <row r="711" spans="1:8">
      <c r="A711" s="2">
        <v>710</v>
      </c>
      <c r="B711" s="39" t="s">
        <v>699</v>
      </c>
      <c r="C711" s="45">
        <v>5</v>
      </c>
      <c r="D711" s="40" t="s">
        <v>699</v>
      </c>
      <c r="E711" s="39">
        <v>99</v>
      </c>
      <c r="F711" s="39">
        <v>100</v>
      </c>
      <c r="G711" s="39">
        <v>1</v>
      </c>
      <c r="H711" s="39" t="s">
        <v>700</v>
      </c>
    </row>
    <row r="712" spans="1:8">
      <c r="A712" s="2">
        <v>711</v>
      </c>
      <c r="B712" s="39" t="s">
        <v>701</v>
      </c>
      <c r="C712" s="45">
        <v>5</v>
      </c>
      <c r="D712" s="40" t="s">
        <v>699</v>
      </c>
      <c r="E712" s="39">
        <v>99</v>
      </c>
      <c r="F712" s="39">
        <v>100</v>
      </c>
      <c r="G712" s="39">
        <v>1</v>
      </c>
      <c r="H712" s="39" t="s">
        <v>700</v>
      </c>
    </row>
    <row r="713" spans="1:8">
      <c r="A713" s="2">
        <v>712</v>
      </c>
      <c r="B713" s="39" t="s">
        <v>702</v>
      </c>
      <c r="C713" s="45">
        <v>12</v>
      </c>
      <c r="D713" s="39"/>
      <c r="E713" s="39">
        <v>1</v>
      </c>
      <c r="F713" s="39">
        <v>100</v>
      </c>
      <c r="G713" s="39"/>
      <c r="H713" s="39" t="s">
        <v>700</v>
      </c>
    </row>
    <row r="714" spans="1:8">
      <c r="A714" s="2">
        <v>713</v>
      </c>
      <c r="B714" s="39" t="s">
        <v>703</v>
      </c>
      <c r="C714" s="45">
        <v>16</v>
      </c>
      <c r="D714" s="39"/>
      <c r="E714" s="39">
        <v>1</v>
      </c>
      <c r="F714" s="39">
        <v>100</v>
      </c>
      <c r="G714" s="39"/>
      <c r="H714" s="39" t="s">
        <v>700</v>
      </c>
    </row>
    <row r="715" spans="1:8">
      <c r="A715" s="2">
        <v>714</v>
      </c>
      <c r="B715" s="39" t="s">
        <v>704</v>
      </c>
      <c r="C715" s="45">
        <v>22</v>
      </c>
      <c r="D715" s="39"/>
      <c r="E715" s="39">
        <v>1</v>
      </c>
      <c r="F715" s="39">
        <v>100</v>
      </c>
      <c r="G715" s="39"/>
      <c r="H715" s="39" t="s">
        <v>700</v>
      </c>
    </row>
    <row r="716" spans="1:8">
      <c r="A716" s="2">
        <v>715</v>
      </c>
      <c r="B716" s="39" t="s">
        <v>699</v>
      </c>
      <c r="C716" s="45">
        <v>0</v>
      </c>
      <c r="D716" s="40" t="s">
        <v>699</v>
      </c>
      <c r="E716" s="39">
        <v>99</v>
      </c>
      <c r="F716" s="39">
        <v>101</v>
      </c>
      <c r="G716" s="39"/>
      <c r="H716" s="39" t="s">
        <v>700</v>
      </c>
    </row>
    <row r="717" spans="1:8">
      <c r="A717" s="2">
        <v>716</v>
      </c>
      <c r="B717" s="39" t="s">
        <v>701</v>
      </c>
      <c r="C717" s="45">
        <v>0</v>
      </c>
      <c r="D717" s="40" t="s">
        <v>699</v>
      </c>
      <c r="E717" s="39">
        <v>99</v>
      </c>
      <c r="F717" s="39">
        <v>101</v>
      </c>
      <c r="G717" s="39"/>
      <c r="H717" s="39" t="s">
        <v>700</v>
      </c>
    </row>
    <row r="718" spans="1:8">
      <c r="A718" s="2">
        <v>717</v>
      </c>
      <c r="B718" s="39" t="s">
        <v>702</v>
      </c>
      <c r="C718" s="45">
        <v>0</v>
      </c>
      <c r="D718" s="39"/>
      <c r="E718" s="39">
        <v>1</v>
      </c>
      <c r="F718" s="39">
        <v>101</v>
      </c>
      <c r="G718" s="39"/>
      <c r="H718" s="39" t="s">
        <v>700</v>
      </c>
    </row>
    <row r="719" spans="1:8">
      <c r="A719" s="2">
        <v>718</v>
      </c>
      <c r="B719" s="39" t="s">
        <v>702</v>
      </c>
      <c r="C719" s="45">
        <v>12</v>
      </c>
      <c r="D719" s="39"/>
      <c r="E719" s="39">
        <v>1</v>
      </c>
      <c r="F719" s="39">
        <v>102</v>
      </c>
      <c r="G719" s="39"/>
      <c r="H719" s="39" t="s">
        <v>700</v>
      </c>
    </row>
    <row r="720" spans="1:8">
      <c r="A720" s="2">
        <v>719</v>
      </c>
      <c r="B720" s="39" t="s">
        <v>703</v>
      </c>
      <c r="C720" s="45">
        <v>16</v>
      </c>
      <c r="D720" s="39"/>
      <c r="E720" s="39">
        <v>1</v>
      </c>
      <c r="F720" s="39">
        <v>102</v>
      </c>
      <c r="G720" s="39"/>
      <c r="H720" s="39" t="s">
        <v>700</v>
      </c>
    </row>
    <row r="721" spans="1:8">
      <c r="A721" s="2">
        <v>720</v>
      </c>
      <c r="B721" s="39" t="s">
        <v>704</v>
      </c>
      <c r="C721" s="45">
        <v>22</v>
      </c>
      <c r="D721" s="39"/>
      <c r="E721" s="39">
        <v>1</v>
      </c>
      <c r="F721" s="39">
        <v>102</v>
      </c>
      <c r="G721" s="39"/>
      <c r="H721" s="39" t="s">
        <v>700</v>
      </c>
    </row>
    <row r="722" spans="1:8">
      <c r="A722" s="2">
        <v>721</v>
      </c>
      <c r="B722" s="32" t="s">
        <v>705</v>
      </c>
      <c r="C722" s="32">
        <v>10</v>
      </c>
      <c r="D722" s="31" t="s">
        <v>705</v>
      </c>
      <c r="E722" s="32">
        <v>99</v>
      </c>
      <c r="F722" s="32">
        <v>100</v>
      </c>
      <c r="G722" s="32">
        <v>1</v>
      </c>
      <c r="H722" s="32" t="s">
        <v>706</v>
      </c>
    </row>
    <row r="723" spans="1:8">
      <c r="A723" s="2">
        <v>722</v>
      </c>
      <c r="B723" s="32" t="s">
        <v>707</v>
      </c>
      <c r="C723" s="32">
        <v>10</v>
      </c>
      <c r="D723" s="31" t="s">
        <v>705</v>
      </c>
      <c r="E723" s="32">
        <v>99</v>
      </c>
      <c r="F723" s="32">
        <v>100</v>
      </c>
      <c r="G723" s="32">
        <v>1</v>
      </c>
      <c r="H723" s="32" t="s">
        <v>706</v>
      </c>
    </row>
    <row r="724" spans="1:8">
      <c r="A724" s="2">
        <v>723</v>
      </c>
      <c r="B724" s="32" t="s">
        <v>708</v>
      </c>
      <c r="C724" s="32">
        <v>24</v>
      </c>
      <c r="D724" s="32"/>
      <c r="E724" s="32">
        <v>1</v>
      </c>
      <c r="F724" s="32">
        <v>100</v>
      </c>
      <c r="G724" s="32"/>
      <c r="H724" s="32" t="s">
        <v>706</v>
      </c>
    </row>
    <row r="725" spans="1:8">
      <c r="A725" s="2">
        <v>724</v>
      </c>
      <c r="B725" s="32" t="s">
        <v>709</v>
      </c>
      <c r="C725" s="32">
        <v>33</v>
      </c>
      <c r="D725" s="32"/>
      <c r="E725" s="32">
        <v>1</v>
      </c>
      <c r="F725" s="32">
        <v>100</v>
      </c>
      <c r="G725" s="32"/>
      <c r="H725" s="32" t="s">
        <v>706</v>
      </c>
    </row>
    <row r="726" spans="1:8">
      <c r="A726" s="2">
        <v>725</v>
      </c>
      <c r="B726" s="32" t="s">
        <v>710</v>
      </c>
      <c r="C726" s="32">
        <v>44</v>
      </c>
      <c r="D726" s="32"/>
      <c r="E726" s="32">
        <v>1</v>
      </c>
      <c r="F726" s="32">
        <v>100</v>
      </c>
      <c r="G726" s="32"/>
      <c r="H726" s="32" t="s">
        <v>706</v>
      </c>
    </row>
    <row r="727" spans="1:8">
      <c r="A727" s="2">
        <v>726</v>
      </c>
      <c r="B727" s="32" t="s">
        <v>705</v>
      </c>
      <c r="C727" s="32">
        <v>0</v>
      </c>
      <c r="D727" s="31" t="s">
        <v>705</v>
      </c>
      <c r="E727" s="32">
        <v>99</v>
      </c>
      <c r="F727" s="32">
        <v>101</v>
      </c>
      <c r="G727" s="32"/>
      <c r="H727" s="32" t="s">
        <v>706</v>
      </c>
    </row>
    <row r="728" spans="1:8">
      <c r="A728" s="2">
        <v>727</v>
      </c>
      <c r="B728" s="32" t="s">
        <v>707</v>
      </c>
      <c r="C728" s="32">
        <v>0</v>
      </c>
      <c r="D728" s="31" t="s">
        <v>705</v>
      </c>
      <c r="E728" s="32">
        <v>99</v>
      </c>
      <c r="F728" s="32">
        <v>101</v>
      </c>
      <c r="G728" s="32"/>
      <c r="H728" s="32" t="s">
        <v>706</v>
      </c>
    </row>
    <row r="729" spans="1:8">
      <c r="A729" s="2">
        <v>728</v>
      </c>
      <c r="B729" s="32" t="s">
        <v>708</v>
      </c>
      <c r="C729" s="32">
        <v>0</v>
      </c>
      <c r="D729" s="32"/>
      <c r="E729" s="32">
        <v>1</v>
      </c>
      <c r="F729" s="32">
        <v>101</v>
      </c>
      <c r="G729" s="32"/>
      <c r="H729" s="32" t="s">
        <v>706</v>
      </c>
    </row>
    <row r="730" spans="1:8">
      <c r="A730" s="2">
        <v>729</v>
      </c>
      <c r="B730" s="32" t="s">
        <v>708</v>
      </c>
      <c r="C730" s="32">
        <v>24</v>
      </c>
      <c r="D730" s="32"/>
      <c r="E730" s="32">
        <v>1</v>
      </c>
      <c r="F730" s="32">
        <v>102</v>
      </c>
      <c r="G730" s="32"/>
      <c r="H730" s="32" t="s">
        <v>706</v>
      </c>
    </row>
    <row r="731" spans="1:8">
      <c r="A731" s="2">
        <v>730</v>
      </c>
      <c r="B731" s="32" t="s">
        <v>709</v>
      </c>
      <c r="C731" s="32">
        <v>33</v>
      </c>
      <c r="D731" s="32"/>
      <c r="E731" s="32">
        <v>1</v>
      </c>
      <c r="F731" s="32">
        <v>102</v>
      </c>
      <c r="G731" s="32"/>
      <c r="H731" s="32" t="s">
        <v>706</v>
      </c>
    </row>
    <row r="732" spans="1:8">
      <c r="A732" s="2">
        <v>731</v>
      </c>
      <c r="B732" s="32" t="s">
        <v>710</v>
      </c>
      <c r="C732" s="32">
        <v>44</v>
      </c>
      <c r="D732" s="32"/>
      <c r="E732" s="32">
        <v>1</v>
      </c>
      <c r="F732" s="32">
        <v>102</v>
      </c>
      <c r="G732" s="32"/>
      <c r="H732" s="32" t="s">
        <v>706</v>
      </c>
    </row>
    <row r="733" spans="1:8">
      <c r="A733" s="2">
        <v>732</v>
      </c>
      <c r="B733" s="25" t="s">
        <v>711</v>
      </c>
      <c r="C733" s="25">
        <v>10</v>
      </c>
      <c r="D733" s="26" t="s">
        <v>711</v>
      </c>
      <c r="E733" s="25">
        <v>99</v>
      </c>
      <c r="F733" s="25">
        <v>100</v>
      </c>
      <c r="G733" s="25">
        <v>1</v>
      </c>
      <c r="H733" s="25" t="s">
        <v>712</v>
      </c>
    </row>
    <row r="734" spans="1:8">
      <c r="A734" s="2">
        <v>733</v>
      </c>
      <c r="B734" s="25" t="s">
        <v>713</v>
      </c>
      <c r="C734" s="25">
        <v>10</v>
      </c>
      <c r="D734" s="26" t="s">
        <v>711</v>
      </c>
      <c r="E734" s="25">
        <v>99</v>
      </c>
      <c r="F734" s="25">
        <v>100</v>
      </c>
      <c r="G734" s="25">
        <v>1</v>
      </c>
      <c r="H734" s="25" t="s">
        <v>712</v>
      </c>
    </row>
    <row r="735" spans="1:8">
      <c r="A735" s="2">
        <v>734</v>
      </c>
      <c r="B735" s="25" t="s">
        <v>714</v>
      </c>
      <c r="C735" s="25">
        <v>24</v>
      </c>
      <c r="D735" s="25"/>
      <c r="E735" s="25">
        <v>1</v>
      </c>
      <c r="F735" s="25">
        <v>100</v>
      </c>
      <c r="G735" s="25"/>
      <c r="H735" s="25" t="s">
        <v>712</v>
      </c>
    </row>
    <row r="736" spans="1:8">
      <c r="A736" s="2">
        <v>735</v>
      </c>
      <c r="B736" s="25" t="s">
        <v>715</v>
      </c>
      <c r="C736" s="25">
        <v>33</v>
      </c>
      <c r="D736" s="25"/>
      <c r="E736" s="25">
        <v>1</v>
      </c>
      <c r="F736" s="25">
        <v>100</v>
      </c>
      <c r="G736" s="25"/>
      <c r="H736" s="25" t="s">
        <v>712</v>
      </c>
    </row>
    <row r="737" spans="1:8">
      <c r="A737" s="2">
        <v>736</v>
      </c>
      <c r="B737" s="25" t="s">
        <v>716</v>
      </c>
      <c r="C737" s="25">
        <v>44</v>
      </c>
      <c r="D737" s="25"/>
      <c r="E737" s="25">
        <v>1</v>
      </c>
      <c r="F737" s="25">
        <v>100</v>
      </c>
      <c r="G737" s="25"/>
      <c r="H737" s="25" t="s">
        <v>712</v>
      </c>
    </row>
    <row r="738" spans="1:8">
      <c r="A738" s="2">
        <v>737</v>
      </c>
      <c r="B738" s="25" t="s">
        <v>711</v>
      </c>
      <c r="C738" s="25">
        <v>0</v>
      </c>
      <c r="D738" s="26" t="s">
        <v>711</v>
      </c>
      <c r="E738" s="25">
        <v>99</v>
      </c>
      <c r="F738" s="25">
        <v>101</v>
      </c>
      <c r="G738" s="25"/>
      <c r="H738" s="25" t="s">
        <v>712</v>
      </c>
    </row>
    <row r="739" spans="1:8">
      <c r="A739" s="2">
        <v>738</v>
      </c>
      <c r="B739" s="25" t="s">
        <v>713</v>
      </c>
      <c r="C739" s="25">
        <v>0</v>
      </c>
      <c r="D739" s="26" t="s">
        <v>711</v>
      </c>
      <c r="E739" s="25">
        <v>99</v>
      </c>
      <c r="F739" s="25">
        <v>101</v>
      </c>
      <c r="G739" s="25"/>
      <c r="H739" s="25" t="s">
        <v>712</v>
      </c>
    </row>
    <row r="740" spans="1:8">
      <c r="A740" s="2">
        <v>739</v>
      </c>
      <c r="B740" s="25" t="s">
        <v>714</v>
      </c>
      <c r="C740" s="25">
        <v>0</v>
      </c>
      <c r="D740" s="25"/>
      <c r="E740" s="25">
        <v>1</v>
      </c>
      <c r="F740" s="25">
        <v>101</v>
      </c>
      <c r="G740" s="25"/>
      <c r="H740" s="25" t="s">
        <v>712</v>
      </c>
    </row>
    <row r="741" spans="1:8">
      <c r="A741" s="2">
        <v>740</v>
      </c>
      <c r="B741" s="25" t="s">
        <v>714</v>
      </c>
      <c r="C741" s="25">
        <v>24</v>
      </c>
      <c r="D741" s="25"/>
      <c r="E741" s="25">
        <v>1</v>
      </c>
      <c r="F741" s="25">
        <v>102</v>
      </c>
      <c r="G741" s="25"/>
      <c r="H741" s="25" t="s">
        <v>712</v>
      </c>
    </row>
    <row r="742" spans="1:8">
      <c r="A742" s="2">
        <v>741</v>
      </c>
      <c r="B742" s="25" t="s">
        <v>715</v>
      </c>
      <c r="C742" s="25">
        <v>33</v>
      </c>
      <c r="D742" s="25"/>
      <c r="E742" s="25">
        <v>1</v>
      </c>
      <c r="F742" s="25">
        <v>102</v>
      </c>
      <c r="G742" s="25"/>
      <c r="H742" s="25" t="s">
        <v>712</v>
      </c>
    </row>
    <row r="743" spans="1:8">
      <c r="A743" s="2">
        <v>742</v>
      </c>
      <c r="B743" s="25" t="s">
        <v>716</v>
      </c>
      <c r="C743" s="25">
        <v>44</v>
      </c>
      <c r="D743" s="25"/>
      <c r="E743" s="25">
        <v>1</v>
      </c>
      <c r="F743" s="25">
        <v>102</v>
      </c>
      <c r="G743" s="25"/>
      <c r="H743" s="25" t="s">
        <v>712</v>
      </c>
    </row>
    <row r="744" spans="1:8">
      <c r="A744" s="2">
        <v>743</v>
      </c>
      <c r="B744" s="7" t="s">
        <v>717</v>
      </c>
      <c r="C744" s="7">
        <v>10</v>
      </c>
      <c r="D744" s="8" t="s">
        <v>717</v>
      </c>
      <c r="E744" s="7">
        <v>99</v>
      </c>
      <c r="F744" s="7">
        <v>100</v>
      </c>
      <c r="G744" s="7">
        <v>1</v>
      </c>
      <c r="H744" s="7" t="s">
        <v>718</v>
      </c>
    </row>
    <row r="745" spans="1:8">
      <c r="A745" s="2">
        <v>744</v>
      </c>
      <c r="B745" s="7" t="s">
        <v>719</v>
      </c>
      <c r="C745" s="7">
        <v>10</v>
      </c>
      <c r="D745" s="8" t="s">
        <v>717</v>
      </c>
      <c r="E745" s="7">
        <v>99</v>
      </c>
      <c r="F745" s="7">
        <v>100</v>
      </c>
      <c r="G745" s="7">
        <v>1</v>
      </c>
      <c r="H745" s="7" t="s">
        <v>718</v>
      </c>
    </row>
    <row r="746" spans="1:8">
      <c r="A746" s="2">
        <v>745</v>
      </c>
      <c r="B746" s="7" t="s">
        <v>720</v>
      </c>
      <c r="C746" s="7">
        <v>24</v>
      </c>
      <c r="D746" s="7"/>
      <c r="E746" s="7">
        <v>1</v>
      </c>
      <c r="F746" s="7">
        <v>100</v>
      </c>
      <c r="G746" s="7"/>
      <c r="H746" s="7" t="s">
        <v>718</v>
      </c>
    </row>
    <row r="747" spans="1:8">
      <c r="A747" s="2">
        <v>746</v>
      </c>
      <c r="B747" s="7" t="s">
        <v>721</v>
      </c>
      <c r="C747" s="7">
        <v>33</v>
      </c>
      <c r="D747" s="7"/>
      <c r="E747" s="7">
        <v>1</v>
      </c>
      <c r="F747" s="7">
        <v>100</v>
      </c>
      <c r="G747" s="7"/>
      <c r="H747" s="7" t="s">
        <v>718</v>
      </c>
    </row>
    <row r="748" spans="1:8">
      <c r="A748" s="2">
        <v>747</v>
      </c>
      <c r="B748" s="7" t="s">
        <v>722</v>
      </c>
      <c r="C748" s="7">
        <v>44</v>
      </c>
      <c r="D748" s="7"/>
      <c r="E748" s="7">
        <v>1</v>
      </c>
      <c r="F748" s="7">
        <v>100</v>
      </c>
      <c r="G748" s="7"/>
      <c r="H748" s="7" t="s">
        <v>718</v>
      </c>
    </row>
    <row r="749" spans="1:8">
      <c r="A749" s="2">
        <v>748</v>
      </c>
      <c r="B749" s="7" t="s">
        <v>717</v>
      </c>
      <c r="C749" s="7">
        <v>0</v>
      </c>
      <c r="D749" s="8" t="s">
        <v>717</v>
      </c>
      <c r="E749" s="7">
        <v>99</v>
      </c>
      <c r="F749" s="7">
        <v>101</v>
      </c>
      <c r="G749" s="7"/>
      <c r="H749" s="7" t="s">
        <v>718</v>
      </c>
    </row>
    <row r="750" spans="1:8">
      <c r="A750" s="2">
        <v>749</v>
      </c>
      <c r="B750" s="7" t="s">
        <v>719</v>
      </c>
      <c r="C750" s="7">
        <v>0</v>
      </c>
      <c r="D750" s="8" t="s">
        <v>717</v>
      </c>
      <c r="E750" s="7">
        <v>99</v>
      </c>
      <c r="F750" s="7">
        <v>101</v>
      </c>
      <c r="G750" s="7"/>
      <c r="H750" s="7" t="s">
        <v>718</v>
      </c>
    </row>
    <row r="751" spans="1:8">
      <c r="A751" s="2">
        <v>750</v>
      </c>
      <c r="B751" s="7" t="s">
        <v>720</v>
      </c>
      <c r="C751" s="7">
        <v>0</v>
      </c>
      <c r="D751" s="7"/>
      <c r="E751" s="7">
        <v>1</v>
      </c>
      <c r="F751" s="7">
        <v>101</v>
      </c>
      <c r="G751" s="7"/>
      <c r="H751" s="7" t="s">
        <v>718</v>
      </c>
    </row>
    <row r="752" spans="1:8">
      <c r="A752" s="2">
        <v>751</v>
      </c>
      <c r="B752" s="7" t="s">
        <v>720</v>
      </c>
      <c r="C752" s="7">
        <v>24</v>
      </c>
      <c r="D752" s="7"/>
      <c r="E752" s="7">
        <v>1</v>
      </c>
      <c r="F752" s="7">
        <v>102</v>
      </c>
      <c r="G752" s="7"/>
      <c r="H752" s="7" t="s">
        <v>718</v>
      </c>
    </row>
    <row r="753" spans="1:8">
      <c r="A753" s="2">
        <v>752</v>
      </c>
      <c r="B753" s="7" t="s">
        <v>721</v>
      </c>
      <c r="C753" s="7">
        <v>33</v>
      </c>
      <c r="D753" s="7"/>
      <c r="E753" s="7">
        <v>1</v>
      </c>
      <c r="F753" s="7">
        <v>102</v>
      </c>
      <c r="G753" s="7"/>
      <c r="H753" s="7" t="s">
        <v>718</v>
      </c>
    </row>
    <row r="754" spans="1:8">
      <c r="A754" s="2">
        <v>753</v>
      </c>
      <c r="B754" s="7" t="s">
        <v>722</v>
      </c>
      <c r="C754" s="7">
        <v>44</v>
      </c>
      <c r="D754" s="7"/>
      <c r="E754" s="7">
        <v>1</v>
      </c>
      <c r="F754" s="7">
        <v>102</v>
      </c>
      <c r="G754" s="7"/>
      <c r="H754" s="7" t="s">
        <v>718</v>
      </c>
    </row>
    <row r="755" spans="1:8">
      <c r="A755" s="2">
        <v>754</v>
      </c>
      <c r="B755" s="20" t="s">
        <v>723</v>
      </c>
      <c r="C755" s="20">
        <v>10</v>
      </c>
      <c r="D755" s="47" t="s">
        <v>723</v>
      </c>
      <c r="E755" s="20">
        <v>99</v>
      </c>
      <c r="F755" s="20">
        <v>100</v>
      </c>
      <c r="G755" s="20">
        <v>1</v>
      </c>
      <c r="H755" s="20" t="s">
        <v>724</v>
      </c>
    </row>
    <row r="756" spans="1:8">
      <c r="A756" s="2">
        <v>755</v>
      </c>
      <c r="B756" s="20" t="s">
        <v>725</v>
      </c>
      <c r="C756" s="20">
        <v>10</v>
      </c>
      <c r="D756" s="47" t="s">
        <v>723</v>
      </c>
      <c r="E756" s="20">
        <v>99</v>
      </c>
      <c r="F756" s="20">
        <v>100</v>
      </c>
      <c r="G756" s="20">
        <v>1</v>
      </c>
      <c r="H756" s="20" t="s">
        <v>724</v>
      </c>
    </row>
    <row r="757" spans="1:8">
      <c r="A757" s="2">
        <v>756</v>
      </c>
      <c r="B757" s="20" t="s">
        <v>726</v>
      </c>
      <c r="C757" s="20">
        <v>24</v>
      </c>
      <c r="D757" s="20"/>
      <c r="E757" s="20">
        <v>1</v>
      </c>
      <c r="F757" s="20">
        <v>100</v>
      </c>
      <c r="G757" s="20"/>
      <c r="H757" s="20" t="s">
        <v>724</v>
      </c>
    </row>
    <row r="758" spans="1:8">
      <c r="A758" s="2">
        <v>757</v>
      </c>
      <c r="B758" s="20" t="s">
        <v>727</v>
      </c>
      <c r="C758" s="20">
        <v>33</v>
      </c>
      <c r="D758" s="20"/>
      <c r="E758" s="20">
        <v>1</v>
      </c>
      <c r="F758" s="20">
        <v>100</v>
      </c>
      <c r="G758" s="20"/>
      <c r="H758" s="20" t="s">
        <v>724</v>
      </c>
    </row>
    <row r="759" spans="1:8">
      <c r="A759" s="2">
        <v>758</v>
      </c>
      <c r="B759" s="20" t="s">
        <v>728</v>
      </c>
      <c r="C759" s="20">
        <v>44</v>
      </c>
      <c r="D759" s="20"/>
      <c r="E759" s="20">
        <v>1</v>
      </c>
      <c r="F759" s="20">
        <v>100</v>
      </c>
      <c r="G759" s="20"/>
      <c r="H759" s="20" t="s">
        <v>724</v>
      </c>
    </row>
    <row r="760" spans="1:8">
      <c r="A760" s="2">
        <v>759</v>
      </c>
      <c r="B760" s="20" t="s">
        <v>723</v>
      </c>
      <c r="C760" s="20">
        <v>0</v>
      </c>
      <c r="D760" s="47" t="s">
        <v>723</v>
      </c>
      <c r="E760" s="20">
        <v>99</v>
      </c>
      <c r="F760" s="20">
        <v>101</v>
      </c>
      <c r="G760" s="20"/>
      <c r="H760" s="20" t="s">
        <v>724</v>
      </c>
    </row>
    <row r="761" spans="1:8">
      <c r="A761" s="2">
        <v>760</v>
      </c>
      <c r="B761" s="20" t="s">
        <v>725</v>
      </c>
      <c r="C761" s="20">
        <v>0</v>
      </c>
      <c r="D761" s="47" t="s">
        <v>723</v>
      </c>
      <c r="E761" s="20">
        <v>99</v>
      </c>
      <c r="F761" s="20">
        <v>101</v>
      </c>
      <c r="G761" s="20"/>
      <c r="H761" s="20" t="s">
        <v>724</v>
      </c>
    </row>
    <row r="762" spans="1:8">
      <c r="A762" s="2">
        <v>761</v>
      </c>
      <c r="B762" s="20" t="s">
        <v>726</v>
      </c>
      <c r="C762" s="20">
        <v>0</v>
      </c>
      <c r="D762" s="20"/>
      <c r="E762" s="20">
        <v>1</v>
      </c>
      <c r="F762" s="20">
        <v>101</v>
      </c>
      <c r="G762" s="20"/>
      <c r="H762" s="20" t="s">
        <v>724</v>
      </c>
    </row>
    <row r="763" spans="1:8">
      <c r="A763" s="2">
        <v>762</v>
      </c>
      <c r="B763" s="20" t="s">
        <v>726</v>
      </c>
      <c r="C763" s="20">
        <v>24</v>
      </c>
      <c r="D763" s="20"/>
      <c r="E763" s="20">
        <v>1</v>
      </c>
      <c r="F763" s="20">
        <v>102</v>
      </c>
      <c r="G763" s="20"/>
      <c r="H763" s="20" t="s">
        <v>724</v>
      </c>
    </row>
    <row r="764" spans="1:8">
      <c r="A764" s="2">
        <v>763</v>
      </c>
      <c r="B764" s="20" t="s">
        <v>727</v>
      </c>
      <c r="C764" s="20">
        <v>33</v>
      </c>
      <c r="D764" s="20"/>
      <c r="E764" s="20">
        <v>1</v>
      </c>
      <c r="F764" s="20">
        <v>102</v>
      </c>
      <c r="G764" s="20"/>
      <c r="H764" s="20" t="s">
        <v>724</v>
      </c>
    </row>
    <row r="765" spans="1:8">
      <c r="A765" s="2">
        <v>764</v>
      </c>
      <c r="B765" s="20" t="s">
        <v>728</v>
      </c>
      <c r="C765" s="20">
        <v>44</v>
      </c>
      <c r="D765" s="20"/>
      <c r="E765" s="20">
        <v>1</v>
      </c>
      <c r="F765" s="20">
        <v>102</v>
      </c>
      <c r="G765" s="20"/>
      <c r="H765" s="20" t="s">
        <v>724</v>
      </c>
    </row>
    <row r="766" spans="1:8">
      <c r="A766" s="2">
        <v>765</v>
      </c>
      <c r="B766" s="10" t="s">
        <v>729</v>
      </c>
      <c r="C766" s="10">
        <v>10</v>
      </c>
      <c r="D766" s="30" t="s">
        <v>729</v>
      </c>
      <c r="E766" s="10">
        <v>99</v>
      </c>
      <c r="F766" s="10">
        <v>100</v>
      </c>
      <c r="G766" s="10">
        <v>1</v>
      </c>
      <c r="H766" s="10" t="s">
        <v>730</v>
      </c>
    </row>
    <row r="767" spans="1:8">
      <c r="A767" s="2">
        <v>766</v>
      </c>
      <c r="B767" s="10" t="s">
        <v>731</v>
      </c>
      <c r="C767" s="10">
        <v>10</v>
      </c>
      <c r="D767" s="30" t="s">
        <v>729</v>
      </c>
      <c r="E767" s="10">
        <v>99</v>
      </c>
      <c r="F767" s="10">
        <v>100</v>
      </c>
      <c r="G767" s="10">
        <v>1</v>
      </c>
      <c r="H767" s="10" t="s">
        <v>730</v>
      </c>
    </row>
    <row r="768" spans="1:8">
      <c r="A768" s="2">
        <v>767</v>
      </c>
      <c r="B768" s="10" t="s">
        <v>732</v>
      </c>
      <c r="C768" s="10">
        <v>24</v>
      </c>
      <c r="D768" s="10"/>
      <c r="E768" s="10">
        <v>1</v>
      </c>
      <c r="F768" s="10">
        <v>100</v>
      </c>
      <c r="G768" s="10"/>
      <c r="H768" s="10" t="s">
        <v>730</v>
      </c>
    </row>
    <row r="769" spans="1:8">
      <c r="A769" s="2">
        <v>768</v>
      </c>
      <c r="B769" s="10" t="s">
        <v>733</v>
      </c>
      <c r="C769" s="10">
        <v>33</v>
      </c>
      <c r="D769" s="10"/>
      <c r="E769" s="10">
        <v>1</v>
      </c>
      <c r="F769" s="10">
        <v>100</v>
      </c>
      <c r="G769" s="10"/>
      <c r="H769" s="10" t="s">
        <v>730</v>
      </c>
    </row>
    <row r="770" spans="1:8">
      <c r="A770" s="2">
        <v>769</v>
      </c>
      <c r="B770" s="10" t="s">
        <v>734</v>
      </c>
      <c r="C770" s="10">
        <v>44</v>
      </c>
      <c r="D770" s="10"/>
      <c r="E770" s="10">
        <v>1</v>
      </c>
      <c r="F770" s="10">
        <v>100</v>
      </c>
      <c r="G770" s="10"/>
      <c r="H770" s="10" t="s">
        <v>730</v>
      </c>
    </row>
    <row r="771" spans="1:8">
      <c r="A771" s="2">
        <v>770</v>
      </c>
      <c r="B771" s="10" t="s">
        <v>729</v>
      </c>
      <c r="C771" s="10">
        <v>0</v>
      </c>
      <c r="D771" s="30" t="s">
        <v>729</v>
      </c>
      <c r="E771" s="10">
        <v>99</v>
      </c>
      <c r="F771" s="10">
        <v>101</v>
      </c>
      <c r="G771" s="10"/>
      <c r="H771" s="10" t="s">
        <v>730</v>
      </c>
    </row>
    <row r="772" spans="1:8">
      <c r="A772" s="2">
        <v>771</v>
      </c>
      <c r="B772" s="10" t="s">
        <v>731</v>
      </c>
      <c r="C772" s="10">
        <v>0</v>
      </c>
      <c r="D772" s="30" t="s">
        <v>729</v>
      </c>
      <c r="E772" s="10">
        <v>99</v>
      </c>
      <c r="F772" s="10">
        <v>101</v>
      </c>
      <c r="G772" s="10"/>
      <c r="H772" s="10" t="s">
        <v>730</v>
      </c>
    </row>
    <row r="773" spans="1:8">
      <c r="A773" s="2">
        <v>772</v>
      </c>
      <c r="B773" s="10" t="s">
        <v>732</v>
      </c>
      <c r="C773" s="10">
        <v>0</v>
      </c>
      <c r="D773" s="10"/>
      <c r="E773" s="10">
        <v>1</v>
      </c>
      <c r="F773" s="10">
        <v>101</v>
      </c>
      <c r="G773" s="10"/>
      <c r="H773" s="10" t="s">
        <v>730</v>
      </c>
    </row>
    <row r="774" spans="1:8">
      <c r="A774" s="2">
        <v>773</v>
      </c>
      <c r="B774" s="10" t="s">
        <v>732</v>
      </c>
      <c r="C774" s="10">
        <v>24</v>
      </c>
      <c r="D774" s="10"/>
      <c r="E774" s="10">
        <v>1</v>
      </c>
      <c r="F774" s="10">
        <v>102</v>
      </c>
      <c r="G774" s="10"/>
      <c r="H774" s="10" t="s">
        <v>730</v>
      </c>
    </row>
    <row r="775" spans="1:8">
      <c r="A775" s="2">
        <v>774</v>
      </c>
      <c r="B775" s="10" t="s">
        <v>733</v>
      </c>
      <c r="C775" s="10">
        <v>33</v>
      </c>
      <c r="D775" s="10"/>
      <c r="E775" s="10">
        <v>1</v>
      </c>
      <c r="F775" s="10">
        <v>102</v>
      </c>
      <c r="G775" s="10"/>
      <c r="H775" s="10" t="s">
        <v>730</v>
      </c>
    </row>
    <row r="776" spans="1:8">
      <c r="A776" s="2">
        <v>775</v>
      </c>
      <c r="B776" s="10" t="s">
        <v>734</v>
      </c>
      <c r="C776" s="10">
        <v>44</v>
      </c>
      <c r="D776" s="10"/>
      <c r="E776" s="10">
        <v>1</v>
      </c>
      <c r="F776" s="10">
        <v>102</v>
      </c>
      <c r="G776" s="10"/>
      <c r="H776" s="10" t="s">
        <v>730</v>
      </c>
    </row>
    <row r="777" spans="1:8">
      <c r="A777" s="2">
        <v>776</v>
      </c>
      <c r="B777" s="32" t="s">
        <v>735</v>
      </c>
      <c r="C777" s="32">
        <v>10</v>
      </c>
      <c r="D777" s="31" t="s">
        <v>735</v>
      </c>
      <c r="E777" s="32">
        <v>99</v>
      </c>
      <c r="F777" s="32">
        <v>100</v>
      </c>
      <c r="G777" s="32">
        <v>1</v>
      </c>
      <c r="H777" s="32" t="s">
        <v>736</v>
      </c>
    </row>
    <row r="778" spans="1:8">
      <c r="A778" s="2">
        <v>777</v>
      </c>
      <c r="B778" s="32" t="s">
        <v>737</v>
      </c>
      <c r="C778" s="32">
        <v>10</v>
      </c>
      <c r="D778" s="31" t="s">
        <v>735</v>
      </c>
      <c r="E778" s="32">
        <v>99</v>
      </c>
      <c r="F778" s="32">
        <v>100</v>
      </c>
      <c r="G778" s="32">
        <v>1</v>
      </c>
      <c r="H778" s="32" t="s">
        <v>736</v>
      </c>
    </row>
    <row r="779" spans="1:8">
      <c r="A779" s="2">
        <v>778</v>
      </c>
      <c r="B779" s="32" t="s">
        <v>738</v>
      </c>
      <c r="C779" s="32">
        <v>24</v>
      </c>
      <c r="D779" s="32"/>
      <c r="E779" s="32">
        <v>1</v>
      </c>
      <c r="F779" s="32">
        <v>100</v>
      </c>
      <c r="G779" s="32"/>
      <c r="H779" s="32" t="s">
        <v>736</v>
      </c>
    </row>
    <row r="780" spans="1:8">
      <c r="A780" s="2">
        <v>779</v>
      </c>
      <c r="B780" s="32" t="s">
        <v>739</v>
      </c>
      <c r="C780" s="32">
        <v>33</v>
      </c>
      <c r="D780" s="32"/>
      <c r="E780" s="32">
        <v>1</v>
      </c>
      <c r="F780" s="32">
        <v>100</v>
      </c>
      <c r="G780" s="32"/>
      <c r="H780" s="32" t="s">
        <v>736</v>
      </c>
    </row>
    <row r="781" spans="1:8">
      <c r="A781" s="2">
        <v>780</v>
      </c>
      <c r="B781" s="32" t="s">
        <v>740</v>
      </c>
      <c r="C781" s="32">
        <v>44</v>
      </c>
      <c r="D781" s="32"/>
      <c r="E781" s="32">
        <v>1</v>
      </c>
      <c r="F781" s="32">
        <v>100</v>
      </c>
      <c r="G781" s="32"/>
      <c r="H781" s="32" t="s">
        <v>736</v>
      </c>
    </row>
    <row r="782" spans="1:8">
      <c r="A782" s="2">
        <v>781</v>
      </c>
      <c r="B782" s="32" t="s">
        <v>735</v>
      </c>
      <c r="C782" s="32">
        <v>0</v>
      </c>
      <c r="D782" s="31" t="s">
        <v>735</v>
      </c>
      <c r="E782" s="32">
        <v>99</v>
      </c>
      <c r="F782" s="32">
        <v>101</v>
      </c>
      <c r="G782" s="32"/>
      <c r="H782" s="32" t="s">
        <v>736</v>
      </c>
    </row>
    <row r="783" spans="1:8">
      <c r="A783" s="2">
        <v>782</v>
      </c>
      <c r="B783" s="32" t="s">
        <v>737</v>
      </c>
      <c r="C783" s="32">
        <v>0</v>
      </c>
      <c r="D783" s="31" t="s">
        <v>735</v>
      </c>
      <c r="E783" s="32">
        <v>99</v>
      </c>
      <c r="F783" s="32">
        <v>101</v>
      </c>
      <c r="G783" s="32"/>
      <c r="H783" s="32" t="s">
        <v>736</v>
      </c>
    </row>
    <row r="784" spans="1:8">
      <c r="A784" s="2">
        <v>783</v>
      </c>
      <c r="B784" s="32" t="s">
        <v>738</v>
      </c>
      <c r="C784" s="32">
        <v>0</v>
      </c>
      <c r="D784" s="32"/>
      <c r="E784" s="32">
        <v>1</v>
      </c>
      <c r="F784" s="32">
        <v>101</v>
      </c>
      <c r="G784" s="32"/>
      <c r="H784" s="32" t="s">
        <v>736</v>
      </c>
    </row>
    <row r="785" spans="1:8">
      <c r="A785" s="2">
        <v>784</v>
      </c>
      <c r="B785" s="32" t="s">
        <v>738</v>
      </c>
      <c r="C785" s="32">
        <v>24</v>
      </c>
      <c r="D785" s="32"/>
      <c r="E785" s="32">
        <v>1</v>
      </c>
      <c r="F785" s="32">
        <v>102</v>
      </c>
      <c r="G785" s="32"/>
      <c r="H785" s="32" t="s">
        <v>736</v>
      </c>
    </row>
    <row r="786" spans="1:8">
      <c r="A786" s="2">
        <v>785</v>
      </c>
      <c r="B786" s="32" t="s">
        <v>739</v>
      </c>
      <c r="C786" s="32">
        <v>33</v>
      </c>
      <c r="D786" s="32"/>
      <c r="E786" s="32">
        <v>1</v>
      </c>
      <c r="F786" s="32">
        <v>102</v>
      </c>
      <c r="G786" s="32"/>
      <c r="H786" s="32" t="s">
        <v>736</v>
      </c>
    </row>
    <row r="787" spans="1:8">
      <c r="A787" s="2">
        <v>786</v>
      </c>
      <c r="B787" s="32" t="s">
        <v>740</v>
      </c>
      <c r="C787" s="32">
        <v>44</v>
      </c>
      <c r="D787" s="32"/>
      <c r="E787" s="32">
        <v>1</v>
      </c>
      <c r="F787" s="32">
        <v>102</v>
      </c>
      <c r="G787" s="32"/>
      <c r="H787" s="32" t="s">
        <v>736</v>
      </c>
    </row>
    <row r="788" spans="1:8">
      <c r="A788" s="2">
        <v>787</v>
      </c>
      <c r="B788" s="48" t="s">
        <v>741</v>
      </c>
      <c r="C788" s="48">
        <v>10</v>
      </c>
      <c r="D788" s="49" t="s">
        <v>741</v>
      </c>
      <c r="E788" s="48">
        <v>99</v>
      </c>
      <c r="F788" s="48">
        <v>100</v>
      </c>
      <c r="G788" s="48">
        <v>1</v>
      </c>
      <c r="H788" s="48" t="s">
        <v>742</v>
      </c>
    </row>
    <row r="789" spans="1:8">
      <c r="A789" s="2">
        <v>788</v>
      </c>
      <c r="B789" s="48" t="s">
        <v>743</v>
      </c>
      <c r="C789" s="48">
        <v>10</v>
      </c>
      <c r="D789" s="49" t="s">
        <v>741</v>
      </c>
      <c r="E789" s="48">
        <v>99</v>
      </c>
      <c r="F789" s="48">
        <v>100</v>
      </c>
      <c r="G789" s="48">
        <v>1</v>
      </c>
      <c r="H789" s="48" t="s">
        <v>742</v>
      </c>
    </row>
    <row r="790" spans="1:8">
      <c r="A790" s="2">
        <v>789</v>
      </c>
      <c r="B790" s="48" t="s">
        <v>744</v>
      </c>
      <c r="C790" s="48">
        <v>24</v>
      </c>
      <c r="D790" s="48"/>
      <c r="E790" s="48">
        <v>1</v>
      </c>
      <c r="F790" s="48">
        <v>100</v>
      </c>
      <c r="G790" s="48"/>
      <c r="H790" s="48" t="s">
        <v>742</v>
      </c>
    </row>
    <row r="791" spans="1:8">
      <c r="A791" s="2">
        <v>790</v>
      </c>
      <c r="B791" s="48" t="s">
        <v>745</v>
      </c>
      <c r="C791" s="48">
        <v>33</v>
      </c>
      <c r="D791" s="48"/>
      <c r="E791" s="48">
        <v>1</v>
      </c>
      <c r="F791" s="48">
        <v>100</v>
      </c>
      <c r="G791" s="48"/>
      <c r="H791" s="48" t="s">
        <v>742</v>
      </c>
    </row>
    <row r="792" spans="1:8">
      <c r="A792" s="2">
        <v>791</v>
      </c>
      <c r="B792" s="48" t="s">
        <v>746</v>
      </c>
      <c r="C792" s="48">
        <v>44</v>
      </c>
      <c r="D792" s="48"/>
      <c r="E792" s="48">
        <v>1</v>
      </c>
      <c r="F792" s="48">
        <v>100</v>
      </c>
      <c r="G792" s="48"/>
      <c r="H792" s="48" t="s">
        <v>742</v>
      </c>
    </row>
    <row r="793" spans="1:8">
      <c r="A793" s="2">
        <v>792</v>
      </c>
      <c r="B793" s="48" t="s">
        <v>741</v>
      </c>
      <c r="C793" s="48">
        <v>0</v>
      </c>
      <c r="D793" s="49" t="s">
        <v>741</v>
      </c>
      <c r="E793" s="48">
        <v>99</v>
      </c>
      <c r="F793" s="48">
        <v>101</v>
      </c>
      <c r="G793" s="48"/>
      <c r="H793" s="48" t="s">
        <v>742</v>
      </c>
    </row>
    <row r="794" spans="1:8">
      <c r="A794" s="2">
        <v>793</v>
      </c>
      <c r="B794" s="48" t="s">
        <v>743</v>
      </c>
      <c r="C794" s="48">
        <v>0</v>
      </c>
      <c r="D794" s="49" t="s">
        <v>741</v>
      </c>
      <c r="E794" s="48">
        <v>99</v>
      </c>
      <c r="F794" s="48">
        <v>101</v>
      </c>
      <c r="G794" s="48"/>
      <c r="H794" s="48" t="s">
        <v>742</v>
      </c>
    </row>
    <row r="795" spans="1:8">
      <c r="A795" s="2">
        <v>794</v>
      </c>
      <c r="B795" s="48" t="s">
        <v>744</v>
      </c>
      <c r="C795" s="48">
        <v>0</v>
      </c>
      <c r="D795" s="48"/>
      <c r="E795" s="48">
        <v>1</v>
      </c>
      <c r="F795" s="48">
        <v>101</v>
      </c>
      <c r="G795" s="48"/>
      <c r="H795" s="48" t="s">
        <v>742</v>
      </c>
    </row>
    <row r="796" spans="1:8">
      <c r="A796" s="2">
        <v>795</v>
      </c>
      <c r="B796" s="48" t="s">
        <v>744</v>
      </c>
      <c r="C796" s="48">
        <v>24</v>
      </c>
      <c r="D796" s="48"/>
      <c r="E796" s="48">
        <v>1</v>
      </c>
      <c r="F796" s="48">
        <v>102</v>
      </c>
      <c r="G796" s="48"/>
      <c r="H796" s="48" t="s">
        <v>742</v>
      </c>
    </row>
    <row r="797" spans="1:8">
      <c r="A797" s="2">
        <v>796</v>
      </c>
      <c r="B797" s="48" t="s">
        <v>745</v>
      </c>
      <c r="C797" s="48">
        <v>33</v>
      </c>
      <c r="D797" s="48"/>
      <c r="E797" s="48">
        <v>1</v>
      </c>
      <c r="F797" s="48">
        <v>102</v>
      </c>
      <c r="G797" s="48"/>
      <c r="H797" s="48" t="s">
        <v>742</v>
      </c>
    </row>
    <row r="798" spans="1:8">
      <c r="A798" s="2">
        <v>797</v>
      </c>
      <c r="B798" s="48" t="s">
        <v>746</v>
      </c>
      <c r="C798" s="48">
        <v>44</v>
      </c>
      <c r="D798" s="48"/>
      <c r="E798" s="48">
        <v>1</v>
      </c>
      <c r="F798" s="48">
        <v>102</v>
      </c>
      <c r="G798" s="48"/>
      <c r="H798" s="48" t="s">
        <v>742</v>
      </c>
    </row>
    <row r="799" spans="1:8">
      <c r="A799" s="2">
        <v>798</v>
      </c>
      <c r="B799" s="50" t="s">
        <v>747</v>
      </c>
      <c r="C799" s="50">
        <v>10</v>
      </c>
      <c r="D799" s="51" t="s">
        <v>747</v>
      </c>
      <c r="E799" s="50">
        <v>99</v>
      </c>
      <c r="F799" s="50">
        <v>100</v>
      </c>
      <c r="G799" s="50">
        <v>1</v>
      </c>
      <c r="H799" s="50" t="s">
        <v>748</v>
      </c>
    </row>
    <row r="800" spans="1:8">
      <c r="A800" s="2">
        <v>799</v>
      </c>
      <c r="B800" s="50" t="s">
        <v>749</v>
      </c>
      <c r="C800" s="50">
        <v>10</v>
      </c>
      <c r="D800" s="51" t="s">
        <v>747</v>
      </c>
      <c r="E800" s="50">
        <v>99</v>
      </c>
      <c r="F800" s="50">
        <v>100</v>
      </c>
      <c r="G800" s="50">
        <v>1</v>
      </c>
      <c r="H800" s="50" t="s">
        <v>748</v>
      </c>
    </row>
    <row r="801" spans="1:8">
      <c r="A801" s="2">
        <v>800</v>
      </c>
      <c r="B801" s="50" t="s">
        <v>750</v>
      </c>
      <c r="C801" s="50">
        <v>24</v>
      </c>
      <c r="D801" s="50"/>
      <c r="E801" s="50">
        <v>1</v>
      </c>
      <c r="F801" s="50">
        <v>100</v>
      </c>
      <c r="G801" s="50"/>
      <c r="H801" s="50" t="s">
        <v>748</v>
      </c>
    </row>
    <row r="802" spans="1:8">
      <c r="A802" s="2">
        <v>801</v>
      </c>
      <c r="B802" s="50" t="s">
        <v>751</v>
      </c>
      <c r="C802" s="50">
        <v>33</v>
      </c>
      <c r="D802" s="50"/>
      <c r="E802" s="50">
        <v>1</v>
      </c>
      <c r="F802" s="50">
        <v>100</v>
      </c>
      <c r="G802" s="50"/>
      <c r="H802" s="50" t="s">
        <v>748</v>
      </c>
    </row>
    <row r="803" spans="1:8">
      <c r="A803" s="2">
        <v>802</v>
      </c>
      <c r="B803" s="50" t="s">
        <v>752</v>
      </c>
      <c r="C803" s="50">
        <v>44</v>
      </c>
      <c r="D803" s="50"/>
      <c r="E803" s="50">
        <v>1</v>
      </c>
      <c r="F803" s="50">
        <v>100</v>
      </c>
      <c r="G803" s="50"/>
      <c r="H803" s="50" t="s">
        <v>748</v>
      </c>
    </row>
    <row r="804" spans="1:8">
      <c r="A804" s="2">
        <v>803</v>
      </c>
      <c r="B804" s="50" t="s">
        <v>747</v>
      </c>
      <c r="C804" s="50">
        <v>0</v>
      </c>
      <c r="D804" s="51" t="s">
        <v>747</v>
      </c>
      <c r="E804" s="50">
        <v>99</v>
      </c>
      <c r="F804" s="50">
        <v>101</v>
      </c>
      <c r="G804" s="50"/>
      <c r="H804" s="50" t="s">
        <v>748</v>
      </c>
    </row>
    <row r="805" spans="1:8">
      <c r="A805" s="2">
        <v>804</v>
      </c>
      <c r="B805" s="50" t="s">
        <v>749</v>
      </c>
      <c r="C805" s="50">
        <v>0</v>
      </c>
      <c r="D805" s="51" t="s">
        <v>747</v>
      </c>
      <c r="E805" s="50">
        <v>99</v>
      </c>
      <c r="F805" s="50">
        <v>101</v>
      </c>
      <c r="G805" s="50"/>
      <c r="H805" s="50" t="s">
        <v>748</v>
      </c>
    </row>
    <row r="806" spans="1:8">
      <c r="A806" s="2">
        <v>805</v>
      </c>
      <c r="B806" s="50" t="s">
        <v>750</v>
      </c>
      <c r="C806" s="50">
        <v>0</v>
      </c>
      <c r="D806" s="50"/>
      <c r="E806" s="50">
        <v>1</v>
      </c>
      <c r="F806" s="50">
        <v>101</v>
      </c>
      <c r="G806" s="50"/>
      <c r="H806" s="50" t="s">
        <v>748</v>
      </c>
    </row>
    <row r="807" spans="1:8">
      <c r="A807" s="2">
        <v>806</v>
      </c>
      <c r="B807" s="50" t="s">
        <v>750</v>
      </c>
      <c r="C807" s="50">
        <v>24</v>
      </c>
      <c r="D807" s="50"/>
      <c r="E807" s="50">
        <v>1</v>
      </c>
      <c r="F807" s="50">
        <v>102</v>
      </c>
      <c r="G807" s="50"/>
      <c r="H807" s="50" t="s">
        <v>748</v>
      </c>
    </row>
    <row r="808" spans="1:8">
      <c r="A808" s="2">
        <v>807</v>
      </c>
      <c r="B808" s="50" t="s">
        <v>751</v>
      </c>
      <c r="C808" s="50">
        <v>33</v>
      </c>
      <c r="D808" s="50"/>
      <c r="E808" s="50">
        <v>1</v>
      </c>
      <c r="F808" s="50">
        <v>102</v>
      </c>
      <c r="G808" s="50"/>
      <c r="H808" s="50" t="s">
        <v>748</v>
      </c>
    </row>
    <row r="809" spans="1:8">
      <c r="A809" s="2">
        <v>808</v>
      </c>
      <c r="B809" s="50" t="s">
        <v>752</v>
      </c>
      <c r="C809" s="50">
        <v>44</v>
      </c>
      <c r="D809" s="50"/>
      <c r="E809" s="50">
        <v>1</v>
      </c>
      <c r="F809" s="50">
        <v>102</v>
      </c>
      <c r="G809" s="50"/>
      <c r="H809" s="50" t="s">
        <v>748</v>
      </c>
    </row>
  </sheetData>
  <sheetProtection formatCells="0" insertHyperlinks="0" autoFilter="0"/>
  <autoFilter ref="A1:W809"/>
  <pageMargins left="0.7" right="0.7" top="0.75" bottom="0.75" header="0.3" footer="0.3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  <woSheetProps sheetStid="3" interlineOnOff="0" interlineColor="0" isDbSheet="0"/>
    <woSheetProps sheetStid="4" interlineOnOff="0" interlineColor="0" isDbSheet="0"/>
    <woSheetProps sheetStid="5" interlineOnOff="0" interlineColor="0" isDbSheet="0"/>
  </woSheetsProps>
  <woBookProps>
    <bookSettings isFilterShared="1" isAutoUpdatePaused="0" filterType="conn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仙器UP基础</vt:lpstr>
      <vt:lpstr>仙器UP召唤方式</vt:lpstr>
      <vt:lpstr>仙器UP召唤次数奖励</vt:lpstr>
      <vt:lpstr>仙器UP召唤分组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2015-06-06T02:19:00Z</dcterms:created>
  <dcterms:modified xsi:type="dcterms:W3CDTF">2022-10-28T17:01:50Z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3A206AE3D923423088C987A5E007C0B9</vt:lpwstr>
  </property>
</Properties>
</file>