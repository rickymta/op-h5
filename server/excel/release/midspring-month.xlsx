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D:\tool\release\"/>
    </mc:Choice>
  </mc:AlternateContent>
  <xr:revisionPtr revIDLastSave="0" documentId="13_ncr:1_{9E4CA1BE-492E-40B9-BF9E-2A639EF6EF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仲春之月活动基础" sheetId="1" r:id="rId1"/>
    <sheet name="连线礼包奖励" sheetId="4" r:id="rId2"/>
    <sheet name="宝箱次数奖励" sheetId="5" r:id="rId3"/>
    <sheet name="仲春之月登陆好礼" sheetId="2" r:id="rId4"/>
    <sheet name="仲春之月礼包" sheetId="3" r:id="rId5"/>
    <sheet name="仲春之月任务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5" l="1"/>
  <c r="G32" i="5"/>
  <c r="E32" i="5"/>
  <c r="G31" i="5"/>
  <c r="E31" i="5"/>
  <c r="G30" i="5"/>
  <c r="E30" i="5"/>
  <c r="G29" i="5"/>
  <c r="E29" i="5"/>
  <c r="G28" i="5"/>
  <c r="E28" i="5"/>
  <c r="G27" i="5"/>
  <c r="E27" i="5"/>
  <c r="G26" i="5"/>
  <c r="E26" i="5"/>
  <c r="G25" i="5"/>
  <c r="E25" i="5"/>
  <c r="G24" i="5"/>
  <c r="E24" i="5"/>
  <c r="G23" i="5"/>
  <c r="E23" i="5"/>
  <c r="G22" i="5"/>
  <c r="E22" i="5"/>
  <c r="G21" i="5"/>
  <c r="E21" i="5"/>
  <c r="G20" i="5"/>
  <c r="E20" i="5"/>
  <c r="G19" i="5"/>
  <c r="E19" i="5"/>
  <c r="G18" i="5"/>
  <c r="E18" i="5"/>
  <c r="G17" i="5"/>
  <c r="E17" i="5"/>
  <c r="G16" i="5"/>
  <c r="E16" i="5"/>
  <c r="G15" i="5"/>
  <c r="E15" i="5"/>
  <c r="G14" i="5"/>
  <c r="E14" i="5"/>
  <c r="G13" i="5"/>
  <c r="E13" i="5"/>
  <c r="G12" i="5"/>
  <c r="E12" i="5"/>
  <c r="G11" i="5"/>
  <c r="E11" i="5"/>
  <c r="G10" i="5"/>
  <c r="E10" i="5"/>
  <c r="G9" i="5"/>
  <c r="E9" i="5"/>
  <c r="G8" i="5"/>
  <c r="E8" i="5"/>
  <c r="G7" i="5"/>
  <c r="E7" i="5"/>
  <c r="G6" i="5"/>
  <c r="E6" i="5"/>
  <c r="G5" i="5"/>
  <c r="E5" i="5"/>
  <c r="G4" i="5"/>
  <c r="E4" i="5"/>
  <c r="G3" i="5"/>
  <c r="E3" i="5"/>
  <c r="G2" i="5"/>
  <c r="E2" i="5"/>
</calcChain>
</file>

<file path=xl/sharedStrings.xml><?xml version="1.0" encoding="utf-8"?>
<sst xmlns="http://schemas.openxmlformats.org/spreadsheetml/2006/main" count="446" uniqueCount="269">
  <si>
    <t>活动ID</t>
  </si>
  <si>
    <t>分组</t>
  </si>
  <si>
    <t>开服天数</t>
  </si>
  <si>
    <t>活动名称</t>
  </si>
  <si>
    <t>开启时间</t>
  </si>
  <si>
    <t>结束时间</t>
  </si>
  <si>
    <t>消耗道具ID</t>
  </si>
  <si>
    <t>奖励预览</t>
  </si>
  <si>
    <t>2021-04-02 09:00:00</t>
  </si>
  <si>
    <t>2021-04-08 23:59:59</t>
  </si>
  <si>
    <t>3:100271:1</t>
  </si>
  <si>
    <t>3:400043#3:500059#3:560002#5:5</t>
  </si>
  <si>
    <t>3:100235:1#3:400043#3:500059#3:560002</t>
  </si>
  <si>
    <t>ID</t>
  </si>
  <si>
    <t>奖励</t>
  </si>
  <si>
    <t>权重</t>
  </si>
  <si>
    <t>宝箱ID</t>
  </si>
  <si>
    <t>0:0:1000000</t>
  </si>
  <si>
    <t>1</t>
  </si>
  <si>
    <t>金币*1000000</t>
  </si>
  <si>
    <t>0:4:1000000</t>
  </si>
  <si>
    <t>英雄经验*1000000</t>
  </si>
  <si>
    <t>0:1:100</t>
  </si>
  <si>
    <t>元宝*100</t>
  </si>
  <si>
    <t>3:100059:10</t>
  </si>
  <si>
    <t>魂丹*10</t>
  </si>
  <si>
    <t>3:1000011:1</t>
  </si>
  <si>
    <t>5星人族英魂*1</t>
  </si>
  <si>
    <t>4:606008:15</t>
  </si>
  <si>
    <t>5星人族碎片*15</t>
  </si>
  <si>
    <t>3:400040:5</t>
  </si>
  <si>
    <t>福地珍藏*5</t>
  </si>
  <si>
    <t>3:100004:1500</t>
  </si>
  <si>
    <t>鎏金粉*1500</t>
  </si>
  <si>
    <t>4:606003:30</t>
  </si>
  <si>
    <t>4星人族碎片*30</t>
  </si>
  <si>
    <t>3:100031:15</t>
  </si>
  <si>
    <t>洗练石*15</t>
  </si>
  <si>
    <t>6:30002:1</t>
  </si>
  <si>
    <t>兽魂经验(大)*1</t>
  </si>
  <si>
    <t>20001</t>
  </si>
  <si>
    <t>2</t>
  </si>
  <si>
    <t>20002</t>
  </si>
  <si>
    <t>20003</t>
  </si>
  <si>
    <t>20005</t>
  </si>
  <si>
    <t>20006</t>
  </si>
  <si>
    <t>3:1000013:1</t>
  </si>
  <si>
    <t>5星妖族英魂*1</t>
  </si>
  <si>
    <t>20007</t>
  </si>
  <si>
    <t>4:606010:15</t>
  </si>
  <si>
    <t>5星妖族碎片*15</t>
  </si>
  <si>
    <t>20008</t>
  </si>
  <si>
    <t>3:100256:5</t>
  </si>
  <si>
    <t>下品升阶石*5</t>
  </si>
  <si>
    <t>20009</t>
  </si>
  <si>
    <t>20010</t>
  </si>
  <si>
    <t>4:606005:30</t>
  </si>
  <si>
    <t>4星妖族碎片*30</t>
  </si>
  <si>
    <t>20011</t>
  </si>
  <si>
    <t>20012</t>
  </si>
  <si>
    <t>3:400032:1</t>
  </si>
  <si>
    <t>红1装备自选*1</t>
  </si>
  <si>
    <t>30001</t>
  </si>
  <si>
    <t>3</t>
  </si>
  <si>
    <t>30002</t>
  </si>
  <si>
    <t>30003</t>
  </si>
  <si>
    <t>30004</t>
  </si>
  <si>
    <t>3:100253:30</t>
  </si>
  <si>
    <t>布偶*30</t>
  </si>
  <si>
    <t>30005</t>
  </si>
  <si>
    <t>3:1000012:1</t>
  </si>
  <si>
    <t>5星仙族英魂*1</t>
  </si>
  <si>
    <t>30006</t>
  </si>
  <si>
    <t>4:606009:15</t>
  </si>
  <si>
    <t>5星仙族碎片*15</t>
  </si>
  <si>
    <t>30007</t>
  </si>
  <si>
    <t>3:100257:2</t>
  </si>
  <si>
    <t>中品升阶石*2</t>
  </si>
  <si>
    <t>30008</t>
  </si>
  <si>
    <t>30009</t>
  </si>
  <si>
    <t>4:606004:30</t>
  </si>
  <si>
    <t>4星仙族碎片*30</t>
  </si>
  <si>
    <t>30010</t>
  </si>
  <si>
    <t>30011</t>
  </si>
  <si>
    <t>3:100252:20</t>
  </si>
  <si>
    <t>兽灵精华*20</t>
  </si>
  <si>
    <t>40001</t>
  </si>
  <si>
    <t>4</t>
  </si>
  <si>
    <t>40002</t>
  </si>
  <si>
    <t>40003</t>
  </si>
  <si>
    <t>3:100255:5</t>
  </si>
  <si>
    <t>兽灵技能书*5</t>
  </si>
  <si>
    <t>40004</t>
  </si>
  <si>
    <t>40005</t>
  </si>
  <si>
    <t>5:4:1</t>
  </si>
  <si>
    <t>玄武印*1</t>
  </si>
  <si>
    <t>40006</t>
  </si>
  <si>
    <t>4:606002:15</t>
  </si>
  <si>
    <t>5星随机碎片*15</t>
  </si>
  <si>
    <t>40007</t>
  </si>
  <si>
    <t>40008</t>
  </si>
  <si>
    <t>40009</t>
  </si>
  <si>
    <t>4:606001:30</t>
  </si>
  <si>
    <t>4星随机碎片*30</t>
  </si>
  <si>
    <t>40010</t>
  </si>
  <si>
    <t>3:100031:25</t>
  </si>
  <si>
    <t>洗练石*25</t>
  </si>
  <si>
    <t>40011</t>
  </si>
  <si>
    <t>5:20001:2</t>
  </si>
  <si>
    <t>龙魂*2</t>
  </si>
  <si>
    <t>50001</t>
  </si>
  <si>
    <t>3:100022:1</t>
  </si>
  <si>
    <t>5</t>
  </si>
  <si>
    <t>高级点将券*1</t>
  </si>
  <si>
    <t>50002</t>
  </si>
  <si>
    <t>3:100022:5</t>
  </si>
  <si>
    <t>高级点将券*5</t>
  </si>
  <si>
    <t>50003</t>
  </si>
  <si>
    <t>3:100025:1</t>
  </si>
  <si>
    <t>命签*1</t>
  </si>
  <si>
    <t>50004</t>
  </si>
  <si>
    <t>3:400040:10</t>
  </si>
  <si>
    <t>福地珍藏*10</t>
  </si>
  <si>
    <t>50005</t>
  </si>
  <si>
    <t>0:1:666</t>
  </si>
  <si>
    <t>元宝*666</t>
  </si>
  <si>
    <t>50006</t>
  </si>
  <si>
    <t>3:400034:1</t>
  </si>
  <si>
    <t>通用仙器随机*1</t>
  </si>
  <si>
    <t>50007</t>
  </si>
  <si>
    <t>3:400043:1</t>
  </si>
  <si>
    <t>专属仙器随机*1</t>
  </si>
  <si>
    <t>50008</t>
  </si>
  <si>
    <t>3:400017:1</t>
  </si>
  <si>
    <t>随机篆印礼包*1</t>
  </si>
  <si>
    <t>50009</t>
  </si>
  <si>
    <t>4:606011:25</t>
  </si>
  <si>
    <t>5星神族碎片*25</t>
  </si>
  <si>
    <t>50010</t>
  </si>
  <si>
    <t>3:500015:5</t>
  </si>
  <si>
    <t>灌魔之瓶礼包*5</t>
  </si>
  <si>
    <t>50011</t>
  </si>
  <si>
    <t>50013</t>
  </si>
  <si>
    <t>60001</t>
  </si>
  <si>
    <t>6</t>
  </si>
  <si>
    <t>60002</t>
  </si>
  <si>
    <t>60003</t>
  </si>
  <si>
    <t>60004</t>
  </si>
  <si>
    <t>60005</t>
  </si>
  <si>
    <t>0:1:888</t>
  </si>
  <si>
    <t>元宝*888</t>
  </si>
  <si>
    <t>60006</t>
  </si>
  <si>
    <t>60007</t>
  </si>
  <si>
    <t>60008</t>
  </si>
  <si>
    <t>60009</t>
  </si>
  <si>
    <t>4:606012:25</t>
  </si>
  <si>
    <t>5星魔族碎片*25</t>
  </si>
  <si>
    <t>60010</t>
  </si>
  <si>
    <t>60011</t>
  </si>
  <si>
    <t>60012</t>
  </si>
  <si>
    <t>宝箱个数</t>
  </si>
  <si>
    <t>*备注</t>
  </si>
  <si>
    <t>3:100022:10</t>
  </si>
  <si>
    <t>高级点将券*10</t>
  </si>
  <si>
    <t>3:100022:25</t>
  </si>
  <si>
    <t>高级点将券*25</t>
  </si>
  <si>
    <t>3:590001:1</t>
  </si>
  <si>
    <t>幼龙自选*1</t>
  </si>
  <si>
    <t>5:20001:5</t>
  </si>
  <si>
    <t>龙魂*5</t>
  </si>
  <si>
    <t>3:500013:1</t>
  </si>
  <si>
    <t>天级兽魂随机*1</t>
  </si>
  <si>
    <t>3:560003:1</t>
  </si>
  <si>
    <t>龙雀无双礼盒*1</t>
  </si>
  <si>
    <t>3:100004:15000</t>
  </si>
  <si>
    <t>鎏金粉*15000</t>
  </si>
  <si>
    <t>5:20001:10</t>
  </si>
  <si>
    <t>龙魂*10</t>
  </si>
  <si>
    <t>3:500014:1</t>
  </si>
  <si>
    <t>天级兽魂自选*1</t>
  </si>
  <si>
    <t>6:30002:15</t>
  </si>
  <si>
    <t>兽魂经验(大)*15</t>
  </si>
  <si>
    <t>3:500015:15</t>
  </si>
  <si>
    <t>灌魔之瓶礼包*15</t>
  </si>
  <si>
    <t>3:500026:1</t>
  </si>
  <si>
    <t>专属仙器自选*1</t>
  </si>
  <si>
    <t>3:100216:15000</t>
  </si>
  <si>
    <t>麒麟仙玉*15000</t>
  </si>
  <si>
    <t>3:100098:2000</t>
  </si>
  <si>
    <t>龙珠*2000</t>
  </si>
  <si>
    <t>3:200054:20</t>
  </si>
  <si>
    <t>乾坤玉*20</t>
  </si>
  <si>
    <t>3:560002:1</t>
  </si>
  <si>
    <t>龙雀之姿*1</t>
  </si>
  <si>
    <t>3:100025:15</t>
  </si>
  <si>
    <t>命签*15</t>
  </si>
  <si>
    <t>3:100234:1</t>
  </si>
  <si>
    <t>五族小型典藏*1</t>
  </si>
  <si>
    <t>3:100004:30000</t>
  </si>
  <si>
    <t>鎏金粉*30000</t>
  </si>
  <si>
    <t>3:500059:1</t>
  </si>
  <si>
    <t>至臻通用仙器*1</t>
  </si>
  <si>
    <t>3:500015:20</t>
  </si>
  <si>
    <t>灌魔之瓶礼包*20</t>
  </si>
  <si>
    <t>3:100216:20000</t>
  </si>
  <si>
    <t>麒麟仙玉*20000</t>
  </si>
  <si>
    <t>3:100235:1</t>
  </si>
  <si>
    <t>五族中型典藏*1</t>
  </si>
  <si>
    <t>签到天数</t>
  </si>
  <si>
    <t>签到奖励</t>
  </si>
  <si>
    <t>追加奖励</t>
  </si>
  <si>
    <t>追加奖励价格</t>
  </si>
  <si>
    <t>充值项ID</t>
  </si>
  <si>
    <t>51540</t>
  </si>
  <si>
    <r>
      <rPr>
        <sz val="11"/>
        <color theme="1"/>
        <rFont val="Calibri"/>
        <family val="2"/>
        <scheme val="minor"/>
      </rPr>
      <t>高抽*</t>
    </r>
    <r>
      <rPr>
        <sz val="11"/>
        <color theme="1"/>
        <rFont val="Calibri"/>
        <family val="2"/>
        <scheme val="minor"/>
      </rPr>
      <t>2</t>
    </r>
  </si>
  <si>
    <t>命签*2，精英抽*10，高抽*10，头像</t>
  </si>
  <si>
    <t>51541</t>
  </si>
  <si>
    <r>
      <rPr>
        <sz val="11"/>
        <color theme="1"/>
        <rFont val="Calibri"/>
        <family val="2"/>
        <scheme val="minor"/>
      </rPr>
      <t>鎏金粉*</t>
    </r>
    <r>
      <rPr>
        <sz val="11"/>
        <color theme="1"/>
        <rFont val="Calibri"/>
        <family val="2"/>
        <scheme val="minor"/>
      </rPr>
      <t>200</t>
    </r>
  </si>
  <si>
    <t>命签*2，精英抽*10，高抽*10，金币袋*4</t>
  </si>
  <si>
    <t>51542</t>
  </si>
  <si>
    <t>高抽*1</t>
  </si>
  <si>
    <t>51543</t>
  </si>
  <si>
    <t>太乙精金*50</t>
  </si>
  <si>
    <t>51544</t>
  </si>
  <si>
    <t>51545</t>
  </si>
  <si>
    <t>普通寻宝券*2</t>
  </si>
  <si>
    <t>51546</t>
  </si>
  <si>
    <t>进阶石*200</t>
  </si>
  <si>
    <t>商品</t>
  </si>
  <si>
    <t>价格</t>
  </si>
  <si>
    <t>限购数量</t>
  </si>
  <si>
    <t>排序</t>
  </si>
  <si>
    <t>元宝*60,高级寻宝券*1,经验袋(24小时)*2,纸鸢*2</t>
  </si>
  <si>
    <t>元宝*60,命签*1,高级点将券*2,纸鸢*2</t>
  </si>
  <si>
    <t>元宝*300,高级寻宝券*2,高级点将券*20,纸鸢*5</t>
  </si>
  <si>
    <t>元宝*300,命签*2,高级点将券*20,纸鸢*5</t>
  </si>
  <si>
    <t>元宝*500,5星通用英魂*1,高级点将券*35,纸鸢*9</t>
  </si>
  <si>
    <t>元宝*500,命签*3,高级点将券*35,纸鸢*9</t>
  </si>
  <si>
    <t>元宝*1280,重铸丹*1,鎏金粉*14000,纸鸢*18</t>
  </si>
  <si>
    <t>元宝*1280,麒麟仙玉*13000,金币*20000000,纸鸢*18</t>
  </si>
  <si>
    <t>元宝*1280,玄铁*150,神铁*120,纸鸢*18</t>
  </si>
  <si>
    <t>元宝*3280,灌魔之瓶礼包*15,进阶石*1500,纸鸢*45</t>
  </si>
  <si>
    <t>元宝*3280,命签*12,迷雾之尘*13000,纸鸢*45</t>
  </si>
  <si>
    <t>元宝*6480,龙雀印*1,龙魂*5,纸鸢*90</t>
  </si>
  <si>
    <t>元宝*6480,龙珠*1000,命签*20,纸鸢*90</t>
  </si>
  <si>
    <t>任务ID</t>
  </si>
  <si>
    <t>Trọng xuân chi nguyệt</t>
  </si>
  <si>
    <t>50000</t>
  </si>
  <si>
    <t>元宝*1280,陨铁精华*27,金币*20000000,纸鸢*18</t>
  </si>
  <si>
    <t>0:1:3000#3:100271:2</t>
  </si>
  <si>
    <t>0:1:15000#3:100271:5</t>
  </si>
  <si>
    <t>0:1:25000#3:100271:9</t>
  </si>
  <si>
    <t>0:1:100000#3:100271:18</t>
  </si>
  <si>
    <t>0:1:50000#0:1:100#3:100001:200#0:4:50000</t>
  </si>
  <si>
    <t>0:1:50000#3:100001:200#3:100059:5#0:0:50000</t>
  </si>
  <si>
    <t>0:1:50000#0:1:100#3:100059:5#0:4:50000</t>
  </si>
  <si>
    <t>0:1:50000#3:100022:1#3:100031:16#0:0:50000</t>
  </si>
  <si>
    <t>0:1:50000#3:100031:16#3:100001:200#0:4:50000</t>
  </si>
  <si>
    <t>0:1:50000#3:100023:3#3:100001:200#0:0:50000</t>
  </si>
  <si>
    <t>0:1:50000#3:100059:5#3:100023:3#0:0:50000</t>
  </si>
  <si>
    <t>0:1:168888#3:100022:10#3:1000001:4#3:1000002:4</t>
  </si>
  <si>
    <t>0:1:200000#3:100258:50#3:500124:1#0:0:20000000#3:100271:45</t>
  </si>
  <si>
    <t>0:1:200000#3:500015:200#3:500026:1#0:4:200000000#3:100271:45</t>
  </si>
  <si>
    <t>0:1:500000#3:100252:2000#3:100253:2000#3:100255:50#3:100271:90</t>
  </si>
  <si>
    <t>0:1:500000#3:100342:20000#3:500193:100#3:100258:100#3:100271:90</t>
  </si>
  <si>
    <t>2024-05-05 00:00:00</t>
    <phoneticPr fontId="8" type="noConversion"/>
  </si>
  <si>
    <t>2024-06-30 23:59:59</t>
  </si>
  <si>
    <t>2024-07-01 00:00:00</t>
  </si>
  <si>
    <t>2024-07-30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</si>
</sst>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微软雅黑"/>
      <family val="2"/>
    </font>
    <font>
      <sz val="10"/>
      <name val="微软雅黑"/>
      <family val="2"/>
    </font>
    <font>
      <sz val="9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 applyAlignment="1">
      <alignment horizontal="center" vertical="center"/>
    </xf>
    <xf numFmtId="0" fontId="5" fillId="0" borderId="0" xfId="0" applyFont="1" applyAlignment="1">
      <alignment horizontal="right"/>
    </xf>
    <xf numFmtId="0" fontId="6" fillId="3" borderId="0" xfId="0" applyFont="1" applyFill="1" applyAlignment="1">
      <alignment horizontal="center"/>
    </xf>
    <xf numFmtId="49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right"/>
    </xf>
    <xf numFmtId="49" fontId="7" fillId="0" borderId="0" xfId="0" applyNumberFormat="1" applyFont="1" applyAlignment="1">
      <alignment horizontal="left" vertical="center"/>
    </xf>
    <xf numFmtId="0" fontId="0" fillId="0" borderId="0" xfId="0" applyAlignment="1">
      <alignment vertical="center"/>
    </xf>
    <xf numFmtId="49" fontId="0" fillId="0" borderId="0" xfId="0" applyNumberFormat="1"/>
    <xf numFmtId="49" fontId="0" fillId="3" borderId="0" xfId="0" applyNumberFormat="1" applyFill="1"/>
    <xf numFmtId="0" fontId="0" fillId="3" borderId="0" xfId="0" applyFill="1"/>
    <xf numFmtId="49" fontId="0" fillId="4" borderId="0" xfId="0" applyNumberFormat="1" applyFill="1"/>
    <xf numFmtId="0" fontId="0" fillId="4" borderId="0" xfId="0" applyFill="1"/>
    <xf numFmtId="49" fontId="0" fillId="5" borderId="0" xfId="0" applyNumberFormat="1" applyFill="1"/>
    <xf numFmtId="0" fontId="0" fillId="5" borderId="0" xfId="0" applyFill="1"/>
    <xf numFmtId="0" fontId="4" fillId="0" borderId="0" xfId="0" applyFont="1"/>
    <xf numFmtId="0" fontId="5" fillId="0" borderId="0" xfId="0" applyFont="1"/>
    <xf numFmtId="49" fontId="3" fillId="4" borderId="0" xfId="0" applyNumberFormat="1" applyFont="1" applyFill="1"/>
    <xf numFmtId="49" fontId="2" fillId="4" borderId="0" xfId="0" applyNumberFormat="1" applyFont="1" applyFill="1"/>
    <xf numFmtId="49" fontId="1" fillId="4" borderId="0" xfId="0" applyNumberFormat="1" applyFont="1" applyFill="1"/>
  </cellXfs>
  <cellStyles count="1">
    <cellStyle name="Normal" xfId="0" builtinId="0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4"/>
  <sheetViews>
    <sheetView tabSelected="1" workbookViewId="0">
      <selection activeCell="H10" sqref="H10"/>
    </sheetView>
  </sheetViews>
  <sheetFormatPr defaultColWidth="9" defaultRowHeight="14.4"/>
  <cols>
    <col min="1" max="1" width="7.33203125" customWidth="1"/>
    <col min="2" max="2" width="5.21875" customWidth="1"/>
    <col min="4" max="4" width="23.6640625" customWidth="1"/>
    <col min="5" max="6" width="19.77734375" customWidth="1"/>
    <col min="7" max="7" width="10.88671875" customWidth="1"/>
    <col min="8" max="8" width="28.886718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100001</v>
      </c>
      <c r="B2">
        <v>1</v>
      </c>
      <c r="C2">
        <v>0</v>
      </c>
      <c r="D2" s="17" t="s">
        <v>246</v>
      </c>
      <c r="E2" s="10" t="s">
        <v>8</v>
      </c>
      <c r="F2" s="10" t="s">
        <v>9</v>
      </c>
      <c r="G2" t="s">
        <v>10</v>
      </c>
      <c r="H2" t="s">
        <v>11</v>
      </c>
    </row>
    <row r="3" spans="1:8">
      <c r="A3">
        <v>100002</v>
      </c>
      <c r="B3">
        <v>1</v>
      </c>
      <c r="C3">
        <v>0</v>
      </c>
      <c r="D3" s="17" t="s">
        <v>246</v>
      </c>
      <c r="E3" s="21" t="s">
        <v>267</v>
      </c>
      <c r="F3" s="21" t="s">
        <v>268</v>
      </c>
      <c r="G3" t="s">
        <v>10</v>
      </c>
      <c r="H3" t="s">
        <v>12</v>
      </c>
    </row>
    <row r="4" spans="1:8">
      <c r="A4">
        <v>100003</v>
      </c>
      <c r="B4">
        <v>1</v>
      </c>
      <c r="C4">
        <v>0</v>
      </c>
      <c r="D4" s="17" t="s">
        <v>246</v>
      </c>
      <c r="E4" s="19" t="s">
        <v>265</v>
      </c>
      <c r="F4" s="20" t="s">
        <v>266</v>
      </c>
      <c r="G4" t="s">
        <v>10</v>
      </c>
      <c r="H4" t="s">
        <v>12</v>
      </c>
    </row>
  </sheetData>
  <phoneticPr fontId="8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69"/>
  <sheetViews>
    <sheetView workbookViewId="0">
      <selection activeCell="E29" sqref="E29"/>
    </sheetView>
  </sheetViews>
  <sheetFormatPr defaultColWidth="9" defaultRowHeight="14.4"/>
  <cols>
    <col min="1" max="1" width="6.33203125" style="10" customWidth="1"/>
    <col min="2" max="2" width="13.6640625" style="10" customWidth="1"/>
    <col min="3" max="3" width="5.33203125" style="10" customWidth="1"/>
    <col min="4" max="4" width="7" style="10" customWidth="1"/>
    <col min="5" max="5" width="29.6640625" style="10" customWidth="1"/>
    <col min="6" max="16384" width="9" style="10"/>
  </cols>
  <sheetData>
    <row r="1" spans="1:5">
      <c r="A1" s="10" t="s">
        <v>13</v>
      </c>
      <c r="B1" s="10" t="s">
        <v>14</v>
      </c>
      <c r="C1" s="10" t="s">
        <v>15</v>
      </c>
      <c r="D1" s="10" t="s">
        <v>16</v>
      </c>
    </row>
    <row r="2" spans="1:5">
      <c r="A2" s="11">
        <v>10001</v>
      </c>
      <c r="B2" s="11" t="s">
        <v>17</v>
      </c>
      <c r="C2" s="12">
        <v>100</v>
      </c>
      <c r="D2" s="11" t="s">
        <v>18</v>
      </c>
      <c r="E2" t="s">
        <v>19</v>
      </c>
    </row>
    <row r="3" spans="1:5">
      <c r="A3" s="11">
        <v>10002</v>
      </c>
      <c r="B3" s="11" t="s">
        <v>20</v>
      </c>
      <c r="C3" s="12">
        <v>100</v>
      </c>
      <c r="D3" s="11" t="s">
        <v>18</v>
      </c>
      <c r="E3" t="s">
        <v>21</v>
      </c>
    </row>
    <row r="4" spans="1:5">
      <c r="A4" s="11">
        <v>10003</v>
      </c>
      <c r="B4" s="11" t="s">
        <v>22</v>
      </c>
      <c r="C4" s="12">
        <v>100</v>
      </c>
      <c r="D4" s="11" t="s">
        <v>18</v>
      </c>
      <c r="E4" t="s">
        <v>23</v>
      </c>
    </row>
    <row r="5" spans="1:5">
      <c r="A5" s="11">
        <v>10005</v>
      </c>
      <c r="B5" s="11" t="s">
        <v>24</v>
      </c>
      <c r="C5" s="12">
        <v>50</v>
      </c>
      <c r="D5" s="11" t="s">
        <v>18</v>
      </c>
      <c r="E5" t="s">
        <v>25</v>
      </c>
    </row>
    <row r="6" spans="1:5">
      <c r="A6" s="11">
        <v>10006</v>
      </c>
      <c r="B6" s="12" t="s">
        <v>26</v>
      </c>
      <c r="C6" s="12">
        <v>10</v>
      </c>
      <c r="D6" s="11" t="s">
        <v>18</v>
      </c>
      <c r="E6" t="s">
        <v>27</v>
      </c>
    </row>
    <row r="7" spans="1:5">
      <c r="A7" s="11">
        <v>10007</v>
      </c>
      <c r="B7" s="12" t="s">
        <v>28</v>
      </c>
      <c r="C7" s="12">
        <v>100</v>
      </c>
      <c r="D7" s="11" t="s">
        <v>18</v>
      </c>
      <c r="E7" t="s">
        <v>29</v>
      </c>
    </row>
    <row r="8" spans="1:5">
      <c r="A8" s="11">
        <v>10008</v>
      </c>
      <c r="B8" s="11" t="s">
        <v>30</v>
      </c>
      <c r="C8" s="12">
        <v>100</v>
      </c>
      <c r="D8" s="11" t="s">
        <v>18</v>
      </c>
      <c r="E8" t="s">
        <v>31</v>
      </c>
    </row>
    <row r="9" spans="1:5">
      <c r="A9" s="11">
        <v>10009</v>
      </c>
      <c r="B9" s="11" t="s">
        <v>32</v>
      </c>
      <c r="C9" s="12">
        <v>100</v>
      </c>
      <c r="D9" s="11" t="s">
        <v>18</v>
      </c>
      <c r="E9" t="s">
        <v>33</v>
      </c>
    </row>
    <row r="10" spans="1:5">
      <c r="A10" s="11">
        <v>10010</v>
      </c>
      <c r="B10" s="12" t="s">
        <v>34</v>
      </c>
      <c r="C10" s="12">
        <v>100</v>
      </c>
      <c r="D10" s="11" t="s">
        <v>18</v>
      </c>
      <c r="E10" t="s">
        <v>35</v>
      </c>
    </row>
    <row r="11" spans="1:5">
      <c r="A11" s="11">
        <v>10011</v>
      </c>
      <c r="B11" s="12" t="s">
        <v>36</v>
      </c>
      <c r="C11" s="12">
        <v>100</v>
      </c>
      <c r="D11" s="11" t="s">
        <v>18</v>
      </c>
      <c r="E11" t="s">
        <v>37</v>
      </c>
    </row>
    <row r="12" spans="1:5">
      <c r="A12" s="11">
        <v>10012</v>
      </c>
      <c r="B12" s="12" t="s">
        <v>38</v>
      </c>
      <c r="C12" s="12">
        <v>50</v>
      </c>
      <c r="D12" s="11" t="s">
        <v>18</v>
      </c>
      <c r="E12" t="s">
        <v>39</v>
      </c>
    </row>
    <row r="13" spans="1:5">
      <c r="A13" s="13" t="s">
        <v>40</v>
      </c>
      <c r="B13" s="13" t="s">
        <v>17</v>
      </c>
      <c r="C13" s="14">
        <v>100</v>
      </c>
      <c r="D13" s="13" t="s">
        <v>41</v>
      </c>
      <c r="E13" t="s">
        <v>19</v>
      </c>
    </row>
    <row r="14" spans="1:5">
      <c r="A14" s="13" t="s">
        <v>42</v>
      </c>
      <c r="B14" s="13" t="s">
        <v>20</v>
      </c>
      <c r="C14" s="14">
        <v>100</v>
      </c>
      <c r="D14" s="13" t="s">
        <v>41</v>
      </c>
      <c r="E14" t="s">
        <v>21</v>
      </c>
    </row>
    <row r="15" spans="1:5">
      <c r="A15" s="13" t="s">
        <v>43</v>
      </c>
      <c r="B15" s="13" t="s">
        <v>22</v>
      </c>
      <c r="C15" s="14">
        <v>100</v>
      </c>
      <c r="D15" s="13" t="s">
        <v>41</v>
      </c>
      <c r="E15" t="s">
        <v>23</v>
      </c>
    </row>
    <row r="16" spans="1:5">
      <c r="A16" s="13" t="s">
        <v>44</v>
      </c>
      <c r="B16" s="13" t="s">
        <v>24</v>
      </c>
      <c r="C16" s="14">
        <v>50</v>
      </c>
      <c r="D16" s="13" t="s">
        <v>41</v>
      </c>
      <c r="E16" t="s">
        <v>25</v>
      </c>
    </row>
    <row r="17" spans="1:5">
      <c r="A17" s="13" t="s">
        <v>45</v>
      </c>
      <c r="B17" s="14" t="s">
        <v>46</v>
      </c>
      <c r="C17" s="14">
        <v>10</v>
      </c>
      <c r="D17" s="13" t="s">
        <v>41</v>
      </c>
      <c r="E17" t="s">
        <v>47</v>
      </c>
    </row>
    <row r="18" spans="1:5">
      <c r="A18" s="13" t="s">
        <v>48</v>
      </c>
      <c r="B18" s="14" t="s">
        <v>49</v>
      </c>
      <c r="C18" s="14">
        <v>100</v>
      </c>
      <c r="D18" s="13" t="s">
        <v>41</v>
      </c>
      <c r="E18" t="s">
        <v>50</v>
      </c>
    </row>
    <row r="19" spans="1:5">
      <c r="A19" s="13" t="s">
        <v>51</v>
      </c>
      <c r="B19" s="13" t="s">
        <v>52</v>
      </c>
      <c r="C19" s="14">
        <v>50</v>
      </c>
      <c r="D19" s="13" t="s">
        <v>41</v>
      </c>
      <c r="E19" t="s">
        <v>53</v>
      </c>
    </row>
    <row r="20" spans="1:5">
      <c r="A20" s="13" t="s">
        <v>54</v>
      </c>
      <c r="B20" s="13" t="s">
        <v>32</v>
      </c>
      <c r="C20" s="14">
        <v>100</v>
      </c>
      <c r="D20" s="13" t="s">
        <v>41</v>
      </c>
      <c r="E20" t="s">
        <v>33</v>
      </c>
    </row>
    <row r="21" spans="1:5">
      <c r="A21" s="13" t="s">
        <v>55</v>
      </c>
      <c r="B21" s="14" t="s">
        <v>56</v>
      </c>
      <c r="C21" s="14">
        <v>100</v>
      </c>
      <c r="D21" s="13" t="s">
        <v>41</v>
      </c>
      <c r="E21" t="s">
        <v>57</v>
      </c>
    </row>
    <row r="22" spans="1:5">
      <c r="A22" s="13" t="s">
        <v>58</v>
      </c>
      <c r="B22" s="14" t="s">
        <v>36</v>
      </c>
      <c r="C22" s="14">
        <v>100</v>
      </c>
      <c r="D22" s="13" t="s">
        <v>41</v>
      </c>
      <c r="E22" t="s">
        <v>37</v>
      </c>
    </row>
    <row r="23" spans="1:5">
      <c r="A23" s="13" t="s">
        <v>59</v>
      </c>
      <c r="B23" s="14" t="s">
        <v>60</v>
      </c>
      <c r="C23" s="14">
        <v>50</v>
      </c>
      <c r="D23" s="13" t="s">
        <v>41</v>
      </c>
      <c r="E23" t="s">
        <v>61</v>
      </c>
    </row>
    <row r="24" spans="1:5">
      <c r="A24" s="11" t="s">
        <v>62</v>
      </c>
      <c r="B24" s="11" t="s">
        <v>17</v>
      </c>
      <c r="C24" s="12">
        <v>100</v>
      </c>
      <c r="D24" s="15" t="s">
        <v>63</v>
      </c>
      <c r="E24" t="s">
        <v>19</v>
      </c>
    </row>
    <row r="25" spans="1:5">
      <c r="A25" s="11" t="s">
        <v>64</v>
      </c>
      <c r="B25" s="11" t="s">
        <v>20</v>
      </c>
      <c r="C25" s="12">
        <v>100</v>
      </c>
      <c r="D25" s="15" t="s">
        <v>63</v>
      </c>
      <c r="E25" t="s">
        <v>21</v>
      </c>
    </row>
    <row r="26" spans="1:5">
      <c r="A26" s="11" t="s">
        <v>65</v>
      </c>
      <c r="B26" s="11" t="s">
        <v>22</v>
      </c>
      <c r="C26" s="12">
        <v>100</v>
      </c>
      <c r="D26" s="15" t="s">
        <v>63</v>
      </c>
      <c r="E26" s="10" t="s">
        <v>23</v>
      </c>
    </row>
    <row r="27" spans="1:5">
      <c r="A27" s="11" t="s">
        <v>66</v>
      </c>
      <c r="B27" s="11" t="s">
        <v>67</v>
      </c>
      <c r="C27" s="12">
        <v>100</v>
      </c>
      <c r="D27" s="15" t="s">
        <v>63</v>
      </c>
      <c r="E27" s="10" t="s">
        <v>68</v>
      </c>
    </row>
    <row r="28" spans="1:5">
      <c r="A28" s="11" t="s">
        <v>69</v>
      </c>
      <c r="B28" s="12" t="s">
        <v>70</v>
      </c>
      <c r="C28" s="12">
        <v>10</v>
      </c>
      <c r="D28" s="15" t="s">
        <v>63</v>
      </c>
      <c r="E28" s="10" t="s">
        <v>71</v>
      </c>
    </row>
    <row r="29" spans="1:5">
      <c r="A29" s="11" t="s">
        <v>72</v>
      </c>
      <c r="B29" s="12" t="s">
        <v>73</v>
      </c>
      <c r="C29" s="12">
        <v>100</v>
      </c>
      <c r="D29" s="15" t="s">
        <v>63</v>
      </c>
      <c r="E29" s="10" t="s">
        <v>74</v>
      </c>
    </row>
    <row r="30" spans="1:5">
      <c r="A30" s="11" t="s">
        <v>75</v>
      </c>
      <c r="B30" s="11" t="s">
        <v>76</v>
      </c>
      <c r="C30" s="12">
        <v>60</v>
      </c>
      <c r="D30" s="15" t="s">
        <v>63</v>
      </c>
      <c r="E30" s="10" t="s">
        <v>77</v>
      </c>
    </row>
    <row r="31" spans="1:5">
      <c r="A31" s="11" t="s">
        <v>78</v>
      </c>
      <c r="B31" s="11" t="s">
        <v>32</v>
      </c>
      <c r="C31" s="12">
        <v>100</v>
      </c>
      <c r="D31" s="15" t="s">
        <v>63</v>
      </c>
      <c r="E31" s="10" t="s">
        <v>33</v>
      </c>
    </row>
    <row r="32" spans="1:5">
      <c r="A32" s="11" t="s">
        <v>79</v>
      </c>
      <c r="B32" s="12" t="s">
        <v>80</v>
      </c>
      <c r="C32" s="12">
        <v>100</v>
      </c>
      <c r="D32" s="15" t="s">
        <v>63</v>
      </c>
      <c r="E32" s="10" t="s">
        <v>81</v>
      </c>
    </row>
    <row r="33" spans="1:5">
      <c r="A33" s="11" t="s">
        <v>82</v>
      </c>
      <c r="B33" s="12" t="s">
        <v>36</v>
      </c>
      <c r="C33" s="12">
        <v>100</v>
      </c>
      <c r="D33" s="15" t="s">
        <v>63</v>
      </c>
      <c r="E33" s="10" t="s">
        <v>37</v>
      </c>
    </row>
    <row r="34" spans="1:5">
      <c r="A34" s="11" t="s">
        <v>83</v>
      </c>
      <c r="B34" s="12" t="s">
        <v>84</v>
      </c>
      <c r="C34" s="12">
        <v>50</v>
      </c>
      <c r="D34" s="15" t="s">
        <v>63</v>
      </c>
      <c r="E34" s="10" t="s">
        <v>85</v>
      </c>
    </row>
    <row r="35" spans="1:5">
      <c r="A35" s="13" t="s">
        <v>86</v>
      </c>
      <c r="B35" s="13" t="s">
        <v>17</v>
      </c>
      <c r="C35" s="14">
        <v>100</v>
      </c>
      <c r="D35" s="11" t="s">
        <v>87</v>
      </c>
      <c r="E35" s="10" t="s">
        <v>19</v>
      </c>
    </row>
    <row r="36" spans="1:5">
      <c r="A36" s="13" t="s">
        <v>88</v>
      </c>
      <c r="B36" s="13" t="s">
        <v>20</v>
      </c>
      <c r="C36" s="14">
        <v>100</v>
      </c>
      <c r="D36" s="11" t="s">
        <v>87</v>
      </c>
      <c r="E36" s="13" t="s">
        <v>21</v>
      </c>
    </row>
    <row r="37" spans="1:5">
      <c r="A37" s="13" t="s">
        <v>89</v>
      </c>
      <c r="B37" s="13" t="s">
        <v>90</v>
      </c>
      <c r="C37" s="14">
        <v>50</v>
      </c>
      <c r="D37" s="11" t="s">
        <v>87</v>
      </c>
      <c r="E37" s="13" t="s">
        <v>91</v>
      </c>
    </row>
    <row r="38" spans="1:5">
      <c r="A38" s="13" t="s">
        <v>92</v>
      </c>
      <c r="B38" s="13" t="s">
        <v>24</v>
      </c>
      <c r="C38" s="14">
        <v>50</v>
      </c>
      <c r="D38" s="11" t="s">
        <v>87</v>
      </c>
      <c r="E38" s="13" t="s">
        <v>25</v>
      </c>
    </row>
    <row r="39" spans="1:5">
      <c r="A39" s="13" t="s">
        <v>93</v>
      </c>
      <c r="B39" s="14" t="s">
        <v>94</v>
      </c>
      <c r="C39" s="14">
        <v>10</v>
      </c>
      <c r="D39" s="11" t="s">
        <v>87</v>
      </c>
      <c r="E39" s="13" t="s">
        <v>95</v>
      </c>
    </row>
    <row r="40" spans="1:5">
      <c r="A40" s="13" t="s">
        <v>96</v>
      </c>
      <c r="B40" s="14" t="s">
        <v>97</v>
      </c>
      <c r="C40" s="14">
        <v>100</v>
      </c>
      <c r="D40" s="11" t="s">
        <v>87</v>
      </c>
      <c r="E40" s="13" t="s">
        <v>98</v>
      </c>
    </row>
    <row r="41" spans="1:5">
      <c r="A41" s="13" t="s">
        <v>99</v>
      </c>
      <c r="B41" s="13" t="s">
        <v>30</v>
      </c>
      <c r="C41" s="14">
        <v>100</v>
      </c>
      <c r="D41" s="11" t="s">
        <v>87</v>
      </c>
      <c r="E41" s="14" t="s">
        <v>31</v>
      </c>
    </row>
    <row r="42" spans="1:5">
      <c r="A42" s="13" t="s">
        <v>100</v>
      </c>
      <c r="B42" s="13" t="s">
        <v>32</v>
      </c>
      <c r="C42" s="14">
        <v>100</v>
      </c>
      <c r="D42" s="11" t="s">
        <v>87</v>
      </c>
      <c r="E42" s="14" t="s">
        <v>33</v>
      </c>
    </row>
    <row r="43" spans="1:5">
      <c r="A43" s="13" t="s">
        <v>101</v>
      </c>
      <c r="B43" s="14" t="s">
        <v>102</v>
      </c>
      <c r="C43" s="14">
        <v>100</v>
      </c>
      <c r="D43" s="11" t="s">
        <v>87</v>
      </c>
      <c r="E43" s="14" t="s">
        <v>103</v>
      </c>
    </row>
    <row r="44" spans="1:5">
      <c r="A44" s="13" t="s">
        <v>104</v>
      </c>
      <c r="B44" s="14" t="s">
        <v>105</v>
      </c>
      <c r="C44" s="14">
        <v>100</v>
      </c>
      <c r="D44" s="11" t="s">
        <v>87</v>
      </c>
      <c r="E44" s="14" t="s">
        <v>106</v>
      </c>
    </row>
    <row r="45" spans="1:5">
      <c r="A45" s="13" t="s">
        <v>107</v>
      </c>
      <c r="B45" s="14" t="s">
        <v>108</v>
      </c>
      <c r="C45" s="14">
        <v>10</v>
      </c>
      <c r="D45" s="11" t="s">
        <v>87</v>
      </c>
      <c r="E45" s="14" t="s">
        <v>109</v>
      </c>
    </row>
    <row r="46" spans="1:5">
      <c r="A46" s="15" t="s">
        <v>110</v>
      </c>
      <c r="B46" s="15" t="s">
        <v>111</v>
      </c>
      <c r="C46" s="16">
        <v>500</v>
      </c>
      <c r="D46" s="15" t="s">
        <v>112</v>
      </c>
      <c r="E46" s="14" t="s">
        <v>113</v>
      </c>
    </row>
    <row r="47" spans="1:5">
      <c r="A47" s="15" t="s">
        <v>114</v>
      </c>
      <c r="B47" s="15" t="s">
        <v>115</v>
      </c>
      <c r="C47" s="16">
        <v>300</v>
      </c>
      <c r="D47" s="15" t="s">
        <v>112</v>
      </c>
      <c r="E47" s="14" t="s">
        <v>116</v>
      </c>
    </row>
    <row r="48" spans="1:5">
      <c r="A48" s="15" t="s">
        <v>117</v>
      </c>
      <c r="B48" s="15" t="s">
        <v>118</v>
      </c>
      <c r="C48" s="16">
        <v>100</v>
      </c>
      <c r="D48" s="15" t="s">
        <v>112</v>
      </c>
      <c r="E48" s="11" t="s">
        <v>119</v>
      </c>
    </row>
    <row r="49" spans="1:5">
      <c r="A49" s="15" t="s">
        <v>120</v>
      </c>
      <c r="B49" s="15" t="s">
        <v>121</v>
      </c>
      <c r="C49" s="16">
        <v>500</v>
      </c>
      <c r="D49" s="15" t="s">
        <v>112</v>
      </c>
      <c r="E49" s="11" t="s">
        <v>122</v>
      </c>
    </row>
    <row r="50" spans="1:5">
      <c r="A50" s="15" t="s">
        <v>123</v>
      </c>
      <c r="B50" s="15" t="s">
        <v>124</v>
      </c>
      <c r="C50" s="16">
        <v>150</v>
      </c>
      <c r="D50" s="15" t="s">
        <v>112</v>
      </c>
      <c r="E50" s="11" t="s">
        <v>125</v>
      </c>
    </row>
    <row r="51" spans="1:5">
      <c r="A51" s="15" t="s">
        <v>126</v>
      </c>
      <c r="B51" s="16" t="s">
        <v>127</v>
      </c>
      <c r="C51" s="16">
        <v>15</v>
      </c>
      <c r="D51" s="15" t="s">
        <v>112</v>
      </c>
      <c r="E51" s="11" t="s">
        <v>128</v>
      </c>
    </row>
    <row r="52" spans="1:5">
      <c r="A52" s="15" t="s">
        <v>129</v>
      </c>
      <c r="B52" s="16" t="s">
        <v>130</v>
      </c>
      <c r="C52" s="16">
        <v>5</v>
      </c>
      <c r="D52" s="15" t="s">
        <v>112</v>
      </c>
      <c r="E52" s="11" t="s">
        <v>131</v>
      </c>
    </row>
    <row r="53" spans="1:5">
      <c r="A53" s="15" t="s">
        <v>132</v>
      </c>
      <c r="B53" s="16" t="s">
        <v>133</v>
      </c>
      <c r="C53" s="16">
        <v>400</v>
      </c>
      <c r="D53" s="15" t="s">
        <v>112</v>
      </c>
      <c r="E53" s="12" t="s">
        <v>134</v>
      </c>
    </row>
    <row r="54" spans="1:5">
      <c r="A54" s="15" t="s">
        <v>135</v>
      </c>
      <c r="B54" s="16" t="s">
        <v>136</v>
      </c>
      <c r="C54" s="16">
        <v>80</v>
      </c>
      <c r="D54" s="15" t="s">
        <v>112</v>
      </c>
      <c r="E54" s="12" t="s">
        <v>137</v>
      </c>
    </row>
    <row r="55" spans="1:5">
      <c r="A55" s="15" t="s">
        <v>138</v>
      </c>
      <c r="B55" s="16" t="s">
        <v>139</v>
      </c>
      <c r="C55" s="16">
        <v>100</v>
      </c>
      <c r="D55" s="15" t="s">
        <v>112</v>
      </c>
      <c r="E55" s="12" t="s">
        <v>140</v>
      </c>
    </row>
    <row r="56" spans="1:5">
      <c r="A56" s="15" t="s">
        <v>141</v>
      </c>
      <c r="B56" s="16" t="s">
        <v>97</v>
      </c>
      <c r="C56" s="16">
        <v>500</v>
      </c>
      <c r="D56" s="15" t="s">
        <v>112</v>
      </c>
      <c r="E56" s="12" t="s">
        <v>98</v>
      </c>
    </row>
    <row r="57" spans="1:5">
      <c r="A57" s="15" t="s">
        <v>142</v>
      </c>
      <c r="B57" s="16" t="s">
        <v>38</v>
      </c>
      <c r="C57" s="16">
        <v>500</v>
      </c>
      <c r="D57" s="15" t="s">
        <v>112</v>
      </c>
      <c r="E57" s="12" t="s">
        <v>39</v>
      </c>
    </row>
    <row r="58" spans="1:5">
      <c r="A58" s="11" t="s">
        <v>143</v>
      </c>
      <c r="B58" s="11" t="s">
        <v>111</v>
      </c>
      <c r="C58" s="12">
        <v>500</v>
      </c>
      <c r="D58" s="11" t="s">
        <v>144</v>
      </c>
      <c r="E58" s="12" t="s">
        <v>113</v>
      </c>
    </row>
    <row r="59" spans="1:5">
      <c r="A59" s="11" t="s">
        <v>145</v>
      </c>
      <c r="B59" s="11" t="s">
        <v>115</v>
      </c>
      <c r="C59" s="12">
        <v>300</v>
      </c>
      <c r="D59" s="11" t="s">
        <v>144</v>
      </c>
      <c r="E59" s="12" t="s">
        <v>116</v>
      </c>
    </row>
    <row r="60" spans="1:5">
      <c r="A60" s="11" t="s">
        <v>146</v>
      </c>
      <c r="B60" s="11" t="s">
        <v>118</v>
      </c>
      <c r="C60" s="12">
        <v>100</v>
      </c>
      <c r="D60" s="11" t="s">
        <v>144</v>
      </c>
      <c r="E60" s="10" t="s">
        <v>119</v>
      </c>
    </row>
    <row r="61" spans="1:5">
      <c r="A61" s="11" t="s">
        <v>147</v>
      </c>
      <c r="B61" s="11" t="s">
        <v>121</v>
      </c>
      <c r="C61" s="12">
        <v>500</v>
      </c>
      <c r="D61" s="11" t="s">
        <v>144</v>
      </c>
      <c r="E61" s="10" t="s">
        <v>122</v>
      </c>
    </row>
    <row r="62" spans="1:5">
      <c r="A62" s="11" t="s">
        <v>148</v>
      </c>
      <c r="B62" s="11" t="s">
        <v>149</v>
      </c>
      <c r="C62" s="12">
        <v>150</v>
      </c>
      <c r="D62" s="11" t="s">
        <v>144</v>
      </c>
      <c r="E62" s="10" t="s">
        <v>150</v>
      </c>
    </row>
    <row r="63" spans="1:5">
      <c r="A63" s="11" t="s">
        <v>151</v>
      </c>
      <c r="B63" s="12" t="s">
        <v>127</v>
      </c>
      <c r="C63" s="16">
        <v>15</v>
      </c>
      <c r="D63" s="11" t="s">
        <v>144</v>
      </c>
      <c r="E63" s="10" t="s">
        <v>128</v>
      </c>
    </row>
    <row r="64" spans="1:5">
      <c r="A64" s="11" t="s">
        <v>152</v>
      </c>
      <c r="B64" s="12" t="s">
        <v>130</v>
      </c>
      <c r="C64" s="16">
        <v>5</v>
      </c>
      <c r="D64" s="11" t="s">
        <v>144</v>
      </c>
      <c r="E64" s="10" t="s">
        <v>131</v>
      </c>
    </row>
    <row r="65" spans="1:5">
      <c r="A65" s="11" t="s">
        <v>153</v>
      </c>
      <c r="B65" s="12" t="s">
        <v>133</v>
      </c>
      <c r="C65" s="12">
        <v>400</v>
      </c>
      <c r="D65" s="11" t="s">
        <v>144</v>
      </c>
      <c r="E65" s="10" t="s">
        <v>134</v>
      </c>
    </row>
    <row r="66" spans="1:5">
      <c r="A66" s="11" t="s">
        <v>154</v>
      </c>
      <c r="B66" s="12" t="s">
        <v>155</v>
      </c>
      <c r="C66" s="12">
        <v>80</v>
      </c>
      <c r="D66" s="11" t="s">
        <v>144</v>
      </c>
      <c r="E66" s="10" t="s">
        <v>156</v>
      </c>
    </row>
    <row r="67" spans="1:5">
      <c r="A67" s="11" t="s">
        <v>157</v>
      </c>
      <c r="B67" s="12" t="s">
        <v>139</v>
      </c>
      <c r="C67" s="12">
        <v>100</v>
      </c>
      <c r="D67" s="11" t="s">
        <v>144</v>
      </c>
      <c r="E67" s="10" t="s">
        <v>140</v>
      </c>
    </row>
    <row r="68" spans="1:5">
      <c r="A68" s="11" t="s">
        <v>158</v>
      </c>
      <c r="B68" s="12" t="s">
        <v>97</v>
      </c>
      <c r="C68" s="12">
        <v>500</v>
      </c>
      <c r="D68" s="11" t="s">
        <v>144</v>
      </c>
      <c r="E68" s="10" t="s">
        <v>98</v>
      </c>
    </row>
    <row r="69" spans="1:5">
      <c r="A69" s="11" t="s">
        <v>159</v>
      </c>
      <c r="B69" s="12" t="s">
        <v>38</v>
      </c>
      <c r="C69" s="12">
        <v>500</v>
      </c>
      <c r="D69" s="11" t="s">
        <v>144</v>
      </c>
      <c r="E69" s="10" t="s">
        <v>39</v>
      </c>
    </row>
  </sheetData>
  <phoneticPr fontId="8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33"/>
  <sheetViews>
    <sheetView workbookViewId="0">
      <selection activeCell="D27" sqref="D27"/>
    </sheetView>
  </sheetViews>
  <sheetFormatPr defaultColWidth="9" defaultRowHeight="14.4"/>
  <cols>
    <col min="3" max="3" width="14.77734375" customWidth="1"/>
    <col min="4" max="4" width="15.21875" customWidth="1"/>
  </cols>
  <sheetData>
    <row r="1" spans="1:7" ht="15">
      <c r="A1" t="s">
        <v>13</v>
      </c>
      <c r="B1" t="s">
        <v>160</v>
      </c>
      <c r="C1" s="8" t="s">
        <v>14</v>
      </c>
      <c r="D1" t="s">
        <v>161</v>
      </c>
    </row>
    <row r="2" spans="1:7" ht="15">
      <c r="A2">
        <v>1</v>
      </c>
      <c r="B2">
        <v>10</v>
      </c>
      <c r="C2" s="8" t="s">
        <v>162</v>
      </c>
      <c r="D2" t="s">
        <v>163</v>
      </c>
      <c r="E2">
        <f t="shared" ref="E2:E15" si="0">B3-B2</f>
        <v>10</v>
      </c>
      <c r="G2">
        <f t="shared" ref="G2:G15" si="1">B2*7.2</f>
        <v>72</v>
      </c>
    </row>
    <row r="3" spans="1:7" ht="15">
      <c r="A3">
        <v>2</v>
      </c>
      <c r="B3">
        <v>20</v>
      </c>
      <c r="C3" s="8" t="s">
        <v>164</v>
      </c>
      <c r="D3" t="s">
        <v>165</v>
      </c>
      <c r="E3">
        <f t="shared" si="0"/>
        <v>15</v>
      </c>
      <c r="G3">
        <f t="shared" si="1"/>
        <v>144</v>
      </c>
    </row>
    <row r="4" spans="1:7" ht="15">
      <c r="A4">
        <v>3</v>
      </c>
      <c r="B4">
        <v>35</v>
      </c>
      <c r="C4" s="8" t="s">
        <v>166</v>
      </c>
      <c r="D4" t="s">
        <v>167</v>
      </c>
      <c r="E4">
        <f t="shared" si="0"/>
        <v>20</v>
      </c>
      <c r="G4">
        <f t="shared" si="1"/>
        <v>252</v>
      </c>
    </row>
    <row r="5" spans="1:7" ht="15">
      <c r="A5">
        <v>4</v>
      </c>
      <c r="B5">
        <v>55</v>
      </c>
      <c r="C5" s="8" t="s">
        <v>130</v>
      </c>
      <c r="D5" s="9" t="s">
        <v>131</v>
      </c>
      <c r="E5">
        <f t="shared" si="0"/>
        <v>30</v>
      </c>
      <c r="G5">
        <f t="shared" si="1"/>
        <v>396</v>
      </c>
    </row>
    <row r="6" spans="1:7" ht="15">
      <c r="A6">
        <v>5</v>
      </c>
      <c r="B6">
        <v>85</v>
      </c>
      <c r="C6" s="8" t="s">
        <v>168</v>
      </c>
      <c r="D6" t="s">
        <v>169</v>
      </c>
      <c r="E6">
        <f t="shared" si="0"/>
        <v>30</v>
      </c>
      <c r="G6">
        <f t="shared" si="1"/>
        <v>612</v>
      </c>
    </row>
    <row r="7" spans="1:7" ht="15">
      <c r="A7">
        <v>6</v>
      </c>
      <c r="B7">
        <v>115</v>
      </c>
      <c r="C7" s="8" t="s">
        <v>170</v>
      </c>
      <c r="D7" t="s">
        <v>171</v>
      </c>
      <c r="E7">
        <f t="shared" si="0"/>
        <v>30</v>
      </c>
      <c r="G7">
        <f t="shared" si="1"/>
        <v>828</v>
      </c>
    </row>
    <row r="8" spans="1:7" ht="15">
      <c r="A8">
        <v>7</v>
      </c>
      <c r="B8">
        <v>145</v>
      </c>
      <c r="C8" s="8" t="s">
        <v>172</v>
      </c>
      <c r="D8" t="s">
        <v>173</v>
      </c>
      <c r="E8">
        <f t="shared" si="0"/>
        <v>30</v>
      </c>
      <c r="G8">
        <f t="shared" si="1"/>
        <v>1044</v>
      </c>
    </row>
    <row r="9" spans="1:7" ht="15">
      <c r="A9">
        <v>8</v>
      </c>
      <c r="B9">
        <v>175</v>
      </c>
      <c r="C9" s="8" t="s">
        <v>174</v>
      </c>
      <c r="D9" t="s">
        <v>175</v>
      </c>
      <c r="E9">
        <f t="shared" si="0"/>
        <v>30</v>
      </c>
      <c r="G9">
        <f t="shared" si="1"/>
        <v>1260</v>
      </c>
    </row>
    <row r="10" spans="1:7" ht="15">
      <c r="A10">
        <v>9</v>
      </c>
      <c r="B10">
        <v>205</v>
      </c>
      <c r="C10" s="8" t="s">
        <v>176</v>
      </c>
      <c r="D10" t="s">
        <v>177</v>
      </c>
      <c r="E10">
        <f t="shared" si="0"/>
        <v>31</v>
      </c>
      <c r="G10">
        <f t="shared" si="1"/>
        <v>1476</v>
      </c>
    </row>
    <row r="11" spans="1:7" ht="15">
      <c r="A11">
        <v>10</v>
      </c>
      <c r="B11">
        <v>236</v>
      </c>
      <c r="C11" s="8" t="s">
        <v>178</v>
      </c>
      <c r="D11" t="s">
        <v>179</v>
      </c>
      <c r="E11">
        <f t="shared" si="0"/>
        <v>33</v>
      </c>
      <c r="G11">
        <f t="shared" si="1"/>
        <v>1699.2</v>
      </c>
    </row>
    <row r="12" spans="1:7" ht="15">
      <c r="A12">
        <v>11</v>
      </c>
      <c r="B12">
        <v>269</v>
      </c>
      <c r="C12" s="8" t="s">
        <v>180</v>
      </c>
      <c r="D12" t="s">
        <v>181</v>
      </c>
      <c r="E12">
        <f t="shared" si="0"/>
        <v>33</v>
      </c>
      <c r="G12">
        <f t="shared" si="1"/>
        <v>1936.8</v>
      </c>
    </row>
    <row r="13" spans="1:7" ht="15">
      <c r="A13">
        <v>12</v>
      </c>
      <c r="B13">
        <v>302</v>
      </c>
      <c r="C13" s="8" t="s">
        <v>182</v>
      </c>
      <c r="D13" t="s">
        <v>183</v>
      </c>
      <c r="E13">
        <f t="shared" si="0"/>
        <v>36</v>
      </c>
      <c r="G13">
        <f t="shared" si="1"/>
        <v>2174.4</v>
      </c>
    </row>
    <row r="14" spans="1:7" ht="15">
      <c r="A14">
        <v>13</v>
      </c>
      <c r="B14">
        <v>338</v>
      </c>
      <c r="C14" s="8" t="s">
        <v>184</v>
      </c>
      <c r="D14" t="s">
        <v>185</v>
      </c>
      <c r="E14">
        <f t="shared" si="0"/>
        <v>36</v>
      </c>
      <c r="G14">
        <f t="shared" si="1"/>
        <v>2433.6</v>
      </c>
    </row>
    <row r="15" spans="1:7" ht="15">
      <c r="A15">
        <v>14</v>
      </c>
      <c r="B15">
        <v>374</v>
      </c>
      <c r="C15" s="8" t="s">
        <v>186</v>
      </c>
      <c r="D15" t="s">
        <v>187</v>
      </c>
      <c r="E15">
        <f t="shared" si="0"/>
        <v>36</v>
      </c>
      <c r="G15">
        <f t="shared" si="1"/>
        <v>2692.8</v>
      </c>
    </row>
    <row r="16" spans="1:7" ht="15">
      <c r="A16">
        <v>15</v>
      </c>
      <c r="B16">
        <v>410</v>
      </c>
      <c r="C16" s="8" t="s">
        <v>188</v>
      </c>
      <c r="D16" t="s">
        <v>189</v>
      </c>
      <c r="E16">
        <f t="shared" ref="E16:E32" si="2">B17-B16</f>
        <v>36</v>
      </c>
      <c r="G16">
        <f t="shared" ref="G16:G33" si="3">B16*7.2</f>
        <v>2952</v>
      </c>
    </row>
    <row r="17" spans="1:7" ht="15">
      <c r="A17">
        <v>16</v>
      </c>
      <c r="B17">
        <v>446</v>
      </c>
      <c r="C17" s="8" t="s">
        <v>190</v>
      </c>
      <c r="D17" t="s">
        <v>191</v>
      </c>
      <c r="E17">
        <f t="shared" si="2"/>
        <v>36</v>
      </c>
      <c r="G17">
        <f t="shared" si="3"/>
        <v>3211.2000000000003</v>
      </c>
    </row>
    <row r="18" spans="1:7" ht="15">
      <c r="A18">
        <v>17</v>
      </c>
      <c r="B18">
        <v>482</v>
      </c>
      <c r="C18" s="8" t="s">
        <v>192</v>
      </c>
      <c r="D18" t="s">
        <v>193</v>
      </c>
      <c r="E18">
        <f t="shared" si="2"/>
        <v>36</v>
      </c>
      <c r="G18">
        <f t="shared" si="3"/>
        <v>3470.4</v>
      </c>
    </row>
    <row r="19" spans="1:7" ht="15">
      <c r="A19">
        <v>18</v>
      </c>
      <c r="B19">
        <v>518</v>
      </c>
      <c r="C19" s="8" t="s">
        <v>194</v>
      </c>
      <c r="D19" t="s">
        <v>195</v>
      </c>
      <c r="E19">
        <f t="shared" si="2"/>
        <v>36</v>
      </c>
      <c r="G19">
        <f t="shared" si="3"/>
        <v>3729.6</v>
      </c>
    </row>
    <row r="20" spans="1:7" ht="15">
      <c r="A20">
        <v>19</v>
      </c>
      <c r="B20">
        <v>554</v>
      </c>
      <c r="C20" s="8" t="s">
        <v>178</v>
      </c>
      <c r="D20" t="s">
        <v>179</v>
      </c>
      <c r="E20">
        <f t="shared" si="2"/>
        <v>39</v>
      </c>
      <c r="G20">
        <f t="shared" si="3"/>
        <v>3988.8</v>
      </c>
    </row>
    <row r="21" spans="1:7" ht="15">
      <c r="A21">
        <v>20</v>
      </c>
      <c r="B21">
        <v>593</v>
      </c>
      <c r="C21" s="8" t="s">
        <v>196</v>
      </c>
      <c r="D21" t="s">
        <v>197</v>
      </c>
      <c r="E21">
        <f t="shared" si="2"/>
        <v>39</v>
      </c>
      <c r="G21">
        <f t="shared" si="3"/>
        <v>4269.6000000000004</v>
      </c>
    </row>
    <row r="22" spans="1:7" ht="15">
      <c r="A22">
        <v>21</v>
      </c>
      <c r="B22">
        <v>632</v>
      </c>
      <c r="C22" s="8" t="s">
        <v>176</v>
      </c>
      <c r="D22" t="s">
        <v>177</v>
      </c>
      <c r="E22">
        <f t="shared" si="2"/>
        <v>39</v>
      </c>
      <c r="G22">
        <f t="shared" si="3"/>
        <v>4550.4000000000005</v>
      </c>
    </row>
    <row r="23" spans="1:7" ht="15">
      <c r="A23">
        <v>22</v>
      </c>
      <c r="B23">
        <v>671</v>
      </c>
      <c r="C23" s="8" t="s">
        <v>192</v>
      </c>
      <c r="D23" t="s">
        <v>193</v>
      </c>
      <c r="E23">
        <f t="shared" si="2"/>
        <v>39</v>
      </c>
      <c r="G23">
        <f t="shared" si="3"/>
        <v>4831.2</v>
      </c>
    </row>
    <row r="24" spans="1:7" ht="15">
      <c r="A24">
        <v>23</v>
      </c>
      <c r="B24">
        <v>710</v>
      </c>
      <c r="C24" s="8" t="s">
        <v>198</v>
      </c>
      <c r="D24" t="s">
        <v>199</v>
      </c>
      <c r="E24">
        <f t="shared" si="2"/>
        <v>39</v>
      </c>
      <c r="G24">
        <f t="shared" si="3"/>
        <v>5112</v>
      </c>
    </row>
    <row r="25" spans="1:7" ht="15">
      <c r="A25">
        <v>24</v>
      </c>
      <c r="B25">
        <v>749</v>
      </c>
      <c r="C25" s="8" t="s">
        <v>200</v>
      </c>
      <c r="D25" t="s">
        <v>201</v>
      </c>
      <c r="E25">
        <f t="shared" si="2"/>
        <v>39</v>
      </c>
      <c r="G25">
        <f t="shared" si="3"/>
        <v>5392.8</v>
      </c>
    </row>
    <row r="26" spans="1:7" ht="15">
      <c r="A26">
        <v>25</v>
      </c>
      <c r="B26">
        <v>788</v>
      </c>
      <c r="C26" s="8" t="s">
        <v>190</v>
      </c>
      <c r="D26" t="s">
        <v>191</v>
      </c>
      <c r="E26">
        <f t="shared" si="2"/>
        <v>42</v>
      </c>
      <c r="G26">
        <f t="shared" si="3"/>
        <v>5673.6</v>
      </c>
    </row>
    <row r="27" spans="1:7" ht="15">
      <c r="A27">
        <v>26</v>
      </c>
      <c r="B27">
        <v>830</v>
      </c>
      <c r="C27" s="8" t="s">
        <v>178</v>
      </c>
      <c r="D27" t="s">
        <v>179</v>
      </c>
      <c r="E27">
        <f t="shared" si="2"/>
        <v>42</v>
      </c>
      <c r="G27">
        <f t="shared" si="3"/>
        <v>5976</v>
      </c>
    </row>
    <row r="28" spans="1:7" ht="15">
      <c r="A28">
        <v>27</v>
      </c>
      <c r="B28">
        <v>872</v>
      </c>
      <c r="C28" s="8" t="s">
        <v>180</v>
      </c>
      <c r="D28" t="s">
        <v>181</v>
      </c>
      <c r="E28">
        <f t="shared" si="2"/>
        <v>42</v>
      </c>
      <c r="G28">
        <f t="shared" si="3"/>
        <v>6278.4000000000005</v>
      </c>
    </row>
    <row r="29" spans="1:7" ht="15">
      <c r="A29">
        <v>28</v>
      </c>
      <c r="B29">
        <v>914</v>
      </c>
      <c r="C29" s="8" t="s">
        <v>202</v>
      </c>
      <c r="D29" t="s">
        <v>203</v>
      </c>
      <c r="E29">
        <f t="shared" si="2"/>
        <v>42</v>
      </c>
      <c r="G29">
        <f t="shared" si="3"/>
        <v>6580.8</v>
      </c>
    </row>
    <row r="30" spans="1:7" ht="15">
      <c r="A30">
        <v>29</v>
      </c>
      <c r="B30">
        <v>956</v>
      </c>
      <c r="C30" s="8" t="s">
        <v>184</v>
      </c>
      <c r="D30" t="s">
        <v>185</v>
      </c>
      <c r="E30">
        <f t="shared" si="2"/>
        <v>42</v>
      </c>
      <c r="G30">
        <f t="shared" si="3"/>
        <v>6883.2</v>
      </c>
    </row>
    <row r="31" spans="1:7" ht="15">
      <c r="A31">
        <v>30</v>
      </c>
      <c r="B31">
        <v>998</v>
      </c>
      <c r="C31" s="8" t="s">
        <v>204</v>
      </c>
      <c r="D31" t="s">
        <v>205</v>
      </c>
      <c r="E31">
        <f t="shared" si="2"/>
        <v>42</v>
      </c>
      <c r="G31">
        <f t="shared" si="3"/>
        <v>7185.6</v>
      </c>
    </row>
    <row r="32" spans="1:7" ht="15">
      <c r="A32">
        <v>31</v>
      </c>
      <c r="B32">
        <v>1040</v>
      </c>
      <c r="C32" s="8" t="s">
        <v>188</v>
      </c>
      <c r="D32" t="s">
        <v>189</v>
      </c>
      <c r="E32">
        <f t="shared" si="2"/>
        <v>42</v>
      </c>
      <c r="G32">
        <f t="shared" si="3"/>
        <v>7488</v>
      </c>
    </row>
    <row r="33" spans="1:7" ht="15">
      <c r="A33">
        <v>32</v>
      </c>
      <c r="B33">
        <v>1082</v>
      </c>
      <c r="C33" s="8" t="s">
        <v>206</v>
      </c>
      <c r="D33" t="s">
        <v>207</v>
      </c>
      <c r="G33">
        <f t="shared" si="3"/>
        <v>7790.4000000000005</v>
      </c>
    </row>
  </sheetData>
  <phoneticPr fontId="8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I8"/>
  <sheetViews>
    <sheetView workbookViewId="0">
      <selection activeCell="D10" sqref="D10"/>
    </sheetView>
  </sheetViews>
  <sheetFormatPr defaultColWidth="9" defaultRowHeight="14.4"/>
  <cols>
    <col min="1" max="1" width="7.33203125" customWidth="1"/>
    <col min="2" max="2" width="9.21875" customWidth="1"/>
    <col min="3" max="4" width="53.109375" customWidth="1"/>
    <col min="5" max="5" width="13.21875" customWidth="1"/>
    <col min="6" max="6" width="9.21875" customWidth="1"/>
    <col min="7" max="7" width="5.33203125" customWidth="1"/>
    <col min="8" max="8" width="12.88671875" customWidth="1"/>
    <col min="9" max="9" width="37.6640625" customWidth="1"/>
  </cols>
  <sheetData>
    <row r="1" spans="1:9" ht="15.6">
      <c r="A1" s="5" t="s">
        <v>13</v>
      </c>
      <c r="B1" s="5" t="s">
        <v>208</v>
      </c>
      <c r="C1" s="5" t="s">
        <v>209</v>
      </c>
      <c r="D1" s="5" t="s">
        <v>210</v>
      </c>
      <c r="E1" s="5" t="s">
        <v>211</v>
      </c>
      <c r="F1" s="5" t="s">
        <v>212</v>
      </c>
      <c r="G1" s="5" t="s">
        <v>1</v>
      </c>
      <c r="H1" s="5" t="s">
        <v>161</v>
      </c>
      <c r="I1" s="5" t="s">
        <v>161</v>
      </c>
    </row>
    <row r="2" spans="1:9" ht="15.6">
      <c r="A2" s="5">
        <v>10001</v>
      </c>
      <c r="B2" s="5">
        <v>1</v>
      </c>
      <c r="C2" s="6" t="s">
        <v>253</v>
      </c>
      <c r="D2" s="7" t="s">
        <v>260</v>
      </c>
      <c r="E2" s="6" t="s">
        <v>247</v>
      </c>
      <c r="F2" s="6" t="s">
        <v>213</v>
      </c>
      <c r="G2">
        <v>1</v>
      </c>
      <c r="H2" t="s">
        <v>214</v>
      </c>
      <c r="I2" t="s">
        <v>215</v>
      </c>
    </row>
    <row r="3" spans="1:9" ht="15.6">
      <c r="A3" s="5">
        <v>10002</v>
      </c>
      <c r="B3" s="5">
        <v>2</v>
      </c>
      <c r="C3" s="6" t="s">
        <v>254</v>
      </c>
      <c r="D3" s="7" t="s">
        <v>260</v>
      </c>
      <c r="E3" s="6" t="s">
        <v>247</v>
      </c>
      <c r="F3" s="6" t="s">
        <v>216</v>
      </c>
      <c r="G3">
        <v>1</v>
      </c>
      <c r="H3" t="s">
        <v>217</v>
      </c>
      <c r="I3" t="s">
        <v>218</v>
      </c>
    </row>
    <row r="4" spans="1:9" ht="15.6">
      <c r="A4" s="5">
        <v>10003</v>
      </c>
      <c r="B4" s="5">
        <v>3</v>
      </c>
      <c r="C4" s="6" t="s">
        <v>255</v>
      </c>
      <c r="D4" s="7" t="s">
        <v>260</v>
      </c>
      <c r="E4" s="6" t="s">
        <v>247</v>
      </c>
      <c r="F4" s="6" t="s">
        <v>219</v>
      </c>
      <c r="G4">
        <v>1</v>
      </c>
      <c r="H4" t="s">
        <v>220</v>
      </c>
      <c r="I4" t="s">
        <v>218</v>
      </c>
    </row>
    <row r="5" spans="1:9" ht="15.6">
      <c r="A5" s="5">
        <v>10004</v>
      </c>
      <c r="B5" s="5">
        <v>4</v>
      </c>
      <c r="C5" s="6" t="s">
        <v>256</v>
      </c>
      <c r="D5" s="7" t="s">
        <v>260</v>
      </c>
      <c r="E5" s="6" t="s">
        <v>247</v>
      </c>
      <c r="F5" s="6" t="s">
        <v>221</v>
      </c>
      <c r="G5">
        <v>1</v>
      </c>
      <c r="H5" t="s">
        <v>222</v>
      </c>
      <c r="I5" t="s">
        <v>218</v>
      </c>
    </row>
    <row r="6" spans="1:9" ht="15.6">
      <c r="A6" s="5">
        <v>10005</v>
      </c>
      <c r="B6" s="5">
        <v>5</v>
      </c>
      <c r="C6" s="6" t="s">
        <v>257</v>
      </c>
      <c r="D6" s="7" t="s">
        <v>260</v>
      </c>
      <c r="E6" s="6" t="s">
        <v>247</v>
      </c>
      <c r="F6" s="6" t="s">
        <v>223</v>
      </c>
      <c r="G6">
        <v>1</v>
      </c>
      <c r="H6" t="s">
        <v>220</v>
      </c>
      <c r="I6" t="s">
        <v>218</v>
      </c>
    </row>
    <row r="7" spans="1:9" ht="15.6">
      <c r="A7" s="5">
        <v>10006</v>
      </c>
      <c r="B7" s="5">
        <v>6</v>
      </c>
      <c r="C7" s="6" t="s">
        <v>258</v>
      </c>
      <c r="D7" s="7" t="s">
        <v>260</v>
      </c>
      <c r="E7" s="6" t="s">
        <v>247</v>
      </c>
      <c r="F7" s="6" t="s">
        <v>224</v>
      </c>
      <c r="G7">
        <v>1</v>
      </c>
      <c r="H7" t="s">
        <v>225</v>
      </c>
      <c r="I7" t="s">
        <v>218</v>
      </c>
    </row>
    <row r="8" spans="1:9" ht="15.6">
      <c r="A8" s="5">
        <v>10007</v>
      </c>
      <c r="B8" s="5">
        <v>7</v>
      </c>
      <c r="C8" s="6" t="s">
        <v>259</v>
      </c>
      <c r="D8" s="7" t="s">
        <v>260</v>
      </c>
      <c r="E8" s="6" t="s">
        <v>247</v>
      </c>
      <c r="F8" s="6" t="s">
        <v>226</v>
      </c>
      <c r="G8">
        <v>1</v>
      </c>
      <c r="H8" t="s">
        <v>227</v>
      </c>
      <c r="I8" t="s">
        <v>218</v>
      </c>
    </row>
  </sheetData>
  <phoneticPr fontId="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24"/>
  <sheetViews>
    <sheetView workbookViewId="0">
      <selection activeCell="D13" sqref="D13"/>
    </sheetView>
  </sheetViews>
  <sheetFormatPr defaultColWidth="9" defaultRowHeight="14.4"/>
  <cols>
    <col min="2" max="2" width="69.21875" bestFit="1" customWidth="1"/>
    <col min="8" max="8" width="54.109375" customWidth="1"/>
    <col min="10" max="11" width="12.6640625"/>
  </cols>
  <sheetData>
    <row r="1" spans="1:8">
      <c r="A1" t="s">
        <v>13</v>
      </c>
      <c r="B1" t="s">
        <v>228</v>
      </c>
      <c r="C1" t="s">
        <v>229</v>
      </c>
      <c r="D1" t="s">
        <v>230</v>
      </c>
      <c r="E1" t="s">
        <v>231</v>
      </c>
      <c r="F1" t="s">
        <v>212</v>
      </c>
      <c r="G1" t="s">
        <v>1</v>
      </c>
      <c r="H1" t="s">
        <v>161</v>
      </c>
    </row>
    <row r="2" spans="1:8" ht="16.2">
      <c r="A2">
        <v>100001</v>
      </c>
      <c r="B2" s="2" t="s">
        <v>249</v>
      </c>
      <c r="C2">
        <v>3000</v>
      </c>
      <c r="D2">
        <v>1</v>
      </c>
      <c r="E2">
        <v>1</v>
      </c>
      <c r="F2" s="3">
        <v>52701</v>
      </c>
      <c r="G2">
        <v>1</v>
      </c>
      <c r="H2" s="4" t="s">
        <v>232</v>
      </c>
    </row>
    <row r="3" spans="1:8" ht="16.2">
      <c r="A3">
        <v>100002</v>
      </c>
      <c r="B3" s="2" t="s">
        <v>249</v>
      </c>
      <c r="C3">
        <v>3000</v>
      </c>
      <c r="D3">
        <v>1</v>
      </c>
      <c r="E3">
        <v>2</v>
      </c>
      <c r="F3" s="3">
        <v>52702</v>
      </c>
      <c r="G3">
        <v>1</v>
      </c>
      <c r="H3" s="4" t="s">
        <v>233</v>
      </c>
    </row>
    <row r="4" spans="1:8" ht="16.2">
      <c r="A4">
        <v>100003</v>
      </c>
      <c r="B4" s="2" t="s">
        <v>250</v>
      </c>
      <c r="C4">
        <v>15000</v>
      </c>
      <c r="D4">
        <v>1</v>
      </c>
      <c r="E4">
        <v>3</v>
      </c>
      <c r="F4" s="3">
        <v>52703</v>
      </c>
      <c r="G4">
        <v>1</v>
      </c>
      <c r="H4" s="4" t="s">
        <v>234</v>
      </c>
    </row>
    <row r="5" spans="1:8" ht="16.2">
      <c r="A5">
        <v>100004</v>
      </c>
      <c r="B5" s="2" t="s">
        <v>250</v>
      </c>
      <c r="C5">
        <v>15000</v>
      </c>
      <c r="D5">
        <v>1</v>
      </c>
      <c r="E5">
        <v>4</v>
      </c>
      <c r="F5" s="3">
        <v>52704</v>
      </c>
      <c r="G5">
        <v>1</v>
      </c>
      <c r="H5" s="4" t="s">
        <v>235</v>
      </c>
    </row>
    <row r="6" spans="1:8" ht="16.2">
      <c r="A6">
        <v>100005</v>
      </c>
      <c r="B6" s="2" t="s">
        <v>251</v>
      </c>
      <c r="C6">
        <v>25000</v>
      </c>
      <c r="D6">
        <v>1</v>
      </c>
      <c r="E6">
        <v>5</v>
      </c>
      <c r="F6" s="3">
        <v>52705</v>
      </c>
      <c r="G6">
        <v>1</v>
      </c>
      <c r="H6" s="4" t="s">
        <v>236</v>
      </c>
    </row>
    <row r="7" spans="1:8" ht="16.2">
      <c r="A7">
        <v>100006</v>
      </c>
      <c r="B7" s="2" t="s">
        <v>251</v>
      </c>
      <c r="C7">
        <v>25000</v>
      </c>
      <c r="D7">
        <v>1</v>
      </c>
      <c r="E7">
        <v>6</v>
      </c>
      <c r="F7" s="3">
        <v>52706</v>
      </c>
      <c r="G7">
        <v>1</v>
      </c>
      <c r="H7" s="4" t="s">
        <v>237</v>
      </c>
    </row>
    <row r="8" spans="1:8" ht="16.2">
      <c r="A8">
        <v>100007</v>
      </c>
      <c r="B8" s="2" t="s">
        <v>252</v>
      </c>
      <c r="C8">
        <v>100000</v>
      </c>
      <c r="D8">
        <v>1</v>
      </c>
      <c r="E8">
        <v>7</v>
      </c>
      <c r="F8" s="3">
        <v>52707</v>
      </c>
      <c r="G8">
        <v>1</v>
      </c>
      <c r="H8" s="4" t="s">
        <v>238</v>
      </c>
    </row>
    <row r="9" spans="1:8" ht="16.2">
      <c r="A9">
        <v>100008</v>
      </c>
      <c r="B9" s="2" t="s">
        <v>252</v>
      </c>
      <c r="C9">
        <v>100000</v>
      </c>
      <c r="D9">
        <v>1</v>
      </c>
      <c r="E9">
        <v>8</v>
      </c>
      <c r="F9" s="3">
        <v>52708</v>
      </c>
      <c r="G9">
        <v>1</v>
      </c>
      <c r="H9" s="4" t="s">
        <v>239</v>
      </c>
    </row>
    <row r="10" spans="1:8" ht="16.2">
      <c r="A10">
        <v>100009</v>
      </c>
      <c r="B10" s="2" t="s">
        <v>252</v>
      </c>
      <c r="C10">
        <v>100000</v>
      </c>
      <c r="D10">
        <v>1</v>
      </c>
      <c r="E10">
        <v>9</v>
      </c>
      <c r="F10" s="3">
        <v>52709</v>
      </c>
      <c r="G10">
        <v>1</v>
      </c>
      <c r="H10" s="4" t="s">
        <v>248</v>
      </c>
    </row>
    <row r="11" spans="1:8" ht="16.2">
      <c r="A11">
        <v>100010</v>
      </c>
      <c r="B11" s="2" t="s">
        <v>252</v>
      </c>
      <c r="C11">
        <v>100000</v>
      </c>
      <c r="D11">
        <v>1</v>
      </c>
      <c r="E11">
        <v>10</v>
      </c>
      <c r="F11" s="3">
        <v>52710</v>
      </c>
      <c r="G11">
        <v>1</v>
      </c>
      <c r="H11" s="4" t="s">
        <v>240</v>
      </c>
    </row>
    <row r="12" spans="1:8" ht="16.2">
      <c r="A12">
        <v>100011</v>
      </c>
      <c r="B12" s="2" t="s">
        <v>261</v>
      </c>
      <c r="C12">
        <v>200000</v>
      </c>
      <c r="D12">
        <v>10</v>
      </c>
      <c r="E12">
        <v>11</v>
      </c>
      <c r="F12" s="3">
        <v>52711</v>
      </c>
      <c r="G12">
        <v>1</v>
      </c>
      <c r="H12" s="4" t="s">
        <v>241</v>
      </c>
    </row>
    <row r="13" spans="1:8" ht="16.2">
      <c r="A13">
        <v>100012</v>
      </c>
      <c r="B13" s="2" t="s">
        <v>262</v>
      </c>
      <c r="C13">
        <v>200000</v>
      </c>
      <c r="D13">
        <v>10</v>
      </c>
      <c r="E13">
        <v>12</v>
      </c>
      <c r="F13" s="3">
        <v>52712</v>
      </c>
      <c r="G13">
        <v>1</v>
      </c>
      <c r="H13" s="4" t="s">
        <v>242</v>
      </c>
    </row>
    <row r="14" spans="1:8" ht="16.2">
      <c r="A14">
        <v>100013</v>
      </c>
      <c r="B14" s="2" t="s">
        <v>263</v>
      </c>
      <c r="C14">
        <v>500000</v>
      </c>
      <c r="D14">
        <v>10</v>
      </c>
      <c r="E14">
        <v>13</v>
      </c>
      <c r="F14" s="3">
        <v>52713</v>
      </c>
      <c r="G14">
        <v>1</v>
      </c>
      <c r="H14" s="4" t="s">
        <v>243</v>
      </c>
    </row>
    <row r="15" spans="1:8" ht="16.2">
      <c r="A15">
        <v>100014</v>
      </c>
      <c r="B15" s="2" t="s">
        <v>264</v>
      </c>
      <c r="C15">
        <v>500000</v>
      </c>
      <c r="D15">
        <v>10</v>
      </c>
      <c r="E15">
        <v>14</v>
      </c>
      <c r="F15" s="3">
        <v>52714</v>
      </c>
      <c r="G15">
        <v>1</v>
      </c>
      <c r="H15" s="4" t="s">
        <v>244</v>
      </c>
    </row>
    <row r="18" spans="2:2" ht="15.6">
      <c r="B18" s="18"/>
    </row>
    <row r="19" spans="2:2" ht="15.6">
      <c r="B19" s="18"/>
    </row>
    <row r="20" spans="2:2" ht="15.6">
      <c r="B20" s="18"/>
    </row>
    <row r="21" spans="2:2" ht="15.6">
      <c r="B21" s="18"/>
    </row>
    <row r="22" spans="2:2" ht="15.6">
      <c r="B22" s="18"/>
    </row>
    <row r="23" spans="2:2" ht="15.6">
      <c r="B23" s="7"/>
    </row>
    <row r="24" spans="2:2" ht="15.6">
      <c r="B24" s="7"/>
    </row>
  </sheetData>
  <phoneticPr fontId="8" type="noConversion"/>
  <conditionalFormatting sqref="F2:F15">
    <cfRule type="duplicateValues" dxfId="2" priority="1"/>
    <cfRule type="cellIs" dxfId="1" priority="2" operator="equal">
      <formula>110509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6"/>
  <sheetViews>
    <sheetView workbookViewId="0">
      <selection activeCell="G21" sqref="G21"/>
    </sheetView>
  </sheetViews>
  <sheetFormatPr defaultColWidth="9" defaultRowHeight="14.4"/>
  <sheetData>
    <row r="1" spans="1:3">
      <c r="A1" t="s">
        <v>13</v>
      </c>
      <c r="B1" t="s">
        <v>245</v>
      </c>
      <c r="C1" t="s">
        <v>1</v>
      </c>
    </row>
    <row r="2" spans="1:3">
      <c r="A2">
        <v>1</v>
      </c>
      <c r="B2" s="1">
        <v>682012</v>
      </c>
      <c r="C2">
        <v>1</v>
      </c>
    </row>
    <row r="3" spans="1:3">
      <c r="A3">
        <v>2</v>
      </c>
      <c r="B3" s="1">
        <v>682013</v>
      </c>
      <c r="C3">
        <v>1</v>
      </c>
    </row>
    <row r="4" spans="1:3">
      <c r="A4">
        <v>3</v>
      </c>
      <c r="B4" s="1">
        <v>682014</v>
      </c>
      <c r="C4">
        <v>1</v>
      </c>
    </row>
    <row r="5" spans="1:3">
      <c r="A5">
        <v>4</v>
      </c>
      <c r="B5" s="1">
        <v>682015</v>
      </c>
      <c r="C5">
        <v>1</v>
      </c>
    </row>
    <row r="6" spans="1:3">
      <c r="A6">
        <v>5</v>
      </c>
      <c r="B6" s="1">
        <v>682016</v>
      </c>
      <c r="C6">
        <v>1</v>
      </c>
    </row>
  </sheetData>
  <phoneticPr fontId="8" type="noConversion"/>
  <conditionalFormatting sqref="B2:B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仲春之月活动基础</vt:lpstr>
      <vt:lpstr>连线礼包奖励</vt:lpstr>
      <vt:lpstr>宝箱次数奖励</vt:lpstr>
      <vt:lpstr>仲春之月登陆好礼</vt:lpstr>
      <vt:lpstr>仲春之月礼包</vt:lpstr>
      <vt:lpstr>仲春之月任务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Oiks Ukoi</cp:lastModifiedBy>
  <dcterms:created xsi:type="dcterms:W3CDTF">2015-06-05T18:19:00Z</dcterms:created>
  <dcterms:modified xsi:type="dcterms:W3CDTF">2024-06-30T14:29:28Z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058887784DC34095AC1F420301CBC94D</vt:lpwstr>
  </property>
  <property fmtid="{D5CDD505-2E9C-101B-9397-08002B2CF9AE}" pid="3" name="KSOProductBuildVer">
    <vt:lpwstr>2052-11.1.0.11365</vt:lpwstr>
  </property>
</Properties>
</file>